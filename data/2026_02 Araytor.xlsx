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258" documentId="13_ncr:1_{37819927-9CFE-43AC-8153-8699ED5093BF}" xr6:coauthVersionLast="47" xr6:coauthVersionMax="47" xr10:uidLastSave="{4C48467F-A929-448B-8877-C2FC5EA3A87F}"/>
  <bookViews>
    <workbookView xWindow="-120" yWindow="-120" windowWidth="29040" windowHeight="15720" tabRatio="636" activeTab="2" xr2:uid="{EBC3AA9F-29C2-4903-A639-114548C3BCCE}"/>
  </bookViews>
  <sheets>
    <sheet name="Definición" sheetId="12" r:id="rId1"/>
    <sheet name="TD" sheetId="15" r:id="rId2"/>
    <sheet name="Plantilla Report Recibos" sheetId="9" r:id="rId3"/>
    <sheet name="Mapeo Ramos" sheetId="14" r:id="rId4"/>
    <sheet name="Catalogo" sheetId="13" state="hidden" r:id="rId5"/>
  </sheets>
  <externalReferences>
    <externalReference r:id="rId6"/>
  </externalReferences>
  <definedNames>
    <definedName name="_xlnm._FilterDatabase" localSheetId="4" hidden="1">Catalogo!#REF!</definedName>
    <definedName name="_xlnm._FilterDatabase" localSheetId="0" hidden="1">Definición!$A$1:$G$36</definedName>
    <definedName name="_xlnm._FilterDatabase" localSheetId="3" hidden="1">'Mapeo Ramos'!#REF!</definedName>
    <definedName name="_xlnm._FilterDatabase" localSheetId="2" hidden="1">'Plantilla Report Recibos'!$A$1:$AI$1213</definedName>
    <definedName name="empresa_grupo">[1]data!$A$2:$A$1048576</definedName>
    <definedName name="Grupo_Ramo">[1]data!$D$2:$D$1048576</definedName>
    <definedName name="Periodo">[1]data!$B$2:$B$1048576</definedName>
    <definedName name="TIPO_DATO">[1]data!$G$2:$G$1048576</definedName>
  </definedNames>
  <calcPr calcId="191028"/>
  <pivotCaches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5" l="1"/>
  <c r="E92" i="15"/>
  <c r="D92" i="15"/>
  <c r="C70" i="15" l="1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69" i="15"/>
  <c r="B66" i="15"/>
  <c r="B67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65" i="15"/>
  <c r="C29" i="15"/>
  <c r="B29" i="15"/>
  <c r="B25" i="15"/>
  <c r="E93" i="15"/>
  <c r="B64" i="15" l="1"/>
  <c r="B68" i="15"/>
  <c r="B54" i="15"/>
  <c r="C68" i="15"/>
  <c r="B93" i="15" l="1"/>
  <c r="C65" i="15"/>
  <c r="C25" i="15"/>
  <c r="C54" i="15" s="1"/>
  <c r="C67" i="15"/>
  <c r="C66" i="15"/>
  <c r="C64" i="15" l="1"/>
  <c r="C93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CB37CF-DD69-44DC-A174-14E26E56808A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<sst xmlns="http://schemas.openxmlformats.org/spreadsheetml/2006/main" count="18809" uniqueCount="4264">
  <si>
    <t>Entidad</t>
  </si>
  <si>
    <t>Obligatoriedad</t>
  </si>
  <si>
    <t>Campo</t>
  </si>
  <si>
    <t>Definición</t>
  </si>
  <si>
    <t>Posibles valores</t>
  </si>
  <si>
    <t>Formato</t>
  </si>
  <si>
    <t>Ejemplo</t>
  </si>
  <si>
    <t>Recibos</t>
  </si>
  <si>
    <t>Obligatorio</t>
  </si>
  <si>
    <t>Correduria</t>
  </si>
  <si>
    <t>Nombre  de la correduría del cliente</t>
  </si>
  <si>
    <t>campo seleccionable de un listado</t>
  </si>
  <si>
    <t>NIF</t>
  </si>
  <si>
    <t>NIF de la persona física o CIF de la persona jurídica</t>
  </si>
  <si>
    <t>en caso de ser una persona física son 8 dígitos más la letra de control, en el caso de persona jurídica letra de control y 8 dígitos. Puede contener el separador "-"</t>
  </si>
  <si>
    <t>12345678H
ó
C-76543210</t>
  </si>
  <si>
    <t>NumeroPolizaCompania</t>
  </si>
  <si>
    <t>Número de póliza compañía</t>
  </si>
  <si>
    <t>texto libre</t>
  </si>
  <si>
    <t>Opcional</t>
  </si>
  <si>
    <t>NumeroPolizaInterno</t>
  </si>
  <si>
    <t>Número de póliza interno (El que asigna al programa de gestión)</t>
  </si>
  <si>
    <t>NumeroReciboCompania</t>
  </si>
  <si>
    <t>Número de recibo compañía</t>
  </si>
  <si>
    <t>NumeroReciboInterno</t>
  </si>
  <si>
    <t>Número de recibo interno (El que asigna al programa de gestión)</t>
  </si>
  <si>
    <t>Tipo</t>
  </si>
  <si>
    <t>- Nueva Producción - Cartera - Sup. Cartera … (Las diferentes tipologías de  recibo que tengais en vuestro sistema)</t>
  </si>
  <si>
    <t>Gestion</t>
  </si>
  <si>
    <t>Tipo de gestión/cobro: - Correduría - Compañía (Los diferentes tipos de gestión/cobro del  recibo/póliza que tengais en vuestro sistema)</t>
  </si>
  <si>
    <t>Duracion</t>
  </si>
  <si>
    <t>Diferenciar por tipo de póliza. Renovable (Genera cartera) y temporales/únicas (No genera cartera).</t>
  </si>
  <si>
    <t>Situacion</t>
  </si>
  <si>
    <t>- Cobrado - Liquidado - Pendiente - Anulado …. (Las diferentes situaciones del  recibo que tengais en vuestro sistema)</t>
  </si>
  <si>
    <t>FechaFacturacion</t>
  </si>
  <si>
    <t>Fecha de Facturación o emisión del recibo</t>
  </si>
  <si>
    <t>FechaEfecto</t>
  </si>
  <si>
    <t>Fecha efecto recibo</t>
  </si>
  <si>
    <t>Obligatorio condicionado</t>
  </si>
  <si>
    <t>FechaCobro</t>
  </si>
  <si>
    <t>Obligatorio en caso de recibo cobrado</t>
  </si>
  <si>
    <t>FechaDevolucion</t>
  </si>
  <si>
    <t>Fechas de situación de los recibos</t>
  </si>
  <si>
    <t>FechaAnulacion</t>
  </si>
  <si>
    <t>FechaLiquidacionColaborador</t>
  </si>
  <si>
    <t>Fecha en las que se liquidan las comisiones al colaborador</t>
  </si>
  <si>
    <t>FechaLiquidación</t>
  </si>
  <si>
    <t>Fracciones</t>
  </si>
  <si>
    <t>Pagos fraccionados</t>
  </si>
  <si>
    <t>Producto</t>
  </si>
  <si>
    <t>Nombre de Producto</t>
  </si>
  <si>
    <t>Ramo</t>
  </si>
  <si>
    <t>Nombre de Ramo (con el mayor desglose posible, no ramo DGS)</t>
  </si>
  <si>
    <t>GrupoDeRamos</t>
  </si>
  <si>
    <t>Mapeo en función de ramo</t>
  </si>
  <si>
    <t>Compania</t>
  </si>
  <si>
    <t>Aseguradora de la póliza</t>
  </si>
  <si>
    <t>Moneda</t>
  </si>
  <si>
    <t>Moneda referente a Prima neta</t>
  </si>
  <si>
    <t>PrimaNeta</t>
  </si>
  <si>
    <t>Prima neta de póliza (sin impuestos)</t>
  </si>
  <si>
    <t>ComisionCorreduria</t>
  </si>
  <si>
    <t>Es la comsión total percibida, incluye sobrecomisión en recibo (si la hay)</t>
  </si>
  <si>
    <t>ComisionPrimaNeta</t>
  </si>
  <si>
    <t>Comisión estándar de la póliza, sin la comsión adicional</t>
  </si>
  <si>
    <t>ComisionComplementaria</t>
  </si>
  <si>
    <t>Comisión adicional, incluida en recibo</t>
  </si>
  <si>
    <t>ColaboradorSupervisor</t>
  </si>
  <si>
    <t>ComisionColaboradorSupervisor</t>
  </si>
  <si>
    <t>Colaborador1</t>
  </si>
  <si>
    <t>Indicar nombre de Colaborador / Auxiliar Externo 
Si es una venta Cruzada con otra correduria de Sabseg (póliza que le habeis emitido a la otra correduría), indicar como Colaborador a la otra correduría: "VC NOMBRE CORREDURIA"</t>
  </si>
  <si>
    <t>ComisionColaborador1</t>
  </si>
  <si>
    <t>Comisión cedida al colaborador o auxiliar externo</t>
  </si>
  <si>
    <t>Colaborador2</t>
  </si>
  <si>
    <t>ComisionColaborador2</t>
  </si>
  <si>
    <t>Colaborador3</t>
  </si>
  <si>
    <t>ComisionColaborador3</t>
  </si>
  <si>
    <t>Suma de PrimaNeta</t>
  </si>
  <si>
    <t>Suma de ComisionPrimaNeta</t>
  </si>
  <si>
    <t>Suma de ComisionComplementaria</t>
  </si>
  <si>
    <t>Suma de ComisionColaborador1</t>
  </si>
  <si>
    <t>Autos</t>
  </si>
  <si>
    <t>Eventos</t>
  </si>
  <si>
    <t>Hogar</t>
  </si>
  <si>
    <t>Líneas Financieras</t>
  </si>
  <si>
    <t>Náutica</t>
  </si>
  <si>
    <t>Particulares Resto</t>
  </si>
  <si>
    <t>Property</t>
  </si>
  <si>
    <t>Responsabilidad Civil</t>
  </si>
  <si>
    <t>Seguros Personales (No Vida) Colectivos</t>
  </si>
  <si>
    <t>Seguros Personales (No Vida) Particular</t>
  </si>
  <si>
    <t>Transporte</t>
  </si>
  <si>
    <t>Vida Ahorro Particular</t>
  </si>
  <si>
    <t>Vida Riesgo Colectivo</t>
  </si>
  <si>
    <t>Vida Riesgo Particular</t>
  </si>
  <si>
    <t>Total general</t>
  </si>
  <si>
    <t>Agro</t>
  </si>
  <si>
    <t>Resto de Lineas</t>
  </si>
  <si>
    <t>Retirada</t>
  </si>
  <si>
    <t>Vida Ganado</t>
  </si>
  <si>
    <t>Generales</t>
  </si>
  <si>
    <t>B2B2C</t>
  </si>
  <si>
    <t>Arte</t>
  </si>
  <si>
    <t>Caución</t>
  </si>
  <si>
    <t>Crédito</t>
  </si>
  <si>
    <t>Crédito Internacional</t>
  </si>
  <si>
    <t>Inmobiliario</t>
  </si>
  <si>
    <t>Flotas</t>
  </si>
  <si>
    <t>Ingeniería</t>
  </si>
  <si>
    <t>Vida Ahorro Colectivo</t>
  </si>
  <si>
    <t>ARAYTOR</t>
  </si>
  <si>
    <t>35018236T</t>
  </si>
  <si>
    <t>00066033</t>
  </si>
  <si>
    <t>50690197</t>
  </si>
  <si>
    <t>2026000309</t>
  </si>
  <si>
    <t>Cartera</t>
  </si>
  <si>
    <t>Compañía</t>
  </si>
  <si>
    <t>Renovable</t>
  </si>
  <si>
    <t>Cobrado</t>
  </si>
  <si>
    <t>Mensual</t>
  </si>
  <si>
    <t>18 Salud</t>
  </si>
  <si>
    <t>Salud</t>
  </si>
  <si>
    <t>AXA</t>
  </si>
  <si>
    <t>Euros</t>
  </si>
  <si>
    <t>38119133Z</t>
  </si>
  <si>
    <t>00101232</t>
  </si>
  <si>
    <t>50729730</t>
  </si>
  <si>
    <t>2026000310</t>
  </si>
  <si>
    <t>Complet Clinic</t>
  </si>
  <si>
    <t>Cuadro Cerrado</t>
  </si>
  <si>
    <t>TON ABAD (ANTIC)</t>
  </si>
  <si>
    <t>39108504V</t>
  </si>
  <si>
    <t>0060004306298</t>
  </si>
  <si>
    <t>2026000685</t>
  </si>
  <si>
    <t>Mundisalud classic</t>
  </si>
  <si>
    <t>Mixta</t>
  </si>
  <si>
    <t>DKV</t>
  </si>
  <si>
    <t>46129282E</t>
  </si>
  <si>
    <t>01036231</t>
  </si>
  <si>
    <t>50443095</t>
  </si>
  <si>
    <t>2026000308</t>
  </si>
  <si>
    <t>Facturado</t>
  </si>
  <si>
    <t>Anual</t>
  </si>
  <si>
    <t>Win Negocios (1)</t>
  </si>
  <si>
    <t>Comercio</t>
  </si>
  <si>
    <t>Carlos Valls Rausa</t>
  </si>
  <si>
    <t>38170789N</t>
  </si>
  <si>
    <t>01179378</t>
  </si>
  <si>
    <t>20920250</t>
  </si>
  <si>
    <t>2026000306</t>
  </si>
  <si>
    <t>08025 -  ACCIDENTES INDIVIDUALES 0002</t>
  </si>
  <si>
    <t>Accidentes Personales</t>
  </si>
  <si>
    <t>46117139T</t>
  </si>
  <si>
    <t>01179379</t>
  </si>
  <si>
    <t>20920251</t>
  </si>
  <si>
    <t>2026000307</t>
  </si>
  <si>
    <t>B59437178</t>
  </si>
  <si>
    <t>019969297</t>
  </si>
  <si>
    <t>577126422 Sobre</t>
  </si>
  <si>
    <t>2026000690</t>
  </si>
  <si>
    <t>Correduría</t>
  </si>
  <si>
    <t>Multirriesgo Empresarial</t>
  </si>
  <si>
    <t>PYME</t>
  </si>
  <si>
    <t>ALLIANZ</t>
  </si>
  <si>
    <t>37666201K</t>
  </si>
  <si>
    <t>021924365</t>
  </si>
  <si>
    <t>592319325</t>
  </si>
  <si>
    <t>2026000564</t>
  </si>
  <si>
    <t>1224 - Autogrup V.03 (Moto)</t>
  </si>
  <si>
    <t>Motocicletas</t>
  </si>
  <si>
    <t>B64753791</t>
  </si>
  <si>
    <t>023844167-00136</t>
  </si>
  <si>
    <t>879895526</t>
  </si>
  <si>
    <t>2026000512</t>
  </si>
  <si>
    <t>Produccion</t>
  </si>
  <si>
    <t>Semestral</t>
  </si>
  <si>
    <t>1222 Autopgrup V.03 (Turismos)</t>
  </si>
  <si>
    <t>Vehiculos</t>
  </si>
  <si>
    <t>B60448487</t>
  </si>
  <si>
    <t>030693631</t>
  </si>
  <si>
    <t>577126828 Sobre</t>
  </si>
  <si>
    <t>2026000692</t>
  </si>
  <si>
    <t>156 Accidentes Convenio</t>
  </si>
  <si>
    <t>Accidentes</t>
  </si>
  <si>
    <t>034923901</t>
  </si>
  <si>
    <t>593476397</t>
  </si>
  <si>
    <t>2026000570</t>
  </si>
  <si>
    <t>Trimestral</t>
  </si>
  <si>
    <t>B66320813</t>
  </si>
  <si>
    <t>037096939</t>
  </si>
  <si>
    <t>588954408</t>
  </si>
  <si>
    <t>2026000329</t>
  </si>
  <si>
    <t>Suplemento modificacion de produccion</t>
  </si>
  <si>
    <t>38109730H</t>
  </si>
  <si>
    <t>038301593</t>
  </si>
  <si>
    <t>588731764</t>
  </si>
  <si>
    <t>2026000278</t>
  </si>
  <si>
    <t>68 - Allianz Riesgo Renovable</t>
  </si>
  <si>
    <t>Vida Individual</t>
  </si>
  <si>
    <t>595782412</t>
  </si>
  <si>
    <t>2026000798</t>
  </si>
  <si>
    <t>040484951</t>
  </si>
  <si>
    <t>577127206 Sobre</t>
  </si>
  <si>
    <t>2026000691</t>
  </si>
  <si>
    <t>133 Accidentes Colectivo</t>
  </si>
  <si>
    <t>Accidentes Colectivo</t>
  </si>
  <si>
    <t>G66303124</t>
  </si>
  <si>
    <t>040929334</t>
  </si>
  <si>
    <t>880355718</t>
  </si>
  <si>
    <t>2026000592</t>
  </si>
  <si>
    <t>39718933A</t>
  </si>
  <si>
    <t>041003380</t>
  </si>
  <si>
    <t>577127214 Sobre</t>
  </si>
  <si>
    <t>2026000693</t>
  </si>
  <si>
    <t>042743355-00094</t>
  </si>
  <si>
    <t>878760077</t>
  </si>
  <si>
    <t>2026000211</t>
  </si>
  <si>
    <t>Temporal</t>
  </si>
  <si>
    <t>Unico</t>
  </si>
  <si>
    <t>378 Multimodal (Transportistas/Cargadodr</t>
  </si>
  <si>
    <t>Daños Cargador</t>
  </si>
  <si>
    <t>B85462257</t>
  </si>
  <si>
    <t>RCEXP-CA16646</t>
  </si>
  <si>
    <t>2601962</t>
  </si>
  <si>
    <t>2026000601</t>
  </si>
  <si>
    <t>RC Empresa</t>
  </si>
  <si>
    <t>CIRCLES GROUP, S.A.</t>
  </si>
  <si>
    <t>B63337315</t>
  </si>
  <si>
    <t>RCEXP-CA16648</t>
  </si>
  <si>
    <t>2602416</t>
  </si>
  <si>
    <t>2026000723</t>
  </si>
  <si>
    <t>B34159806</t>
  </si>
  <si>
    <t>RCEXP-CA16768</t>
  </si>
  <si>
    <t>2518132 Subsanacion comision</t>
  </si>
  <si>
    <t>2026000800</t>
  </si>
  <si>
    <t>B90354036</t>
  </si>
  <si>
    <t>RCEXP-CA16846</t>
  </si>
  <si>
    <t>2600215</t>
  </si>
  <si>
    <t>2026000180</t>
  </si>
  <si>
    <t>B56299928</t>
  </si>
  <si>
    <t>RCEXP-CA17209</t>
  </si>
  <si>
    <t>2525445</t>
  </si>
  <si>
    <t>2026000284</t>
  </si>
  <si>
    <t>PT513019626</t>
  </si>
  <si>
    <t>RCEXP-CA17306</t>
  </si>
  <si>
    <t>2602167</t>
  </si>
  <si>
    <t>2026000674</t>
  </si>
  <si>
    <t>2602168</t>
  </si>
  <si>
    <t>2026000675</t>
  </si>
  <si>
    <t>2602347</t>
  </si>
  <si>
    <t>2026000724</t>
  </si>
  <si>
    <t>B54749163</t>
  </si>
  <si>
    <t>RCEXP-CA17310</t>
  </si>
  <si>
    <t>2602291</t>
  </si>
  <si>
    <t>2026000698</t>
  </si>
  <si>
    <t>B55123913</t>
  </si>
  <si>
    <t>RCEXP-CA17363</t>
  </si>
  <si>
    <t>2602366</t>
  </si>
  <si>
    <t>2026000725</t>
  </si>
  <si>
    <t>B82760695</t>
  </si>
  <si>
    <t>RCEXP-CA17380</t>
  </si>
  <si>
    <t>2601767</t>
  </si>
  <si>
    <t>2026000580</t>
  </si>
  <si>
    <t>A82822735</t>
  </si>
  <si>
    <t>RCEXP-CA17395</t>
  </si>
  <si>
    <t>2602289</t>
  </si>
  <si>
    <t>2026000699</t>
  </si>
  <si>
    <t>B09891748</t>
  </si>
  <si>
    <t>RCEXP-CA17400</t>
  </si>
  <si>
    <t>2601562</t>
  </si>
  <si>
    <t>2026000531</t>
  </si>
  <si>
    <t>F56739055</t>
  </si>
  <si>
    <t>RCEXP-CA17405</t>
  </si>
  <si>
    <t>2602019</t>
  </si>
  <si>
    <t>2026000639</t>
  </si>
  <si>
    <t>B75660159</t>
  </si>
  <si>
    <t>RCEXP-CA17430</t>
  </si>
  <si>
    <t>2602365</t>
  </si>
  <si>
    <t>2026000726</t>
  </si>
  <si>
    <t>B70770672</t>
  </si>
  <si>
    <t>RCEXP-CA17468</t>
  </si>
  <si>
    <t>2601199</t>
  </si>
  <si>
    <t>2026000474</t>
  </si>
  <si>
    <t>B56437155</t>
  </si>
  <si>
    <t>RCEXP-CA17474</t>
  </si>
  <si>
    <t>2602450</t>
  </si>
  <si>
    <t>2026000727</t>
  </si>
  <si>
    <t>2602451</t>
  </si>
  <si>
    <t>2026000728</t>
  </si>
  <si>
    <t>2602452</t>
  </si>
  <si>
    <t>2026000729</t>
  </si>
  <si>
    <t>2602453</t>
  </si>
  <si>
    <t>2026000730</t>
  </si>
  <si>
    <t>N0021150H</t>
  </si>
  <si>
    <t>RCEXP-CA17491</t>
  </si>
  <si>
    <t>2602016</t>
  </si>
  <si>
    <t>2026000794</t>
  </si>
  <si>
    <t>GRUPO GALILEA, S.A.</t>
  </si>
  <si>
    <t>2602204</t>
  </si>
  <si>
    <t>2026000795</t>
  </si>
  <si>
    <t>B75300079</t>
  </si>
  <si>
    <t>RCEXP-CA17588</t>
  </si>
  <si>
    <t>2602596</t>
  </si>
  <si>
    <t>2026000805</t>
  </si>
  <si>
    <t>B75959031</t>
  </si>
  <si>
    <t>RCEXP-CA17646</t>
  </si>
  <si>
    <t>2601431</t>
  </si>
  <si>
    <t>2026000494</t>
  </si>
  <si>
    <t>HERRERA Y ASO.TEC. Y ASE. EN SEGU, S.L.</t>
  </si>
  <si>
    <t>B75679969</t>
  </si>
  <si>
    <t>RCEXP-CA17898</t>
  </si>
  <si>
    <t>2601825</t>
  </si>
  <si>
    <t>2026000582</t>
  </si>
  <si>
    <t>45865660A</t>
  </si>
  <si>
    <t>RCEXP-CA18278</t>
  </si>
  <si>
    <t>2524347 Subsanacion error</t>
  </si>
  <si>
    <t>2026000799</t>
  </si>
  <si>
    <t>B25258633</t>
  </si>
  <si>
    <t>RCEXP-CA18567</t>
  </si>
  <si>
    <t>2523244</t>
  </si>
  <si>
    <t>2026000299</t>
  </si>
  <si>
    <t>B64615974</t>
  </si>
  <si>
    <t>RCEXP-CA18586</t>
  </si>
  <si>
    <t>2601406</t>
  </si>
  <si>
    <t>2026000498</t>
  </si>
  <si>
    <t>V88014923</t>
  </si>
  <si>
    <t>RCEXP-CA19013</t>
  </si>
  <si>
    <t>2523143</t>
  </si>
  <si>
    <t>2026000301</t>
  </si>
  <si>
    <t>B72954597</t>
  </si>
  <si>
    <t>RCEXP-CA19014</t>
  </si>
  <si>
    <t>2524571</t>
  </si>
  <si>
    <t>2026000300</t>
  </si>
  <si>
    <t>CURSORIS</t>
  </si>
  <si>
    <t>J75869925</t>
  </si>
  <si>
    <t>RCEXP-CA19136</t>
  </si>
  <si>
    <t>2601041</t>
  </si>
  <si>
    <t>2026000334</t>
  </si>
  <si>
    <t>B54808795</t>
  </si>
  <si>
    <t>RCEXP-CA19153</t>
  </si>
  <si>
    <t>2600214</t>
  </si>
  <si>
    <t>2026000181</t>
  </si>
  <si>
    <t>N0364047A</t>
  </si>
  <si>
    <t>RCEXP-CA19162</t>
  </si>
  <si>
    <t>2600628</t>
  </si>
  <si>
    <t>2026000305</t>
  </si>
  <si>
    <t>JOSE LUIS LATORRE FRANCISCO</t>
  </si>
  <si>
    <t>B29890024</t>
  </si>
  <si>
    <t>RCEXP-CA19169</t>
  </si>
  <si>
    <t>2600818</t>
  </si>
  <si>
    <t>2026000353</t>
  </si>
  <si>
    <t>Y3848151N</t>
  </si>
  <si>
    <t>RCEXP-CA19174</t>
  </si>
  <si>
    <t>2600827</t>
  </si>
  <si>
    <t>2026000342</t>
  </si>
  <si>
    <t>B54374996</t>
  </si>
  <si>
    <t>RCEXP-CA19187</t>
  </si>
  <si>
    <t>2600933</t>
  </si>
  <si>
    <t>2026000336</t>
  </si>
  <si>
    <t>B65199127</t>
  </si>
  <si>
    <t>RCEXP-CA19201</t>
  </si>
  <si>
    <t>2601494</t>
  </si>
  <si>
    <t>2026000533</t>
  </si>
  <si>
    <t>N0171460I</t>
  </si>
  <si>
    <t>RCEXP-CA19204</t>
  </si>
  <si>
    <t>2601561</t>
  </si>
  <si>
    <t>2026000553</t>
  </si>
  <si>
    <t>29162607-X</t>
  </si>
  <si>
    <t>RCEXP-CA19206</t>
  </si>
  <si>
    <t>2601586</t>
  </si>
  <si>
    <t>2026000552</t>
  </si>
  <si>
    <t>B66196858</t>
  </si>
  <si>
    <t>RCEXP-CA19215</t>
  </si>
  <si>
    <t>2601766</t>
  </si>
  <si>
    <t>2026000588</t>
  </si>
  <si>
    <t>54480764C</t>
  </si>
  <si>
    <t>RCEXP-CA19224</t>
  </si>
  <si>
    <t>2601802</t>
  </si>
  <si>
    <t>2026000589</t>
  </si>
  <si>
    <t>516313177</t>
  </si>
  <si>
    <t>RCEXP-CA19241</t>
  </si>
  <si>
    <t>2602065</t>
  </si>
  <si>
    <t>2026000611</t>
  </si>
  <si>
    <t>B63930564</t>
  </si>
  <si>
    <t>RCEXP-CA19244</t>
  </si>
  <si>
    <t>2602165</t>
  </si>
  <si>
    <t>2026000682</t>
  </si>
  <si>
    <t>RIBE &amp; SALAT, S.A.</t>
  </si>
  <si>
    <t>B88211040</t>
  </si>
  <si>
    <t>RCEXP-CA19257</t>
  </si>
  <si>
    <t>2602235</t>
  </si>
  <si>
    <t>2026000684</t>
  </si>
  <si>
    <t>B63777049</t>
  </si>
  <si>
    <t>RCEXP-CA19266</t>
  </si>
  <si>
    <t>2602288</t>
  </si>
  <si>
    <t>2026000701</t>
  </si>
  <si>
    <t>B76702331</t>
  </si>
  <si>
    <t>RCEXP-CA19267</t>
  </si>
  <si>
    <t>2602287</t>
  </si>
  <si>
    <t>2026000700</t>
  </si>
  <si>
    <t>B23970254</t>
  </si>
  <si>
    <t>RCEXP-CA19278</t>
  </si>
  <si>
    <t>2602367</t>
  </si>
  <si>
    <t>2026000744</t>
  </si>
  <si>
    <t>B87842589</t>
  </si>
  <si>
    <t>RCEXP-CA19288</t>
  </si>
  <si>
    <t>2602475</t>
  </si>
  <si>
    <t>2026000748</t>
  </si>
  <si>
    <t>B22593933</t>
  </si>
  <si>
    <t>RCEXP-CA19289</t>
  </si>
  <si>
    <t>2602512</t>
  </si>
  <si>
    <t>2026000750</t>
  </si>
  <si>
    <t>B09872953</t>
  </si>
  <si>
    <t>RCEXP-CA19297</t>
  </si>
  <si>
    <t>2602598</t>
  </si>
  <si>
    <t>2026000810</t>
  </si>
  <si>
    <t>B46560454</t>
  </si>
  <si>
    <t>RCEXP-CA2913</t>
  </si>
  <si>
    <t>2600056</t>
  </si>
  <si>
    <t>2026000178</t>
  </si>
  <si>
    <t>B88262431</t>
  </si>
  <si>
    <t>RCEXP-CA4454</t>
  </si>
  <si>
    <t>2600236</t>
  </si>
  <si>
    <t>2026000177</t>
  </si>
  <si>
    <t>B66848896</t>
  </si>
  <si>
    <t>RCEXP-CA4906</t>
  </si>
  <si>
    <t>2525460</t>
  </si>
  <si>
    <t>2026000283</t>
  </si>
  <si>
    <t>B59343673</t>
  </si>
  <si>
    <t>RCEXP-CA9020</t>
  </si>
  <si>
    <t>2600844</t>
  </si>
  <si>
    <t>2026000340</t>
  </si>
  <si>
    <t>2602590</t>
  </si>
  <si>
    <t>2026000801</t>
  </si>
  <si>
    <t>2602591</t>
  </si>
  <si>
    <t>2026000802</t>
  </si>
  <si>
    <t>B27740117</t>
  </si>
  <si>
    <t>UYG782000467</t>
  </si>
  <si>
    <t>5620092799</t>
  </si>
  <si>
    <t>2026000817</t>
  </si>
  <si>
    <t>Ajustes</t>
  </si>
  <si>
    <t>Vehículos Industriales</t>
  </si>
  <si>
    <t>Furgonetas</t>
  </si>
  <si>
    <t>GENERALI ESPAÑA</t>
  </si>
  <si>
    <t>042743355-00095</t>
  </si>
  <si>
    <t>878948045</t>
  </si>
  <si>
    <t>2026000254</t>
  </si>
  <si>
    <t>B50717750</t>
  </si>
  <si>
    <t>043231983</t>
  </si>
  <si>
    <t>593594934</t>
  </si>
  <si>
    <t>2026000567</t>
  </si>
  <si>
    <t>044971069</t>
  </si>
  <si>
    <t>589121171</t>
  </si>
  <si>
    <t>2026000357</t>
  </si>
  <si>
    <t>2192 - VIDA GRUPOS T.REN</t>
  </si>
  <si>
    <t>Vida Convenio</t>
  </si>
  <si>
    <t>879408429</t>
  </si>
  <si>
    <t>2026000355</t>
  </si>
  <si>
    <t>880086404</t>
  </si>
  <si>
    <t>2026000544</t>
  </si>
  <si>
    <t>050081337-00084</t>
  </si>
  <si>
    <t>879048654</t>
  </si>
  <si>
    <t>2026000277</t>
  </si>
  <si>
    <t>1221 Allianz V.03 (VH.Com.2ª categ.)</t>
  </si>
  <si>
    <t>050081337-00096</t>
  </si>
  <si>
    <t>879442956</t>
  </si>
  <si>
    <t>2026000356</t>
  </si>
  <si>
    <t>40528504C</t>
  </si>
  <si>
    <t>050081337-00103</t>
  </si>
  <si>
    <t>880910637</t>
  </si>
  <si>
    <t>2026000688</t>
  </si>
  <si>
    <t>050081337-00158</t>
  </si>
  <si>
    <t>876091145-30 Retrocesion</t>
  </si>
  <si>
    <t>2026000702</t>
  </si>
  <si>
    <t>B44809572</t>
  </si>
  <si>
    <t>050081337-00163</t>
  </si>
  <si>
    <t>880732007</t>
  </si>
  <si>
    <t>2026000632</t>
  </si>
  <si>
    <t>33900880F</t>
  </si>
  <si>
    <t>058265879</t>
  </si>
  <si>
    <t>880144823</t>
  </si>
  <si>
    <t>2026000543</t>
  </si>
  <si>
    <t>1234 Allianz Moto V.03</t>
  </si>
  <si>
    <t>37283160E</t>
  </si>
  <si>
    <t>058272293</t>
  </si>
  <si>
    <t>880262674</t>
  </si>
  <si>
    <t>2026000556</t>
  </si>
  <si>
    <t>1231 Allianz VH.Com.V.03 (2ª Categ.)</t>
  </si>
  <si>
    <t>50897109H</t>
  </si>
  <si>
    <t>058313507</t>
  </si>
  <si>
    <t>881016731</t>
  </si>
  <si>
    <t>2026000687</t>
  </si>
  <si>
    <t>1285 Allianz Auto Plus TR</t>
  </si>
  <si>
    <t>45486979V</t>
  </si>
  <si>
    <t>06056508</t>
  </si>
  <si>
    <t>51585945</t>
  </si>
  <si>
    <t>2026000359</t>
  </si>
  <si>
    <t>08792 - SALUD INDIVIDUAL MIGRACION</t>
  </si>
  <si>
    <t>51586035</t>
  </si>
  <si>
    <t>2026000358</t>
  </si>
  <si>
    <t>51586036</t>
  </si>
  <si>
    <t>2026000689</t>
  </si>
  <si>
    <t>74169600</t>
  </si>
  <si>
    <t>2026000152</t>
  </si>
  <si>
    <t>46133985X</t>
  </si>
  <si>
    <t>1/113891</t>
  </si>
  <si>
    <t>264136864</t>
  </si>
  <si>
    <t>2026000365</t>
  </si>
  <si>
    <t>Temporal Renovable</t>
  </si>
  <si>
    <t xml:space="preserve">FIATC </t>
  </si>
  <si>
    <t>46651409A</t>
  </si>
  <si>
    <t>1/94594</t>
  </si>
  <si>
    <t>264135946</t>
  </si>
  <si>
    <t>2026000363</t>
  </si>
  <si>
    <t>B67990341</t>
  </si>
  <si>
    <t>12705</t>
  </si>
  <si>
    <t>2B2025000006235</t>
  </si>
  <si>
    <t>2026000217</t>
  </si>
  <si>
    <t>Abierto Sociedad</t>
  </si>
  <si>
    <t>Asistencia en Viaje</t>
  </si>
  <si>
    <t>EUROP ASSISTANCE ESPAÑA, S.A</t>
  </si>
  <si>
    <t>B66699216</t>
  </si>
  <si>
    <t>13037</t>
  </si>
  <si>
    <t>2B2025000006251</t>
  </si>
  <si>
    <t>2026000159</t>
  </si>
  <si>
    <t>14/658342</t>
  </si>
  <si>
    <t>264089932</t>
  </si>
  <si>
    <t>2026000368</t>
  </si>
  <si>
    <t>48 - DINAMICO</t>
  </si>
  <si>
    <t>Vida Mixto</t>
  </si>
  <si>
    <t>14/658345</t>
  </si>
  <si>
    <t>264089933</t>
  </si>
  <si>
    <t>2026000369</t>
  </si>
  <si>
    <t>14/658346</t>
  </si>
  <si>
    <t>264089934</t>
  </si>
  <si>
    <t>2026000370</t>
  </si>
  <si>
    <t>14/658347</t>
  </si>
  <si>
    <t>264089935</t>
  </si>
  <si>
    <t>2026000371</t>
  </si>
  <si>
    <t>B66323890</t>
  </si>
  <si>
    <t>20/7084837</t>
  </si>
  <si>
    <t>264326314</t>
  </si>
  <si>
    <t>2026000597</t>
  </si>
  <si>
    <t>M - MAXI-AUTO</t>
  </si>
  <si>
    <t>B43313915</t>
  </si>
  <si>
    <t>20/7342549</t>
  </si>
  <si>
    <t>264339410</t>
  </si>
  <si>
    <t>2026000762</t>
  </si>
  <si>
    <t>20/7526917</t>
  </si>
  <si>
    <t>250881090</t>
  </si>
  <si>
    <t>2025013213</t>
  </si>
  <si>
    <t>264049655</t>
  </si>
  <si>
    <t>2025013212</t>
  </si>
  <si>
    <t>33908250V</t>
  </si>
  <si>
    <t>20/9039420</t>
  </si>
  <si>
    <t>264335123</t>
  </si>
  <si>
    <t>2026000635</t>
  </si>
  <si>
    <t>20/9091368</t>
  </si>
  <si>
    <t>264326313</t>
  </si>
  <si>
    <t>2026000596</t>
  </si>
  <si>
    <t>PAP096935</t>
  </si>
  <si>
    <t>27190164</t>
  </si>
  <si>
    <t>27190164 Error comision</t>
  </si>
  <si>
    <t>2026000653</t>
  </si>
  <si>
    <t>51387326J</t>
  </si>
  <si>
    <t>282067353</t>
  </si>
  <si>
    <t>202600110062</t>
  </si>
  <si>
    <t>2026000201</t>
  </si>
  <si>
    <t>Dental</t>
  </si>
  <si>
    <t>SEGURCAIXA ADESLAS, S.A.</t>
  </si>
  <si>
    <t>50426811R</t>
  </si>
  <si>
    <t>282122509</t>
  </si>
  <si>
    <t>202600078513</t>
  </si>
  <si>
    <t>2026000202</t>
  </si>
  <si>
    <t>Adeslas Completa</t>
  </si>
  <si>
    <t>02620075F</t>
  </si>
  <si>
    <t>282157337</t>
  </si>
  <si>
    <t>202600169522</t>
  </si>
  <si>
    <t>2026000203</t>
  </si>
  <si>
    <t>Plena Vital</t>
  </si>
  <si>
    <t>202602263037</t>
  </si>
  <si>
    <t>2026000792</t>
  </si>
  <si>
    <t>43119280F</t>
  </si>
  <si>
    <t>282279213</t>
  </si>
  <si>
    <t>202600047262</t>
  </si>
  <si>
    <t>2026000207</t>
  </si>
  <si>
    <t>202602345686</t>
  </si>
  <si>
    <t>2026000790</t>
  </si>
  <si>
    <t>50736424B</t>
  </si>
  <si>
    <t>282329055</t>
  </si>
  <si>
    <t>202600123844</t>
  </si>
  <si>
    <t>2026000208</t>
  </si>
  <si>
    <t>202602317410</t>
  </si>
  <si>
    <t>2026000787</t>
  </si>
  <si>
    <t>B17858630</t>
  </si>
  <si>
    <t>29/173335</t>
  </si>
  <si>
    <t>264099064</t>
  </si>
  <si>
    <t>2026000379</t>
  </si>
  <si>
    <t>MEDIFIATC PROGRESS</t>
  </si>
  <si>
    <t>29/197770</t>
  </si>
  <si>
    <t>264102570</t>
  </si>
  <si>
    <t>2026000380</t>
  </si>
  <si>
    <t>47610003A</t>
  </si>
  <si>
    <t>29/3002950</t>
  </si>
  <si>
    <t>264125821</t>
  </si>
  <si>
    <t>2026000381</t>
  </si>
  <si>
    <t>2010 Mediatc Progess</t>
  </si>
  <si>
    <t>Colectivo Salud</t>
  </si>
  <si>
    <t>38051670X</t>
  </si>
  <si>
    <t>29/3004653</t>
  </si>
  <si>
    <t>264125934</t>
  </si>
  <si>
    <t>2026000382</t>
  </si>
  <si>
    <t>46216659E</t>
  </si>
  <si>
    <t>29/3007241</t>
  </si>
  <si>
    <t>264126728</t>
  </si>
  <si>
    <t>2026000383</t>
  </si>
  <si>
    <t>36929337P</t>
  </si>
  <si>
    <t>29/3008707</t>
  </si>
  <si>
    <t>264126980</t>
  </si>
  <si>
    <t>2026000384</t>
  </si>
  <si>
    <t>46799386K</t>
  </si>
  <si>
    <t>29/3011014</t>
  </si>
  <si>
    <t>264127503</t>
  </si>
  <si>
    <t>2026000385</t>
  </si>
  <si>
    <t>46612440L</t>
  </si>
  <si>
    <t>29/3011134</t>
  </si>
  <si>
    <t>264127542</t>
  </si>
  <si>
    <t>2026000386</t>
  </si>
  <si>
    <t>46731149W</t>
  </si>
  <si>
    <t>29/3011458</t>
  </si>
  <si>
    <t>264127599</t>
  </si>
  <si>
    <t>2026000387</t>
  </si>
  <si>
    <t>39363713H</t>
  </si>
  <si>
    <t>29/3012975</t>
  </si>
  <si>
    <t>264127998</t>
  </si>
  <si>
    <t>2026000388</t>
  </si>
  <si>
    <t>46691745C</t>
  </si>
  <si>
    <t>29/3015527</t>
  </si>
  <si>
    <t>264128505</t>
  </si>
  <si>
    <t>2026000389</t>
  </si>
  <si>
    <t>33893426M</t>
  </si>
  <si>
    <t>29/3018245</t>
  </si>
  <si>
    <t>264129516</t>
  </si>
  <si>
    <t>2026000390</t>
  </si>
  <si>
    <t>43398436N</t>
  </si>
  <si>
    <t>29/3020101</t>
  </si>
  <si>
    <t>264130351</t>
  </si>
  <si>
    <t>2026000391</t>
  </si>
  <si>
    <t>38870848C</t>
  </si>
  <si>
    <t>29/3020817</t>
  </si>
  <si>
    <t>264134473</t>
  </si>
  <si>
    <t>2026000392</t>
  </si>
  <si>
    <t>38074869W</t>
  </si>
  <si>
    <t>29/3020888</t>
  </si>
  <si>
    <t>264135122</t>
  </si>
  <si>
    <t>2026000393</t>
  </si>
  <si>
    <t>46678120B</t>
  </si>
  <si>
    <t>29/3044031</t>
  </si>
  <si>
    <t>264158616</t>
  </si>
  <si>
    <t>2026000394</t>
  </si>
  <si>
    <t>46728875M</t>
  </si>
  <si>
    <t>29/3048296</t>
  </si>
  <si>
    <t>264160680</t>
  </si>
  <si>
    <t>2026000395</t>
  </si>
  <si>
    <t>47275804V</t>
  </si>
  <si>
    <t>29/3119294</t>
  </si>
  <si>
    <t>264203060</t>
  </si>
  <si>
    <t>2026000302</t>
  </si>
  <si>
    <t>6 - MEDIFIATC PROGRES</t>
  </si>
  <si>
    <t>29/3119543</t>
  </si>
  <si>
    <t>264289304</t>
  </si>
  <si>
    <t>2026000464</t>
  </si>
  <si>
    <t>B66800731</t>
  </si>
  <si>
    <t>29/452</t>
  </si>
  <si>
    <t>264288994</t>
  </si>
  <si>
    <t>2026000465</t>
  </si>
  <si>
    <t>30/1001171</t>
  </si>
  <si>
    <t>264205485</t>
  </si>
  <si>
    <t>2026000399</t>
  </si>
  <si>
    <t>4 - ACCIDENTES INDIVIDUAL (G.00.2)</t>
  </si>
  <si>
    <t>V56146996</t>
  </si>
  <si>
    <t>30/1113710</t>
  </si>
  <si>
    <t>264318796</t>
  </si>
  <si>
    <t>2026000571</t>
  </si>
  <si>
    <t xml:space="preserve">30 Accidentes </t>
  </si>
  <si>
    <t>X1768964B</t>
  </si>
  <si>
    <t>30/401584</t>
  </si>
  <si>
    <t>264205233</t>
  </si>
  <si>
    <t>2026000396</t>
  </si>
  <si>
    <t>X2389815T</t>
  </si>
  <si>
    <t>30/401616</t>
  </si>
  <si>
    <t>264205234</t>
  </si>
  <si>
    <t>2026000397</t>
  </si>
  <si>
    <t>B56525603</t>
  </si>
  <si>
    <t>3556253</t>
  </si>
  <si>
    <t>3556253-3 Error comision</t>
  </si>
  <si>
    <t>2026000655</t>
  </si>
  <si>
    <t>RC Musica</t>
  </si>
  <si>
    <t>RC Promotor Musica</t>
  </si>
  <si>
    <t>Hiscox S.A Sucursal en España</t>
  </si>
  <si>
    <t>W0050944H</t>
  </si>
  <si>
    <t>3556391</t>
  </si>
  <si>
    <t>3556391-10 Error comision</t>
  </si>
  <si>
    <t>2026000657</t>
  </si>
  <si>
    <t>3556391-9 Errro comision</t>
  </si>
  <si>
    <t>2026000656</t>
  </si>
  <si>
    <t>49534898M</t>
  </si>
  <si>
    <t>3611971</t>
  </si>
  <si>
    <t>3611971-1</t>
  </si>
  <si>
    <t>2026000213</t>
  </si>
  <si>
    <t>53299579T</t>
  </si>
  <si>
    <t>3615550</t>
  </si>
  <si>
    <t>3615550-1</t>
  </si>
  <si>
    <t>2026000636</t>
  </si>
  <si>
    <t>B56168289</t>
  </si>
  <si>
    <t>393925</t>
  </si>
  <si>
    <t>555691</t>
  </si>
  <si>
    <t>2026000577</t>
  </si>
  <si>
    <t>Temporal Nominado</t>
  </si>
  <si>
    <t>Iris Global Soluciones</t>
  </si>
  <si>
    <t>B62971247</t>
  </si>
  <si>
    <t>40/188221</t>
  </si>
  <si>
    <t>264288692</t>
  </si>
  <si>
    <t>2026000467</t>
  </si>
  <si>
    <t>RC Operador Transporte</t>
  </si>
  <si>
    <t>17117842T</t>
  </si>
  <si>
    <t>40/5008594</t>
  </si>
  <si>
    <t>264235082</t>
  </si>
  <si>
    <t>2026000401</t>
  </si>
  <si>
    <t>Responsabilidad Civil Profesional</t>
  </si>
  <si>
    <t>RC Profesional</t>
  </si>
  <si>
    <t>B99072399</t>
  </si>
  <si>
    <t>40/5030909</t>
  </si>
  <si>
    <t>264235775</t>
  </si>
  <si>
    <t>2026000407</t>
  </si>
  <si>
    <t>B70472972</t>
  </si>
  <si>
    <t>40/5065500</t>
  </si>
  <si>
    <t>264237466</t>
  </si>
  <si>
    <t>2026000409</t>
  </si>
  <si>
    <t>G65529406</t>
  </si>
  <si>
    <t>40/5090986</t>
  </si>
  <si>
    <t>264239722</t>
  </si>
  <si>
    <t>2026000412</t>
  </si>
  <si>
    <t>0100Responsabilidad Civil General</t>
  </si>
  <si>
    <t>RC General</t>
  </si>
  <si>
    <t>40/5114502</t>
  </si>
  <si>
    <t>264242107</t>
  </si>
  <si>
    <t>2026000449</t>
  </si>
  <si>
    <t>0120 - Seguro Medioambiental</t>
  </si>
  <si>
    <t>RC Medioambiental</t>
  </si>
  <si>
    <t>B25850041</t>
  </si>
  <si>
    <t>40/5119211</t>
  </si>
  <si>
    <t>264077780</t>
  </si>
  <si>
    <t>2026000413</t>
  </si>
  <si>
    <t>37640784L</t>
  </si>
  <si>
    <t>54/143376</t>
  </si>
  <si>
    <t>264122136</t>
  </si>
  <si>
    <t>2026000416</t>
  </si>
  <si>
    <t>35070563W</t>
  </si>
  <si>
    <t>54/65223</t>
  </si>
  <si>
    <t>264113186</t>
  </si>
  <si>
    <t>2026000415</t>
  </si>
  <si>
    <t>65/273231</t>
  </si>
  <si>
    <t>264240630</t>
  </si>
  <si>
    <t>2026000417</t>
  </si>
  <si>
    <t>Maxi Hogar 3000 Araytor</t>
  </si>
  <si>
    <t>37577045J</t>
  </si>
  <si>
    <t>65/273238</t>
  </si>
  <si>
    <t>264240637</t>
  </si>
  <si>
    <t>2026000418</t>
  </si>
  <si>
    <t>33963273R</t>
  </si>
  <si>
    <t>65/273242</t>
  </si>
  <si>
    <t>264240640</t>
  </si>
  <si>
    <t>2026000419</t>
  </si>
  <si>
    <t>35081238M</t>
  </si>
  <si>
    <t>65/321900</t>
  </si>
  <si>
    <t>264242301</t>
  </si>
  <si>
    <t>2026000421</t>
  </si>
  <si>
    <t>38866595E</t>
  </si>
  <si>
    <t>65/338430</t>
  </si>
  <si>
    <t>264243381</t>
  </si>
  <si>
    <t>2026000425</t>
  </si>
  <si>
    <t>65/5009742</t>
  </si>
  <si>
    <t>264078161</t>
  </si>
  <si>
    <t>2026000426</t>
  </si>
  <si>
    <t>0120 - Maxi Hogar 3000</t>
  </si>
  <si>
    <t>B64069917</t>
  </si>
  <si>
    <t>65/5143777</t>
  </si>
  <si>
    <t>264085916</t>
  </si>
  <si>
    <t>2026000279</t>
  </si>
  <si>
    <t>PADUQUATRE, S.L.</t>
  </si>
  <si>
    <t>44008108T</t>
  </si>
  <si>
    <t>65/5211797</t>
  </si>
  <si>
    <t>264256879</t>
  </si>
  <si>
    <t>2026000428</t>
  </si>
  <si>
    <t>100 MR Hogar</t>
  </si>
  <si>
    <t>65/5232530</t>
  </si>
  <si>
    <t>264258488</t>
  </si>
  <si>
    <t>2026000429</t>
  </si>
  <si>
    <t>H02979540</t>
  </si>
  <si>
    <t>66/5020198</t>
  </si>
  <si>
    <t>264240766</t>
  </si>
  <si>
    <t>2026000432</t>
  </si>
  <si>
    <t>0100 - Propiedad de Edificios</t>
  </si>
  <si>
    <t>Comunidad de Propietarios</t>
  </si>
  <si>
    <t>37189284D</t>
  </si>
  <si>
    <t>66/5025593</t>
  </si>
  <si>
    <t>264242172</t>
  </si>
  <si>
    <t>2026000434</t>
  </si>
  <si>
    <t>H63136683</t>
  </si>
  <si>
    <t>66/5028257</t>
  </si>
  <si>
    <t>264324056</t>
  </si>
  <si>
    <t>2026000594</t>
  </si>
  <si>
    <t>46731337Y</t>
  </si>
  <si>
    <t>6660058032</t>
  </si>
  <si>
    <t>202601393727</t>
  </si>
  <si>
    <t>2026000294</t>
  </si>
  <si>
    <t>Modular Colectivos</t>
  </si>
  <si>
    <t>78049029R</t>
  </si>
  <si>
    <t>66600580334</t>
  </si>
  <si>
    <t>202601369365</t>
  </si>
  <si>
    <t>2026000291</t>
  </si>
  <si>
    <t>202603009630</t>
  </si>
  <si>
    <t>2026000782</t>
  </si>
  <si>
    <t>30504182H</t>
  </si>
  <si>
    <t>66600580342</t>
  </si>
  <si>
    <t>202601377386</t>
  </si>
  <si>
    <t>2026000206</t>
  </si>
  <si>
    <t>40981967S</t>
  </si>
  <si>
    <t>66600580363</t>
  </si>
  <si>
    <t>202601382190</t>
  </si>
  <si>
    <t>2026000290</t>
  </si>
  <si>
    <t>202603034874</t>
  </si>
  <si>
    <t>2026000783</t>
  </si>
  <si>
    <t>43505915N</t>
  </si>
  <si>
    <t>66600580383</t>
  </si>
  <si>
    <t>202601445682</t>
  </si>
  <si>
    <t>2026000209</t>
  </si>
  <si>
    <t>202603084816</t>
  </si>
  <si>
    <t>2026000791</t>
  </si>
  <si>
    <t>B83678029</t>
  </si>
  <si>
    <t>8-10.890.101-W</t>
  </si>
  <si>
    <t>472768195-E</t>
  </si>
  <si>
    <t>2026000360</t>
  </si>
  <si>
    <t>01242 - RC comercio, cultura, ocio</t>
  </si>
  <si>
    <t>OCCIDENT GCO, S.A.U.</t>
  </si>
  <si>
    <t>B62533062</t>
  </si>
  <si>
    <t>8-11.070.813-H</t>
  </si>
  <si>
    <t>472697627-V</t>
  </si>
  <si>
    <t>2026000276</t>
  </si>
  <si>
    <t>01245 - Resp. Civil Profesional</t>
  </si>
  <si>
    <t>Y9448453K</t>
  </si>
  <si>
    <t>8-11.325.979-F</t>
  </si>
  <si>
    <t>473494061-H</t>
  </si>
  <si>
    <t>2026000484</t>
  </si>
  <si>
    <t>01685 Hogar</t>
  </si>
  <si>
    <t>36784665Y</t>
  </si>
  <si>
    <t>81343230</t>
  </si>
  <si>
    <t>202600687485</t>
  </si>
  <si>
    <t>2026000205</t>
  </si>
  <si>
    <t>202602595349</t>
  </si>
  <si>
    <t>2026000788</t>
  </si>
  <si>
    <t>36473908W</t>
  </si>
  <si>
    <t>81366906</t>
  </si>
  <si>
    <t>202600656205</t>
  </si>
  <si>
    <t>2026000293</t>
  </si>
  <si>
    <t>202602619592</t>
  </si>
  <si>
    <t>2026000786</t>
  </si>
  <si>
    <t>43498748K</t>
  </si>
  <si>
    <t>81373806</t>
  </si>
  <si>
    <t>202600611200</t>
  </si>
  <si>
    <t>2026000298</t>
  </si>
  <si>
    <t>202602581640</t>
  </si>
  <si>
    <t>2026000784</t>
  </si>
  <si>
    <t>36918203Y</t>
  </si>
  <si>
    <t>81375862</t>
  </si>
  <si>
    <t>202600630969</t>
  </si>
  <si>
    <t>2026000297</t>
  </si>
  <si>
    <t>202602612447</t>
  </si>
  <si>
    <t>2026000789</t>
  </si>
  <si>
    <t>38119496D</t>
  </si>
  <si>
    <t>81386276</t>
  </si>
  <si>
    <t>202600620118</t>
  </si>
  <si>
    <t>2026000204</t>
  </si>
  <si>
    <t>202602625496</t>
  </si>
  <si>
    <t>2026000793</t>
  </si>
  <si>
    <t>40279138C</t>
  </si>
  <si>
    <t>81387396</t>
  </si>
  <si>
    <t>202600604899</t>
  </si>
  <si>
    <t>2026000289</t>
  </si>
  <si>
    <t>35075496J</t>
  </si>
  <si>
    <t>81511008</t>
  </si>
  <si>
    <t>202600616607</t>
  </si>
  <si>
    <t>2026000295</t>
  </si>
  <si>
    <t>Plena Extra</t>
  </si>
  <si>
    <t>B67461962</t>
  </si>
  <si>
    <t>81516158</t>
  </si>
  <si>
    <t>202600612622</t>
  </si>
  <si>
    <t>2026000296</t>
  </si>
  <si>
    <t>Plena Plus</t>
  </si>
  <si>
    <t>202602577399</t>
  </si>
  <si>
    <t>2026000785</t>
  </si>
  <si>
    <t>06223853F</t>
  </si>
  <si>
    <t>81549417</t>
  </si>
  <si>
    <t>202600664206</t>
  </si>
  <si>
    <t>2026000292</t>
  </si>
  <si>
    <t>47601192R</t>
  </si>
  <si>
    <t>82/3002534</t>
  </si>
  <si>
    <t>264130843</t>
  </si>
  <si>
    <t>2026000435</t>
  </si>
  <si>
    <t>46060139V</t>
  </si>
  <si>
    <t>82/3020746</t>
  </si>
  <si>
    <t>264136195</t>
  </si>
  <si>
    <t>2026000436</t>
  </si>
  <si>
    <t>37679304Z</t>
  </si>
  <si>
    <t>82/3041020</t>
  </si>
  <si>
    <t>264144533</t>
  </si>
  <si>
    <t>2026000437</t>
  </si>
  <si>
    <t>49162191J</t>
  </si>
  <si>
    <t>8-23.322.518-K</t>
  </si>
  <si>
    <t>474104457-Z</t>
  </si>
  <si>
    <t>2026000593</t>
  </si>
  <si>
    <t>Automoviles (2)</t>
  </si>
  <si>
    <t>Turismo</t>
  </si>
  <si>
    <t>36904239A</t>
  </si>
  <si>
    <t>85/5018891</t>
  </si>
  <si>
    <t>264235038</t>
  </si>
  <si>
    <t>2026000438</t>
  </si>
  <si>
    <t>100 MR Negocios</t>
  </si>
  <si>
    <t>B65244212</t>
  </si>
  <si>
    <t>86/5001352</t>
  </si>
  <si>
    <t>264081206</t>
  </si>
  <si>
    <t>2026000440</t>
  </si>
  <si>
    <t>0100 - Maxi Empresa</t>
  </si>
  <si>
    <t>B01799329</t>
  </si>
  <si>
    <t>86/5017965</t>
  </si>
  <si>
    <t>264237601</t>
  </si>
  <si>
    <t>2026000441</t>
  </si>
  <si>
    <t>37285250L</t>
  </si>
  <si>
    <t>89289516</t>
  </si>
  <si>
    <t>22066014</t>
  </si>
  <si>
    <t>2026000603</t>
  </si>
  <si>
    <t>08760 - MOTO360</t>
  </si>
  <si>
    <t>89289614</t>
  </si>
  <si>
    <t>22054956</t>
  </si>
  <si>
    <t>2026000602</t>
  </si>
  <si>
    <t>46228015Q</t>
  </si>
  <si>
    <t>90263936</t>
  </si>
  <si>
    <t>52056832</t>
  </si>
  <si>
    <t>2026000311</t>
  </si>
  <si>
    <t>08926 - Optima Salud</t>
  </si>
  <si>
    <t>90264599</t>
  </si>
  <si>
    <t>65103788</t>
  </si>
  <si>
    <t>2026000158</t>
  </si>
  <si>
    <t>15910356Z</t>
  </si>
  <si>
    <t>90710728</t>
  </si>
  <si>
    <t>56044638</t>
  </si>
  <si>
    <t>2026000314</t>
  </si>
  <si>
    <t>35120326Q</t>
  </si>
  <si>
    <t>90768579</t>
  </si>
  <si>
    <t>52691695</t>
  </si>
  <si>
    <t>2026000312</t>
  </si>
  <si>
    <t>X5708468Y</t>
  </si>
  <si>
    <t>90894392</t>
  </si>
  <si>
    <t>55020065</t>
  </si>
  <si>
    <t>2026000313</t>
  </si>
  <si>
    <t>38089835H</t>
  </si>
  <si>
    <t>91568745</t>
  </si>
  <si>
    <t>57185585</t>
  </si>
  <si>
    <t>2026000315</t>
  </si>
  <si>
    <t>93/14179</t>
  </si>
  <si>
    <t>264083390</t>
  </si>
  <si>
    <t>2026000212</t>
  </si>
  <si>
    <t>Transporte Terrestre de Mercancias</t>
  </si>
  <si>
    <t>Daños Operador</t>
  </si>
  <si>
    <t>93/24235</t>
  </si>
  <si>
    <t>264231590</t>
  </si>
  <si>
    <t>2026000446</t>
  </si>
  <si>
    <t>Transporte Terrestre de Mercancias (1)</t>
  </si>
  <si>
    <t>B61319018</t>
  </si>
  <si>
    <t>93/5003154</t>
  </si>
  <si>
    <t>264232520</t>
  </si>
  <si>
    <t>2026000447</t>
  </si>
  <si>
    <t>B03118775</t>
  </si>
  <si>
    <t>93/5005255</t>
  </si>
  <si>
    <t>264259551</t>
  </si>
  <si>
    <t>2026000453</t>
  </si>
  <si>
    <t>Flotante</t>
  </si>
  <si>
    <t>264259638</t>
  </si>
  <si>
    <t>2026000454</t>
  </si>
  <si>
    <t>93/5005282</t>
  </si>
  <si>
    <t>264285688</t>
  </si>
  <si>
    <t>2026000463</t>
  </si>
  <si>
    <t>B40173676</t>
  </si>
  <si>
    <t>94/5023958</t>
  </si>
  <si>
    <t>264232943</t>
  </si>
  <si>
    <t>2026000450</t>
  </si>
  <si>
    <t>0100 - Multiriesgo Transportista</t>
  </si>
  <si>
    <t>Daños Vehiculos</t>
  </si>
  <si>
    <t>94/5025404</t>
  </si>
  <si>
    <t>264233589</t>
  </si>
  <si>
    <t>2026000451</t>
  </si>
  <si>
    <t>94/5025406</t>
  </si>
  <si>
    <t>264233599</t>
  </si>
  <si>
    <t>2026000452</t>
  </si>
  <si>
    <t>94/5026614</t>
  </si>
  <si>
    <t>264348513</t>
  </si>
  <si>
    <t>2026000759</t>
  </si>
  <si>
    <t>94/5026615</t>
  </si>
  <si>
    <t>264348514</t>
  </si>
  <si>
    <t>2026000760</t>
  </si>
  <si>
    <t>94/5028012</t>
  </si>
  <si>
    <t>264348523</t>
  </si>
  <si>
    <t>2026000761</t>
  </si>
  <si>
    <t>V67531343</t>
  </si>
  <si>
    <t>CE86502</t>
  </si>
  <si>
    <t>Error no liquidar</t>
  </si>
  <si>
    <t>2026000341</t>
  </si>
  <si>
    <t>Contingencias</t>
  </si>
  <si>
    <t>A58569815</t>
  </si>
  <si>
    <t>CE87140-CE87804</t>
  </si>
  <si>
    <t>2601148</t>
  </si>
  <si>
    <t>2026000475</t>
  </si>
  <si>
    <t>CE87140-CE92081</t>
  </si>
  <si>
    <t>2601221</t>
  </si>
  <si>
    <t>2026000497</t>
  </si>
  <si>
    <t>B55443402</t>
  </si>
  <si>
    <t>CE87140-CE92371</t>
  </si>
  <si>
    <t>2525442</t>
  </si>
  <si>
    <t>2026000287</t>
  </si>
  <si>
    <t>B44884518</t>
  </si>
  <si>
    <t>CE87569-CE93178</t>
  </si>
  <si>
    <t>2600426</t>
  </si>
  <si>
    <t>2026000250</t>
  </si>
  <si>
    <t>B56381478</t>
  </si>
  <si>
    <t>CE87610</t>
  </si>
  <si>
    <t>2602113</t>
  </si>
  <si>
    <t>2026000638</t>
  </si>
  <si>
    <t>B44789170</t>
  </si>
  <si>
    <t>CE89795</t>
  </si>
  <si>
    <t>2601849</t>
  </si>
  <si>
    <t>2026000581</t>
  </si>
  <si>
    <t>V21958228</t>
  </si>
  <si>
    <t>CE91614</t>
  </si>
  <si>
    <t>2525849</t>
  </si>
  <si>
    <t>2026000214</t>
  </si>
  <si>
    <t>CE91748</t>
  </si>
  <si>
    <t>2600419</t>
  </si>
  <si>
    <t>2026000228</t>
  </si>
  <si>
    <t>BE0898.188.425</t>
  </si>
  <si>
    <t>CE91852</t>
  </si>
  <si>
    <t>2600931</t>
  </si>
  <si>
    <t>2026000330</t>
  </si>
  <si>
    <t>VC ASIGEST BROKER, S.P.A.</t>
  </si>
  <si>
    <t>2600932</t>
  </si>
  <si>
    <t>2026000331</t>
  </si>
  <si>
    <t>2601462</t>
  </si>
  <si>
    <t>2026000495</t>
  </si>
  <si>
    <t>V73998999</t>
  </si>
  <si>
    <t>CE91914</t>
  </si>
  <si>
    <t>2601064</t>
  </si>
  <si>
    <t>2026000343</t>
  </si>
  <si>
    <t>CE92034</t>
  </si>
  <si>
    <t>2602190</t>
  </si>
  <si>
    <t>2026000677</t>
  </si>
  <si>
    <t>V56080849</t>
  </si>
  <si>
    <t>CE92366</t>
  </si>
  <si>
    <t>2600438</t>
  </si>
  <si>
    <t>2026000259</t>
  </si>
  <si>
    <t>V67736157</t>
  </si>
  <si>
    <t>CE92403</t>
  </si>
  <si>
    <t>2602007</t>
  </si>
  <si>
    <t>2026000606</t>
  </si>
  <si>
    <t>V70779822</t>
  </si>
  <si>
    <t>CE92406</t>
  </si>
  <si>
    <t>2600420</t>
  </si>
  <si>
    <t>2026000230</t>
  </si>
  <si>
    <t>B67572081</t>
  </si>
  <si>
    <t>CE92435</t>
  </si>
  <si>
    <t>2600437</t>
  </si>
  <si>
    <t>2026000229</t>
  </si>
  <si>
    <t>B83958934</t>
  </si>
  <si>
    <t>CE92561</t>
  </si>
  <si>
    <t>2600245</t>
  </si>
  <si>
    <t>2026000234</t>
  </si>
  <si>
    <t>2601430</t>
  </si>
  <si>
    <t>2026000499</t>
  </si>
  <si>
    <t>Q2878017I</t>
  </si>
  <si>
    <t>CE92613</t>
  </si>
  <si>
    <t>2600081</t>
  </si>
  <si>
    <t>2026000575</t>
  </si>
  <si>
    <t>VC SABSEG COMERCIAL RISK CdS, S.A.</t>
  </si>
  <si>
    <t>2600625</t>
  </si>
  <si>
    <t>2026000576</t>
  </si>
  <si>
    <t>CE92619</t>
  </si>
  <si>
    <t>2600088</t>
  </si>
  <si>
    <t>2026000235</t>
  </si>
  <si>
    <t>2601548</t>
  </si>
  <si>
    <t>2026000549</t>
  </si>
  <si>
    <t>CE92635</t>
  </si>
  <si>
    <t>2600796</t>
  </si>
  <si>
    <t>2026000349</t>
  </si>
  <si>
    <t>V23950512</t>
  </si>
  <si>
    <t>CE92644</t>
  </si>
  <si>
    <t>2600790</t>
  </si>
  <si>
    <t>2026000321</t>
  </si>
  <si>
    <t>CE92657</t>
  </si>
  <si>
    <t>2602084</t>
  </si>
  <si>
    <t>2026000640</t>
  </si>
  <si>
    <t>B06592133</t>
  </si>
  <si>
    <t>CE92666</t>
  </si>
  <si>
    <t>2600241</t>
  </si>
  <si>
    <t>2026000236</t>
  </si>
  <si>
    <t>B53237103</t>
  </si>
  <si>
    <t>CE92692</t>
  </si>
  <si>
    <t>2600626</t>
  </si>
  <si>
    <t>2026000304</t>
  </si>
  <si>
    <t>G62083357</t>
  </si>
  <si>
    <t>CE92708</t>
  </si>
  <si>
    <t>2601765</t>
  </si>
  <si>
    <t>2026000583</t>
  </si>
  <si>
    <t>G67656256</t>
  </si>
  <si>
    <t>2601864</t>
  </si>
  <si>
    <t>2026000584</t>
  </si>
  <si>
    <t>2601919</t>
  </si>
  <si>
    <t>2026000590</t>
  </si>
  <si>
    <t>2602020</t>
  </si>
  <si>
    <t>2026000605</t>
  </si>
  <si>
    <t>CE92709</t>
  </si>
  <si>
    <t>2600089</t>
  </si>
  <si>
    <t>2026000183</t>
  </si>
  <si>
    <t>2600090</t>
  </si>
  <si>
    <t>2026000184</t>
  </si>
  <si>
    <t>2600091</t>
  </si>
  <si>
    <t>2026000185</t>
  </si>
  <si>
    <t>B82604968</t>
  </si>
  <si>
    <t>CE92727</t>
  </si>
  <si>
    <t>2600424</t>
  </si>
  <si>
    <t>2026000239</t>
  </si>
  <si>
    <t>CE92729</t>
  </si>
  <si>
    <t>2601031</t>
  </si>
  <si>
    <t>2026000332</t>
  </si>
  <si>
    <t>B70507215</t>
  </si>
  <si>
    <t>CE92768</t>
  </si>
  <si>
    <t>2600430</t>
  </si>
  <si>
    <t>2026000241</t>
  </si>
  <si>
    <t>V75418368</t>
  </si>
  <si>
    <t>CE92769</t>
  </si>
  <si>
    <t>2600711</t>
  </si>
  <si>
    <t>2026000324</t>
  </si>
  <si>
    <t>2600712</t>
  </si>
  <si>
    <t>2026000325</t>
  </si>
  <si>
    <t>G22005573</t>
  </si>
  <si>
    <t>CE92865</t>
  </si>
  <si>
    <t>2602085</t>
  </si>
  <si>
    <t>2026000641</t>
  </si>
  <si>
    <t>B16580656</t>
  </si>
  <si>
    <t>CE92928</t>
  </si>
  <si>
    <t>2601553</t>
  </si>
  <si>
    <t>2026000550</t>
  </si>
  <si>
    <t>2602057</t>
  </si>
  <si>
    <t>2026000607</t>
  </si>
  <si>
    <t>B21919113</t>
  </si>
  <si>
    <t>CE92983</t>
  </si>
  <si>
    <t>2600429</t>
  </si>
  <si>
    <t>2026000244</t>
  </si>
  <si>
    <t>B21663943</t>
  </si>
  <si>
    <t>CE92984</t>
  </si>
  <si>
    <t>2600428</t>
  </si>
  <si>
    <t>2026000245</t>
  </si>
  <si>
    <t>B22524458</t>
  </si>
  <si>
    <t>CE92985</t>
  </si>
  <si>
    <t>2600427</t>
  </si>
  <si>
    <t>2026000246</t>
  </si>
  <si>
    <t>B11459435</t>
  </si>
  <si>
    <t>CE93026</t>
  </si>
  <si>
    <t>2600079</t>
  </si>
  <si>
    <t>2026000186</t>
  </si>
  <si>
    <t>2601423</t>
  </si>
  <si>
    <t>2026000500</t>
  </si>
  <si>
    <t>CE93028</t>
  </si>
  <si>
    <t>2600077</t>
  </si>
  <si>
    <t>2026000187</t>
  </si>
  <si>
    <t>CE93029</t>
  </si>
  <si>
    <t>2600065</t>
  </si>
  <si>
    <t>2026000189</t>
  </si>
  <si>
    <t>CE93031</t>
  </si>
  <si>
    <t>2600068</t>
  </si>
  <si>
    <t>2026000192</t>
  </si>
  <si>
    <t>CE93033</t>
  </si>
  <si>
    <t>2600072</t>
  </si>
  <si>
    <t>2026000195</t>
  </si>
  <si>
    <t>CE93037</t>
  </si>
  <si>
    <t>2601229</t>
  </si>
  <si>
    <t>2026000478</t>
  </si>
  <si>
    <t>CE93043</t>
  </si>
  <si>
    <t>2600075</t>
  </si>
  <si>
    <t>2026000199</t>
  </si>
  <si>
    <t>CE93050</t>
  </si>
  <si>
    <t>2600261</t>
  </si>
  <si>
    <t>2026000247</t>
  </si>
  <si>
    <t>CE93055</t>
  </si>
  <si>
    <t>2600071</t>
  </si>
  <si>
    <t>2026000198</t>
  </si>
  <si>
    <t>CE93056</t>
  </si>
  <si>
    <t>2600433</t>
  </si>
  <si>
    <t>2026000262</t>
  </si>
  <si>
    <t>CE93100</t>
  </si>
  <si>
    <t>2525449</t>
  </si>
  <si>
    <t>2026000281</t>
  </si>
  <si>
    <t>B67875161</t>
  </si>
  <si>
    <t>CE93104</t>
  </si>
  <si>
    <t>2600497</t>
  </si>
  <si>
    <t>2026000261</t>
  </si>
  <si>
    <t>2602056</t>
  </si>
  <si>
    <t>2026000642</t>
  </si>
  <si>
    <t>B55443204</t>
  </si>
  <si>
    <t>CE93120</t>
  </si>
  <si>
    <t>2525451</t>
  </si>
  <si>
    <t>2026000285</t>
  </si>
  <si>
    <t>B19970474</t>
  </si>
  <si>
    <t>CE93148</t>
  </si>
  <si>
    <t>2601422</t>
  </si>
  <si>
    <t>2026000501</t>
  </si>
  <si>
    <t>B66014218</t>
  </si>
  <si>
    <t>CE93158</t>
  </si>
  <si>
    <t>2526176</t>
  </si>
  <si>
    <t>2026000215</t>
  </si>
  <si>
    <t>B92729284</t>
  </si>
  <si>
    <t>CE93160</t>
  </si>
  <si>
    <t>2526195</t>
  </si>
  <si>
    <t>2026000216</t>
  </si>
  <si>
    <t>B20981593</t>
  </si>
  <si>
    <t>CE93182</t>
  </si>
  <si>
    <t>2600076</t>
  </si>
  <si>
    <t>2026000200</t>
  </si>
  <si>
    <t>B86911633</t>
  </si>
  <si>
    <t>CE93188</t>
  </si>
  <si>
    <t>2600244</t>
  </si>
  <si>
    <t>2026000251</t>
  </si>
  <si>
    <t>CE93210</t>
  </si>
  <si>
    <t>2600264</t>
  </si>
  <si>
    <t>2026000252</t>
  </si>
  <si>
    <t>CE93225</t>
  </si>
  <si>
    <t>2600799</t>
  </si>
  <si>
    <t>2026000351</t>
  </si>
  <si>
    <t>G72436231</t>
  </si>
  <si>
    <t>CE93267</t>
  </si>
  <si>
    <t>2601223</t>
  </si>
  <si>
    <t>2026000502</t>
  </si>
  <si>
    <t>CONCENTRA (Lopez Torrijos)</t>
  </si>
  <si>
    <t>B30929418</t>
  </si>
  <si>
    <t>CE93270</t>
  </si>
  <si>
    <t>2601027</t>
  </si>
  <si>
    <t>2026000335</t>
  </si>
  <si>
    <t>V23986110</t>
  </si>
  <si>
    <t>CE93306</t>
  </si>
  <si>
    <t>2600793</t>
  </si>
  <si>
    <t>2026000326</t>
  </si>
  <si>
    <t>B72470321</t>
  </si>
  <si>
    <t>CE93307</t>
  </si>
  <si>
    <t>2600797</t>
  </si>
  <si>
    <t>2026000352</t>
  </si>
  <si>
    <t>B21836283</t>
  </si>
  <si>
    <t>CE93308</t>
  </si>
  <si>
    <t>2600798</t>
  </si>
  <si>
    <t>2026000347</t>
  </si>
  <si>
    <t>2601551</t>
  </si>
  <si>
    <t>2026000548</t>
  </si>
  <si>
    <t>CE93320</t>
  </si>
  <si>
    <t>2601028</t>
  </si>
  <si>
    <t>2026000337</t>
  </si>
  <si>
    <t>2601228</t>
  </si>
  <si>
    <t>2026000503</t>
  </si>
  <si>
    <t>CE93321</t>
  </si>
  <si>
    <t>2601029</t>
  </si>
  <si>
    <t>2026000338</t>
  </si>
  <si>
    <t>B33594284</t>
  </si>
  <si>
    <t>CE93343</t>
  </si>
  <si>
    <t>2601063</t>
  </si>
  <si>
    <t>2026000354</t>
  </si>
  <si>
    <t>V09673997</t>
  </si>
  <si>
    <t>CE93422</t>
  </si>
  <si>
    <t>2601369</t>
  </si>
  <si>
    <t>2026000534</t>
  </si>
  <si>
    <t>CE93426</t>
  </si>
  <si>
    <t>2601550</t>
  </si>
  <si>
    <t>2026000535</t>
  </si>
  <si>
    <t>A60905486</t>
  </si>
  <si>
    <t>CE93427</t>
  </si>
  <si>
    <t>2601424</t>
  </si>
  <si>
    <t>2026000536</t>
  </si>
  <si>
    <t>CE93428</t>
  </si>
  <si>
    <t>2601426</t>
  </si>
  <si>
    <t>2026000538</t>
  </si>
  <si>
    <t>CE93429</t>
  </si>
  <si>
    <t>2601475</t>
  </si>
  <si>
    <t>2026000540</t>
  </si>
  <si>
    <t>CE93461</t>
  </si>
  <si>
    <t>2601590</t>
  </si>
  <si>
    <t>2026000554</t>
  </si>
  <si>
    <t>CE93480</t>
  </si>
  <si>
    <t>2602000</t>
  </si>
  <si>
    <t>2026000612</t>
  </si>
  <si>
    <t>V-67615849</t>
  </si>
  <si>
    <t>CE93540</t>
  </si>
  <si>
    <t>2602003</t>
  </si>
  <si>
    <t>2026000610</t>
  </si>
  <si>
    <t>CE93569</t>
  </si>
  <si>
    <t>2602028</t>
  </si>
  <si>
    <t>2026000619</t>
  </si>
  <si>
    <t>CE93571</t>
  </si>
  <si>
    <t>2602054</t>
  </si>
  <si>
    <t>2026000646</t>
  </si>
  <si>
    <t>CE93583</t>
  </si>
  <si>
    <t>2602110</t>
  </si>
  <si>
    <t>2026000683</t>
  </si>
  <si>
    <t>09439582Z</t>
  </si>
  <si>
    <t>CE93612</t>
  </si>
  <si>
    <t>2602436</t>
  </si>
  <si>
    <t>2026000745</t>
  </si>
  <si>
    <t>2602437</t>
  </si>
  <si>
    <t>2026000746</t>
  </si>
  <si>
    <t>B65015075</t>
  </si>
  <si>
    <t>CE93640</t>
  </si>
  <si>
    <t>2602548</t>
  </si>
  <si>
    <t>2026000755</t>
  </si>
  <si>
    <t>ESBOP247259</t>
  </si>
  <si>
    <t>2026000256</t>
  </si>
  <si>
    <t>Ticketing</t>
  </si>
  <si>
    <t>CHUBB EUROPEAN GROUP LIMITED</t>
  </si>
  <si>
    <t>B73908402</t>
  </si>
  <si>
    <t>ESBOP248542</t>
  </si>
  <si>
    <t>2026000225</t>
  </si>
  <si>
    <t>B6608763</t>
  </si>
  <si>
    <t>ESFINA10483</t>
  </si>
  <si>
    <t>405110</t>
  </si>
  <si>
    <t>2026000161</t>
  </si>
  <si>
    <t>D&amp;O</t>
  </si>
  <si>
    <t>RC Directivos</t>
  </si>
  <si>
    <t>B19497189</t>
  </si>
  <si>
    <t>HDIP62138567</t>
  </si>
  <si>
    <t>2026000481</t>
  </si>
  <si>
    <t>Hiscox Profesional</t>
  </si>
  <si>
    <t>B63644462</t>
  </si>
  <si>
    <t>HDIP63559043</t>
  </si>
  <si>
    <t>Error Comision</t>
  </si>
  <si>
    <t>2026000781</t>
  </si>
  <si>
    <t>2026000665</t>
  </si>
  <si>
    <t>L1-G-620001114</t>
  </si>
  <si>
    <t>5672551599</t>
  </si>
  <si>
    <t>2026000819</t>
  </si>
  <si>
    <t>Accidentes Convenio</t>
  </si>
  <si>
    <t>5678633844</t>
  </si>
  <si>
    <t>2026000818</t>
  </si>
  <si>
    <t>G82937905</t>
  </si>
  <si>
    <t>RCEXP-CA14214</t>
  </si>
  <si>
    <t>2601803</t>
  </si>
  <si>
    <t>2026000579</t>
  </si>
  <si>
    <t>VC CARANTIA TRES, S.L.</t>
  </si>
  <si>
    <t>B13792452</t>
  </si>
  <si>
    <t>RCEXP-CA14222</t>
  </si>
  <si>
    <t>2601963</t>
  </si>
  <si>
    <t>2026000600</t>
  </si>
  <si>
    <t>U72934029</t>
  </si>
  <si>
    <t>RCEXP-CA14245</t>
  </si>
  <si>
    <t>2526182</t>
  </si>
  <si>
    <t>2026000257</t>
  </si>
  <si>
    <t>2600037</t>
  </si>
  <si>
    <t>2026000258</t>
  </si>
  <si>
    <t>02246934H</t>
  </si>
  <si>
    <t>RCEXP-CA15497</t>
  </si>
  <si>
    <t>2602166</t>
  </si>
  <si>
    <t>2026000672</t>
  </si>
  <si>
    <t>B72792120</t>
  </si>
  <si>
    <t>RCEXP-CA16558</t>
  </si>
  <si>
    <t>2602424</t>
  </si>
  <si>
    <t>2026000722</t>
  </si>
  <si>
    <t>45390208F</t>
  </si>
  <si>
    <t>RCEXP-CA16644</t>
  </si>
  <si>
    <t>2600055</t>
  </si>
  <si>
    <t>2026000210</t>
  </si>
  <si>
    <t>042743355-00096</t>
  </si>
  <si>
    <t>881181378</t>
  </si>
  <si>
    <t>2026000764</t>
  </si>
  <si>
    <t>042743768</t>
  </si>
  <si>
    <t>593588795</t>
  </si>
  <si>
    <t>2026000566</t>
  </si>
  <si>
    <t>375 - Responsabilidades Maritimas</t>
  </si>
  <si>
    <t>RC Operador</t>
  </si>
  <si>
    <t>79290605Z</t>
  </si>
  <si>
    <t>047502795</t>
  </si>
  <si>
    <t>592668705</t>
  </si>
  <si>
    <t>2026000569</t>
  </si>
  <si>
    <t>46202369S</t>
  </si>
  <si>
    <t>048617586</t>
  </si>
  <si>
    <t>590296293</t>
  </si>
  <si>
    <t>2026000557</t>
  </si>
  <si>
    <t>46327330V</t>
  </si>
  <si>
    <t>049189927</t>
  </si>
  <si>
    <t>590369389</t>
  </si>
  <si>
    <t>2026000558</t>
  </si>
  <si>
    <t>Cuatrimestral</t>
  </si>
  <si>
    <t>1260 Furgoneta Robo, Incendio</t>
  </si>
  <si>
    <t>B08451536</t>
  </si>
  <si>
    <t>050058772</t>
  </si>
  <si>
    <t>590449447</t>
  </si>
  <si>
    <t>2026000559</t>
  </si>
  <si>
    <t>1255 ALLIANZ AUTO TODO RIESGO</t>
  </si>
  <si>
    <t>B54005228</t>
  </si>
  <si>
    <t>053621696</t>
  </si>
  <si>
    <t>590834747</t>
  </si>
  <si>
    <t>2026000560</t>
  </si>
  <si>
    <t>055222510</t>
  </si>
  <si>
    <t>591206010</t>
  </si>
  <si>
    <t>2026000561</t>
  </si>
  <si>
    <t>2064 - Allianz Pyme Comercio Comercio</t>
  </si>
  <si>
    <t>055306754</t>
  </si>
  <si>
    <t>591415108</t>
  </si>
  <si>
    <t>2026000562</t>
  </si>
  <si>
    <t>056953763</t>
  </si>
  <si>
    <t>593925567</t>
  </si>
  <si>
    <t>2026000568</t>
  </si>
  <si>
    <t>136  - Accidentes Convenio PYME</t>
  </si>
  <si>
    <t>46121096R</t>
  </si>
  <si>
    <t>057043346</t>
  </si>
  <si>
    <t>593236197</t>
  </si>
  <si>
    <t>2026000565</t>
  </si>
  <si>
    <t>46231593Y</t>
  </si>
  <si>
    <t>057068162</t>
  </si>
  <si>
    <t>592231231</t>
  </si>
  <si>
    <t>2026000563</t>
  </si>
  <si>
    <t>40373995W</t>
  </si>
  <si>
    <t>058296878</t>
  </si>
  <si>
    <t>880734094</t>
  </si>
  <si>
    <t>2026000633</t>
  </si>
  <si>
    <t>1289 Allianz Auto Plus</t>
  </si>
  <si>
    <t>33873117M</t>
  </si>
  <si>
    <t>1/101850</t>
  </si>
  <si>
    <t>264136300</t>
  </si>
  <si>
    <t>2026000364</t>
  </si>
  <si>
    <t>1/152320</t>
  </si>
  <si>
    <t>264141309</t>
  </si>
  <si>
    <t>2026000366</t>
  </si>
  <si>
    <t>35042191N</t>
  </si>
  <si>
    <t>1/152769</t>
  </si>
  <si>
    <t>264141637</t>
  </si>
  <si>
    <t>2026000367</t>
  </si>
  <si>
    <t>H06407746</t>
  </si>
  <si>
    <t>119683152</t>
  </si>
  <si>
    <t>462941081</t>
  </si>
  <si>
    <t>2026000555</t>
  </si>
  <si>
    <t>Defensa Juridica Comunidad de Propietari</t>
  </si>
  <si>
    <t>Defensa Juridica Comunidades</t>
  </si>
  <si>
    <t>ARAG, S.E. Sucursal en España</t>
  </si>
  <si>
    <t>Joan Bou Jovè</t>
  </si>
  <si>
    <t>X1969225B</t>
  </si>
  <si>
    <t>20/4514309</t>
  </si>
  <si>
    <t>264236672</t>
  </si>
  <si>
    <t>2026000373</t>
  </si>
  <si>
    <t>Maxi</t>
  </si>
  <si>
    <t>46119002T</t>
  </si>
  <si>
    <t>20/6883110</t>
  </si>
  <si>
    <t>264075891</t>
  </si>
  <si>
    <t>2026000375</t>
  </si>
  <si>
    <t>B65882011</t>
  </si>
  <si>
    <t>20/7139690</t>
  </si>
  <si>
    <t>264251752</t>
  </si>
  <si>
    <t>2026000376</t>
  </si>
  <si>
    <t>N - 20 Normal</t>
  </si>
  <si>
    <t>B65684227</t>
  </si>
  <si>
    <t>20/7140037</t>
  </si>
  <si>
    <t>264251812</t>
  </si>
  <si>
    <t>2026000377</t>
  </si>
  <si>
    <t>B25827577</t>
  </si>
  <si>
    <t>20/7241272</t>
  </si>
  <si>
    <t>264252199</t>
  </si>
  <si>
    <t>2026000378</t>
  </si>
  <si>
    <t>URGEL.LITANA D'ASSEGURANCES, S.L.</t>
  </si>
  <si>
    <t>A58025313</t>
  </si>
  <si>
    <t>20/7527707</t>
  </si>
  <si>
    <t>264086327</t>
  </si>
  <si>
    <t>2026000280</t>
  </si>
  <si>
    <t>79022111E</t>
  </si>
  <si>
    <t>20/9088056</t>
  </si>
  <si>
    <t>264285952</t>
  </si>
  <si>
    <t>2026000456</t>
  </si>
  <si>
    <t>20/9090160</t>
  </si>
  <si>
    <t>264317606</t>
  </si>
  <si>
    <t>2026000545</t>
  </si>
  <si>
    <t>264330590</t>
  </si>
  <si>
    <t>2026000630</t>
  </si>
  <si>
    <t>25162696Y</t>
  </si>
  <si>
    <t>30/1066780</t>
  </si>
  <si>
    <t>264207601</t>
  </si>
  <si>
    <t>2026000400</t>
  </si>
  <si>
    <t>Accidentes (1)</t>
  </si>
  <si>
    <t>B95431896</t>
  </si>
  <si>
    <t>30/1114018</t>
  </si>
  <si>
    <t>264349595</t>
  </si>
  <si>
    <t>2026000763</t>
  </si>
  <si>
    <t>38086314Q</t>
  </si>
  <si>
    <t>30/425436</t>
  </si>
  <si>
    <t>264205346</t>
  </si>
  <si>
    <t>2026000398</t>
  </si>
  <si>
    <t>B60592870</t>
  </si>
  <si>
    <t>3563927</t>
  </si>
  <si>
    <t>3563927-3</t>
  </si>
  <si>
    <t>2026000718</t>
  </si>
  <si>
    <t>B44927051</t>
  </si>
  <si>
    <t>396101</t>
  </si>
  <si>
    <t>558635</t>
  </si>
  <si>
    <t>2026000660</t>
  </si>
  <si>
    <t>399039</t>
  </si>
  <si>
    <t>562265</t>
  </si>
  <si>
    <t>2026000717</t>
  </si>
  <si>
    <t>B43871151</t>
  </si>
  <si>
    <t>40/5008727</t>
  </si>
  <si>
    <t>264235143</t>
  </si>
  <si>
    <t>2026000402</t>
  </si>
  <si>
    <t>40/5028573</t>
  </si>
  <si>
    <t>264077561</t>
  </si>
  <si>
    <t>2026000404</t>
  </si>
  <si>
    <t>B31776990</t>
  </si>
  <si>
    <t>40/5030757</t>
  </si>
  <si>
    <t>264235760</t>
  </si>
  <si>
    <t>2026000405</t>
  </si>
  <si>
    <t>B99346512</t>
  </si>
  <si>
    <t>40/5041095</t>
  </si>
  <si>
    <t>264077585</t>
  </si>
  <si>
    <t>2026000408</t>
  </si>
  <si>
    <t>40/5075900</t>
  </si>
  <si>
    <t>264238953</t>
  </si>
  <si>
    <t>2026000411</t>
  </si>
  <si>
    <t>40/5113119</t>
  </si>
  <si>
    <t>264351904</t>
  </si>
  <si>
    <t>2026000766</t>
  </si>
  <si>
    <t>B67530485</t>
  </si>
  <si>
    <t>40/5141913</t>
  </si>
  <si>
    <t>264244497</t>
  </si>
  <si>
    <t>2026000414</t>
  </si>
  <si>
    <t>B16549719</t>
  </si>
  <si>
    <t>40/5165576</t>
  </si>
  <si>
    <t>264343802</t>
  </si>
  <si>
    <t>2026000757</t>
  </si>
  <si>
    <t>B70981816</t>
  </si>
  <si>
    <t>400540</t>
  </si>
  <si>
    <t>564132</t>
  </si>
  <si>
    <t>2026000796</t>
  </si>
  <si>
    <t>B01805746</t>
  </si>
  <si>
    <t>401245</t>
  </si>
  <si>
    <t>565051</t>
  </si>
  <si>
    <t>2026000820</t>
  </si>
  <si>
    <t>46700898L</t>
  </si>
  <si>
    <t>46134725</t>
  </si>
  <si>
    <t>63205480</t>
  </si>
  <si>
    <t>2026000316</t>
  </si>
  <si>
    <t>08093 - Auto Protec</t>
  </si>
  <si>
    <t>35098092T</t>
  </si>
  <si>
    <t>48810045</t>
  </si>
  <si>
    <t>66208273</t>
  </si>
  <si>
    <t>2026000318</t>
  </si>
  <si>
    <t>08082 - MOTO FLEXIBLE</t>
  </si>
  <si>
    <t>A708371H</t>
  </si>
  <si>
    <t>5082917</t>
  </si>
  <si>
    <t>2026000650</t>
  </si>
  <si>
    <t>Hogar Andorra</t>
  </si>
  <si>
    <t>FIATC  Andorra</t>
  </si>
  <si>
    <t>550468692</t>
  </si>
  <si>
    <t>463603126</t>
  </si>
  <si>
    <t>2026000648</t>
  </si>
  <si>
    <t>Arag Subsidio</t>
  </si>
  <si>
    <t>Subsidio Carnet Puntos</t>
  </si>
  <si>
    <t>01919448</t>
  </si>
  <si>
    <t>6143255</t>
  </si>
  <si>
    <t>2026000649</t>
  </si>
  <si>
    <t>46216317W</t>
  </si>
  <si>
    <t>65/273269</t>
  </si>
  <si>
    <t>264240663</t>
  </si>
  <si>
    <t>2026000420</t>
  </si>
  <si>
    <t>B64066293</t>
  </si>
  <si>
    <t>65/322224</t>
  </si>
  <si>
    <t>264242376</t>
  </si>
  <si>
    <t>2026000422</t>
  </si>
  <si>
    <t>65/322374</t>
  </si>
  <si>
    <t>264242396</t>
  </si>
  <si>
    <t>2026000423</t>
  </si>
  <si>
    <t>38980152M</t>
  </si>
  <si>
    <t>65/322633</t>
  </si>
  <si>
    <t>264242493</t>
  </si>
  <si>
    <t>2026000424</t>
  </si>
  <si>
    <t>17947417B</t>
  </si>
  <si>
    <t>65/5196498</t>
  </si>
  <si>
    <t>264255671</t>
  </si>
  <si>
    <t>2026000427</t>
  </si>
  <si>
    <t>37263324N</t>
  </si>
  <si>
    <t>65/5232851</t>
  </si>
  <si>
    <t>264258715</t>
  </si>
  <si>
    <t>2026000430</t>
  </si>
  <si>
    <t>H43984830</t>
  </si>
  <si>
    <t>66/5013096</t>
  </si>
  <si>
    <t>264239120</t>
  </si>
  <si>
    <t>2026000431</t>
  </si>
  <si>
    <t>Multirriesgo Comunidad de Propietarios</t>
  </si>
  <si>
    <t>H72464522</t>
  </si>
  <si>
    <t>66/5022312</t>
  </si>
  <si>
    <t>264241431</t>
  </si>
  <si>
    <t>2026000433</t>
  </si>
  <si>
    <t>711056765</t>
  </si>
  <si>
    <t>462467544</t>
  </si>
  <si>
    <t>2026000542</t>
  </si>
  <si>
    <t>Asistencia Vehiculos</t>
  </si>
  <si>
    <t>711079325</t>
  </si>
  <si>
    <t>460556606</t>
  </si>
  <si>
    <t>2026000160</t>
  </si>
  <si>
    <t>Defensa Juridica 03</t>
  </si>
  <si>
    <t>Asistencia automoción</t>
  </si>
  <si>
    <t>7-64.000.874-J</t>
  </si>
  <si>
    <t>473322813-V</t>
  </si>
  <si>
    <t>2026000483</t>
  </si>
  <si>
    <t>Salud Reembolso Prime</t>
  </si>
  <si>
    <t>47916594G</t>
  </si>
  <si>
    <t>8-10.276.222-N</t>
  </si>
  <si>
    <t>473964220-X</t>
  </si>
  <si>
    <t>2026000523</t>
  </si>
  <si>
    <t>Multirriesgo Familia Hogar</t>
  </si>
  <si>
    <t>46338155D</t>
  </si>
  <si>
    <t>8-10.493.808-K</t>
  </si>
  <si>
    <t>473114846-L</t>
  </si>
  <si>
    <t>2026000362</t>
  </si>
  <si>
    <t>01480 - Embarcaciones de Recreo</t>
  </si>
  <si>
    <t>Embarcaciones de Recreo</t>
  </si>
  <si>
    <t>36970195H</t>
  </si>
  <si>
    <t>8-10.500.831-F</t>
  </si>
  <si>
    <t>473982625-Q</t>
  </si>
  <si>
    <t>2026000524</t>
  </si>
  <si>
    <t>20923958F</t>
  </si>
  <si>
    <t>8-10.695.062-H</t>
  </si>
  <si>
    <t>474003613-V</t>
  </si>
  <si>
    <t>2026000525</t>
  </si>
  <si>
    <t>B62545603</t>
  </si>
  <si>
    <t>8-10.706.074-Y</t>
  </si>
  <si>
    <t>473161496-N</t>
  </si>
  <si>
    <t>2026000471</t>
  </si>
  <si>
    <t>01688 - Pyme</t>
  </si>
  <si>
    <t>44513632F</t>
  </si>
  <si>
    <t>8-10.713.688-K</t>
  </si>
  <si>
    <t>474013115-W</t>
  </si>
  <si>
    <t>2026000526</t>
  </si>
  <si>
    <t>B16918211</t>
  </si>
  <si>
    <t>8-10.896.139-P</t>
  </si>
  <si>
    <t>474095206-F</t>
  </si>
  <si>
    <t>2026000573</t>
  </si>
  <si>
    <t>B98166358</t>
  </si>
  <si>
    <t>8-10.917.294-E</t>
  </si>
  <si>
    <t>474037290-N</t>
  </si>
  <si>
    <t>2026000527</t>
  </si>
  <si>
    <t>37675471E</t>
  </si>
  <si>
    <t>8-11.104.074-T</t>
  </si>
  <si>
    <t>474042504-C</t>
  </si>
  <si>
    <t>2026000528</t>
  </si>
  <si>
    <t>8-11.125.662-L</t>
  </si>
  <si>
    <t>473170654-Y</t>
  </si>
  <si>
    <t>2026000472</t>
  </si>
  <si>
    <t>8-11.135.311-E</t>
  </si>
  <si>
    <t>474060132-P</t>
  </si>
  <si>
    <t>2026000529</t>
  </si>
  <si>
    <t>37697366K</t>
  </si>
  <si>
    <t>8-11.305.522-L</t>
  </si>
  <si>
    <t>473448004-M</t>
  </si>
  <si>
    <t>2026000492</t>
  </si>
  <si>
    <t>B17004227</t>
  </si>
  <si>
    <t>8-21.347.171-F</t>
  </si>
  <si>
    <t>473180264-N</t>
  </si>
  <si>
    <t>2026000485</t>
  </si>
  <si>
    <t>01800 Automoviles</t>
  </si>
  <si>
    <t>38803608D</t>
  </si>
  <si>
    <t>8-22.754.961-C</t>
  </si>
  <si>
    <t>01802 - Vehiculos</t>
  </si>
  <si>
    <t>8-22.857.987-K</t>
  </si>
  <si>
    <t>473246914-D</t>
  </si>
  <si>
    <t>2026000487</t>
  </si>
  <si>
    <t>14934467S</t>
  </si>
  <si>
    <t>8-23.018.757-K</t>
  </si>
  <si>
    <t>473260517-Q</t>
  </si>
  <si>
    <t>2026000488</t>
  </si>
  <si>
    <t>01803 - Motos</t>
  </si>
  <si>
    <t>44981796Y</t>
  </si>
  <si>
    <t>8-23.018.992-V</t>
  </si>
  <si>
    <t>473260659-A</t>
  </si>
  <si>
    <t>2026000493</t>
  </si>
  <si>
    <t>46103590K</t>
  </si>
  <si>
    <t>8-23.019.430-G</t>
  </si>
  <si>
    <t>473260985-K</t>
  </si>
  <si>
    <t>2026000489</t>
  </si>
  <si>
    <t>47870166J</t>
  </si>
  <si>
    <t>8-23.192.723-N</t>
  </si>
  <si>
    <t>473281713-D</t>
  </si>
  <si>
    <t>2026000490</t>
  </si>
  <si>
    <t>Automoviles (1)</t>
  </si>
  <si>
    <t>8-3.946.025-A</t>
  </si>
  <si>
    <t>473132341-R</t>
  </si>
  <si>
    <t>2026000468</t>
  </si>
  <si>
    <t>01690 - Comunidades</t>
  </si>
  <si>
    <t>B64821754</t>
  </si>
  <si>
    <t>8-5.217.689-D</t>
  </si>
  <si>
    <t>473883012-Q</t>
  </si>
  <si>
    <t>2026000513</t>
  </si>
  <si>
    <t>40631902X</t>
  </si>
  <si>
    <t>8-5.556.319-Q</t>
  </si>
  <si>
    <t>473885968-V</t>
  </si>
  <si>
    <t>2026000514</t>
  </si>
  <si>
    <t>B59400234</t>
  </si>
  <si>
    <t>8-5.556.683-S</t>
  </si>
  <si>
    <t>473093171-H</t>
  </si>
  <si>
    <t>2026000361</t>
  </si>
  <si>
    <t>A59454272</t>
  </si>
  <si>
    <t>8-5.630.694-G</t>
  </si>
  <si>
    <t>473886596-F</t>
  </si>
  <si>
    <t>2026000515</t>
  </si>
  <si>
    <t>A08426496</t>
  </si>
  <si>
    <t>85/5038419</t>
  </si>
  <si>
    <t>264235852</t>
  </si>
  <si>
    <t>2026000439</t>
  </si>
  <si>
    <t>46350061R</t>
  </si>
  <si>
    <t>8-6.087.271-E</t>
  </si>
  <si>
    <t>472685128-H</t>
  </si>
  <si>
    <t>2026000275</t>
  </si>
  <si>
    <t>47732553D</t>
  </si>
  <si>
    <t>8-6.217.869-C</t>
  </si>
  <si>
    <t>473921463-X</t>
  </si>
  <si>
    <t>2026000516</t>
  </si>
  <si>
    <t>8-6.375.053-B</t>
  </si>
  <si>
    <t>473145439-M</t>
  </si>
  <si>
    <t>2026000470</t>
  </si>
  <si>
    <t>01663 Oficinas</t>
  </si>
  <si>
    <t>Oficinas</t>
  </si>
  <si>
    <t>B62850953</t>
  </si>
  <si>
    <t>8-6.478.553-B</t>
  </si>
  <si>
    <t>473930052-J</t>
  </si>
  <si>
    <t>2026000517</t>
  </si>
  <si>
    <t>8-6.478.554-N</t>
  </si>
  <si>
    <t>473930053-S</t>
  </si>
  <si>
    <t>2026000518</t>
  </si>
  <si>
    <t>46107600Y</t>
  </si>
  <si>
    <t>8-6.480.590-G</t>
  </si>
  <si>
    <t>473930800-N</t>
  </si>
  <si>
    <t>2026000519</t>
  </si>
  <si>
    <t>36788406K</t>
  </si>
  <si>
    <t>8-6.484.545-V</t>
  </si>
  <si>
    <t>473932101-B</t>
  </si>
  <si>
    <t>2026000520</t>
  </si>
  <si>
    <t>H61978383</t>
  </si>
  <si>
    <t>8-6.548.312-B</t>
  </si>
  <si>
    <t>473341740-C</t>
  </si>
  <si>
    <t>2026000491</t>
  </si>
  <si>
    <t>47655265R</t>
  </si>
  <si>
    <t>8-6.697.256-D</t>
  </si>
  <si>
    <t>473946519-A</t>
  </si>
  <si>
    <t>2026000521</t>
  </si>
  <si>
    <t>36246925Y</t>
  </si>
  <si>
    <t>8-6.876.823-A</t>
  </si>
  <si>
    <t>473949445-T</t>
  </si>
  <si>
    <t>2026000522</t>
  </si>
  <si>
    <t>86/5049443</t>
  </si>
  <si>
    <t>264347904</t>
  </si>
  <si>
    <t>2026000758</t>
  </si>
  <si>
    <t>0200 Maxi Hosteleria</t>
  </si>
  <si>
    <t>B10785590</t>
  </si>
  <si>
    <t>86/5049718</t>
  </si>
  <si>
    <t>264321229</t>
  </si>
  <si>
    <t>2026000595</t>
  </si>
  <si>
    <t>B21892682</t>
  </si>
  <si>
    <t>86/5049841</t>
  </si>
  <si>
    <t>264350571</t>
  </si>
  <si>
    <t>2026000765</t>
  </si>
  <si>
    <t>B78324415</t>
  </si>
  <si>
    <t>89/5722</t>
  </si>
  <si>
    <t>264231057</t>
  </si>
  <si>
    <t>2026000442</t>
  </si>
  <si>
    <t>09450744K</t>
  </si>
  <si>
    <t>89301057</t>
  </si>
  <si>
    <t>18137525</t>
  </si>
  <si>
    <t>2026000604</t>
  </si>
  <si>
    <t>08759 - COCHE360</t>
  </si>
  <si>
    <t>46056593J</t>
  </si>
  <si>
    <t>92/5060338</t>
  </si>
  <si>
    <t>264238433</t>
  </si>
  <si>
    <t>2026000445</t>
  </si>
  <si>
    <t>0100 - Multiriesgo Embarcaciones</t>
  </si>
  <si>
    <t>G58394289</t>
  </si>
  <si>
    <t>92/7966</t>
  </si>
  <si>
    <t>264231194</t>
  </si>
  <si>
    <t>2026000443</t>
  </si>
  <si>
    <t>R.C. General (Embarcaciones)</t>
  </si>
  <si>
    <t>B47428099</t>
  </si>
  <si>
    <t>93/5005253</t>
  </si>
  <si>
    <t>264352700</t>
  </si>
  <si>
    <t>2026000767</t>
  </si>
  <si>
    <t>264352780</t>
  </si>
  <si>
    <t>2026000768</t>
  </si>
  <si>
    <t>B24367971</t>
  </si>
  <si>
    <t>93/5005254</t>
  </si>
  <si>
    <t>264285517</t>
  </si>
  <si>
    <t>2026000457</t>
  </si>
  <si>
    <t>264285562</t>
  </si>
  <si>
    <t>2026000458</t>
  </si>
  <si>
    <t>264285605</t>
  </si>
  <si>
    <t>2026000459</t>
  </si>
  <si>
    <t>264285624</t>
  </si>
  <si>
    <t>2026000460</t>
  </si>
  <si>
    <t>264285641</t>
  </si>
  <si>
    <t>2026000461</t>
  </si>
  <si>
    <t>264352647</t>
  </si>
  <si>
    <t>2026000769</t>
  </si>
  <si>
    <t>B61484184</t>
  </si>
  <si>
    <t>93/5005256</t>
  </si>
  <si>
    <t>264285658</t>
  </si>
  <si>
    <t>2026000462</t>
  </si>
  <si>
    <t>CE87140-CE90685</t>
  </si>
  <si>
    <t>2601555</t>
  </si>
  <si>
    <t>2026000546</t>
  </si>
  <si>
    <t>2601557</t>
  </si>
  <si>
    <t>2026000547</t>
  </si>
  <si>
    <t>2601222</t>
  </si>
  <si>
    <t>2026000496</t>
  </si>
  <si>
    <t>2525443</t>
  </si>
  <si>
    <t>2026000288</t>
  </si>
  <si>
    <t>B05456934</t>
  </si>
  <si>
    <t>CE87594</t>
  </si>
  <si>
    <t>2602545</t>
  </si>
  <si>
    <t>2026000751</t>
  </si>
  <si>
    <t>2602546</t>
  </si>
  <si>
    <t>2026000752</t>
  </si>
  <si>
    <t>B99489080</t>
  </si>
  <si>
    <t>CE89304</t>
  </si>
  <si>
    <t>2602193</t>
  </si>
  <si>
    <t>2026000676</t>
  </si>
  <si>
    <t>B78769916</t>
  </si>
  <si>
    <t>CE91877</t>
  </si>
  <si>
    <t>2601474</t>
  </si>
  <si>
    <t>2026000532</t>
  </si>
  <si>
    <t>2601065</t>
  </si>
  <si>
    <t>2026000344</t>
  </si>
  <si>
    <t>B21762331</t>
  </si>
  <si>
    <t>CE92332-CE93394</t>
  </si>
  <si>
    <t>2602578</t>
  </si>
  <si>
    <t>2026000806</t>
  </si>
  <si>
    <t>2602579</t>
  </si>
  <si>
    <t>2026000807</t>
  </si>
  <si>
    <t>CE92332-CE93401</t>
  </si>
  <si>
    <t>2601226</t>
  </si>
  <si>
    <t>2026000504</t>
  </si>
  <si>
    <t>2601227</t>
  </si>
  <si>
    <t>2026000505</t>
  </si>
  <si>
    <t>CE92332-CE93403</t>
  </si>
  <si>
    <t>2601232</t>
  </si>
  <si>
    <t>2026000506</t>
  </si>
  <si>
    <t>2601233</t>
  </si>
  <si>
    <t>2026000507</t>
  </si>
  <si>
    <t>CE92332-CE93405</t>
  </si>
  <si>
    <t>2601234</t>
  </si>
  <si>
    <t>2026000508</t>
  </si>
  <si>
    <t>2601235</t>
  </si>
  <si>
    <t>2026000509</t>
  </si>
  <si>
    <t>2602086</t>
  </si>
  <si>
    <t>2026000643</t>
  </si>
  <si>
    <t>2602087</t>
  </si>
  <si>
    <t>2026000644</t>
  </si>
  <si>
    <t>B44685758</t>
  </si>
  <si>
    <t>CE92332-CE93416</t>
  </si>
  <si>
    <t>2601363</t>
  </si>
  <si>
    <t>2026000510</t>
  </si>
  <si>
    <t>2601364</t>
  </si>
  <si>
    <t>2026000511</t>
  </si>
  <si>
    <t>CE92332-CE93683</t>
  </si>
  <si>
    <t>2602580</t>
  </si>
  <si>
    <t>2026000815</t>
  </si>
  <si>
    <t>2602581</t>
  </si>
  <si>
    <t>2026000816</t>
  </si>
  <si>
    <t>B70373592</t>
  </si>
  <si>
    <t>CE92345</t>
  </si>
  <si>
    <t>2601225</t>
  </si>
  <si>
    <t>2026000476</t>
  </si>
  <si>
    <t>2600439</t>
  </si>
  <si>
    <t>2026000260</t>
  </si>
  <si>
    <t>2600421</t>
  </si>
  <si>
    <t>2026000231</t>
  </si>
  <si>
    <t>2600422</t>
  </si>
  <si>
    <t>2026000232</t>
  </si>
  <si>
    <t>2600423</t>
  </si>
  <si>
    <t>2026000233</t>
  </si>
  <si>
    <t>2601787</t>
  </si>
  <si>
    <t>2026000585</t>
  </si>
  <si>
    <t>2602229</t>
  </si>
  <si>
    <t>2026000678</t>
  </si>
  <si>
    <t>2602230</t>
  </si>
  <si>
    <t>2026000679</t>
  </si>
  <si>
    <t>2602194</t>
  </si>
  <si>
    <t>2026000680</t>
  </si>
  <si>
    <t>CE92565</t>
  </si>
  <si>
    <t>2602433</t>
  </si>
  <si>
    <t>2026000731</t>
  </si>
  <si>
    <t>2600791</t>
  </si>
  <si>
    <t>2026000322</t>
  </si>
  <si>
    <t>2600792</t>
  </si>
  <si>
    <t>2026000323</t>
  </si>
  <si>
    <t>2600242</t>
  </si>
  <si>
    <t>2026000237</t>
  </si>
  <si>
    <t>2600243</t>
  </si>
  <si>
    <t>2026000238</t>
  </si>
  <si>
    <t>2601918</t>
  </si>
  <si>
    <t>2026000591</t>
  </si>
  <si>
    <t>2600425</t>
  </si>
  <si>
    <t>2026000240</t>
  </si>
  <si>
    <t>B65893604</t>
  </si>
  <si>
    <t>CE92764</t>
  </si>
  <si>
    <t>2602435</t>
  </si>
  <si>
    <t>2026000732</t>
  </si>
  <si>
    <t>V67469189</t>
  </si>
  <si>
    <t>CE92765</t>
  </si>
  <si>
    <t>2602434</t>
  </si>
  <si>
    <t>2026000733</t>
  </si>
  <si>
    <t>2600431</t>
  </si>
  <si>
    <t>2026000243</t>
  </si>
  <si>
    <t>2600432</t>
  </si>
  <si>
    <t>2026000242</t>
  </si>
  <si>
    <t>CE92791</t>
  </si>
  <si>
    <t>2601095</t>
  </si>
  <si>
    <t>2026000477</t>
  </si>
  <si>
    <t>G67461855</t>
  </si>
  <si>
    <t>CE92796</t>
  </si>
  <si>
    <t>2600800</t>
  </si>
  <si>
    <t>2026000350</t>
  </si>
  <si>
    <t>CE92890</t>
  </si>
  <si>
    <t>2602335</t>
  </si>
  <si>
    <t>2026000734</t>
  </si>
  <si>
    <t>2602336</t>
  </si>
  <si>
    <t>2026000735</t>
  </si>
  <si>
    <t>CE92914</t>
  </si>
  <si>
    <t>2602058</t>
  </si>
  <si>
    <t>2026000608</t>
  </si>
  <si>
    <t>2602059</t>
  </si>
  <si>
    <t>2026000609</t>
  </si>
  <si>
    <t>2601667</t>
  </si>
  <si>
    <t>2026000551</t>
  </si>
  <si>
    <t>CE92979</t>
  </si>
  <si>
    <t>2601030</t>
  </si>
  <si>
    <t>2026000333</t>
  </si>
  <si>
    <t>2600078</t>
  </si>
  <si>
    <t>2026000188</t>
  </si>
  <si>
    <t>2600066</t>
  </si>
  <si>
    <t>2026000190</t>
  </si>
  <si>
    <t>2600067</t>
  </si>
  <si>
    <t>2026000191</t>
  </si>
  <si>
    <t>2601778</t>
  </si>
  <si>
    <t>2026000586</t>
  </si>
  <si>
    <t>2600069</t>
  </si>
  <si>
    <t>2026000193</t>
  </si>
  <si>
    <t>2600070</t>
  </si>
  <si>
    <t>2026000194</t>
  </si>
  <si>
    <t>2600073</t>
  </si>
  <si>
    <t>2026000196</t>
  </si>
  <si>
    <t>2600074</t>
  </si>
  <si>
    <t>2026000197</t>
  </si>
  <si>
    <t>2601230</t>
  </si>
  <si>
    <t>2026000479</t>
  </si>
  <si>
    <t>2601231</t>
  </si>
  <si>
    <t>2026000480</t>
  </si>
  <si>
    <t>2600262</t>
  </si>
  <si>
    <t>2026000248</t>
  </si>
  <si>
    <t>2600263</t>
  </si>
  <si>
    <t>2026000249</t>
  </si>
  <si>
    <t>2602189</t>
  </si>
  <si>
    <t>2026000681</t>
  </si>
  <si>
    <t>2600434</t>
  </si>
  <si>
    <t>2026000263</t>
  </si>
  <si>
    <t>2600435</t>
  </si>
  <si>
    <t>2026000264</t>
  </si>
  <si>
    <t>2600436</t>
  </si>
  <si>
    <t>2026000265</t>
  </si>
  <si>
    <t>2601786</t>
  </si>
  <si>
    <t>2026000587</t>
  </si>
  <si>
    <t>2525450</t>
  </si>
  <si>
    <t>2026000282</t>
  </si>
  <si>
    <t>2525452</t>
  </si>
  <si>
    <t>2026000286</t>
  </si>
  <si>
    <t>2600794</t>
  </si>
  <si>
    <t>2026000327</t>
  </si>
  <si>
    <t>2600795</t>
  </si>
  <si>
    <t>2026000328</t>
  </si>
  <si>
    <t>B72778657</t>
  </si>
  <si>
    <t>CE93358</t>
  </si>
  <si>
    <t>2601066</t>
  </si>
  <si>
    <t>2026000345</t>
  </si>
  <si>
    <t>B56266687</t>
  </si>
  <si>
    <t>CE93359</t>
  </si>
  <si>
    <t>2601097</t>
  </si>
  <si>
    <t>2026000346</t>
  </si>
  <si>
    <t>B22429971</t>
  </si>
  <si>
    <t>CE93360</t>
  </si>
  <si>
    <t>2601096</t>
  </si>
  <si>
    <t>2026000348</t>
  </si>
  <si>
    <t>2601425</t>
  </si>
  <si>
    <t>2026000537</t>
  </si>
  <si>
    <t>2601427</t>
  </si>
  <si>
    <t>2026000539</t>
  </si>
  <si>
    <t>2601476</t>
  </si>
  <si>
    <t>2026000541</t>
  </si>
  <si>
    <t>B56574494</t>
  </si>
  <si>
    <t>CE93449</t>
  </si>
  <si>
    <t>2602404</t>
  </si>
  <si>
    <t>2026000737</t>
  </si>
  <si>
    <t>2602405</t>
  </si>
  <si>
    <t>2026000736</t>
  </si>
  <si>
    <t>B55576631</t>
  </si>
  <si>
    <t>CE93455</t>
  </si>
  <si>
    <t>2602406</t>
  </si>
  <si>
    <t>2026000738</t>
  </si>
  <si>
    <t>2602001</t>
  </si>
  <si>
    <t>2026000613</t>
  </si>
  <si>
    <t>2602002</t>
  </si>
  <si>
    <t>2026000614</t>
  </si>
  <si>
    <t>CE93481</t>
  </si>
  <si>
    <t>2602004</t>
  </si>
  <si>
    <t>2026000617</t>
  </si>
  <si>
    <t>2602005</t>
  </si>
  <si>
    <t>2026000615</t>
  </si>
  <si>
    <t>2602006</t>
  </si>
  <si>
    <t>2026000616</t>
  </si>
  <si>
    <t>B18956045</t>
  </si>
  <si>
    <t>CE93538</t>
  </si>
  <si>
    <t>2602008</t>
  </si>
  <si>
    <t>2026000618</t>
  </si>
  <si>
    <t>B05458138</t>
  </si>
  <si>
    <t>CE93568</t>
  </si>
  <si>
    <t>2602100</t>
  </si>
  <si>
    <t>2026000645</t>
  </si>
  <si>
    <t>2602029</t>
  </si>
  <si>
    <t>2026000620</t>
  </si>
  <si>
    <t>2602030</t>
  </si>
  <si>
    <t>2026000621</t>
  </si>
  <si>
    <t>CE93575</t>
  </si>
  <si>
    <t>2602490</t>
  </si>
  <si>
    <t>2026000741</t>
  </si>
  <si>
    <t>2602504</t>
  </si>
  <si>
    <t>2026000740</t>
  </si>
  <si>
    <t>2602337</t>
  </si>
  <si>
    <t>2026000742</t>
  </si>
  <si>
    <t>CE93584</t>
  </si>
  <si>
    <t>2602488</t>
  </si>
  <si>
    <t>2026000739</t>
  </si>
  <si>
    <t>B88130125</t>
  </si>
  <si>
    <t>CE93602</t>
  </si>
  <si>
    <t>2602489</t>
  </si>
  <si>
    <t>2026000743</t>
  </si>
  <si>
    <t>CE93603</t>
  </si>
  <si>
    <t>2602549</t>
  </si>
  <si>
    <t>2026000753</t>
  </si>
  <si>
    <t>B44550390</t>
  </si>
  <si>
    <t>CE93614</t>
  </si>
  <si>
    <t>2602431</t>
  </si>
  <si>
    <t>2026000747</t>
  </si>
  <si>
    <t>V56617145</t>
  </si>
  <si>
    <t>CE93616</t>
  </si>
  <si>
    <t>2602432</t>
  </si>
  <si>
    <t>2026000749</t>
  </si>
  <si>
    <t>CE93619</t>
  </si>
  <si>
    <t>2602617</t>
  </si>
  <si>
    <t>2026000809</t>
  </si>
  <si>
    <t>CE93624</t>
  </si>
  <si>
    <t>2602550</t>
  </si>
  <si>
    <t>2026000754</t>
  </si>
  <si>
    <t>71476604X</t>
  </si>
  <si>
    <t>CE93639</t>
  </si>
  <si>
    <t>2602615</t>
  </si>
  <si>
    <t>2026000812</t>
  </si>
  <si>
    <t>2602616</t>
  </si>
  <si>
    <t>2026000811</t>
  </si>
  <si>
    <t>CE93675</t>
  </si>
  <si>
    <t>2602551</t>
  </si>
  <si>
    <t>2026000813</t>
  </si>
  <si>
    <t>CE93678</t>
  </si>
  <si>
    <t>2602552</t>
  </si>
  <si>
    <t>2026000814</t>
  </si>
  <si>
    <t>CE93684</t>
  </si>
  <si>
    <t>2602583</t>
  </si>
  <si>
    <t>2026000808</t>
  </si>
  <si>
    <t>B10804300</t>
  </si>
  <si>
    <t>ESBOP246429</t>
  </si>
  <si>
    <t>50K</t>
  </si>
  <si>
    <t>2026000163</t>
  </si>
  <si>
    <t>2026000164</t>
  </si>
  <si>
    <t>2026000686</t>
  </si>
  <si>
    <t>B87810867</t>
  </si>
  <si>
    <t>ESBOP247277</t>
  </si>
  <si>
    <t>2026000172</t>
  </si>
  <si>
    <t>ESBOP247279</t>
  </si>
  <si>
    <t>5OK</t>
  </si>
  <si>
    <t>2026000173</t>
  </si>
  <si>
    <t>ESBOP247280</t>
  </si>
  <si>
    <t>2026000174</t>
  </si>
  <si>
    <t>2026000175</t>
  </si>
  <si>
    <t>ESBOP247283</t>
  </si>
  <si>
    <t>2026000176</t>
  </si>
  <si>
    <t>B98593627</t>
  </si>
  <si>
    <t>ESBOP247850</t>
  </si>
  <si>
    <t>2026000165</t>
  </si>
  <si>
    <t>ESBOP247880</t>
  </si>
  <si>
    <t>2026000166</t>
  </si>
  <si>
    <t>2026000167</t>
  </si>
  <si>
    <t>2026000168</t>
  </si>
  <si>
    <t>2026000169</t>
  </si>
  <si>
    <t>2026000170</t>
  </si>
  <si>
    <t>2026000218</t>
  </si>
  <si>
    <t>2026000664</t>
  </si>
  <si>
    <t>2026000703</t>
  </si>
  <si>
    <t>2026000710</t>
  </si>
  <si>
    <t>2026000661</t>
  </si>
  <si>
    <t>B61978987</t>
  </si>
  <si>
    <t>ESBOP248692</t>
  </si>
  <si>
    <t>2026000171</t>
  </si>
  <si>
    <t>B98540255</t>
  </si>
  <si>
    <t>HD IP6 2056629</t>
  </si>
  <si>
    <t>2026000652</t>
  </si>
  <si>
    <t>B98366461</t>
  </si>
  <si>
    <t>HD IP6 2058335</t>
  </si>
  <si>
    <t>2026000654</t>
  </si>
  <si>
    <t>B87672788</t>
  </si>
  <si>
    <t>HDIP62115438</t>
  </si>
  <si>
    <t>2026000651</t>
  </si>
  <si>
    <t>37167136X</t>
  </si>
  <si>
    <t>JE-5-084000058</t>
  </si>
  <si>
    <t>5665745644</t>
  </si>
  <si>
    <t>2026000797</t>
  </si>
  <si>
    <t>65 -  Salud</t>
  </si>
  <si>
    <t>B61805552</t>
  </si>
  <si>
    <t>RCEXP-CA10350</t>
  </si>
  <si>
    <t>2602454</t>
  </si>
  <si>
    <t>2026000719</t>
  </si>
  <si>
    <t>B39496096</t>
  </si>
  <si>
    <t>RCEXP-CA10444</t>
  </si>
  <si>
    <t>2602422</t>
  </si>
  <si>
    <t>2026000720</t>
  </si>
  <si>
    <t>B09614017</t>
  </si>
  <si>
    <t>RCEXP-CA12244</t>
  </si>
  <si>
    <t>2601966</t>
  </si>
  <si>
    <t>2026000599</t>
  </si>
  <si>
    <t>B72399660</t>
  </si>
  <si>
    <t>RCEXP-CA14131</t>
  </si>
  <si>
    <t>2601204</t>
  </si>
  <si>
    <t>2026000473</t>
  </si>
  <si>
    <t>2602597</t>
  </si>
  <si>
    <t>2026000803</t>
  </si>
  <si>
    <t>B42902676</t>
  </si>
  <si>
    <t>RCEXP-CA14178</t>
  </si>
  <si>
    <t>2601837</t>
  </si>
  <si>
    <t>2026000578</t>
  </si>
  <si>
    <t>B56704265</t>
  </si>
  <si>
    <t>RCEXP-CA15634</t>
  </si>
  <si>
    <t>2602224</t>
  </si>
  <si>
    <t>2026000673</t>
  </si>
  <si>
    <t>B10829950</t>
  </si>
  <si>
    <t>RCEXP-CA15660</t>
  </si>
  <si>
    <t>2602415</t>
  </si>
  <si>
    <t>2026000721</t>
  </si>
  <si>
    <t>B97548986</t>
  </si>
  <si>
    <t>RCEXP-CA15661</t>
  </si>
  <si>
    <t>2602290</t>
  </si>
  <si>
    <t>2026000694</t>
  </si>
  <si>
    <t>CUENTA CON MEDIO CdS, S.L.</t>
  </si>
  <si>
    <t>V87534483</t>
  </si>
  <si>
    <t>RCEXP-CA15768</t>
  </si>
  <si>
    <t>2602319</t>
  </si>
  <si>
    <t>2026000695</t>
  </si>
  <si>
    <t>V44814002</t>
  </si>
  <si>
    <t>RCEXP-CA15769</t>
  </si>
  <si>
    <t>2602296</t>
  </si>
  <si>
    <t>2026000697</t>
  </si>
  <si>
    <t>V42575910</t>
  </si>
  <si>
    <t>RCEXP-CA15770</t>
  </si>
  <si>
    <t>2602318</t>
  </si>
  <si>
    <t>2026000696</t>
  </si>
  <si>
    <t>B55747513</t>
  </si>
  <si>
    <t>RCEXP-CA15823</t>
  </si>
  <si>
    <t>2602595</t>
  </si>
  <si>
    <t>2026000804</t>
  </si>
  <si>
    <t>B13675491</t>
  </si>
  <si>
    <t>RCEXP-CA15838</t>
  </si>
  <si>
    <t>2602073</t>
  </si>
  <si>
    <t>2026000637</t>
  </si>
  <si>
    <t>B72606304</t>
  </si>
  <si>
    <t>8-11.049.632-G</t>
  </si>
  <si>
    <t>466744833-T</t>
  </si>
  <si>
    <t>2025009637</t>
  </si>
  <si>
    <t>Anulado</t>
  </si>
  <si>
    <t>8-11.236.541-N</t>
  </si>
  <si>
    <t>467074625-A</t>
  </si>
  <si>
    <t>2025009680</t>
  </si>
  <si>
    <t>2025010036</t>
  </si>
  <si>
    <t>B14847503</t>
  </si>
  <si>
    <t>40/5031276</t>
  </si>
  <si>
    <t>250730784</t>
  </si>
  <si>
    <t>2025010777</t>
  </si>
  <si>
    <t>37685792Q</t>
  </si>
  <si>
    <t>8-6.264.545-K</t>
  </si>
  <si>
    <t>469618244-B</t>
  </si>
  <si>
    <t>2025011116</t>
  </si>
  <si>
    <t>21771182A</t>
  </si>
  <si>
    <t>8-10.871.559-Y</t>
  </si>
  <si>
    <t>469697966-L</t>
  </si>
  <si>
    <t>2025011119</t>
  </si>
  <si>
    <t>B60839313</t>
  </si>
  <si>
    <t>8-10.720.839-L</t>
  </si>
  <si>
    <t>470056065-Q</t>
  </si>
  <si>
    <t>2025011127</t>
  </si>
  <si>
    <t>056712807</t>
  </si>
  <si>
    <t>574009977</t>
  </si>
  <si>
    <t>2025011160</t>
  </si>
  <si>
    <t>043063615</t>
  </si>
  <si>
    <t>574627646</t>
  </si>
  <si>
    <t>2025011163</t>
  </si>
  <si>
    <t>Moto</t>
  </si>
  <si>
    <t>263671798</t>
  </si>
  <si>
    <t>2025011260</t>
  </si>
  <si>
    <t>16537208</t>
  </si>
  <si>
    <t>2025011550</t>
  </si>
  <si>
    <t>20/6816341</t>
  </si>
  <si>
    <t>263851965</t>
  </si>
  <si>
    <t>2025011699</t>
  </si>
  <si>
    <t>20/6851632</t>
  </si>
  <si>
    <t>263853710</t>
  </si>
  <si>
    <t>2025011709</t>
  </si>
  <si>
    <t>20/6851994</t>
  </si>
  <si>
    <t>263853724</t>
  </si>
  <si>
    <t>2025011710</t>
  </si>
  <si>
    <t>B82309980</t>
  </si>
  <si>
    <t>40/5065378</t>
  </si>
  <si>
    <t>263954846</t>
  </si>
  <si>
    <t>2025011742</t>
  </si>
  <si>
    <t>38809311P</t>
  </si>
  <si>
    <t>1/113815</t>
  </si>
  <si>
    <t>263755575</t>
  </si>
  <si>
    <t>2025011581</t>
  </si>
  <si>
    <t>94/5020096</t>
  </si>
  <si>
    <t>263949987</t>
  </si>
  <si>
    <t>2025011734</t>
  </si>
  <si>
    <t>94/5020097</t>
  </si>
  <si>
    <t>263949997</t>
  </si>
  <si>
    <t>2025011735</t>
  </si>
  <si>
    <t>94/5020098</t>
  </si>
  <si>
    <t>263950005</t>
  </si>
  <si>
    <t>2025011736</t>
  </si>
  <si>
    <t>94/5020099</t>
  </si>
  <si>
    <t>263950016</t>
  </si>
  <si>
    <t>2025011737</t>
  </si>
  <si>
    <t>Y1594817B</t>
  </si>
  <si>
    <t>29/3102607</t>
  </si>
  <si>
    <t>263820256</t>
  </si>
  <si>
    <t>2025011623</t>
  </si>
  <si>
    <t>AMB CORREDORIA D'ASSEGURANCES, SA</t>
  </si>
  <si>
    <t>20/7342233</t>
  </si>
  <si>
    <t>264014768</t>
  </si>
  <si>
    <t>2025011876</t>
  </si>
  <si>
    <t>20/7342247</t>
  </si>
  <si>
    <t>264014780</t>
  </si>
  <si>
    <t>2025011888</t>
  </si>
  <si>
    <t>20/7342274</t>
  </si>
  <si>
    <t>264014805</t>
  </si>
  <si>
    <t>2025011913</t>
  </si>
  <si>
    <t>20/7342276</t>
  </si>
  <si>
    <t>264014807</t>
  </si>
  <si>
    <t>2025011915</t>
  </si>
  <si>
    <t>20/7342293</t>
  </si>
  <si>
    <t>264014819</t>
  </si>
  <si>
    <t>2025011927</t>
  </si>
  <si>
    <t>20/7342516</t>
  </si>
  <si>
    <t>264015007</t>
  </si>
  <si>
    <t>2025012115</t>
  </si>
  <si>
    <t>20/7342518</t>
  </si>
  <si>
    <t>264015008</t>
  </si>
  <si>
    <t>2025012116</t>
  </si>
  <si>
    <t>20/7342519</t>
  </si>
  <si>
    <t>264015009</t>
  </si>
  <si>
    <t>2025012117</t>
  </si>
  <si>
    <t>20/7342530</t>
  </si>
  <si>
    <t>264015011</t>
  </si>
  <si>
    <t>2025012119</t>
  </si>
  <si>
    <t>20/7342551</t>
  </si>
  <si>
    <t>264015030</t>
  </si>
  <si>
    <t>2025012138</t>
  </si>
  <si>
    <t>20/7343182</t>
  </si>
  <si>
    <t>264015627</t>
  </si>
  <si>
    <t>2025012735</t>
  </si>
  <si>
    <t>20/7343218</t>
  </si>
  <si>
    <t>264015655</t>
  </si>
  <si>
    <t>2025012763</t>
  </si>
  <si>
    <t>20/7343226</t>
  </si>
  <si>
    <t>264015663</t>
  </si>
  <si>
    <t>2025012771</t>
  </si>
  <si>
    <t>20/7343503</t>
  </si>
  <si>
    <t>264015669</t>
  </si>
  <si>
    <t>2025012777</t>
  </si>
  <si>
    <t>471686335-B</t>
  </si>
  <si>
    <t>2025013077</t>
  </si>
  <si>
    <t>8-23.163.506-E</t>
  </si>
  <si>
    <t>472147346-S</t>
  </si>
  <si>
    <t>2025013079</t>
  </si>
  <si>
    <t>472166330-W</t>
  </si>
  <si>
    <t>2025013080</t>
  </si>
  <si>
    <t>8-10.897.465-T</t>
  </si>
  <si>
    <t>472239963-H</t>
  </si>
  <si>
    <t>2025013085</t>
  </si>
  <si>
    <t>048561343</t>
  </si>
  <si>
    <t>582723650</t>
  </si>
  <si>
    <t>2025013124</t>
  </si>
  <si>
    <t>472292030-P</t>
  </si>
  <si>
    <t>2025013116</t>
  </si>
  <si>
    <t>65103787</t>
  </si>
  <si>
    <t>2026000155</t>
  </si>
  <si>
    <t>73152079</t>
  </si>
  <si>
    <t>2026000153</t>
  </si>
  <si>
    <t>73152080</t>
  </si>
  <si>
    <t>2026000156</t>
  </si>
  <si>
    <t>74669453</t>
  </si>
  <si>
    <t>2026000154</t>
  </si>
  <si>
    <t>74669454</t>
  </si>
  <si>
    <t>2026000157</t>
  </si>
  <si>
    <t>93/5005542</t>
  </si>
  <si>
    <t>264049647</t>
  </si>
  <si>
    <t>2026000151</t>
  </si>
  <si>
    <t>110 2 Abono Transportsita</t>
  </si>
  <si>
    <t>52193547S</t>
  </si>
  <si>
    <t>057615196</t>
  </si>
  <si>
    <t>870401464</t>
  </si>
  <si>
    <t>2026000162</t>
  </si>
  <si>
    <t>2600081 Error</t>
  </si>
  <si>
    <t>2026000182</t>
  </si>
  <si>
    <t>2600055 Error</t>
  </si>
  <si>
    <t>2026000179</t>
  </si>
  <si>
    <t>878947583</t>
  </si>
  <si>
    <t>2026000253</t>
  </si>
  <si>
    <t>264084762</t>
  </si>
  <si>
    <t>2026000255</t>
  </si>
  <si>
    <t>40/5144723</t>
  </si>
  <si>
    <t>264087230</t>
  </si>
  <si>
    <t>2026000303</t>
  </si>
  <si>
    <t>59536930</t>
  </si>
  <si>
    <t>2026000319</t>
  </si>
  <si>
    <t>47933251</t>
  </si>
  <si>
    <t>63905488</t>
  </si>
  <si>
    <t>2026000317</t>
  </si>
  <si>
    <t>2 - Autos</t>
  </si>
  <si>
    <t>2600625 Error</t>
  </si>
  <si>
    <t>2026000320</t>
  </si>
  <si>
    <t>14/658348</t>
  </si>
  <si>
    <t>264089936</t>
  </si>
  <si>
    <t>2026000372</t>
  </si>
  <si>
    <t>20/6684851</t>
  </si>
  <si>
    <t>264245844</t>
  </si>
  <si>
    <t>2026000374</t>
  </si>
  <si>
    <t>264288317</t>
  </si>
  <si>
    <t>2026000466</t>
  </si>
  <si>
    <t>40/5021216</t>
  </si>
  <si>
    <t>264235528</t>
  </si>
  <si>
    <t>2026000403</t>
  </si>
  <si>
    <t>40/5030758</t>
  </si>
  <si>
    <t>264235769</t>
  </si>
  <si>
    <t>2026000406</t>
  </si>
  <si>
    <t>B70463047</t>
  </si>
  <si>
    <t>40/5065544</t>
  </si>
  <si>
    <t>264237477</t>
  </si>
  <si>
    <t>2026000410</t>
  </si>
  <si>
    <t>29162607X</t>
  </si>
  <si>
    <t>40/5091603</t>
  </si>
  <si>
    <t>264240315</t>
  </si>
  <si>
    <t>2026000448</t>
  </si>
  <si>
    <t>35069037V</t>
  </si>
  <si>
    <t>92/8553</t>
  </si>
  <si>
    <t>264081786</t>
  </si>
  <si>
    <t>2026000444</t>
  </si>
  <si>
    <t>Póliza Patrón</t>
  </si>
  <si>
    <t>264259991</t>
  </si>
  <si>
    <t>2026000455</t>
  </si>
  <si>
    <t>41747518B</t>
  </si>
  <si>
    <t>282678255</t>
  </si>
  <si>
    <t>202601829415</t>
  </si>
  <si>
    <t>2026000482</t>
  </si>
  <si>
    <t>1754 - ADESLAS PLENA PLUS</t>
  </si>
  <si>
    <t>264314396</t>
  </si>
  <si>
    <t>2026000530</t>
  </si>
  <si>
    <t>462519950</t>
  </si>
  <si>
    <t>2026000574</t>
  </si>
  <si>
    <t>264330590 Error</t>
  </si>
  <si>
    <t>2026000598</t>
  </si>
  <si>
    <t>264335123 Sustituido</t>
  </si>
  <si>
    <t>2026000634</t>
  </si>
  <si>
    <t>RC</t>
  </si>
  <si>
    <t>48755100</t>
  </si>
  <si>
    <t>93/5004798</t>
  </si>
  <si>
    <t>0130 - 4 - Volumen Facturación Anual</t>
  </si>
  <si>
    <t>00800 - Automoviles</t>
  </si>
  <si>
    <t>Todo Riesgo daños materiales</t>
  </si>
  <si>
    <t>Vida Colectivo</t>
  </si>
  <si>
    <t>B62561758</t>
  </si>
  <si>
    <t>Afianzamiento de Cantidades</t>
  </si>
  <si>
    <t>72491311A</t>
  </si>
  <si>
    <t>0150 - 6-Transportista Daños Facturación</t>
  </si>
  <si>
    <t>A08339103</t>
  </si>
  <si>
    <t>Garantía Decenal</t>
  </si>
  <si>
    <t>B66894619</t>
  </si>
  <si>
    <t>B61360806</t>
  </si>
  <si>
    <t>B86744489</t>
  </si>
  <si>
    <t>033031430</t>
  </si>
  <si>
    <t>Allianz Auto</t>
  </si>
  <si>
    <t>Vehiculos Industriales</t>
  </si>
  <si>
    <t>Vehiculos Industrial</t>
  </si>
  <si>
    <t>46212034C</t>
  </si>
  <si>
    <t>Flota</t>
  </si>
  <si>
    <t>Cyber Riesgo</t>
  </si>
  <si>
    <t>B72726052</t>
  </si>
  <si>
    <t>RCEXP-CA9420</t>
  </si>
  <si>
    <t>RCEXP-CA3560</t>
  </si>
  <si>
    <t>Plan de Pensiones Individual</t>
  </si>
  <si>
    <t>46240682X</t>
  </si>
  <si>
    <t>B40556953</t>
  </si>
  <si>
    <t>2028 Multirriesgo Empresarial</t>
  </si>
  <si>
    <t>043015262</t>
  </si>
  <si>
    <t>V56292196</t>
  </si>
  <si>
    <t>B67345520</t>
  </si>
  <si>
    <t>Multirriesgo del Comercio (1)</t>
  </si>
  <si>
    <t>20/7241189</t>
  </si>
  <si>
    <t>G58117847</t>
  </si>
  <si>
    <t>3560495</t>
  </si>
  <si>
    <t>01286 - Accidentes</t>
  </si>
  <si>
    <t>B01694280</t>
  </si>
  <si>
    <t>RCEXP-CA15658</t>
  </si>
  <si>
    <t>85/5057422</t>
  </si>
  <si>
    <t>20/7242348</t>
  </si>
  <si>
    <t>20/7242352</t>
  </si>
  <si>
    <t>01244 - Resp.Civil Construccion</t>
  </si>
  <si>
    <t>RC Construcción</t>
  </si>
  <si>
    <t>B64554777</t>
  </si>
  <si>
    <t>RCEXP-CA15670</t>
  </si>
  <si>
    <t>B66639246</t>
  </si>
  <si>
    <t>93/5004032</t>
  </si>
  <si>
    <t>46364874W</t>
  </si>
  <si>
    <t>8-23.326.597-F</t>
  </si>
  <si>
    <t>B56950801</t>
  </si>
  <si>
    <t>RCEXP-CA15674</t>
  </si>
  <si>
    <t>90841866</t>
  </si>
  <si>
    <t>Optima Plus</t>
  </si>
  <si>
    <t>24871474X</t>
  </si>
  <si>
    <t>90967997</t>
  </si>
  <si>
    <t>85043453</t>
  </si>
  <si>
    <t>08676 Empresa Flexible</t>
  </si>
  <si>
    <t>20/7160653</t>
  </si>
  <si>
    <t>20/7199885</t>
  </si>
  <si>
    <t>B-09824988</t>
  </si>
  <si>
    <t>B04927968</t>
  </si>
  <si>
    <t>RC Animales</t>
  </si>
  <si>
    <t>B86179074</t>
  </si>
  <si>
    <t>40/5058714</t>
  </si>
  <si>
    <t>40/5079443</t>
  </si>
  <si>
    <t>40/5113076</t>
  </si>
  <si>
    <t>B87519369</t>
  </si>
  <si>
    <t>40/5128926</t>
  </si>
  <si>
    <t>H07112634</t>
  </si>
  <si>
    <t>66/112020</t>
  </si>
  <si>
    <t>23856344P</t>
  </si>
  <si>
    <t>85/5062938</t>
  </si>
  <si>
    <t>94/5020054</t>
  </si>
  <si>
    <t>94/5020462</t>
  </si>
  <si>
    <t>94/5022109</t>
  </si>
  <si>
    <t>94/5022212</t>
  </si>
  <si>
    <t>94/5022240</t>
  </si>
  <si>
    <t>94/5022405</t>
  </si>
  <si>
    <t>94/5022536</t>
  </si>
  <si>
    <t>86/5037022</t>
  </si>
  <si>
    <t>46223486H</t>
  </si>
  <si>
    <t>1/122588</t>
  </si>
  <si>
    <t>1/144578</t>
  </si>
  <si>
    <t>43573274G</t>
  </si>
  <si>
    <t>1/152999</t>
  </si>
  <si>
    <t>43427157Y</t>
  </si>
  <si>
    <t>1/128445</t>
  </si>
  <si>
    <t>Subsidios</t>
  </si>
  <si>
    <t>89/272803</t>
  </si>
  <si>
    <t>92/5000685</t>
  </si>
  <si>
    <t>37743940C</t>
  </si>
  <si>
    <t>92/5003383</t>
  </si>
  <si>
    <t>93/28176</t>
  </si>
  <si>
    <t>B22156194</t>
  </si>
  <si>
    <t>93/29772</t>
  </si>
  <si>
    <t>B59331512</t>
  </si>
  <si>
    <t>85/112871</t>
  </si>
  <si>
    <t>B62678990</t>
  </si>
  <si>
    <t>86/5011101</t>
  </si>
  <si>
    <t>86/5021547</t>
  </si>
  <si>
    <t>93/5007419</t>
  </si>
  <si>
    <t>B88110820</t>
  </si>
  <si>
    <t>86/5041684</t>
  </si>
  <si>
    <t>H65098857</t>
  </si>
  <si>
    <t>66/5013117</t>
  </si>
  <si>
    <t>46308651Z</t>
  </si>
  <si>
    <t>65/273329</t>
  </si>
  <si>
    <t>36490386N</t>
  </si>
  <si>
    <t>65/273376</t>
  </si>
  <si>
    <t>B67411967</t>
  </si>
  <si>
    <t>40/5077177</t>
  </si>
  <si>
    <t>85/5066625</t>
  </si>
  <si>
    <t>46212453W</t>
  </si>
  <si>
    <t>65/308127</t>
  </si>
  <si>
    <t>37643484M</t>
  </si>
  <si>
    <t>65/322969</t>
  </si>
  <si>
    <t>74506121J</t>
  </si>
  <si>
    <t>65/323366</t>
  </si>
  <si>
    <t>17906803S</t>
  </si>
  <si>
    <t>65/323983</t>
  </si>
  <si>
    <t>46116926V</t>
  </si>
  <si>
    <t>65/338660</t>
  </si>
  <si>
    <t>46133873J</t>
  </si>
  <si>
    <t>65/339356</t>
  </si>
  <si>
    <t>13476997D</t>
  </si>
  <si>
    <t>65/339790</t>
  </si>
  <si>
    <t>46131316D</t>
  </si>
  <si>
    <t>65/339791</t>
  </si>
  <si>
    <t>38510135Q</t>
  </si>
  <si>
    <t>65-340915</t>
  </si>
  <si>
    <t>40/5133155</t>
  </si>
  <si>
    <t>65/5046499</t>
  </si>
  <si>
    <t>B09631748</t>
  </si>
  <si>
    <t>40/5133751</t>
  </si>
  <si>
    <t>65/5061514</t>
  </si>
  <si>
    <t>30/1007862</t>
  </si>
  <si>
    <t>B63194427</t>
  </si>
  <si>
    <t>65/5179586</t>
  </si>
  <si>
    <t>30/283575</t>
  </si>
  <si>
    <t>39140023A</t>
  </si>
  <si>
    <t>20/6419334</t>
  </si>
  <si>
    <t>20/6688668</t>
  </si>
  <si>
    <t>Camion Rigido</t>
  </si>
  <si>
    <t>Camión Rígido</t>
  </si>
  <si>
    <t>20/6764686</t>
  </si>
  <si>
    <t>20/6815043</t>
  </si>
  <si>
    <t>Semiremolques</t>
  </si>
  <si>
    <t>Semi-Remolque</t>
  </si>
  <si>
    <t>20/6815045</t>
  </si>
  <si>
    <t>20/6815047</t>
  </si>
  <si>
    <t>20/6815052</t>
  </si>
  <si>
    <t>20/6815053</t>
  </si>
  <si>
    <t>20/6815056</t>
  </si>
  <si>
    <t>20/6815061</t>
  </si>
  <si>
    <t>20/6815063</t>
  </si>
  <si>
    <t>20/6815064</t>
  </si>
  <si>
    <t>20/6815065</t>
  </si>
  <si>
    <t>20/6815066</t>
  </si>
  <si>
    <t>20/6815067</t>
  </si>
  <si>
    <t>20/6815068</t>
  </si>
  <si>
    <t>20/6815070</t>
  </si>
  <si>
    <t>20/6815071</t>
  </si>
  <si>
    <t>20/6815072</t>
  </si>
  <si>
    <t>20/6815073</t>
  </si>
  <si>
    <t>20/6815074</t>
  </si>
  <si>
    <t>20/6815076</t>
  </si>
  <si>
    <t>20/6815078</t>
  </si>
  <si>
    <t>20/6815079</t>
  </si>
  <si>
    <t>20/6815080</t>
  </si>
  <si>
    <t>20/6815081</t>
  </si>
  <si>
    <t>20/6815082</t>
  </si>
  <si>
    <t>20/6815084</t>
  </si>
  <si>
    <t>20/6815085</t>
  </si>
  <si>
    <t>20/6815086</t>
  </si>
  <si>
    <t>20/6815087</t>
  </si>
  <si>
    <t>20/6815088</t>
  </si>
  <si>
    <t>20/6815089</t>
  </si>
  <si>
    <t>20/6815090</t>
  </si>
  <si>
    <t>20/6815091</t>
  </si>
  <si>
    <t>20/6815092</t>
  </si>
  <si>
    <t>20/6815093</t>
  </si>
  <si>
    <t>20/6815094</t>
  </si>
  <si>
    <t>20/6815095</t>
  </si>
  <si>
    <t>20/6815096</t>
  </si>
  <si>
    <t>20/6815097</t>
  </si>
  <si>
    <t>20/6815100</t>
  </si>
  <si>
    <t>20/6815106</t>
  </si>
  <si>
    <t>Tractora</t>
  </si>
  <si>
    <t>20/6815108</t>
  </si>
  <si>
    <t>20/6815109</t>
  </si>
  <si>
    <t>20/6815111</t>
  </si>
  <si>
    <t>20/6815120</t>
  </si>
  <si>
    <t>20/6815139</t>
  </si>
  <si>
    <t>20/6815147</t>
  </si>
  <si>
    <t>20/6815148</t>
  </si>
  <si>
    <t>20/6815149</t>
  </si>
  <si>
    <t>20/6815150</t>
  </si>
  <si>
    <t>20/6815151</t>
  </si>
  <si>
    <t>20/6815153</t>
  </si>
  <si>
    <t>20/6815154</t>
  </si>
  <si>
    <t>20/6815155</t>
  </si>
  <si>
    <t>20/6815156</t>
  </si>
  <si>
    <t>20/6815157</t>
  </si>
  <si>
    <t>20/6815158</t>
  </si>
  <si>
    <t>20/6815159</t>
  </si>
  <si>
    <t>20/6815160</t>
  </si>
  <si>
    <t>20/6815162</t>
  </si>
  <si>
    <t>20/6815168</t>
  </si>
  <si>
    <t>20/6815171</t>
  </si>
  <si>
    <t>20/6815177</t>
  </si>
  <si>
    <t>20/6815180</t>
  </si>
  <si>
    <t>20/6815181</t>
  </si>
  <si>
    <t>20/6815186</t>
  </si>
  <si>
    <t>20/6815187</t>
  </si>
  <si>
    <t>09263323G</t>
  </si>
  <si>
    <t>20/6815188</t>
  </si>
  <si>
    <t>20/6817533</t>
  </si>
  <si>
    <t>20/6831793</t>
  </si>
  <si>
    <t>20/6835820</t>
  </si>
  <si>
    <t>20/6847756</t>
  </si>
  <si>
    <t>20/6852743</t>
  </si>
  <si>
    <t>47947697B</t>
  </si>
  <si>
    <t>20/6853017</t>
  </si>
  <si>
    <t>20/6856997</t>
  </si>
  <si>
    <t>20/6862987</t>
  </si>
  <si>
    <t>20/6864510</t>
  </si>
  <si>
    <t>20/6872507</t>
  </si>
  <si>
    <t>20/6872512</t>
  </si>
  <si>
    <t>20/6872583</t>
  </si>
  <si>
    <t>20/6875329</t>
  </si>
  <si>
    <t>20/6880841</t>
  </si>
  <si>
    <t>20/6880847</t>
  </si>
  <si>
    <t>20/6880848</t>
  </si>
  <si>
    <t>20/6880849</t>
  </si>
  <si>
    <t>20/6880850</t>
  </si>
  <si>
    <t>20/6892521</t>
  </si>
  <si>
    <t>20/6905609</t>
  </si>
  <si>
    <t>20/6905656</t>
  </si>
  <si>
    <t>20/6917985</t>
  </si>
  <si>
    <t>20/6925445</t>
  </si>
  <si>
    <t>20/6926276</t>
  </si>
  <si>
    <t>20/6926568</t>
  </si>
  <si>
    <t>20/6930439</t>
  </si>
  <si>
    <t>20/6931686</t>
  </si>
  <si>
    <t>20/6932710</t>
  </si>
  <si>
    <t>20/6933934</t>
  </si>
  <si>
    <t>20/6942900</t>
  </si>
  <si>
    <t>20/6954664</t>
  </si>
  <si>
    <t>20/6963558</t>
  </si>
  <si>
    <t>20/6996807</t>
  </si>
  <si>
    <t>20/6996808</t>
  </si>
  <si>
    <t>20/7038127</t>
  </si>
  <si>
    <t>20/7094190</t>
  </si>
  <si>
    <t>20/7095065</t>
  </si>
  <si>
    <t>20/7130478</t>
  </si>
  <si>
    <t>20/7130481</t>
  </si>
  <si>
    <t>20/7138426</t>
  </si>
  <si>
    <t>20/7152591</t>
  </si>
  <si>
    <t>46539158S</t>
  </si>
  <si>
    <t>73/1117231</t>
  </si>
  <si>
    <t>Gestisep</t>
  </si>
  <si>
    <t>Decesos</t>
  </si>
  <si>
    <t>V56801111</t>
  </si>
  <si>
    <t>Temporales Viaje</t>
  </si>
  <si>
    <t>3561339</t>
  </si>
  <si>
    <t>52197634P</t>
  </si>
  <si>
    <t>8-22.855.623-V</t>
  </si>
  <si>
    <t>43684674S</t>
  </si>
  <si>
    <t>8-22.869.868-Q</t>
  </si>
  <si>
    <t>8-5.650.330-K</t>
  </si>
  <si>
    <t>8-3.106.710-M</t>
  </si>
  <si>
    <t>B55225965</t>
  </si>
  <si>
    <t>8-6.496.879-R</t>
  </si>
  <si>
    <t>8-6.496.880-D</t>
  </si>
  <si>
    <t>8-6.689.584-Y</t>
  </si>
  <si>
    <t>37224585M</t>
  </si>
  <si>
    <t>8-6.690.302-H</t>
  </si>
  <si>
    <t>35073512F</t>
  </si>
  <si>
    <t>8-6.692.659-P</t>
  </si>
  <si>
    <t>46108287A</t>
  </si>
  <si>
    <t>8-6.706.713-B</t>
  </si>
  <si>
    <t>46117233W</t>
  </si>
  <si>
    <t>8-6.888.107-S</t>
  </si>
  <si>
    <t>46149233D</t>
  </si>
  <si>
    <t>8-6.904.742-P</t>
  </si>
  <si>
    <t>37707530L</t>
  </si>
  <si>
    <t>8-10.726.539-N</t>
  </si>
  <si>
    <t>43437666G</t>
  </si>
  <si>
    <t>8-6.496.130-L</t>
  </si>
  <si>
    <t>H64717028</t>
  </si>
  <si>
    <t>8-10.718.911-J</t>
  </si>
  <si>
    <t>B64729122</t>
  </si>
  <si>
    <t>8-10.720.063-H</t>
  </si>
  <si>
    <t>B11880416</t>
  </si>
  <si>
    <t>RCEXP-CA15720</t>
  </si>
  <si>
    <t>B98814502</t>
  </si>
  <si>
    <t>B43741891</t>
  </si>
  <si>
    <t>041598239</t>
  </si>
  <si>
    <t>G66874991</t>
  </si>
  <si>
    <t>3562041</t>
  </si>
  <si>
    <t>B83207290</t>
  </si>
  <si>
    <t>B65505257</t>
  </si>
  <si>
    <t>Political</t>
  </si>
  <si>
    <t>B56988678</t>
  </si>
  <si>
    <t>85390725</t>
  </si>
  <si>
    <t>08757 - RC GENERAL</t>
  </si>
  <si>
    <t>36985724E</t>
  </si>
  <si>
    <t>20/7250996</t>
  </si>
  <si>
    <t>550258156</t>
  </si>
  <si>
    <t>Defensa Juridica Empresas PJ</t>
  </si>
  <si>
    <t>Defensa Jurídica Empresa</t>
  </si>
  <si>
    <t>B64575905</t>
  </si>
  <si>
    <t>RCEXP-CA14308</t>
  </si>
  <si>
    <t>U98779614</t>
  </si>
  <si>
    <t>RCEXP-CA15792</t>
  </si>
  <si>
    <t>RAMON MONTE S.C.S, S.L.</t>
  </si>
  <si>
    <t>H63720221</t>
  </si>
  <si>
    <t>8-3.924.880-E</t>
  </si>
  <si>
    <t>G67486191</t>
  </si>
  <si>
    <t>RCEXP-CA12286</t>
  </si>
  <si>
    <t>B79422895</t>
  </si>
  <si>
    <t>G10712206</t>
  </si>
  <si>
    <t>CG-FA4336</t>
  </si>
  <si>
    <t>37724403X</t>
  </si>
  <si>
    <t>Equipos Electrónicos</t>
  </si>
  <si>
    <t>B16897415</t>
  </si>
  <si>
    <t>40/5134181</t>
  </si>
  <si>
    <t>20/7255061</t>
  </si>
  <si>
    <t>20/7255062</t>
  </si>
  <si>
    <t>92/5067270</t>
  </si>
  <si>
    <t>46234094T</t>
  </si>
  <si>
    <t>147436</t>
  </si>
  <si>
    <t>Optima</t>
  </si>
  <si>
    <t>AXA WINTERTHUR (Gracia)</t>
  </si>
  <si>
    <t>169692</t>
  </si>
  <si>
    <t>37629835H</t>
  </si>
  <si>
    <t>006000410263800069</t>
  </si>
  <si>
    <t>Mundisalud colectivos</t>
  </si>
  <si>
    <t>DKV (Gracia)</t>
  </si>
  <si>
    <t>441190</t>
  </si>
  <si>
    <t>36441656L</t>
  </si>
  <si>
    <t>64664</t>
  </si>
  <si>
    <t>39724187J</t>
  </si>
  <si>
    <t>437208</t>
  </si>
  <si>
    <t>Salud Premium Top</t>
  </si>
  <si>
    <t>ADESLAS  (Gracia)</t>
  </si>
  <si>
    <t>441195</t>
  </si>
  <si>
    <t>83040118</t>
  </si>
  <si>
    <t>SANITAS (Gracia)</t>
  </si>
  <si>
    <t>B23601446</t>
  </si>
  <si>
    <t>B42743476</t>
  </si>
  <si>
    <t>RCEXP-CA6887</t>
  </si>
  <si>
    <t>44819986R</t>
  </si>
  <si>
    <t>3563835</t>
  </si>
  <si>
    <t>89/12522</t>
  </si>
  <si>
    <t>B98151566</t>
  </si>
  <si>
    <t>30/1094820</t>
  </si>
  <si>
    <t>1 - Accidentes colectivo exteriorizacion</t>
  </si>
  <si>
    <t>35088203R</t>
  </si>
  <si>
    <t>65111081</t>
  </si>
  <si>
    <t>B61446837</t>
  </si>
  <si>
    <t>00941107</t>
  </si>
  <si>
    <t>28206607</t>
  </si>
  <si>
    <t>46113312Z</t>
  </si>
  <si>
    <t>043568391</t>
  </si>
  <si>
    <t>053773830</t>
  </si>
  <si>
    <t>053785328</t>
  </si>
  <si>
    <t>09693023H</t>
  </si>
  <si>
    <t>022030997</t>
  </si>
  <si>
    <t>38505376H</t>
  </si>
  <si>
    <t>036079850</t>
  </si>
  <si>
    <t>36972175C</t>
  </si>
  <si>
    <t>045402412</t>
  </si>
  <si>
    <t>40969060B</t>
  </si>
  <si>
    <t>045608334</t>
  </si>
  <si>
    <t>B63320956</t>
  </si>
  <si>
    <t>047021331</t>
  </si>
  <si>
    <t>47591051A</t>
  </si>
  <si>
    <t>053694933</t>
  </si>
  <si>
    <t>X8443422F</t>
  </si>
  <si>
    <t>054445595</t>
  </si>
  <si>
    <t>B98352248</t>
  </si>
  <si>
    <t>RCEXP-CA10898</t>
  </si>
  <si>
    <t>47968569E</t>
  </si>
  <si>
    <t>8-10.926.275-L</t>
  </si>
  <si>
    <t>48107272N</t>
  </si>
  <si>
    <t>8-10.926.297-Z</t>
  </si>
  <si>
    <t>Todo Riesgo construcción</t>
  </si>
  <si>
    <t>39835510Q</t>
  </si>
  <si>
    <t>8-10.927.780-F</t>
  </si>
  <si>
    <t>36930759G</t>
  </si>
  <si>
    <t>L1-G-620000419</t>
  </si>
  <si>
    <t>L1-G-620000418</t>
  </si>
  <si>
    <t>B99336547</t>
  </si>
  <si>
    <t>3565308</t>
  </si>
  <si>
    <t>40266181N</t>
  </si>
  <si>
    <t>041468594</t>
  </si>
  <si>
    <t>ESDRN300708</t>
  </si>
  <si>
    <t>B58566266</t>
  </si>
  <si>
    <t>65/5184146</t>
  </si>
  <si>
    <t>Vida Entera</t>
  </si>
  <si>
    <t>8-23.360.516-J</t>
  </si>
  <si>
    <t>Embarcaciones</t>
  </si>
  <si>
    <t>21666271H</t>
  </si>
  <si>
    <t>8-10.938.955-V</t>
  </si>
  <si>
    <t>055398310</t>
  </si>
  <si>
    <t>V67566323</t>
  </si>
  <si>
    <t>B32017964</t>
  </si>
  <si>
    <t>Responsabilidad Civil Construcción</t>
  </si>
  <si>
    <t>46229989N</t>
  </si>
  <si>
    <t>055452963</t>
  </si>
  <si>
    <t>055453795</t>
  </si>
  <si>
    <t>66/5026102</t>
  </si>
  <si>
    <t>B62187711</t>
  </si>
  <si>
    <t>B44687515</t>
  </si>
  <si>
    <t>B84194273</t>
  </si>
  <si>
    <t>20/7300721</t>
  </si>
  <si>
    <t>Averia Maquinaria</t>
  </si>
  <si>
    <t>20/7301082</t>
  </si>
  <si>
    <t>20/7305827</t>
  </si>
  <si>
    <t>047600650</t>
  </si>
  <si>
    <t>Animales</t>
  </si>
  <si>
    <t>Comunidades</t>
  </si>
  <si>
    <t>Defensa Jurídica Familiar</t>
  </si>
  <si>
    <t>B13722020</t>
  </si>
  <si>
    <t>U19775824</t>
  </si>
  <si>
    <t>RCEXP-CA16422</t>
  </si>
  <si>
    <t>B63538508</t>
  </si>
  <si>
    <t>B72627904</t>
  </si>
  <si>
    <t>Equipos</t>
  </si>
  <si>
    <t>30/474764</t>
  </si>
  <si>
    <t>B19993450</t>
  </si>
  <si>
    <t>V44779031</t>
  </si>
  <si>
    <t>8-10.450.510-R</t>
  </si>
  <si>
    <t>20/7326287</t>
  </si>
  <si>
    <t>20/7326288</t>
  </si>
  <si>
    <t>94/5026234</t>
  </si>
  <si>
    <t>94/5026235</t>
  </si>
  <si>
    <t>033939278</t>
  </si>
  <si>
    <t>034186871</t>
  </si>
  <si>
    <t>Instrumentos Musicales</t>
  </si>
  <si>
    <t>30/2021111</t>
  </si>
  <si>
    <t>40/285284</t>
  </si>
  <si>
    <t>Defensa, Reclamación</t>
  </si>
  <si>
    <t>Iluminacion y Sonido</t>
  </si>
  <si>
    <t>B75317800</t>
  </si>
  <si>
    <t>RCEXP-CA16809</t>
  </si>
  <si>
    <t>20/7332533</t>
  </si>
  <si>
    <t>20/7332538</t>
  </si>
  <si>
    <t>20/7332539</t>
  </si>
  <si>
    <t>V13718903</t>
  </si>
  <si>
    <t>20/7342092</t>
  </si>
  <si>
    <t>20/7342193</t>
  </si>
  <si>
    <t>20/7342195</t>
  </si>
  <si>
    <t>20/7342214</t>
  </si>
  <si>
    <t>20/7342215</t>
  </si>
  <si>
    <t>20/7342217</t>
  </si>
  <si>
    <t>20/7342364</t>
  </si>
  <si>
    <t>20/7342450</t>
  </si>
  <si>
    <t>20/7342454</t>
  </si>
  <si>
    <t>20/7342475</t>
  </si>
  <si>
    <t>20/7342478</t>
  </si>
  <si>
    <t>20/7342487</t>
  </si>
  <si>
    <t>20/7342646</t>
  </si>
  <si>
    <t>20/7342666</t>
  </si>
  <si>
    <t>20/7342667</t>
  </si>
  <si>
    <t>20/7342670</t>
  </si>
  <si>
    <t>20/7342671</t>
  </si>
  <si>
    <t>20/7342672</t>
  </si>
  <si>
    <t>20/7342673</t>
  </si>
  <si>
    <t>20/7342675</t>
  </si>
  <si>
    <t>20/7342677</t>
  </si>
  <si>
    <t>20/7342678</t>
  </si>
  <si>
    <t>20/7342679</t>
  </si>
  <si>
    <t>Y4497595M</t>
  </si>
  <si>
    <t>B19417310</t>
  </si>
  <si>
    <t>CE87595</t>
  </si>
  <si>
    <t>CE87589</t>
  </si>
  <si>
    <t>20/7360125</t>
  </si>
  <si>
    <t>20/7360127</t>
  </si>
  <si>
    <t>L1-G-620000935</t>
  </si>
  <si>
    <t>V44655835</t>
  </si>
  <si>
    <t>CE87585</t>
  </si>
  <si>
    <t>V 56617145</t>
  </si>
  <si>
    <t>CE87899</t>
  </si>
  <si>
    <t>B70416664</t>
  </si>
  <si>
    <t>B01717701</t>
  </si>
  <si>
    <t>RCEXP-CA17348</t>
  </si>
  <si>
    <t>B75331793</t>
  </si>
  <si>
    <t>B56863251</t>
  </si>
  <si>
    <t>RCEXP-CA17409</t>
  </si>
  <si>
    <t>B97734560</t>
  </si>
  <si>
    <t>RCEXP-CA17429</t>
  </si>
  <si>
    <t>B09944570</t>
  </si>
  <si>
    <t>RCEXP-CA17431</t>
  </si>
  <si>
    <t>G73698474</t>
  </si>
  <si>
    <t>ESB88181714</t>
  </si>
  <si>
    <t>20/9041538</t>
  </si>
  <si>
    <t>B75737197</t>
  </si>
  <si>
    <t>RCEXP-CA17531</t>
  </si>
  <si>
    <t>41539186J</t>
  </si>
  <si>
    <t>G43490309</t>
  </si>
  <si>
    <t>10872737Q</t>
  </si>
  <si>
    <t>3585769</t>
  </si>
  <si>
    <t>A84897230</t>
  </si>
  <si>
    <t>B67360073</t>
  </si>
  <si>
    <t>65/5234449</t>
  </si>
  <si>
    <t>RCEXP-CA17569</t>
  </si>
  <si>
    <t>V75522714</t>
  </si>
  <si>
    <t>P2816100H</t>
  </si>
  <si>
    <t>057068414</t>
  </si>
  <si>
    <t>B21761648</t>
  </si>
  <si>
    <t>CE89920</t>
  </si>
  <si>
    <t>B05448840</t>
  </si>
  <si>
    <t>20/7459755</t>
  </si>
  <si>
    <t>CE90253</t>
  </si>
  <si>
    <t>CE90254</t>
  </si>
  <si>
    <t>CE89637</t>
  </si>
  <si>
    <t>E70873898</t>
  </si>
  <si>
    <t>20/7485405</t>
  </si>
  <si>
    <t>050081337-00148</t>
  </si>
  <si>
    <t>CE91691</t>
  </si>
  <si>
    <t>20/7489419</t>
  </si>
  <si>
    <t>B67566323</t>
  </si>
  <si>
    <t>20/7493409</t>
  </si>
  <si>
    <t>20/7494780</t>
  </si>
  <si>
    <t>CE92175</t>
  </si>
  <si>
    <t>B19352434</t>
  </si>
  <si>
    <t>CE92530</t>
  </si>
  <si>
    <t>RCEXP-CA19005</t>
  </si>
  <si>
    <t>20/7506333</t>
  </si>
  <si>
    <t>30/1112596</t>
  </si>
  <si>
    <t>B85149490</t>
  </si>
  <si>
    <t>Decenal</t>
  </si>
  <si>
    <t>468158811-E</t>
  </si>
  <si>
    <t>2025010233</t>
  </si>
  <si>
    <t>16525914</t>
  </si>
  <si>
    <t>2025011560</t>
  </si>
  <si>
    <t>Ramo Araytor</t>
  </si>
  <si>
    <t>Grupo Ramo SABSEG</t>
  </si>
  <si>
    <t>Vehiculo Daños</t>
  </si>
  <si>
    <t>Licitación y Ejecución de Contratos</t>
  </si>
  <si>
    <t>Salud Particular</t>
  </si>
  <si>
    <t>Defensa, Reclamación y Fianzas Autos</t>
  </si>
  <si>
    <t>ComisionBruta/Correduria</t>
  </si>
  <si>
    <t>Supervisor</t>
  </si>
  <si>
    <t>ComisionSupervisor</t>
  </si>
  <si>
    <t>TecnicoEmisión</t>
  </si>
  <si>
    <t>OficinaGeograficaTecnico</t>
  </si>
  <si>
    <t>EspecialidadTecnico</t>
  </si>
  <si>
    <t>VentaCruzada</t>
  </si>
  <si>
    <t>AGRINALCAZAR</t>
  </si>
  <si>
    <t>Producción</t>
  </si>
  <si>
    <t>Matriz</t>
  </si>
  <si>
    <t>Anulación</t>
  </si>
  <si>
    <t>Agroseguro</t>
  </si>
  <si>
    <t>SI</t>
  </si>
  <si>
    <t>Reemplazo</t>
  </si>
  <si>
    <t>Emisión</t>
  </si>
  <si>
    <t>NO</t>
  </si>
  <si>
    <t>ARRENTA</t>
  </si>
  <si>
    <t>Traspaso</t>
  </si>
  <si>
    <t>Única</t>
  </si>
  <si>
    <t>Devuelto</t>
  </si>
  <si>
    <t>Devolución</t>
  </si>
  <si>
    <t>Accidentes Individual</t>
  </si>
  <si>
    <t>FUTURA</t>
  </si>
  <si>
    <t>Cobro</t>
  </si>
  <si>
    <t>Accidentes Seguro Obligatorio Viajeros</t>
  </si>
  <si>
    <t>INSURART</t>
  </si>
  <si>
    <t>Suplemento temporal de producción</t>
  </si>
  <si>
    <t>Anulado por la compañía</t>
  </si>
  <si>
    <t>MAURA</t>
  </si>
  <si>
    <t>Suplemento temporal de cartera</t>
  </si>
  <si>
    <t>Agroseguro Ganado</t>
  </si>
  <si>
    <t>SANCHEZ-VALENCIA</t>
  </si>
  <si>
    <t>Único producción</t>
  </si>
  <si>
    <t>Liquidado por la compañía</t>
  </si>
  <si>
    <t>Agroseguro Retirada</t>
  </si>
  <si>
    <t>SEGURETXE</t>
  </si>
  <si>
    <t>Único cartera</t>
  </si>
  <si>
    <t>Agroseguro Vida Ganado</t>
  </si>
  <si>
    <t>ZURRIOLA</t>
  </si>
  <si>
    <t>Detalle de colectivo</t>
  </si>
  <si>
    <t>Asistencia Viaje</t>
  </si>
  <si>
    <t>Suplemento modificación de producción</t>
  </si>
  <si>
    <t>Autos Cat. 1</t>
  </si>
  <si>
    <t>Suplemento modificación de cartera</t>
  </si>
  <si>
    <t>Autos Cat. 2</t>
  </si>
  <si>
    <t>Autos Cat. 3</t>
  </si>
  <si>
    <t>Otros</t>
  </si>
  <si>
    <t>Autos Flotas</t>
  </si>
  <si>
    <t>M&amp;A y Tax</t>
  </si>
  <si>
    <t>Avería Maquinaria</t>
  </si>
  <si>
    <t>Caución Afianzamiento</t>
  </si>
  <si>
    <t>Caución Construcción</t>
  </si>
  <si>
    <t>Caución Renovable</t>
  </si>
  <si>
    <t>Ciberriesgos</t>
  </si>
  <si>
    <t>Crime</t>
  </si>
  <si>
    <t>Defensa Jurídica</t>
  </si>
  <si>
    <t>Dependencia</t>
  </si>
  <si>
    <t>Factoring</t>
  </si>
  <si>
    <t>Fondos de Inversión (No Seguros)</t>
  </si>
  <si>
    <t>Impago de alquileres</t>
  </si>
  <si>
    <t>Incendios y Elementos Naturales</t>
  </si>
  <si>
    <t>Investment Management Insurance</t>
  </si>
  <si>
    <t>Litigation / Contingent Insurance</t>
  </si>
  <si>
    <t>Lucro Cesante / P.B.</t>
  </si>
  <si>
    <t>Multirriesgo Comercios</t>
  </si>
  <si>
    <t>Multirriesgo Industriales (PYME)</t>
  </si>
  <si>
    <t>Multirriesgo Oficinas y Despachos</t>
  </si>
  <si>
    <t>Otros Multirriesgo</t>
  </si>
  <si>
    <t>POSI / Salidas a Bolsa</t>
  </si>
  <si>
    <t>Responsabilidad Civil Administraciones Públicas</t>
  </si>
  <si>
    <t>Responsabilidad Civil Aviación</t>
  </si>
  <si>
    <t>Responsabilidad Civil Caza y/o Pesca</t>
  </si>
  <si>
    <t>Responsabilidad Civil D&amp;O</t>
  </si>
  <si>
    <t>Responsabilidad Civil Empresa</t>
  </si>
  <si>
    <t>Responsabilidad Civil Marítima</t>
  </si>
  <si>
    <t>Responsabilidad Civil Otros Riesgos</t>
  </si>
  <si>
    <t>Responsabilidad Civil Particular</t>
  </si>
  <si>
    <t>Responsabilidad Civil Riesgos Nucleares</t>
  </si>
  <si>
    <t>Robo u Otros</t>
  </si>
  <si>
    <t>Salud Colectivos</t>
  </si>
  <si>
    <t>Seguros Medioambientales</t>
  </si>
  <si>
    <t>Subsidio</t>
  </si>
  <si>
    <t>T.R. Daños Materiales Arte</t>
  </si>
  <si>
    <t>Tax Insurance Liability</t>
  </si>
  <si>
    <t>Todo Riesgo Construcción</t>
  </si>
  <si>
    <t>Todo Riesgo Industrial</t>
  </si>
  <si>
    <t>Todo Riesgo Montaje</t>
  </si>
  <si>
    <t>Transporte Mercancías Arte</t>
  </si>
  <si>
    <t>Transportes Cascos</t>
  </si>
  <si>
    <t>Transportes Mercancías</t>
  </si>
  <si>
    <t>Vehículos Clásicos</t>
  </si>
  <si>
    <t>Vida Ahorro Individual</t>
  </si>
  <si>
    <t>Vida Plan de Pensiones Colectivo</t>
  </si>
  <si>
    <t>Vida Plan de Pensiones Individual</t>
  </si>
  <si>
    <t>Vida Riesgo Individual</t>
  </si>
  <si>
    <t>W&amp;I</t>
  </si>
  <si>
    <t>3561339-3</t>
  </si>
  <si>
    <t>2026000821</t>
  </si>
  <si>
    <t>2602685</t>
  </si>
  <si>
    <t>2026000822</t>
  </si>
  <si>
    <t>2602745</t>
  </si>
  <si>
    <t>2026000823</t>
  </si>
  <si>
    <t>2602707</t>
  </si>
  <si>
    <t>2026000824</t>
  </si>
  <si>
    <t>CE93324</t>
  </si>
  <si>
    <t>2602686</t>
  </si>
  <si>
    <t>2026000825</t>
  </si>
  <si>
    <t>CE93626</t>
  </si>
  <si>
    <t>2602683</t>
  </si>
  <si>
    <t>2026000826</t>
  </si>
  <si>
    <t>2602684</t>
  </si>
  <si>
    <t>2026000827</t>
  </si>
  <si>
    <t>CE93674</t>
  </si>
  <si>
    <t>2602682</t>
  </si>
  <si>
    <t>2026000828</t>
  </si>
  <si>
    <t>CE93694</t>
  </si>
  <si>
    <t>2602688</t>
  </si>
  <si>
    <t>2026000829</t>
  </si>
  <si>
    <t>CE93685</t>
  </si>
  <si>
    <t>2602681</t>
  </si>
  <si>
    <t>2026000830</t>
  </si>
  <si>
    <t>CE93700</t>
  </si>
  <si>
    <t>2602687</t>
  </si>
  <si>
    <t>2026000831</t>
  </si>
  <si>
    <t>CE93686</t>
  </si>
  <si>
    <t>2602680</t>
  </si>
  <si>
    <t>2026000832</t>
  </si>
  <si>
    <t>CE93693</t>
  </si>
  <si>
    <t>2602678</t>
  </si>
  <si>
    <t>2026000833</t>
  </si>
  <si>
    <t>264353582</t>
  </si>
  <si>
    <t>2026000834</t>
  </si>
  <si>
    <t>264353993</t>
  </si>
  <si>
    <t>2026000835</t>
  </si>
  <si>
    <t>264353283</t>
  </si>
  <si>
    <t>2026000836</t>
  </si>
  <si>
    <t>05303501</t>
  </si>
  <si>
    <t>2026000837</t>
  </si>
  <si>
    <t>05436718</t>
  </si>
  <si>
    <t>2026000838</t>
  </si>
  <si>
    <t>05477299</t>
  </si>
  <si>
    <t>2026000839</t>
  </si>
  <si>
    <t>06706031</t>
  </si>
  <si>
    <t>2026000840</t>
  </si>
  <si>
    <t>09886851</t>
  </si>
  <si>
    <t>2026000841</t>
  </si>
  <si>
    <t>09970940</t>
  </si>
  <si>
    <t>2026000842</t>
  </si>
  <si>
    <t>10023719</t>
  </si>
  <si>
    <t>2026000843</t>
  </si>
  <si>
    <t>10373065</t>
  </si>
  <si>
    <t>2026000844</t>
  </si>
  <si>
    <t>10445193</t>
  </si>
  <si>
    <t>2026000845</t>
  </si>
  <si>
    <t>10465386</t>
  </si>
  <si>
    <t>2026000846</t>
  </si>
  <si>
    <t>10524833</t>
  </si>
  <si>
    <t>2026000847</t>
  </si>
  <si>
    <t>11228468</t>
  </si>
  <si>
    <t>2026000848</t>
  </si>
  <si>
    <t>11238781</t>
  </si>
  <si>
    <t>2026000849</t>
  </si>
  <si>
    <t>10783352</t>
  </si>
  <si>
    <t>2026000850</t>
  </si>
  <si>
    <t>8-23.684.684-F</t>
  </si>
  <si>
    <t>474314876-E</t>
  </si>
  <si>
    <t>2026000851</t>
  </si>
  <si>
    <t>152321998</t>
  </si>
  <si>
    <t>2026000852</t>
  </si>
  <si>
    <t>ZURICH (ANDORRA)</t>
  </si>
  <si>
    <t>152322178</t>
  </si>
  <si>
    <t>2026000853</t>
  </si>
  <si>
    <t>2602804</t>
  </si>
  <si>
    <t>2026000854</t>
  </si>
  <si>
    <t>2602805</t>
  </si>
  <si>
    <t>2026000855</t>
  </si>
  <si>
    <t>2602803</t>
  </si>
  <si>
    <t>2026000856</t>
  </si>
  <si>
    <t>2602801</t>
  </si>
  <si>
    <t>2026000857</t>
  </si>
  <si>
    <t>CE93722</t>
  </si>
  <si>
    <t>2602775</t>
  </si>
  <si>
    <t>2026000858</t>
  </si>
  <si>
    <t>CE93657</t>
  </si>
  <si>
    <t>2602776</t>
  </si>
  <si>
    <t>2026000859</t>
  </si>
  <si>
    <t>B19367739</t>
  </si>
  <si>
    <t>RCEXP-CA19326</t>
  </si>
  <si>
    <t>2602806</t>
  </si>
  <si>
    <t>2026000860</t>
  </si>
  <si>
    <t>CE93721</t>
  </si>
  <si>
    <t>2602774</t>
  </si>
  <si>
    <t>2026000861</t>
  </si>
  <si>
    <t>RCEXP-CA19324</t>
  </si>
  <si>
    <t>2602802</t>
  </si>
  <si>
    <t>2026000862</t>
  </si>
  <si>
    <t>8-23.685.512-F</t>
  </si>
  <si>
    <t>474330055-W</t>
  </si>
  <si>
    <t>2026000863</t>
  </si>
  <si>
    <t>474322857-E</t>
  </si>
  <si>
    <t>2026000864</t>
  </si>
  <si>
    <t>881723971</t>
  </si>
  <si>
    <t>2026000865</t>
  </si>
  <si>
    <t>264469717</t>
  </si>
  <si>
    <t>2026000866</t>
  </si>
  <si>
    <t>264477347</t>
  </si>
  <si>
    <t>2026000867</t>
  </si>
  <si>
    <t>264355330</t>
  </si>
  <si>
    <t>2026000868</t>
  </si>
  <si>
    <t>30/1114185</t>
  </si>
  <si>
    <t>264538063</t>
  </si>
  <si>
    <t>2026000869</t>
  </si>
  <si>
    <t>86/5049896</t>
  </si>
  <si>
    <t>264538128</t>
  </si>
  <si>
    <t>2026000870</t>
  </si>
  <si>
    <t>264501652</t>
  </si>
  <si>
    <t>2026000871</t>
  </si>
  <si>
    <t>264502762</t>
  </si>
  <si>
    <t>2026000872</t>
  </si>
  <si>
    <t>264503018</t>
  </si>
  <si>
    <t>2026000873</t>
  </si>
  <si>
    <t>264503320</t>
  </si>
  <si>
    <t>2026000874</t>
  </si>
  <si>
    <t>264503419</t>
  </si>
  <si>
    <t>2026000875</t>
  </si>
  <si>
    <t>264504101</t>
  </si>
  <si>
    <t>2026000876</t>
  </si>
  <si>
    <t>264429614</t>
  </si>
  <si>
    <t>2026000877</t>
  </si>
  <si>
    <t>264430175</t>
  </si>
  <si>
    <t>2026000878</t>
  </si>
  <si>
    <t>264431202</t>
  </si>
  <si>
    <t>2026000879</t>
  </si>
  <si>
    <t>264432660</t>
  </si>
  <si>
    <t>2026000880</t>
  </si>
  <si>
    <t>264433269</t>
  </si>
  <si>
    <t>2026000881</t>
  </si>
  <si>
    <t>264435036</t>
  </si>
  <si>
    <t>2026000882</t>
  </si>
  <si>
    <t>264436730</t>
  </si>
  <si>
    <t>2026000883</t>
  </si>
  <si>
    <t>264437013</t>
  </si>
  <si>
    <t>2026000884</t>
  </si>
  <si>
    <t>264356873</t>
  </si>
  <si>
    <t>2026000885</t>
  </si>
  <si>
    <t>264356874</t>
  </si>
  <si>
    <t>2026000886</t>
  </si>
  <si>
    <t>264356875</t>
  </si>
  <si>
    <t>2026000887</t>
  </si>
  <si>
    <t>264356876</t>
  </si>
  <si>
    <t>2026000888</t>
  </si>
  <si>
    <t>264517666</t>
  </si>
  <si>
    <t>2026000889</t>
  </si>
  <si>
    <t>264486766</t>
  </si>
  <si>
    <t>2026000890</t>
  </si>
  <si>
    <t>264524706</t>
  </si>
  <si>
    <t>2026000891</t>
  </si>
  <si>
    <t>264525309</t>
  </si>
  <si>
    <t>2026000892</t>
  </si>
  <si>
    <t>264525588</t>
  </si>
  <si>
    <t>2026000893</t>
  </si>
  <si>
    <t>264488670</t>
  </si>
  <si>
    <t>2026000894</t>
  </si>
  <si>
    <t>264526868</t>
  </si>
  <si>
    <t>2026000895</t>
  </si>
  <si>
    <t>264490037</t>
  </si>
  <si>
    <t>2026000896</t>
  </si>
  <si>
    <t>264530440</t>
  </si>
  <si>
    <t>2026000897</t>
  </si>
  <si>
    <t>264532691</t>
  </si>
  <si>
    <t>2026000898</t>
  </si>
  <si>
    <t>264533947</t>
  </si>
  <si>
    <t>2026000899</t>
  </si>
  <si>
    <t>264366044</t>
  </si>
  <si>
    <t>2026000900</t>
  </si>
  <si>
    <t>264369538</t>
  </si>
  <si>
    <t>2026000901</t>
  </si>
  <si>
    <t>264391758</t>
  </si>
  <si>
    <t>2026000902</t>
  </si>
  <si>
    <t>264391871</t>
  </si>
  <si>
    <t>2026000903</t>
  </si>
  <si>
    <t>264392652</t>
  </si>
  <si>
    <t>2026000904</t>
  </si>
  <si>
    <t>264392909</t>
  </si>
  <si>
    <t>2026000905</t>
  </si>
  <si>
    <t>264393435</t>
  </si>
  <si>
    <t>2026000906</t>
  </si>
  <si>
    <t>264393474</t>
  </si>
  <si>
    <t>2026000907</t>
  </si>
  <si>
    <t>264393531</t>
  </si>
  <si>
    <t>2026000908</t>
  </si>
  <si>
    <t>264393923</t>
  </si>
  <si>
    <t>2026000909</t>
  </si>
  <si>
    <t>264394430</t>
  </si>
  <si>
    <t>2026000910</t>
  </si>
  <si>
    <t>264395417</t>
  </si>
  <si>
    <t>2026000911</t>
  </si>
  <si>
    <t>264396243</t>
  </si>
  <si>
    <t>2026000912</t>
  </si>
  <si>
    <t>264401335</t>
  </si>
  <si>
    <t>2026000913</t>
  </si>
  <si>
    <t>264401938</t>
  </si>
  <si>
    <t>2026000914</t>
  </si>
  <si>
    <t>264422195</t>
  </si>
  <si>
    <t>2026000915</t>
  </si>
  <si>
    <t>264424240</t>
  </si>
  <si>
    <t>2026000916</t>
  </si>
  <si>
    <t>264474149</t>
  </si>
  <si>
    <t>2026000917</t>
  </si>
  <si>
    <t>264474043</t>
  </si>
  <si>
    <t>2026000918</t>
  </si>
  <si>
    <t>264473665</t>
  </si>
  <si>
    <t>2026000919</t>
  </si>
  <si>
    <t>264476559</t>
  </si>
  <si>
    <t>2026000920</t>
  </si>
  <si>
    <t>264343271</t>
  </si>
  <si>
    <t>2026000922</t>
  </si>
  <si>
    <t>264516093</t>
  </si>
  <si>
    <t>2026000923</t>
  </si>
  <si>
    <t>264343345</t>
  </si>
  <si>
    <t>2026000924</t>
  </si>
  <si>
    <t>264343552</t>
  </si>
  <si>
    <t>2026000925</t>
  </si>
  <si>
    <t>264520829</t>
  </si>
  <si>
    <t>2026000926</t>
  </si>
  <si>
    <t>264521334</t>
  </si>
  <si>
    <t>2026000927</t>
  </si>
  <si>
    <t>264379150</t>
  </si>
  <si>
    <t>2026000928</t>
  </si>
  <si>
    <t>264388080</t>
  </si>
  <si>
    <t>2026000929</t>
  </si>
  <si>
    <t>264516208</t>
  </si>
  <si>
    <t>2026000930</t>
  </si>
  <si>
    <t>264516224</t>
  </si>
  <si>
    <t>2026000931</t>
  </si>
  <si>
    <t>264517588</t>
  </si>
  <si>
    <t>2026000932</t>
  </si>
  <si>
    <t>264517862</t>
  </si>
  <si>
    <t>2026000933</t>
  </si>
  <si>
    <t>264517926</t>
  </si>
  <si>
    <t>2026000934</t>
  </si>
  <si>
    <t>264518099</t>
  </si>
  <si>
    <t>2026000935</t>
  </si>
  <si>
    <t>264518793</t>
  </si>
  <si>
    <t>2026000936</t>
  </si>
  <si>
    <t>264518857</t>
  </si>
  <si>
    <t>2026000937</t>
  </si>
  <si>
    <t>264519028</t>
  </si>
  <si>
    <t>2026000938</t>
  </si>
  <si>
    <t>264519032</t>
  </si>
  <si>
    <t>2026000939</t>
  </si>
  <si>
    <t>264519589</t>
  </si>
  <si>
    <t>2026000940</t>
  </si>
  <si>
    <t>264521837</t>
  </si>
  <si>
    <t>2026000941</t>
  </si>
  <si>
    <t>264531124</t>
  </si>
  <si>
    <t>2026000942</t>
  </si>
  <si>
    <t>264537033</t>
  </si>
  <si>
    <t>2026000943</t>
  </si>
  <si>
    <t>264345933</t>
  </si>
  <si>
    <t>2026000944</t>
  </si>
  <si>
    <t>264551307</t>
  </si>
  <si>
    <t>2026000945</t>
  </si>
  <si>
    <t>264397478</t>
  </si>
  <si>
    <t>2026000946</t>
  </si>
  <si>
    <t>264402798</t>
  </si>
  <si>
    <t>2026000947</t>
  </si>
  <si>
    <t>264409318</t>
  </si>
  <si>
    <t>2026000948</t>
  </si>
  <si>
    <t>264508440</t>
  </si>
  <si>
    <t>2026000949</t>
  </si>
  <si>
    <t>264514399</t>
  </si>
  <si>
    <t>2026000951</t>
  </si>
  <si>
    <t>264346892</t>
  </si>
  <si>
    <t>2026000952</t>
  </si>
  <si>
    <t>264516343</t>
  </si>
  <si>
    <t>2026000953</t>
  </si>
  <si>
    <t>264508659</t>
  </si>
  <si>
    <t>2026000954</t>
  </si>
  <si>
    <t>264509451</t>
  </si>
  <si>
    <t>2026000955</t>
  </si>
  <si>
    <t>264513638</t>
  </si>
  <si>
    <t>2026000957</t>
  </si>
  <si>
    <t>264562631</t>
  </si>
  <si>
    <t>2026000960</t>
  </si>
  <si>
    <t>264506881</t>
  </si>
  <si>
    <t>2026000961</t>
  </si>
  <si>
    <t>264507075</t>
  </si>
  <si>
    <t>2026000962</t>
  </si>
  <si>
    <t>264518898</t>
  </si>
  <si>
    <t>2026000963</t>
  </si>
  <si>
    <t>264507544</t>
  </si>
  <si>
    <t>2026000964</t>
  </si>
  <si>
    <t>264507656</t>
  </si>
  <si>
    <t>2026000965</t>
  </si>
  <si>
    <t>264508988</t>
  </si>
  <si>
    <t>2026000966</t>
  </si>
  <si>
    <t>264343128</t>
  </si>
  <si>
    <t>2026000967</t>
  </si>
  <si>
    <t>264513110</t>
  </si>
  <si>
    <t>2026000969</t>
  </si>
  <si>
    <t>264487548</t>
  </si>
  <si>
    <t>2026000970</t>
  </si>
  <si>
    <t>264487549</t>
  </si>
  <si>
    <t>2026000971</t>
  </si>
  <si>
    <t>264487550</t>
  </si>
  <si>
    <t>2026000972</t>
  </si>
  <si>
    <t>264487551</t>
  </si>
  <si>
    <t>2026000973</t>
  </si>
  <si>
    <t>264487552</t>
  </si>
  <si>
    <t>2026000974</t>
  </si>
  <si>
    <t>264487553</t>
  </si>
  <si>
    <t>2026000975</t>
  </si>
  <si>
    <t>264487554</t>
  </si>
  <si>
    <t>2026000976</t>
  </si>
  <si>
    <t>264487555</t>
  </si>
  <si>
    <t>2026000977</t>
  </si>
  <si>
    <t>264487556</t>
  </si>
  <si>
    <t>2026000978</t>
  </si>
  <si>
    <t>264487557</t>
  </si>
  <si>
    <t>2026000979</t>
  </si>
  <si>
    <t>264487558</t>
  </si>
  <si>
    <t>2026000980</t>
  </si>
  <si>
    <t>264487559</t>
  </si>
  <si>
    <t>2026000981</t>
  </si>
  <si>
    <t>264487560</t>
  </si>
  <si>
    <t>2026000982</t>
  </si>
  <si>
    <t>264487561</t>
  </si>
  <si>
    <t>2026000983</t>
  </si>
  <si>
    <t>264487562</t>
  </si>
  <si>
    <t>2026000984</t>
  </si>
  <si>
    <t>264487563</t>
  </si>
  <si>
    <t>2026000985</t>
  </si>
  <si>
    <t>264487564</t>
  </si>
  <si>
    <t>2026000986</t>
  </si>
  <si>
    <t>264487565</t>
  </si>
  <si>
    <t>2026000987</t>
  </si>
  <si>
    <t>264487566</t>
  </si>
  <si>
    <t>2026000988</t>
  </si>
  <si>
    <t>264487567</t>
  </si>
  <si>
    <t>2026000989</t>
  </si>
  <si>
    <t>264487568</t>
  </si>
  <si>
    <t>2026000990</t>
  </si>
  <si>
    <t>264487569</t>
  </si>
  <si>
    <t>2026000991</t>
  </si>
  <si>
    <t>264487570</t>
  </si>
  <si>
    <t>2026000992</t>
  </si>
  <si>
    <t>264487571</t>
  </si>
  <si>
    <t>2026000993</t>
  </si>
  <si>
    <t>264487572</t>
  </si>
  <si>
    <t>2026000994</t>
  </si>
  <si>
    <t>264487573</t>
  </si>
  <si>
    <t>2026000995</t>
  </si>
  <si>
    <t>264487574</t>
  </si>
  <si>
    <t>2026000996</t>
  </si>
  <si>
    <t>264487575</t>
  </si>
  <si>
    <t>2026000997</t>
  </si>
  <si>
    <t>264487576</t>
  </si>
  <si>
    <t>2026000998</t>
  </si>
  <si>
    <t>264487577</t>
  </si>
  <si>
    <t>2026000999</t>
  </si>
  <si>
    <t>264487578</t>
  </si>
  <si>
    <t>2026001000</t>
  </si>
  <si>
    <t>264487579</t>
  </si>
  <si>
    <t>2026001001</t>
  </si>
  <si>
    <t>264487580</t>
  </si>
  <si>
    <t>2026001002</t>
  </si>
  <si>
    <t>264487581</t>
  </si>
  <si>
    <t>2026001003</t>
  </si>
  <si>
    <t>264487582</t>
  </si>
  <si>
    <t>2026001004</t>
  </si>
  <si>
    <t>264487583</t>
  </si>
  <si>
    <t>2026001005</t>
  </si>
  <si>
    <t>264487584</t>
  </si>
  <si>
    <t>2026001006</t>
  </si>
  <si>
    <t>264487585</t>
  </si>
  <si>
    <t>2026001007</t>
  </si>
  <si>
    <t>264487586</t>
  </si>
  <si>
    <t>2026001008</t>
  </si>
  <si>
    <t>264487587</t>
  </si>
  <si>
    <t>2026001009</t>
  </si>
  <si>
    <t>264487588</t>
  </si>
  <si>
    <t>2026001010</t>
  </si>
  <si>
    <t>264487589</t>
  </si>
  <si>
    <t>2026001011</t>
  </si>
  <si>
    <t>264487590</t>
  </si>
  <si>
    <t>2026001012</t>
  </si>
  <si>
    <t>264487591</t>
  </si>
  <si>
    <t>2026001013</t>
  </si>
  <si>
    <t>264487592</t>
  </si>
  <si>
    <t>2026001014</t>
  </si>
  <si>
    <t>264487593</t>
  </si>
  <si>
    <t>2026001015</t>
  </si>
  <si>
    <t>264487594</t>
  </si>
  <si>
    <t>2026001016</t>
  </si>
  <si>
    <t>264487595</t>
  </si>
  <si>
    <t>2026001017</t>
  </si>
  <si>
    <t>264487596</t>
  </si>
  <si>
    <t>2026001018</t>
  </si>
  <si>
    <t>264487597</t>
  </si>
  <si>
    <t>2026001019</t>
  </si>
  <si>
    <t>264487598</t>
  </si>
  <si>
    <t>2026001020</t>
  </si>
  <si>
    <t>264487599</t>
  </si>
  <si>
    <t>2026001021</t>
  </si>
  <si>
    <t>264487600</t>
  </si>
  <si>
    <t>2026001022</t>
  </si>
  <si>
    <t>264487601</t>
  </si>
  <si>
    <t>2026001023</t>
  </si>
  <si>
    <t>264487602</t>
  </si>
  <si>
    <t>2026001024</t>
  </si>
  <si>
    <t>264487603</t>
  </si>
  <si>
    <t>2026001025</t>
  </si>
  <si>
    <t>264487604</t>
  </si>
  <si>
    <t>2026001026</t>
  </si>
  <si>
    <t>264487605</t>
  </si>
  <si>
    <t>2026001027</t>
  </si>
  <si>
    <t>264487606</t>
  </si>
  <si>
    <t>2026001028</t>
  </si>
  <si>
    <t>264487607</t>
  </si>
  <si>
    <t>2026001029</t>
  </si>
  <si>
    <t>264487608</t>
  </si>
  <si>
    <t>2026001030</t>
  </si>
  <si>
    <t>264487609</t>
  </si>
  <si>
    <t>2026001031</t>
  </si>
  <si>
    <t>264487610</t>
  </si>
  <si>
    <t>2026001032</t>
  </si>
  <si>
    <t>264487611</t>
  </si>
  <si>
    <t>2026001033</t>
  </si>
  <si>
    <t>264487612</t>
  </si>
  <si>
    <t>2026001034</t>
  </si>
  <si>
    <t>264487613</t>
  </si>
  <si>
    <t>2026001035</t>
  </si>
  <si>
    <t>264487614</t>
  </si>
  <si>
    <t>2026001036</t>
  </si>
  <si>
    <t>264487617</t>
  </si>
  <si>
    <t>2026001037</t>
  </si>
  <si>
    <t>264487632</t>
  </si>
  <si>
    <t>2026001038</t>
  </si>
  <si>
    <t>264487637</t>
  </si>
  <si>
    <t>2026001039</t>
  </si>
  <si>
    <t>264487768</t>
  </si>
  <si>
    <t>2026001040</t>
  </si>
  <si>
    <t>264487849</t>
  </si>
  <si>
    <t>2026001041</t>
  </si>
  <si>
    <t>264487930</t>
  </si>
  <si>
    <t>2026001042</t>
  </si>
  <si>
    <t>264487977</t>
  </si>
  <si>
    <t>2026001043</t>
  </si>
  <si>
    <t>264488013</t>
  </si>
  <si>
    <t>2026001044</t>
  </si>
  <si>
    <t>264488014</t>
  </si>
  <si>
    <t>2026001045</t>
  </si>
  <si>
    <t>264488015</t>
  </si>
  <si>
    <t>2026001046</t>
  </si>
  <si>
    <t>264488029</t>
  </si>
  <si>
    <t>2026001047</t>
  </si>
  <si>
    <t>264488057</t>
  </si>
  <si>
    <t>2026001048</t>
  </si>
  <si>
    <t>264488058</t>
  </si>
  <si>
    <t>2026001049</t>
  </si>
  <si>
    <t>264488059</t>
  </si>
  <si>
    <t>2026001050</t>
  </si>
  <si>
    <t>264488060</t>
  </si>
  <si>
    <t>2026001051</t>
  </si>
  <si>
    <t>264488061</t>
  </si>
  <si>
    <t>2026001052</t>
  </si>
  <si>
    <t>264488155</t>
  </si>
  <si>
    <t>2026001053</t>
  </si>
  <si>
    <t>264488192</t>
  </si>
  <si>
    <t>2026001054</t>
  </si>
  <si>
    <t>264488193</t>
  </si>
  <si>
    <t>2026001055</t>
  </si>
  <si>
    <t>264488323</t>
  </si>
  <si>
    <t>2026001056</t>
  </si>
  <si>
    <t>264488362</t>
  </si>
  <si>
    <t>2026001057</t>
  </si>
  <si>
    <t>264488371</t>
  </si>
  <si>
    <t>2026001058</t>
  </si>
  <si>
    <t>264488372</t>
  </si>
  <si>
    <t>2026001059</t>
  </si>
  <si>
    <t>264488474</t>
  </si>
  <si>
    <t>2026001060</t>
  </si>
  <si>
    <t>264488591</t>
  </si>
  <si>
    <t>2026001061</t>
  </si>
  <si>
    <t>264488924</t>
  </si>
  <si>
    <t>2026001062</t>
  </si>
  <si>
    <t>264488963</t>
  </si>
  <si>
    <t>2026001063</t>
  </si>
  <si>
    <t>264488994</t>
  </si>
  <si>
    <t>2026001064</t>
  </si>
  <si>
    <t>264489223</t>
  </si>
  <si>
    <t>2026001065</t>
  </si>
  <si>
    <t>264489224</t>
  </si>
  <si>
    <t>2026001066</t>
  </si>
  <si>
    <t>264489858</t>
  </si>
  <si>
    <t>2026001067</t>
  </si>
  <si>
    <t>264490038</t>
  </si>
  <si>
    <t>2026001068</t>
  </si>
  <si>
    <t>264490451</t>
  </si>
  <si>
    <t>2026001069</t>
  </si>
  <si>
    <t>264490452</t>
  </si>
  <si>
    <t>2026001070</t>
  </si>
  <si>
    <t>264490544</t>
  </si>
  <si>
    <t>2026001071</t>
  </si>
  <si>
    <t>264491115</t>
  </si>
  <si>
    <t>2026001072</t>
  </si>
  <si>
    <t>264491297</t>
  </si>
  <si>
    <t>2026001073</t>
  </si>
  <si>
    <t>264491666</t>
  </si>
  <si>
    <t>2026001074</t>
  </si>
  <si>
    <t>264493222</t>
  </si>
  <si>
    <t>2026001075</t>
  </si>
  <si>
    <t>264493251</t>
  </si>
  <si>
    <t>2026001076</t>
  </si>
  <si>
    <t>264493253</t>
  </si>
  <si>
    <t>2026001077</t>
  </si>
  <si>
    <t>264493900</t>
  </si>
  <si>
    <t>2026001078</t>
  </si>
  <si>
    <t>264493901</t>
  </si>
  <si>
    <t>2026001079</t>
  </si>
  <si>
    <t>264495187</t>
  </si>
  <si>
    <t>2026001080</t>
  </si>
  <si>
    <t>264495203</t>
  </si>
  <si>
    <t>2026001081</t>
  </si>
  <si>
    <t>264495375</t>
  </si>
  <si>
    <t>2026001082</t>
  </si>
  <si>
    <t>264496159</t>
  </si>
  <si>
    <t>2026001083</t>
  </si>
  <si>
    <t>264496160</t>
  </si>
  <si>
    <t>2026001084</t>
  </si>
  <si>
    <t>264496413</t>
  </si>
  <si>
    <t>2026001085</t>
  </si>
  <si>
    <t>264496414</t>
  </si>
  <si>
    <t>2026001086</t>
  </si>
  <si>
    <t>264496415</t>
  </si>
  <si>
    <t>2026001087</t>
  </si>
  <si>
    <t>264497397</t>
  </si>
  <si>
    <t>2026001088</t>
  </si>
  <si>
    <t>264497398</t>
  </si>
  <si>
    <t>2026001089</t>
  </si>
  <si>
    <t>264343445</t>
  </si>
  <si>
    <t>2026001090</t>
  </si>
  <si>
    <t>264348164</t>
  </si>
  <si>
    <t>2026001091</t>
  </si>
  <si>
    <t>264348260</t>
  </si>
  <si>
    <t>2026001092</t>
  </si>
  <si>
    <t>264348265</t>
  </si>
  <si>
    <t>2026001093</t>
  </si>
  <si>
    <t>264348294</t>
  </si>
  <si>
    <t>2026001094</t>
  </si>
  <si>
    <t>264348295</t>
  </si>
  <si>
    <t>2026001095</t>
  </si>
  <si>
    <t>264348296</t>
  </si>
  <si>
    <t>2026001096</t>
  </si>
  <si>
    <t>264348297</t>
  </si>
  <si>
    <t>2026001097</t>
  </si>
  <si>
    <t>264348298</t>
  </si>
  <si>
    <t>2026001098</t>
  </si>
  <si>
    <t>264348500</t>
  </si>
  <si>
    <t>2026001099</t>
  </si>
  <si>
    <t>264348501</t>
  </si>
  <si>
    <t>2026001100</t>
  </si>
  <si>
    <t>264563253</t>
  </si>
  <si>
    <t>2026001101</t>
  </si>
  <si>
    <t>264563119</t>
  </si>
  <si>
    <t>2026001102</t>
  </si>
  <si>
    <t>264563123</t>
  </si>
  <si>
    <t>2026001103</t>
  </si>
  <si>
    <t>264563124</t>
  </si>
  <si>
    <t>2026001104</t>
  </si>
  <si>
    <t>264563120</t>
  </si>
  <si>
    <t>2026001105</t>
  </si>
  <si>
    <t>264563121</t>
  </si>
  <si>
    <t>2026001106</t>
  </si>
  <si>
    <t>264563122</t>
  </si>
  <si>
    <t>2026001107</t>
  </si>
  <si>
    <t>264563125</t>
  </si>
  <si>
    <t>2026001108</t>
  </si>
  <si>
    <t>264563126</t>
  </si>
  <si>
    <t>2026001109</t>
  </si>
  <si>
    <t>264563127</t>
  </si>
  <si>
    <t>2026001110</t>
  </si>
  <si>
    <t>264563128</t>
  </si>
  <si>
    <t>2026001111</t>
  </si>
  <si>
    <t>264563129</t>
  </si>
  <si>
    <t>2026001112</t>
  </si>
  <si>
    <t>264563130</t>
  </si>
  <si>
    <t>2026001113</t>
  </si>
  <si>
    <t>264563131</t>
  </si>
  <si>
    <t>2026001114</t>
  </si>
  <si>
    <t>264563132</t>
  </si>
  <si>
    <t>2026001115</t>
  </si>
  <si>
    <t>264563133</t>
  </si>
  <si>
    <t>2026001116</t>
  </si>
  <si>
    <t>264563134</t>
  </si>
  <si>
    <t>2026001117</t>
  </si>
  <si>
    <t>264563135</t>
  </si>
  <si>
    <t>2026001118</t>
  </si>
  <si>
    <t>264563136</t>
  </si>
  <si>
    <t>2026001119</t>
  </si>
  <si>
    <t>264563137</t>
  </si>
  <si>
    <t>2026001120</t>
  </si>
  <si>
    <t>264563138</t>
  </si>
  <si>
    <t>2026001121</t>
  </si>
  <si>
    <t>264563139</t>
  </si>
  <si>
    <t>2026001122</t>
  </si>
  <si>
    <t>264563140</t>
  </si>
  <si>
    <t>2026001123</t>
  </si>
  <si>
    <t>79948886</t>
  </si>
  <si>
    <t>2026001124</t>
  </si>
  <si>
    <t>79948885</t>
  </si>
  <si>
    <t>2026001125</t>
  </si>
  <si>
    <t>474551977-C</t>
  </si>
  <si>
    <t>2026001126</t>
  </si>
  <si>
    <t>3585769-2</t>
  </si>
  <si>
    <t>2026001127</t>
  </si>
  <si>
    <t>2602892</t>
  </si>
  <si>
    <t>2026001128</t>
  </si>
  <si>
    <t>2602948</t>
  </si>
  <si>
    <t>2026001129</t>
  </si>
  <si>
    <t>B13935382</t>
  </si>
  <si>
    <t>RCEXP-CA19339</t>
  </si>
  <si>
    <t>2602921</t>
  </si>
  <si>
    <t>2026001130</t>
  </si>
  <si>
    <t>CE93786</t>
  </si>
  <si>
    <t>2602962</t>
  </si>
  <si>
    <t>2026001131</t>
  </si>
  <si>
    <t>3562041-3</t>
  </si>
  <si>
    <t>2026001133</t>
  </si>
  <si>
    <t>B44744167</t>
  </si>
  <si>
    <t>RCEXP-CA19333</t>
  </si>
  <si>
    <t>2602852</t>
  </si>
  <si>
    <t>2026001134</t>
  </si>
  <si>
    <t>B10737856</t>
  </si>
  <si>
    <t>RCEXP-CA19335</t>
  </si>
  <si>
    <t>2602853</t>
  </si>
  <si>
    <t>2026001135</t>
  </si>
  <si>
    <t>HDIP63615406</t>
  </si>
  <si>
    <t>2026001136</t>
  </si>
  <si>
    <t>82568282</t>
  </si>
  <si>
    <t>1458280</t>
  </si>
  <si>
    <t>2026001137</t>
  </si>
  <si>
    <t>562133</t>
  </si>
  <si>
    <t>2026001138</t>
  </si>
  <si>
    <t>050081337-00164</t>
  </si>
  <si>
    <t>882020807</t>
  </si>
  <si>
    <t>2026001139</t>
  </si>
  <si>
    <t>20/9095377</t>
  </si>
  <si>
    <t>264566851</t>
  </si>
  <si>
    <t>2026001140</t>
  </si>
  <si>
    <t>40/5166823</t>
  </si>
  <si>
    <t>264566233</t>
  </si>
  <si>
    <t>2026001141</t>
  </si>
  <si>
    <t>52277461W</t>
  </si>
  <si>
    <t>89/5065148</t>
  </si>
  <si>
    <t>264568720</t>
  </si>
  <si>
    <t>2026001142</t>
  </si>
  <si>
    <t>Seguro Viaje Salud</t>
  </si>
  <si>
    <t>93/5009301</t>
  </si>
  <si>
    <t>264564117</t>
  </si>
  <si>
    <t>2026001143</t>
  </si>
  <si>
    <t>264564268</t>
  </si>
  <si>
    <t>2026001144</t>
  </si>
  <si>
    <t>35051959M</t>
  </si>
  <si>
    <t>89322527</t>
  </si>
  <si>
    <t>468029</t>
  </si>
  <si>
    <t>2026001145</t>
  </si>
  <si>
    <t>202602300273</t>
  </si>
  <si>
    <t>2026001156</t>
  </si>
  <si>
    <t>202602643005</t>
  </si>
  <si>
    <t>2026001157</t>
  </si>
  <si>
    <t>202603080193</t>
  </si>
  <si>
    <t>2026001158</t>
  </si>
  <si>
    <t>202602588301</t>
  </si>
  <si>
    <t>2026001159</t>
  </si>
  <si>
    <t>202602335963</t>
  </si>
  <si>
    <t>2026001160</t>
  </si>
  <si>
    <t>202602298464</t>
  </si>
  <si>
    <t>2026001161</t>
  </si>
  <si>
    <t>202602996941</t>
  </si>
  <si>
    <t>2026001162</t>
  </si>
  <si>
    <t>202602662862</t>
  </si>
  <si>
    <t>2026001163</t>
  </si>
  <si>
    <t>2602424 Subsanacion comision</t>
  </si>
  <si>
    <t>2026001164</t>
  </si>
  <si>
    <t>2525381 Subsanacion comision</t>
  </si>
  <si>
    <t>2026001165</t>
  </si>
  <si>
    <t>2524989 Subsanacion pn+imp+com</t>
  </si>
  <si>
    <t>2026001166</t>
  </si>
  <si>
    <t>5687823499</t>
  </si>
  <si>
    <t>2026001167</t>
  </si>
  <si>
    <t>2603072</t>
  </si>
  <si>
    <t>2026001168</t>
  </si>
  <si>
    <t>2603025</t>
  </si>
  <si>
    <t>2026001169</t>
  </si>
  <si>
    <t>2602956</t>
  </si>
  <si>
    <t>2026001170</t>
  </si>
  <si>
    <t>2602961</t>
  </si>
  <si>
    <t>2026001171</t>
  </si>
  <si>
    <t>2602957</t>
  </si>
  <si>
    <t>2026001172</t>
  </si>
  <si>
    <t>CE92332-CE93763</t>
  </si>
  <si>
    <t>2602899</t>
  </si>
  <si>
    <t>2026001173</t>
  </si>
  <si>
    <t>2602900</t>
  </si>
  <si>
    <t>2026001174</t>
  </si>
  <si>
    <t>CE92332-CE93765</t>
  </si>
  <si>
    <t>2602901</t>
  </si>
  <si>
    <t>2026001175</t>
  </si>
  <si>
    <t>2602902</t>
  </si>
  <si>
    <t>2026001176</t>
  </si>
  <si>
    <t>CE92332-CE93766</t>
  </si>
  <si>
    <t>2602903</t>
  </si>
  <si>
    <t>2026001177</t>
  </si>
  <si>
    <t>2602904</t>
  </si>
  <si>
    <t>2026001178</t>
  </si>
  <si>
    <t>CE93542</t>
  </si>
  <si>
    <t>2603024</t>
  </si>
  <si>
    <t>2026001179</t>
  </si>
  <si>
    <t>2602955</t>
  </si>
  <si>
    <t>2026001180</t>
  </si>
  <si>
    <t>CE93597</t>
  </si>
  <si>
    <t>2603033</t>
  </si>
  <si>
    <t>2026001181</t>
  </si>
  <si>
    <t>CE93586</t>
  </si>
  <si>
    <t>2603026</t>
  </si>
  <si>
    <t>2026001182</t>
  </si>
  <si>
    <t>2603027</t>
  </si>
  <si>
    <t>2026001183</t>
  </si>
  <si>
    <t>2603028</t>
  </si>
  <si>
    <t>2026001184</t>
  </si>
  <si>
    <t>B21971411</t>
  </si>
  <si>
    <t>CE92332-CE93757</t>
  </si>
  <si>
    <t>2602868</t>
  </si>
  <si>
    <t>2026001185</t>
  </si>
  <si>
    <t>2602869</t>
  </si>
  <si>
    <t>2026001186</t>
  </si>
  <si>
    <t>CE92332-CE93760</t>
  </si>
  <si>
    <t>2602870</t>
  </si>
  <si>
    <t>2026001187</t>
  </si>
  <si>
    <t>2602871</t>
  </si>
  <si>
    <t>2026001188</t>
  </si>
  <si>
    <t>CE92332-CE93767</t>
  </si>
  <si>
    <t>2602905</t>
  </si>
  <si>
    <t>2026001189</t>
  </si>
  <si>
    <t>2602906</t>
  </si>
  <si>
    <t>2026001190</t>
  </si>
  <si>
    <t>CE92332-CE93768</t>
  </si>
  <si>
    <t>2602907</t>
  </si>
  <si>
    <t>2026001191</t>
  </si>
  <si>
    <t>2602908</t>
  </si>
  <si>
    <t>2026001192</t>
  </si>
  <si>
    <t>CE92332-CE93777</t>
  </si>
  <si>
    <t>2602909</t>
  </si>
  <si>
    <t>2026001193</t>
  </si>
  <si>
    <t>2602910</t>
  </si>
  <si>
    <t>2026001194</t>
  </si>
  <si>
    <t>B70917976</t>
  </si>
  <si>
    <t>RCEXP-CA19345</t>
  </si>
  <si>
    <t>2603061</t>
  </si>
  <si>
    <t>2026001195</t>
  </si>
  <si>
    <t>CE93787</t>
  </si>
  <si>
    <t>2602963</t>
  </si>
  <si>
    <t>2026001196</t>
  </si>
  <si>
    <t>2026001197</t>
  </si>
  <si>
    <t>2026001198</t>
  </si>
  <si>
    <t>2026001199</t>
  </si>
  <si>
    <t>2026001200</t>
  </si>
  <si>
    <t>2026001201</t>
  </si>
  <si>
    <t>2026001202</t>
  </si>
  <si>
    <t>2026001203</t>
  </si>
  <si>
    <t>2026001204</t>
  </si>
  <si>
    <t>2026001205</t>
  </si>
  <si>
    <t>2026001206</t>
  </si>
  <si>
    <t>2026001207</t>
  </si>
  <si>
    <t>2026001208</t>
  </si>
  <si>
    <t>2026001209</t>
  </si>
  <si>
    <t>2026001210</t>
  </si>
  <si>
    <t>2026001211</t>
  </si>
  <si>
    <t>2026001212</t>
  </si>
  <si>
    <t>2026001213</t>
  </si>
  <si>
    <t>2026001214</t>
  </si>
  <si>
    <t>2026001215</t>
  </si>
  <si>
    <t>2026001216</t>
  </si>
  <si>
    <t>2026001217</t>
  </si>
  <si>
    <t>2026001218</t>
  </si>
  <si>
    <t>G16424517</t>
  </si>
  <si>
    <t>404583</t>
  </si>
  <si>
    <t>569382</t>
  </si>
  <si>
    <t>2026001219</t>
  </si>
  <si>
    <t>882126117</t>
  </si>
  <si>
    <t>2026001220</t>
  </si>
  <si>
    <t>882258191</t>
  </si>
  <si>
    <t>2026001221</t>
  </si>
  <si>
    <t>17369529</t>
  </si>
  <si>
    <t>2026001222</t>
  </si>
  <si>
    <t>22018634</t>
  </si>
  <si>
    <t>2026001223</t>
  </si>
  <si>
    <t>264573801</t>
  </si>
  <si>
    <t>2026001224</t>
  </si>
  <si>
    <t>W0380386C</t>
  </si>
  <si>
    <t>404613</t>
  </si>
  <si>
    <t>569414</t>
  </si>
  <si>
    <t>2026001225</t>
  </si>
  <si>
    <t>264572170</t>
  </si>
  <si>
    <t>2026001226</t>
  </si>
  <si>
    <t>30/1114319</t>
  </si>
  <si>
    <t>264574012</t>
  </si>
  <si>
    <t>2026001227</t>
  </si>
  <si>
    <t>264574885</t>
  </si>
  <si>
    <t>2026001228</t>
  </si>
  <si>
    <t>264574134</t>
  </si>
  <si>
    <t>2026001229</t>
  </si>
  <si>
    <t>3563835-3</t>
  </si>
  <si>
    <t>2026001230</t>
  </si>
  <si>
    <t>2603165</t>
  </si>
  <si>
    <t>2026001231</t>
  </si>
  <si>
    <t>2603114</t>
  </si>
  <si>
    <t>2026001232</t>
  </si>
  <si>
    <t>2603164</t>
  </si>
  <si>
    <t>2026001233</t>
  </si>
  <si>
    <t>CE92332-CE93779</t>
  </si>
  <si>
    <t>2602923</t>
  </si>
  <si>
    <t>2026001234</t>
  </si>
  <si>
    <t>2602924</t>
  </si>
  <si>
    <t>2026001235</t>
  </si>
  <si>
    <t>CE92332-CE93780</t>
  </si>
  <si>
    <t>2602925</t>
  </si>
  <si>
    <t>2026001236</t>
  </si>
  <si>
    <t>2602926</t>
  </si>
  <si>
    <t>2026001237</t>
  </si>
  <si>
    <t>CE92332-CE93782</t>
  </si>
  <si>
    <t>2602949</t>
  </si>
  <si>
    <t>2026001238</t>
  </si>
  <si>
    <t>2602950</t>
  </si>
  <si>
    <t>2026001239</t>
  </si>
  <si>
    <t>CE92332-CE93783</t>
  </si>
  <si>
    <t>2602951</t>
  </si>
  <si>
    <t>2026001240</t>
  </si>
  <si>
    <t>2602952</t>
  </si>
  <si>
    <t>2026001241</t>
  </si>
  <si>
    <t>CE92332-CE93784</t>
  </si>
  <si>
    <t>2602953</t>
  </si>
  <si>
    <t>2026001242</t>
  </si>
  <si>
    <t>2602954</t>
  </si>
  <si>
    <t>2026001243</t>
  </si>
  <si>
    <t>05008133700165</t>
  </si>
  <si>
    <t>882359742</t>
  </si>
  <si>
    <t>2026001244</t>
  </si>
  <si>
    <t>882287794</t>
  </si>
  <si>
    <t>2026001245</t>
  </si>
  <si>
    <t>264575369</t>
  </si>
  <si>
    <t>2026001246</t>
  </si>
  <si>
    <t>264575058</t>
  </si>
  <si>
    <t>2026001247</t>
  </si>
  <si>
    <t>264575720</t>
  </si>
  <si>
    <t>2026001248</t>
  </si>
  <si>
    <t>CE93500</t>
  </si>
  <si>
    <t>2603244</t>
  </si>
  <si>
    <t>2026001249</t>
  </si>
  <si>
    <t>CE93690</t>
  </si>
  <si>
    <t>2603245</t>
  </si>
  <si>
    <t>2026001250</t>
  </si>
  <si>
    <t>CE93691</t>
  </si>
  <si>
    <t>2603246</t>
  </si>
  <si>
    <t>2026001251</t>
  </si>
  <si>
    <t>B95244927</t>
  </si>
  <si>
    <t>CE93695,</t>
  </si>
  <si>
    <t>2603224</t>
  </si>
  <si>
    <t>2026001252</t>
  </si>
  <si>
    <t>2603225</t>
  </si>
  <si>
    <t>2026001253</t>
  </si>
  <si>
    <t>CE93807</t>
  </si>
  <si>
    <t>2603247</t>
  </si>
  <si>
    <t>2026001254</t>
  </si>
  <si>
    <t>B13689542</t>
  </si>
  <si>
    <t>RCEXP-CA19355</t>
  </si>
  <si>
    <t>2603250</t>
  </si>
  <si>
    <t>2026001255</t>
  </si>
  <si>
    <t>HDIP62143042</t>
  </si>
  <si>
    <t>2026001256</t>
  </si>
  <si>
    <t>3560495-3</t>
  </si>
  <si>
    <t>2026001257</t>
  </si>
  <si>
    <t>2603325</t>
  </si>
  <si>
    <t>2026001258</t>
  </si>
  <si>
    <t>2603333</t>
  </si>
  <si>
    <t>2026001259</t>
  </si>
  <si>
    <t>2603399</t>
  </si>
  <si>
    <t>2026001260</t>
  </si>
  <si>
    <t>2603400</t>
  </si>
  <si>
    <t>2026001261</t>
  </si>
  <si>
    <t>2603332</t>
  </si>
  <si>
    <t>2026001262</t>
  </si>
  <si>
    <t>2603330</t>
  </si>
  <si>
    <t>2026001263</t>
  </si>
  <si>
    <t>2603331</t>
  </si>
  <si>
    <t>2026001264</t>
  </si>
  <si>
    <t>2603353</t>
  </si>
  <si>
    <t>2026001265</t>
  </si>
  <si>
    <t>2603354</t>
  </si>
  <si>
    <t>2026001266</t>
  </si>
  <si>
    <t>2603274</t>
  </si>
  <si>
    <t>2026001267</t>
  </si>
  <si>
    <t>B23881345</t>
  </si>
  <si>
    <t>RCEXP-CA19065</t>
  </si>
  <si>
    <t>2603321</t>
  </si>
  <si>
    <t>2026001268</t>
  </si>
  <si>
    <t>2603322</t>
  </si>
  <si>
    <t>2026001269</t>
  </si>
  <si>
    <t>2603323</t>
  </si>
  <si>
    <t>2026001270</t>
  </si>
  <si>
    <t>CE93718</t>
  </si>
  <si>
    <t>2603351</t>
  </si>
  <si>
    <t>2026001271</t>
  </si>
  <si>
    <t>B70912027</t>
  </si>
  <si>
    <t>CE93720</t>
  </si>
  <si>
    <t>2603275</t>
  </si>
  <si>
    <t>2026001272</t>
  </si>
  <si>
    <t>CE93730</t>
  </si>
  <si>
    <t>2603352</t>
  </si>
  <si>
    <t>2026001273</t>
  </si>
  <si>
    <t>B26575274</t>
  </si>
  <si>
    <t>RCEXP-CA19361</t>
  </si>
  <si>
    <t>2603326 Error importe</t>
  </si>
  <si>
    <t>2026001274</t>
  </si>
  <si>
    <t>RCEXP-CA19366</t>
  </si>
  <si>
    <t>2603356</t>
  </si>
  <si>
    <t>2026001275</t>
  </si>
  <si>
    <t>RCEXP-CA19359</t>
  </si>
  <si>
    <t>2603324</t>
  </si>
  <si>
    <t>2026001276</t>
  </si>
  <si>
    <t>Cinevent On Line CdS, S.L.</t>
  </si>
  <si>
    <t>882437563</t>
  </si>
  <si>
    <t>2026001277</t>
  </si>
  <si>
    <t>264576798</t>
  </si>
  <si>
    <t>2026001278</t>
  </si>
  <si>
    <t>264576806</t>
  </si>
  <si>
    <t>2026001279</t>
  </si>
  <si>
    <t>264577062</t>
  </si>
  <si>
    <t>2026001280</t>
  </si>
  <si>
    <t>264577083</t>
  </si>
  <si>
    <t>2026001281</t>
  </si>
  <si>
    <t>264578623</t>
  </si>
  <si>
    <t>2026001282</t>
  </si>
  <si>
    <t>474678721-Z</t>
  </si>
  <si>
    <t>2026001283</t>
  </si>
  <si>
    <t>474655018-L</t>
  </si>
  <si>
    <t>2026001284</t>
  </si>
  <si>
    <t>474870399-P</t>
  </si>
  <si>
    <t>2026001285</t>
  </si>
  <si>
    <t>475032881-B</t>
  </si>
  <si>
    <t>2026001286</t>
  </si>
  <si>
    <t>475050379-H</t>
  </si>
  <si>
    <t>2026001287</t>
  </si>
  <si>
    <t>475055010-C</t>
  </si>
  <si>
    <t>2026001288</t>
  </si>
  <si>
    <t>475088460-X</t>
  </si>
  <si>
    <t>2026001289</t>
  </si>
  <si>
    <t>475088461-F</t>
  </si>
  <si>
    <t>2026001290</t>
  </si>
  <si>
    <t>475096577-E</t>
  </si>
  <si>
    <t>2026001291</t>
  </si>
  <si>
    <t>475096698-G</t>
  </si>
  <si>
    <t>2026001292</t>
  </si>
  <si>
    <t>475097070-R</t>
  </si>
  <si>
    <t>2026001293</t>
  </si>
  <si>
    <t>475101023-Q</t>
  </si>
  <si>
    <t>2026001294</t>
  </si>
  <si>
    <t>475105158-X</t>
  </si>
  <si>
    <t>2026001295</t>
  </si>
  <si>
    <t>475110405-Y</t>
  </si>
  <si>
    <t>2026001296</t>
  </si>
  <si>
    <t>475201700-S</t>
  </si>
  <si>
    <t>2026001297</t>
  </si>
  <si>
    <t>475242820-H</t>
  </si>
  <si>
    <t>2026001298</t>
  </si>
  <si>
    <t>475242875-L</t>
  </si>
  <si>
    <t>2026001299</t>
  </si>
  <si>
    <t>475246162-T</t>
  </si>
  <si>
    <t>2026001300</t>
  </si>
  <si>
    <t>475262639-X</t>
  </si>
  <si>
    <t>2026001301</t>
  </si>
  <si>
    <t>475301235-P</t>
  </si>
  <si>
    <t>2026001302</t>
  </si>
  <si>
    <t>2603401</t>
  </si>
  <si>
    <t>2026001304</t>
  </si>
  <si>
    <t>2603402</t>
  </si>
  <si>
    <t>2026001305</t>
  </si>
  <si>
    <t>2603403</t>
  </si>
  <si>
    <t>2026001306</t>
  </si>
  <si>
    <t>2603405</t>
  </si>
  <si>
    <t>2026001307</t>
  </si>
  <si>
    <t>2603404</t>
  </si>
  <si>
    <t>2026001308</t>
  </si>
  <si>
    <t>2603439</t>
  </si>
  <si>
    <t>2026001309</t>
  </si>
  <si>
    <t>B09791096</t>
  </si>
  <si>
    <t>CE93731</t>
  </si>
  <si>
    <t>2603406</t>
  </si>
  <si>
    <t>2026001310</t>
  </si>
  <si>
    <t>CE93842</t>
  </si>
  <si>
    <t>2603408</t>
  </si>
  <si>
    <t>2026001311</t>
  </si>
  <si>
    <t>2603409</t>
  </si>
  <si>
    <t>2026001312</t>
  </si>
  <si>
    <t>475517540-C</t>
  </si>
  <si>
    <t>2026001315</t>
  </si>
  <si>
    <t>B22449995</t>
  </si>
  <si>
    <t>RCEXP-CA19376</t>
  </si>
  <si>
    <t>2603461</t>
  </si>
  <si>
    <t>2026001316</t>
  </si>
  <si>
    <t>CE93897</t>
  </si>
  <si>
    <t>2603465</t>
  </si>
  <si>
    <t>2026001317</t>
  </si>
  <si>
    <t>B26574087</t>
  </si>
  <si>
    <t>RCEXP-CA19375</t>
  </si>
  <si>
    <t>2603443</t>
  </si>
  <si>
    <t>2026001318</t>
  </si>
  <si>
    <t>2026001319</t>
  </si>
  <si>
    <t>5689058633</t>
  </si>
  <si>
    <t>2026001320</t>
  </si>
  <si>
    <t>5689708700</t>
  </si>
  <si>
    <t>2026001321</t>
  </si>
  <si>
    <t>5689736177</t>
  </si>
  <si>
    <t>2026001322</t>
  </si>
  <si>
    <t>5689736433</t>
  </si>
  <si>
    <t>2026001323</t>
  </si>
  <si>
    <t>5688552711</t>
  </si>
  <si>
    <t>2026001324</t>
  </si>
  <si>
    <t>5688552722</t>
  </si>
  <si>
    <t>2026001325</t>
  </si>
  <si>
    <t>050081337-00166</t>
  </si>
  <si>
    <t>882658846</t>
  </si>
  <si>
    <t>2026001326</t>
  </si>
  <si>
    <t>882671062</t>
  </si>
  <si>
    <t>2026001327</t>
  </si>
  <si>
    <t>882675147</t>
  </si>
  <si>
    <t>2026001328</t>
  </si>
  <si>
    <t>882688058</t>
  </si>
  <si>
    <t>2026001329</t>
  </si>
  <si>
    <t>882688280</t>
  </si>
  <si>
    <t>2026001330</t>
  </si>
  <si>
    <t>882688439</t>
  </si>
  <si>
    <t>2026001331</t>
  </si>
  <si>
    <t>882680303</t>
  </si>
  <si>
    <t>2026001332</t>
  </si>
  <si>
    <t>475562985-B</t>
  </si>
  <si>
    <t>2026001333</t>
  </si>
  <si>
    <t>2603530</t>
  </si>
  <si>
    <t>2026001334</t>
  </si>
  <si>
    <t>CE93853</t>
  </si>
  <si>
    <t>2603455</t>
  </si>
  <si>
    <t>2026001335</t>
  </si>
  <si>
    <t>RCEXP-CA19382</t>
  </si>
  <si>
    <t>2603529</t>
  </si>
  <si>
    <t>2026001336</t>
  </si>
  <si>
    <t>467817441</t>
  </si>
  <si>
    <t>2026001337</t>
  </si>
  <si>
    <t>2603326</t>
  </si>
  <si>
    <t>2026001338</t>
  </si>
  <si>
    <t>264582583</t>
  </si>
  <si>
    <t>2026001339</t>
  </si>
  <si>
    <t>3565308-3</t>
  </si>
  <si>
    <t>2026001340</t>
  </si>
  <si>
    <t>2603600</t>
  </si>
  <si>
    <t>2026001341</t>
  </si>
  <si>
    <t>2603613</t>
  </si>
  <si>
    <t>2026001342</t>
  </si>
  <si>
    <t>2603565</t>
  </si>
  <si>
    <t>2026001343</t>
  </si>
  <si>
    <t>2603595</t>
  </si>
  <si>
    <t>2026001344</t>
  </si>
  <si>
    <t>2603632</t>
  </si>
  <si>
    <t>2026001345</t>
  </si>
  <si>
    <t>CE93530</t>
  </si>
  <si>
    <t>2603560</t>
  </si>
  <si>
    <t>2026001346</t>
  </si>
  <si>
    <t>2603561</t>
  </si>
  <si>
    <t>2026001347</t>
  </si>
  <si>
    <t>CE93599</t>
  </si>
  <si>
    <t>2603562</t>
  </si>
  <si>
    <t>2026001348</t>
  </si>
  <si>
    <t>2603563</t>
  </si>
  <si>
    <t>2026001349</t>
  </si>
  <si>
    <t>CE93727</t>
  </si>
  <si>
    <t>2603593</t>
  </si>
  <si>
    <t>2026001350</t>
  </si>
  <si>
    <t>CE93809</t>
  </si>
  <si>
    <t>2603590</t>
  </si>
  <si>
    <t>2026001351</t>
  </si>
  <si>
    <t>2603591</t>
  </si>
  <si>
    <t>2026001352</t>
  </si>
  <si>
    <t>2603592</t>
  </si>
  <si>
    <t>2026001353</t>
  </si>
  <si>
    <t>B56720345</t>
  </si>
  <si>
    <t>CE93816</t>
  </si>
  <si>
    <t>2603589</t>
  </si>
  <si>
    <t>2026001354</t>
  </si>
  <si>
    <t>B23832959</t>
  </si>
  <si>
    <t>CE93873</t>
  </si>
  <si>
    <t>2603559</t>
  </si>
  <si>
    <t>2026001355</t>
  </si>
  <si>
    <t>CE93948</t>
  </si>
  <si>
    <t>2603564</t>
  </si>
  <si>
    <t>2026001356</t>
  </si>
  <si>
    <t>2026001357</t>
  </si>
  <si>
    <t>264584648</t>
  </si>
  <si>
    <t>2026001358</t>
  </si>
  <si>
    <t>596728265</t>
  </si>
  <si>
    <t>2026001359</t>
  </si>
  <si>
    <t>596847198</t>
  </si>
  <si>
    <t>2026001360</t>
  </si>
  <si>
    <t>597857121</t>
  </si>
  <si>
    <t>2026001361</t>
  </si>
  <si>
    <t>597869415</t>
  </si>
  <si>
    <t>2026001362</t>
  </si>
  <si>
    <t>598249294</t>
  </si>
  <si>
    <t>2026001363</t>
  </si>
  <si>
    <t>598380776</t>
  </si>
  <si>
    <t>2026001364</t>
  </si>
  <si>
    <t>598382129</t>
  </si>
  <si>
    <t>2026001365</t>
  </si>
  <si>
    <t>599267899</t>
  </si>
  <si>
    <t>2026001366</t>
  </si>
  <si>
    <t>599443797</t>
  </si>
  <si>
    <t>2026001367</t>
  </si>
  <si>
    <t>599590035</t>
  </si>
  <si>
    <t>2026001368</t>
  </si>
  <si>
    <t>599613530</t>
  </si>
  <si>
    <t>2026001369</t>
  </si>
  <si>
    <t>599628769</t>
  </si>
  <si>
    <t>2026001370</t>
  </si>
  <si>
    <t>599809435</t>
  </si>
  <si>
    <t>2026001371</t>
  </si>
  <si>
    <t>599870288</t>
  </si>
  <si>
    <t>2026001372</t>
  </si>
  <si>
    <t>600151553</t>
  </si>
  <si>
    <t>2026001373</t>
  </si>
  <si>
    <t>475644808-F</t>
  </si>
  <si>
    <t>2026001374</t>
  </si>
  <si>
    <t>475676830-H</t>
  </si>
  <si>
    <t>2026001375</t>
  </si>
  <si>
    <t>475693772-E</t>
  </si>
  <si>
    <t>2026001376</t>
  </si>
  <si>
    <t>475737151-N</t>
  </si>
  <si>
    <t>2026001377</t>
  </si>
  <si>
    <t>264587657</t>
  </si>
  <si>
    <t>2026001381</t>
  </si>
  <si>
    <t>264587856</t>
  </si>
  <si>
    <t>2026001382</t>
  </si>
  <si>
    <t>2603692</t>
  </si>
  <si>
    <t>2026001384</t>
  </si>
  <si>
    <t>2603599</t>
  </si>
  <si>
    <t>2026001385</t>
  </si>
  <si>
    <t>2603656</t>
  </si>
  <si>
    <t>2026001386</t>
  </si>
  <si>
    <t>2603733</t>
  </si>
  <si>
    <t>2026001387</t>
  </si>
  <si>
    <t>V23969785</t>
  </si>
  <si>
    <t>CE93926</t>
  </si>
  <si>
    <t>2603727</t>
  </si>
  <si>
    <t>2026001388</t>
  </si>
  <si>
    <t>CE94017</t>
  </si>
  <si>
    <t>2603765</t>
  </si>
  <si>
    <t>2026001389</t>
  </si>
  <si>
    <t>2603703</t>
  </si>
  <si>
    <t>2026001390</t>
  </si>
  <si>
    <t>CE93680</t>
  </si>
  <si>
    <t>2603730</t>
  </si>
  <si>
    <t>2026001391</t>
  </si>
  <si>
    <t>2603731</t>
  </si>
  <si>
    <t>2026001392</t>
  </si>
  <si>
    <t>2603732</t>
  </si>
  <si>
    <t>2026001393</t>
  </si>
  <si>
    <t>CE93646</t>
  </si>
  <si>
    <t>2603729</t>
  </si>
  <si>
    <t>2026001394</t>
  </si>
  <si>
    <t>CE93649</t>
  </si>
  <si>
    <t>2603704</t>
  </si>
  <si>
    <t>2026001395</t>
  </si>
  <si>
    <t>2603702</t>
  </si>
  <si>
    <t>2026001396</t>
  </si>
  <si>
    <t>CE93892</t>
  </si>
  <si>
    <t>2603728</t>
  </si>
  <si>
    <t>2026001397</t>
  </si>
  <si>
    <t>P2421300A</t>
  </si>
  <si>
    <t>RCEXP-CA19390</t>
  </si>
  <si>
    <t>2603661</t>
  </si>
  <si>
    <t>2026001398</t>
  </si>
  <si>
    <t>CE93970</t>
  </si>
  <si>
    <t>2603705</t>
  </si>
  <si>
    <t>2026001399</t>
  </si>
  <si>
    <t>RCEXP-CA19396</t>
  </si>
  <si>
    <t>2603743</t>
  </si>
  <si>
    <t>2026001400</t>
  </si>
  <si>
    <t>264590261</t>
  </si>
  <si>
    <t>2026001401</t>
  </si>
  <si>
    <t>264590265</t>
  </si>
  <si>
    <t>2026001402</t>
  </si>
  <si>
    <t>PT302357157</t>
  </si>
  <si>
    <t>CE93857</t>
  </si>
  <si>
    <t>2603706</t>
  </si>
  <si>
    <t>2026001403</t>
  </si>
  <si>
    <t>CE93874</t>
  </si>
  <si>
    <t>2603556</t>
  </si>
  <si>
    <t>2026001404</t>
  </si>
  <si>
    <t>2603558</t>
  </si>
  <si>
    <t>2026001405</t>
  </si>
  <si>
    <t>2603557</t>
  </si>
  <si>
    <t>2026001406</t>
  </si>
  <si>
    <t>Crédito Nacional</t>
  </si>
  <si>
    <t>Venta Cruzada</t>
  </si>
  <si>
    <t>Total Primas Netas</t>
  </si>
  <si>
    <t>M-1</t>
  </si>
  <si>
    <t>PRIMA NETA</t>
  </si>
  <si>
    <t>COM. PRIMA NETA</t>
  </si>
  <si>
    <t>CHECK</t>
  </si>
  <si>
    <t>SOBRECOMISION</t>
  </si>
  <si>
    <t>CESION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</si>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</sst>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\(#,##0.00\);\-\-"/>
    <numFmt numFmtId="165" formatCode="#,##0;\(#,##0\);\-\-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9"/>
      <name val="Arial"/>
      <family val="2"/>
    </font>
    <font>
      <sz val="9"/>
      <color theme="1" tint="0.499984740745262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color theme="1" tint="0.499984740745262"/>
      <name val="Arial"/>
      <family val="2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DAF2D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9" fontId="0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4" borderId="0" xfId="0" applyFont="1" applyFill="1"/>
    <xf numFmtId="14" fontId="1" fillId="5" borderId="1" xfId="0" applyNumberFormat="1" applyFont="1" applyFill="1" applyBorder="1" applyAlignment="1">
      <alignment horizontal="center" vertical="center"/>
    </xf>
    <xf numFmtId="14" fontId="0" fillId="0" borderId="0" xfId="1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pivotButton="1"/>
    <xf numFmtId="43" fontId="0" fillId="0" borderId="0" xfId="0" applyNumberFormat="1"/>
    <xf numFmtId="0" fontId="0" fillId="7" borderId="0" xfId="0" applyFill="1" applyAlignment="1">
      <alignment vertical="center"/>
    </xf>
    <xf numFmtId="0" fontId="6" fillId="8" borderId="0" xfId="0" applyFont="1" applyFill="1" applyAlignment="1">
      <alignment horizontal="left" indent="2"/>
    </xf>
    <xf numFmtId="164" fontId="7" fillId="8" borderId="0" xfId="0" applyNumberFormat="1" applyFont="1" applyFill="1"/>
    <xf numFmtId="0" fontId="7" fillId="8" borderId="0" xfId="0" applyFont="1" applyFill="1" applyAlignment="1">
      <alignment horizontal="left" indent="2"/>
    </xf>
    <xf numFmtId="0" fontId="9" fillId="9" borderId="4" xfId="0" applyFont="1" applyFill="1" applyBorder="1"/>
    <xf numFmtId="0" fontId="9" fillId="9" borderId="5" xfId="0" applyFont="1" applyFill="1" applyBorder="1"/>
    <xf numFmtId="14" fontId="9" fillId="9" borderId="5" xfId="0" applyNumberFormat="1" applyFont="1" applyFill="1" applyBorder="1"/>
    <xf numFmtId="0" fontId="9" fillId="9" borderId="6" xfId="0" applyFont="1" applyFill="1" applyBorder="1"/>
    <xf numFmtId="0" fontId="9" fillId="0" borderId="4" xfId="0" applyFont="1" applyBorder="1"/>
    <xf numFmtId="0" fontId="9" fillId="0" borderId="5" xfId="0" applyFont="1" applyBorder="1"/>
    <xf numFmtId="14" fontId="9" fillId="0" borderId="5" xfId="0" applyNumberFormat="1" applyFont="1" applyBorder="1"/>
    <xf numFmtId="0" fontId="9" fillId="0" borderId="6" xfId="0" applyFont="1" applyBorder="1"/>
    <xf numFmtId="0" fontId="10" fillId="8" borderId="7" xfId="0" applyFont="1" applyFill="1" applyBorder="1"/>
    <xf numFmtId="0" fontId="8" fillId="0" borderId="0" xfId="0" applyFont="1"/>
    <xf numFmtId="165" fontId="11" fillId="8" borderId="0" xfId="0" applyNumberFormat="1" applyFont="1" applyFill="1"/>
    <xf numFmtId="165" fontId="7" fillId="8" borderId="0" xfId="0" applyNumberFormat="1" applyFont="1" applyFill="1"/>
    <xf numFmtId="165" fontId="10" fillId="8" borderId="7" xfId="0" applyNumberFormat="1" applyFont="1" applyFill="1" applyBorder="1"/>
    <xf numFmtId="164" fontId="12" fillId="8" borderId="0" xfId="0" applyNumberFormat="1" applyFont="1" applyFill="1"/>
    <xf numFmtId="0" fontId="6" fillId="10" borderId="0" xfId="0" applyFont="1" applyFill="1" applyAlignment="1">
      <alignment horizontal="left" indent="2"/>
    </xf>
    <xf numFmtId="164" fontId="13" fillId="10" borderId="0" xfId="0" applyNumberFormat="1" applyFont="1" applyFill="1"/>
    <xf numFmtId="165" fontId="0" fillId="0" borderId="0" xfId="0" applyNumberForma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9" fillId="11" borderId="4" xfId="0" applyFont="1" applyFill="1" applyBorder="1"/>
    <xf numFmtId="0" fontId="9" fillId="11" borderId="5" xfId="0" applyFont="1" applyFill="1" applyBorder="1"/>
    <xf numFmtId="14" fontId="9" fillId="11" borderId="5" xfId="0" applyNumberFormat="1" applyFont="1" applyFill="1" applyBorder="1"/>
    <xf numFmtId="0" fontId="9" fillId="11" borderId="6" xfId="0" applyFont="1" applyFill="1" applyBorder="1"/>
    <xf numFmtId="0" fontId="9" fillId="7" borderId="4" xfId="0" applyFont="1" applyFill="1" applyBorder="1"/>
    <xf numFmtId="0" fontId="9" fillId="7" borderId="5" xfId="0" applyFont="1" applyFill="1" applyBorder="1"/>
    <xf numFmtId="14" fontId="9" fillId="7" borderId="5" xfId="0" applyNumberFormat="1" applyFont="1" applyFill="1" applyBorder="1"/>
    <xf numFmtId="0" fontId="9" fillId="7" borderId="6" xfId="0" applyFont="1" applyFill="1" applyBorder="1"/>
  </cellXfs>
  <cellStyles count="2">
    <cellStyle name="Normal" xfId="0" builtinId="0"/>
    <cellStyle name="Porcentaje" xfId="1" builtinId="5"/>
  </cellStyles>
  <dxfs count="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3.%20Plantillas%20Estadisticas/2026_Reporting%20COMEX%20Datos%20Report_NEW_v2.xlsx" TargetMode="External"/><Relationship Id="rId2" Type="http://schemas.openxmlformats.org/officeDocument/2006/relationships/externalLinkPath" Target="https://brokerspartners.sharepoint.com/sites/CEOOffice/Documentos%20compartidos/2.%20Datos/6.%20Controlling%20Comercial/3.%20Plantillas%20Estadisticas/2026_Reporting%20COMEX%20Datos%20Report_NEW_v2.xlsx" TargetMode="External"/><Relationship Id="rId1" Type="http://schemas.openxmlformats.org/officeDocument/2006/relationships/externalLinkPath" Target="/sites/CEOOffice/Documentos%20compartidos/2.%20Datos/6.%20Controlling%20Comercial/3.%20Plantillas%20Estadisticas/2026_Reporting%20COMEX%20Datos%20Report_NEW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rero budget"/>
      <sheetName val="mapeo_opex"/>
      <sheetName val="enero"/>
      <sheetName val="y-1 acum feb"/>
      <sheetName val="Portada"/>
      <sheetName val="SWITCH"/>
      <sheetName val="bud acum feb"/>
      <sheetName val="Hoja1"/>
      <sheetName val="1.1 SGG CONSO RESUMEN YTD "/>
      <sheetName val="1.2 SGG RESUMEN GENERAL YTD "/>
      <sheetName val="2.1 SGG CONSO VENTAS YTD"/>
      <sheetName val="CHECK DATOS"/>
      <sheetName val="OPEX"/>
      <sheetName val="PERSONAL"/>
      <sheetName val="data_opex"/>
      <sheetName val="data"/>
      <sheetName val="Hoja2"/>
      <sheetName val="2.01 Portugal Detalle"/>
      <sheetName val="2.02 Italia Detalle"/>
      <sheetName val="2.10 ADELL Ventas Detalle "/>
      <sheetName val="2.11 Agrinalcazar Detalle"/>
      <sheetName val="2.12 Araytor Detalle"/>
      <sheetName val="2.13 Arrenta Ventas Detalle "/>
      <sheetName val="2.15 BRC Ventas Detalle"/>
      <sheetName val="2.28 Team Hires Detalle"/>
      <sheetName val="2.14. BAN Ventas Detalle"/>
      <sheetName val="2.16 CARANTIA Ventas Detalle"/>
      <sheetName val="2.17 Euromex Detalle"/>
      <sheetName val="2.18 ICBA Ventas Detalle"/>
      <sheetName val="2.19 Insurart Detalle"/>
      <sheetName val="2.20.O&amp;B Ventas Detalle"/>
      <sheetName val="2.22 POOLSEGUR Ventas Detalle"/>
      <sheetName val="2.21 PG Detalle"/>
      <sheetName val="2.23 SValencia Detalle"/>
      <sheetName val="2.24 VeroBrokers Detalle"/>
      <sheetName val="2.25 Zurriola Detalle"/>
      <sheetName val="2.26 Futura Detalle"/>
      <sheetName val="2.27 Seguretxe Detal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ADELL</v>
          </cell>
          <cell r="B2">
            <v>202302</v>
          </cell>
          <cell r="D2" t="str">
            <v>--</v>
          </cell>
          <cell r="G2" t="str">
            <v>Real</v>
          </cell>
        </row>
        <row r="3">
          <cell r="A3" t="str">
            <v>ADELL</v>
          </cell>
          <cell r="B3">
            <v>202303</v>
          </cell>
          <cell r="D3" t="str">
            <v>--</v>
          </cell>
          <cell r="G3" t="str">
            <v>Real</v>
          </cell>
        </row>
        <row r="4">
          <cell r="A4" t="str">
            <v>ADELL</v>
          </cell>
          <cell r="B4">
            <v>202305</v>
          </cell>
          <cell r="D4" t="str">
            <v>--</v>
          </cell>
          <cell r="G4" t="str">
            <v>Real</v>
          </cell>
        </row>
        <row r="5">
          <cell r="A5" t="str">
            <v>ADELL</v>
          </cell>
          <cell r="B5">
            <v>202306</v>
          </cell>
          <cell r="D5" t="str">
            <v>--</v>
          </cell>
          <cell r="G5" t="str">
            <v>Real</v>
          </cell>
        </row>
        <row r="6">
          <cell r="A6" t="str">
            <v>ADELL</v>
          </cell>
          <cell r="B6">
            <v>202308</v>
          </cell>
          <cell r="D6" t="str">
            <v>--</v>
          </cell>
          <cell r="G6" t="str">
            <v>Real</v>
          </cell>
        </row>
        <row r="7">
          <cell r="A7" t="str">
            <v>ADELL</v>
          </cell>
          <cell r="B7">
            <v>202309</v>
          </cell>
          <cell r="D7" t="str">
            <v>--</v>
          </cell>
          <cell r="G7" t="str">
            <v>Real</v>
          </cell>
        </row>
        <row r="8">
          <cell r="A8" t="str">
            <v>ADELL</v>
          </cell>
          <cell r="B8">
            <v>202310</v>
          </cell>
          <cell r="D8" t="str">
            <v>--</v>
          </cell>
          <cell r="G8" t="str">
            <v>Real</v>
          </cell>
        </row>
        <row r="9">
          <cell r="A9" t="str">
            <v>ADELL</v>
          </cell>
          <cell r="B9">
            <v>202311</v>
          </cell>
          <cell r="D9" t="str">
            <v>--</v>
          </cell>
          <cell r="G9" t="str">
            <v>Real</v>
          </cell>
        </row>
        <row r="10">
          <cell r="A10" t="str">
            <v>ADELL</v>
          </cell>
          <cell r="B10">
            <v>202312</v>
          </cell>
          <cell r="D10" t="str">
            <v>--</v>
          </cell>
          <cell r="G10" t="str">
            <v>Real</v>
          </cell>
        </row>
        <row r="11">
          <cell r="A11" t="str">
            <v>ADELL</v>
          </cell>
          <cell r="B11">
            <v>202401</v>
          </cell>
          <cell r="D11" t="str">
            <v>--</v>
          </cell>
          <cell r="G11" t="str">
            <v>Real</v>
          </cell>
        </row>
        <row r="12">
          <cell r="A12" t="str">
            <v>ADELL</v>
          </cell>
          <cell r="B12">
            <v>202401</v>
          </cell>
          <cell r="D12" t="str">
            <v>Autos</v>
          </cell>
          <cell r="G12" t="str">
            <v>Real</v>
          </cell>
        </row>
        <row r="13">
          <cell r="A13" t="str">
            <v>ADELL</v>
          </cell>
          <cell r="B13">
            <v>202401</v>
          </cell>
          <cell r="D13" t="str">
            <v>Crédito Internacional</v>
          </cell>
          <cell r="G13" t="str">
            <v>Real</v>
          </cell>
        </row>
        <row r="14">
          <cell r="A14" t="str">
            <v>ADELL</v>
          </cell>
          <cell r="B14">
            <v>202401</v>
          </cell>
          <cell r="D14" t="str">
            <v>Flotas</v>
          </cell>
          <cell r="G14" t="str">
            <v>Real</v>
          </cell>
        </row>
        <row r="15">
          <cell r="A15" t="str">
            <v>ADELL</v>
          </cell>
          <cell r="B15">
            <v>202401</v>
          </cell>
          <cell r="D15" t="str">
            <v>Hogar</v>
          </cell>
          <cell r="G15" t="str">
            <v>Real</v>
          </cell>
        </row>
        <row r="16">
          <cell r="A16" t="str">
            <v>ADELL</v>
          </cell>
          <cell r="B16">
            <v>202401</v>
          </cell>
          <cell r="D16" t="str">
            <v>Ingeniería</v>
          </cell>
          <cell r="G16" t="str">
            <v>Real</v>
          </cell>
        </row>
        <row r="17">
          <cell r="A17" t="str">
            <v>ADELL</v>
          </cell>
          <cell r="B17">
            <v>202401</v>
          </cell>
          <cell r="D17" t="str">
            <v>Líneas Financieras</v>
          </cell>
          <cell r="G17" t="str">
            <v>Real</v>
          </cell>
        </row>
        <row r="18">
          <cell r="A18" t="str">
            <v>ADELL</v>
          </cell>
          <cell r="B18">
            <v>202401</v>
          </cell>
          <cell r="D18" t="str">
            <v>Náutica</v>
          </cell>
          <cell r="G18" t="str">
            <v>Real</v>
          </cell>
        </row>
        <row r="19">
          <cell r="A19" t="str">
            <v>ADELL</v>
          </cell>
          <cell r="B19">
            <v>202401</v>
          </cell>
          <cell r="D19" t="str">
            <v>Particulares Resto</v>
          </cell>
          <cell r="G19" t="str">
            <v>Real</v>
          </cell>
        </row>
        <row r="20">
          <cell r="A20" t="str">
            <v>ADELL</v>
          </cell>
          <cell r="B20">
            <v>202401</v>
          </cell>
          <cell r="D20" t="str">
            <v>Property</v>
          </cell>
          <cell r="G20" t="str">
            <v>Real</v>
          </cell>
        </row>
        <row r="21">
          <cell r="A21" t="str">
            <v>ADELL</v>
          </cell>
          <cell r="B21">
            <v>202401</v>
          </cell>
          <cell r="D21" t="str">
            <v>RC</v>
          </cell>
          <cell r="G21" t="str">
            <v>Real</v>
          </cell>
        </row>
        <row r="22">
          <cell r="A22" t="str">
            <v>ADELL</v>
          </cell>
          <cell r="B22">
            <v>202401</v>
          </cell>
          <cell r="D22" t="str">
            <v>Seguros Personales (No Vida) Colectivos</v>
          </cell>
          <cell r="G22" t="str">
            <v>Real</v>
          </cell>
        </row>
        <row r="23">
          <cell r="A23" t="str">
            <v>ADELL</v>
          </cell>
          <cell r="B23">
            <v>202401</v>
          </cell>
          <cell r="D23" t="str">
            <v>Seguros Personales (No Vida) Particular</v>
          </cell>
          <cell r="G23" t="str">
            <v>Real</v>
          </cell>
        </row>
        <row r="24">
          <cell r="A24" t="str">
            <v>ADELL</v>
          </cell>
          <cell r="B24">
            <v>202401</v>
          </cell>
          <cell r="D24" t="str">
            <v>Transporte</v>
          </cell>
          <cell r="G24" t="str">
            <v>Real</v>
          </cell>
        </row>
        <row r="25">
          <cell r="A25" t="str">
            <v>ADELL</v>
          </cell>
          <cell r="B25">
            <v>202401</v>
          </cell>
          <cell r="D25" t="str">
            <v>Venta Cruzada</v>
          </cell>
          <cell r="G25" t="str">
            <v>Real</v>
          </cell>
        </row>
        <row r="26">
          <cell r="A26" t="str">
            <v>ADELL</v>
          </cell>
          <cell r="B26">
            <v>202401</v>
          </cell>
          <cell r="D26" t="str">
            <v>Vida Ahorro Particular</v>
          </cell>
          <cell r="G26" t="str">
            <v>Real</v>
          </cell>
        </row>
        <row r="27">
          <cell r="A27" t="str">
            <v>ADELL</v>
          </cell>
          <cell r="B27">
            <v>202401</v>
          </cell>
          <cell r="D27" t="str">
            <v>Vida Riesgo Colectivo</v>
          </cell>
          <cell r="G27" t="str">
            <v>Real</v>
          </cell>
        </row>
        <row r="28">
          <cell r="A28" t="str">
            <v>ADELL</v>
          </cell>
          <cell r="B28">
            <v>202401</v>
          </cell>
          <cell r="D28" t="str">
            <v>Vida Riesgo Particular</v>
          </cell>
          <cell r="G28" t="str">
            <v>Real</v>
          </cell>
        </row>
        <row r="29">
          <cell r="A29" t="str">
            <v>ADELL</v>
          </cell>
          <cell r="B29">
            <v>202402</v>
          </cell>
          <cell r="D29" t="str">
            <v>--</v>
          </cell>
          <cell r="G29" t="str">
            <v>Real</v>
          </cell>
        </row>
        <row r="30">
          <cell r="A30" t="str">
            <v>ADELL</v>
          </cell>
          <cell r="B30">
            <v>202402</v>
          </cell>
          <cell r="D30" t="str">
            <v>Autos</v>
          </cell>
          <cell r="G30" t="str">
            <v>Real</v>
          </cell>
        </row>
        <row r="31">
          <cell r="A31" t="str">
            <v>ADELL</v>
          </cell>
          <cell r="B31">
            <v>202402</v>
          </cell>
          <cell r="D31" t="str">
            <v>Flotas</v>
          </cell>
          <cell r="G31" t="str">
            <v>Real</v>
          </cell>
        </row>
        <row r="32">
          <cell r="A32" t="str">
            <v>ADELL</v>
          </cell>
          <cell r="B32">
            <v>202402</v>
          </cell>
          <cell r="D32" t="str">
            <v>Hogar</v>
          </cell>
          <cell r="G32" t="str">
            <v>Real</v>
          </cell>
        </row>
        <row r="33">
          <cell r="A33" t="str">
            <v>ADELL</v>
          </cell>
          <cell r="B33">
            <v>202402</v>
          </cell>
          <cell r="D33" t="str">
            <v>Líneas Financieras</v>
          </cell>
          <cell r="G33" t="str">
            <v>Real</v>
          </cell>
        </row>
        <row r="34">
          <cell r="A34" t="str">
            <v>ADELL</v>
          </cell>
          <cell r="B34">
            <v>202402</v>
          </cell>
          <cell r="D34" t="str">
            <v>Náutica</v>
          </cell>
          <cell r="G34" t="str">
            <v>Real</v>
          </cell>
        </row>
        <row r="35">
          <cell r="A35" t="str">
            <v>ADELL</v>
          </cell>
          <cell r="B35">
            <v>202402</v>
          </cell>
          <cell r="D35" t="str">
            <v>Particulares Resto</v>
          </cell>
          <cell r="G35" t="str">
            <v>Real</v>
          </cell>
        </row>
        <row r="36">
          <cell r="A36" t="str">
            <v>ADELL</v>
          </cell>
          <cell r="B36">
            <v>202402</v>
          </cell>
          <cell r="D36" t="str">
            <v>Property</v>
          </cell>
          <cell r="G36" t="str">
            <v>Real</v>
          </cell>
        </row>
        <row r="37">
          <cell r="A37" t="str">
            <v>ADELL</v>
          </cell>
          <cell r="B37">
            <v>202402</v>
          </cell>
          <cell r="D37" t="str">
            <v>RC</v>
          </cell>
          <cell r="G37" t="str">
            <v>Real</v>
          </cell>
        </row>
        <row r="38">
          <cell r="A38" t="str">
            <v>ADELL</v>
          </cell>
          <cell r="B38">
            <v>202402</v>
          </cell>
          <cell r="D38" t="str">
            <v>Seguros Personales (No Vida) Colectivos</v>
          </cell>
          <cell r="G38" t="str">
            <v>Real</v>
          </cell>
        </row>
        <row r="39">
          <cell r="A39" t="str">
            <v>ADELL</v>
          </cell>
          <cell r="B39">
            <v>202402</v>
          </cell>
          <cell r="D39" t="str">
            <v>Seguros Personales (No Vida) Particular</v>
          </cell>
          <cell r="G39" t="str">
            <v>Real</v>
          </cell>
        </row>
        <row r="40">
          <cell r="A40" t="str">
            <v>ADELL</v>
          </cell>
          <cell r="B40">
            <v>202402</v>
          </cell>
          <cell r="D40" t="str">
            <v>Transporte</v>
          </cell>
          <cell r="G40" t="str">
            <v>Real</v>
          </cell>
        </row>
        <row r="41">
          <cell r="A41" t="str">
            <v>ADELL</v>
          </cell>
          <cell r="B41">
            <v>202402</v>
          </cell>
          <cell r="D41" t="str">
            <v>Vida Ahorro Particular</v>
          </cell>
          <cell r="G41" t="str">
            <v>Real</v>
          </cell>
        </row>
        <row r="42">
          <cell r="A42" t="str">
            <v>ADELL</v>
          </cell>
          <cell r="B42">
            <v>202402</v>
          </cell>
          <cell r="D42" t="str">
            <v>Vida Riesgo Colectivo</v>
          </cell>
          <cell r="G42" t="str">
            <v>Real</v>
          </cell>
        </row>
        <row r="43">
          <cell r="A43" t="str">
            <v>ADELL</v>
          </cell>
          <cell r="B43">
            <v>202402</v>
          </cell>
          <cell r="D43" t="str">
            <v>Vida Riesgo Particular</v>
          </cell>
          <cell r="G43" t="str">
            <v>Real</v>
          </cell>
        </row>
        <row r="44">
          <cell r="A44" t="str">
            <v>ADELL</v>
          </cell>
          <cell r="B44">
            <v>202403</v>
          </cell>
          <cell r="D44" t="str">
            <v>--</v>
          </cell>
          <cell r="G44" t="str">
            <v>Real</v>
          </cell>
        </row>
        <row r="45">
          <cell r="A45" t="str">
            <v>ADELL</v>
          </cell>
          <cell r="B45">
            <v>202403</v>
          </cell>
          <cell r="D45" t="str">
            <v>Autos</v>
          </cell>
          <cell r="G45" t="str">
            <v>Real</v>
          </cell>
        </row>
        <row r="46">
          <cell r="A46" t="str">
            <v>ADELL</v>
          </cell>
          <cell r="B46">
            <v>202403</v>
          </cell>
          <cell r="D46" t="str">
            <v>Flotas</v>
          </cell>
          <cell r="G46" t="str">
            <v>Real</v>
          </cell>
        </row>
        <row r="47">
          <cell r="A47" t="str">
            <v>ADELL</v>
          </cell>
          <cell r="B47">
            <v>202403</v>
          </cell>
          <cell r="D47" t="str">
            <v>Hogar</v>
          </cell>
          <cell r="G47" t="str">
            <v>Real</v>
          </cell>
        </row>
        <row r="48">
          <cell r="A48" t="str">
            <v>ADELL</v>
          </cell>
          <cell r="B48">
            <v>202403</v>
          </cell>
          <cell r="D48" t="str">
            <v>Líneas Financieras</v>
          </cell>
          <cell r="G48" t="str">
            <v>Real</v>
          </cell>
        </row>
        <row r="49">
          <cell r="A49" t="str">
            <v>ADELL</v>
          </cell>
          <cell r="B49">
            <v>202403</v>
          </cell>
          <cell r="D49" t="str">
            <v>Náutica</v>
          </cell>
          <cell r="G49" t="str">
            <v>Real</v>
          </cell>
        </row>
        <row r="50">
          <cell r="A50" t="str">
            <v>ADELL</v>
          </cell>
          <cell r="B50">
            <v>202403</v>
          </cell>
          <cell r="D50" t="str">
            <v>Particulares Resto</v>
          </cell>
          <cell r="G50" t="str">
            <v>Real</v>
          </cell>
        </row>
        <row r="51">
          <cell r="A51" t="str">
            <v>ADELL</v>
          </cell>
          <cell r="B51">
            <v>202403</v>
          </cell>
          <cell r="D51" t="str">
            <v>Property</v>
          </cell>
          <cell r="G51" t="str">
            <v>Real</v>
          </cell>
        </row>
        <row r="52">
          <cell r="A52" t="str">
            <v>ADELL</v>
          </cell>
          <cell r="B52">
            <v>202403</v>
          </cell>
          <cell r="D52" t="str">
            <v>RC</v>
          </cell>
          <cell r="G52" t="str">
            <v>Real</v>
          </cell>
        </row>
        <row r="53">
          <cell r="A53" t="str">
            <v>ADELL</v>
          </cell>
          <cell r="B53">
            <v>202403</v>
          </cell>
          <cell r="D53" t="str">
            <v>Seguros Personales (No Vida) Colectivos</v>
          </cell>
          <cell r="G53" t="str">
            <v>Real</v>
          </cell>
        </row>
        <row r="54">
          <cell r="A54" t="str">
            <v>ADELL</v>
          </cell>
          <cell r="B54">
            <v>202403</v>
          </cell>
          <cell r="D54" t="str">
            <v>Seguros Personales (No Vida) Particular</v>
          </cell>
          <cell r="G54" t="str">
            <v>Real</v>
          </cell>
        </row>
        <row r="55">
          <cell r="A55" t="str">
            <v>ADELL</v>
          </cell>
          <cell r="B55">
            <v>202403</v>
          </cell>
          <cell r="D55" t="str">
            <v>Transporte</v>
          </cell>
          <cell r="G55" t="str">
            <v>Real</v>
          </cell>
        </row>
        <row r="56">
          <cell r="A56" t="str">
            <v>ADELL</v>
          </cell>
          <cell r="B56">
            <v>202403</v>
          </cell>
          <cell r="D56" t="str">
            <v>Venta Cruzada</v>
          </cell>
          <cell r="G56" t="str">
            <v>Real</v>
          </cell>
        </row>
        <row r="57">
          <cell r="A57" t="str">
            <v>ADELL</v>
          </cell>
          <cell r="B57">
            <v>202403</v>
          </cell>
          <cell r="D57" t="str">
            <v>Vida Ahorro Particular</v>
          </cell>
          <cell r="G57" t="str">
            <v>Real</v>
          </cell>
        </row>
        <row r="58">
          <cell r="A58" t="str">
            <v>ADELL</v>
          </cell>
          <cell r="B58">
            <v>202403</v>
          </cell>
          <cell r="D58" t="str">
            <v>Vida Riesgo Colectivo</v>
          </cell>
          <cell r="G58" t="str">
            <v>Real</v>
          </cell>
        </row>
        <row r="59">
          <cell r="A59" t="str">
            <v>ADELL</v>
          </cell>
          <cell r="B59">
            <v>202403</v>
          </cell>
          <cell r="D59" t="str">
            <v>Vida Riesgo Particular</v>
          </cell>
          <cell r="G59" t="str">
            <v>Real</v>
          </cell>
        </row>
        <row r="60">
          <cell r="A60" t="str">
            <v>ADELL</v>
          </cell>
          <cell r="B60">
            <v>202404</v>
          </cell>
          <cell r="D60" t="str">
            <v>--</v>
          </cell>
          <cell r="G60" t="str">
            <v>Real</v>
          </cell>
        </row>
        <row r="61">
          <cell r="A61" t="str">
            <v>ADELL</v>
          </cell>
          <cell r="B61">
            <v>202404</v>
          </cell>
          <cell r="D61" t="str">
            <v>Autos</v>
          </cell>
          <cell r="G61" t="str">
            <v>Real</v>
          </cell>
        </row>
        <row r="62">
          <cell r="A62" t="str">
            <v>ADELL</v>
          </cell>
          <cell r="B62">
            <v>202404</v>
          </cell>
          <cell r="D62" t="str">
            <v>Crédito Internacional</v>
          </cell>
          <cell r="G62" t="str">
            <v>Real</v>
          </cell>
        </row>
        <row r="63">
          <cell r="A63" t="str">
            <v>ADELL</v>
          </cell>
          <cell r="B63">
            <v>202404</v>
          </cell>
          <cell r="D63" t="str">
            <v>Hogar</v>
          </cell>
          <cell r="G63" t="str">
            <v>Real</v>
          </cell>
        </row>
        <row r="64">
          <cell r="A64" t="str">
            <v>ADELL</v>
          </cell>
          <cell r="B64">
            <v>202404</v>
          </cell>
          <cell r="D64" t="str">
            <v>Ingeniería</v>
          </cell>
          <cell r="G64" t="str">
            <v>Real</v>
          </cell>
        </row>
        <row r="65">
          <cell r="A65" t="str">
            <v>ADELL</v>
          </cell>
          <cell r="B65">
            <v>202404</v>
          </cell>
          <cell r="D65" t="str">
            <v>Líneas Financieras</v>
          </cell>
          <cell r="G65" t="str">
            <v>Real</v>
          </cell>
        </row>
        <row r="66">
          <cell r="A66" t="str">
            <v>ADELL</v>
          </cell>
          <cell r="B66">
            <v>202404</v>
          </cell>
          <cell r="D66" t="str">
            <v>Náutica</v>
          </cell>
          <cell r="G66" t="str">
            <v>Real</v>
          </cell>
        </row>
        <row r="67">
          <cell r="A67" t="str">
            <v>ADELL</v>
          </cell>
          <cell r="B67">
            <v>202404</v>
          </cell>
          <cell r="D67" t="str">
            <v>Particulares Resto</v>
          </cell>
          <cell r="G67" t="str">
            <v>Real</v>
          </cell>
        </row>
        <row r="68">
          <cell r="A68" t="str">
            <v>ADELL</v>
          </cell>
          <cell r="B68">
            <v>202404</v>
          </cell>
          <cell r="D68" t="str">
            <v>Property</v>
          </cell>
          <cell r="G68" t="str">
            <v>Real</v>
          </cell>
        </row>
        <row r="69">
          <cell r="A69" t="str">
            <v>ADELL</v>
          </cell>
          <cell r="B69">
            <v>202404</v>
          </cell>
          <cell r="D69" t="str">
            <v>RC</v>
          </cell>
          <cell r="G69" t="str">
            <v>Real</v>
          </cell>
        </row>
        <row r="70">
          <cell r="A70" t="str">
            <v>ADELL</v>
          </cell>
          <cell r="B70">
            <v>202404</v>
          </cell>
          <cell r="D70" t="str">
            <v>Seguros Personales (No Vida) Colectivos</v>
          </cell>
          <cell r="G70" t="str">
            <v>Real</v>
          </cell>
        </row>
        <row r="71">
          <cell r="A71" t="str">
            <v>ADELL</v>
          </cell>
          <cell r="B71">
            <v>202404</v>
          </cell>
          <cell r="D71" t="str">
            <v>Seguros Personales (No Vida) Particular</v>
          </cell>
          <cell r="G71" t="str">
            <v>Real</v>
          </cell>
        </row>
        <row r="72">
          <cell r="A72" t="str">
            <v>ADELL</v>
          </cell>
          <cell r="B72">
            <v>202404</v>
          </cell>
          <cell r="D72" t="str">
            <v>Transporte</v>
          </cell>
          <cell r="G72" t="str">
            <v>Real</v>
          </cell>
        </row>
        <row r="73">
          <cell r="A73" t="str">
            <v>ADELL</v>
          </cell>
          <cell r="B73">
            <v>202404</v>
          </cell>
          <cell r="D73" t="str">
            <v>Venta Cruzada</v>
          </cell>
          <cell r="G73" t="str">
            <v>Real</v>
          </cell>
        </row>
        <row r="74">
          <cell r="A74" t="str">
            <v>ADELL</v>
          </cell>
          <cell r="B74">
            <v>202404</v>
          </cell>
          <cell r="D74" t="str">
            <v>Vida Ahorro Particular</v>
          </cell>
          <cell r="G74" t="str">
            <v>Real</v>
          </cell>
        </row>
        <row r="75">
          <cell r="A75" t="str">
            <v>ADELL</v>
          </cell>
          <cell r="B75">
            <v>202404</v>
          </cell>
          <cell r="D75" t="str">
            <v>Vida Riesgo Particular</v>
          </cell>
          <cell r="G75" t="str">
            <v>Real</v>
          </cell>
        </row>
        <row r="76">
          <cell r="A76" t="str">
            <v>ADELL</v>
          </cell>
          <cell r="B76">
            <v>202405</v>
          </cell>
          <cell r="D76" t="str">
            <v>--</v>
          </cell>
          <cell r="G76" t="str">
            <v>Real</v>
          </cell>
        </row>
        <row r="77">
          <cell r="A77" t="str">
            <v>ADELL</v>
          </cell>
          <cell r="B77">
            <v>202405</v>
          </cell>
          <cell r="D77" t="str">
            <v>Autos</v>
          </cell>
          <cell r="G77" t="str">
            <v>Real</v>
          </cell>
        </row>
        <row r="78">
          <cell r="A78" t="str">
            <v>ADELL</v>
          </cell>
          <cell r="B78">
            <v>202405</v>
          </cell>
          <cell r="D78" t="str">
            <v>Caución</v>
          </cell>
          <cell r="G78" t="str">
            <v>Real</v>
          </cell>
        </row>
        <row r="79">
          <cell r="A79" t="str">
            <v>ADELL</v>
          </cell>
          <cell r="B79">
            <v>202405</v>
          </cell>
          <cell r="D79" t="str">
            <v>Flotas</v>
          </cell>
          <cell r="G79" t="str">
            <v>Real</v>
          </cell>
        </row>
        <row r="80">
          <cell r="A80" t="str">
            <v>ADELL</v>
          </cell>
          <cell r="B80">
            <v>202405</v>
          </cell>
          <cell r="D80" t="str">
            <v>Hogar</v>
          </cell>
          <cell r="G80" t="str">
            <v>Real</v>
          </cell>
        </row>
        <row r="81">
          <cell r="A81" t="str">
            <v>ADELL</v>
          </cell>
          <cell r="B81">
            <v>202405</v>
          </cell>
          <cell r="D81" t="str">
            <v>Ingeniería</v>
          </cell>
          <cell r="G81" t="str">
            <v>Real</v>
          </cell>
        </row>
        <row r="82">
          <cell r="A82" t="str">
            <v>ADELL</v>
          </cell>
          <cell r="B82">
            <v>202405</v>
          </cell>
          <cell r="D82" t="str">
            <v>Líneas Financieras</v>
          </cell>
          <cell r="G82" t="str">
            <v>Real</v>
          </cell>
        </row>
        <row r="83">
          <cell r="A83" t="str">
            <v>ADELL</v>
          </cell>
          <cell r="B83">
            <v>202405</v>
          </cell>
          <cell r="D83" t="str">
            <v>Náutica</v>
          </cell>
          <cell r="G83" t="str">
            <v>Real</v>
          </cell>
        </row>
        <row r="84">
          <cell r="A84" t="str">
            <v>ADELL</v>
          </cell>
          <cell r="B84">
            <v>202405</v>
          </cell>
          <cell r="D84" t="str">
            <v>Particulares Resto</v>
          </cell>
          <cell r="G84" t="str">
            <v>Real</v>
          </cell>
        </row>
        <row r="85">
          <cell r="A85" t="str">
            <v>ADELL</v>
          </cell>
          <cell r="B85">
            <v>202405</v>
          </cell>
          <cell r="D85" t="str">
            <v>Property</v>
          </cell>
          <cell r="G85" t="str">
            <v>Real</v>
          </cell>
        </row>
        <row r="86">
          <cell r="A86" t="str">
            <v>ADELL</v>
          </cell>
          <cell r="B86">
            <v>202405</v>
          </cell>
          <cell r="D86" t="str">
            <v>RC</v>
          </cell>
          <cell r="G86" t="str">
            <v>Real</v>
          </cell>
        </row>
        <row r="87">
          <cell r="A87" t="str">
            <v>ADELL</v>
          </cell>
          <cell r="B87">
            <v>202405</v>
          </cell>
          <cell r="D87" t="str">
            <v>Seguros Personales (No Vida) Colectivos</v>
          </cell>
          <cell r="G87" t="str">
            <v>Real</v>
          </cell>
        </row>
        <row r="88">
          <cell r="A88" t="str">
            <v>ADELL</v>
          </cell>
          <cell r="B88">
            <v>202405</v>
          </cell>
          <cell r="D88" t="str">
            <v>Seguros Personales (No Vida) Particular</v>
          </cell>
          <cell r="G88" t="str">
            <v>Real</v>
          </cell>
        </row>
        <row r="89">
          <cell r="A89" t="str">
            <v>ADELL</v>
          </cell>
          <cell r="B89">
            <v>202405</v>
          </cell>
          <cell r="D89" t="str">
            <v>Transporte</v>
          </cell>
          <cell r="G89" t="str">
            <v>Real</v>
          </cell>
        </row>
        <row r="90">
          <cell r="A90" t="str">
            <v>ADELL</v>
          </cell>
          <cell r="B90">
            <v>202405</v>
          </cell>
          <cell r="D90" t="str">
            <v>Venta Cruzada</v>
          </cell>
          <cell r="G90" t="str">
            <v>Real</v>
          </cell>
        </row>
        <row r="91">
          <cell r="A91" t="str">
            <v>ADELL</v>
          </cell>
          <cell r="B91">
            <v>202405</v>
          </cell>
          <cell r="D91" t="str">
            <v>Vida Ahorro Particular</v>
          </cell>
          <cell r="G91" t="str">
            <v>Real</v>
          </cell>
        </row>
        <row r="92">
          <cell r="A92" t="str">
            <v>ADELL</v>
          </cell>
          <cell r="B92">
            <v>202405</v>
          </cell>
          <cell r="D92" t="str">
            <v>Vida Riesgo Particular</v>
          </cell>
          <cell r="G92" t="str">
            <v>Real</v>
          </cell>
        </row>
        <row r="93">
          <cell r="A93" t="str">
            <v>ADELL</v>
          </cell>
          <cell r="B93">
            <v>202406</v>
          </cell>
          <cell r="D93" t="str">
            <v>--</v>
          </cell>
          <cell r="G93" t="str">
            <v>Real</v>
          </cell>
        </row>
        <row r="94">
          <cell r="A94" t="str">
            <v>ADELL</v>
          </cell>
          <cell r="B94">
            <v>202406</v>
          </cell>
          <cell r="D94" t="str">
            <v>Autos</v>
          </cell>
          <cell r="G94" t="str">
            <v>Real</v>
          </cell>
        </row>
        <row r="95">
          <cell r="A95" t="str">
            <v>ADELL</v>
          </cell>
          <cell r="B95">
            <v>202406</v>
          </cell>
          <cell r="D95" t="str">
            <v>Flotas</v>
          </cell>
          <cell r="G95" t="str">
            <v>Real</v>
          </cell>
        </row>
        <row r="96">
          <cell r="A96" t="str">
            <v>ADELL</v>
          </cell>
          <cell r="B96">
            <v>202406</v>
          </cell>
          <cell r="D96" t="str">
            <v>Hogar</v>
          </cell>
          <cell r="G96" t="str">
            <v>Real</v>
          </cell>
        </row>
        <row r="97">
          <cell r="A97" t="str">
            <v>ADELL</v>
          </cell>
          <cell r="B97">
            <v>202406</v>
          </cell>
          <cell r="D97" t="str">
            <v>Líneas Financieras</v>
          </cell>
          <cell r="G97" t="str">
            <v>Real</v>
          </cell>
        </row>
        <row r="98">
          <cell r="A98" t="str">
            <v>ADELL</v>
          </cell>
          <cell r="B98">
            <v>202406</v>
          </cell>
          <cell r="D98" t="str">
            <v>Náutica</v>
          </cell>
          <cell r="G98" t="str">
            <v>Real</v>
          </cell>
        </row>
        <row r="99">
          <cell r="A99" t="str">
            <v>ADELL</v>
          </cell>
          <cell r="B99">
            <v>202406</v>
          </cell>
          <cell r="D99" t="str">
            <v>Particulares Resto</v>
          </cell>
          <cell r="G99" t="str">
            <v>Real</v>
          </cell>
        </row>
        <row r="100">
          <cell r="A100" t="str">
            <v>ADELL</v>
          </cell>
          <cell r="B100">
            <v>202406</v>
          </cell>
          <cell r="D100" t="str">
            <v>Property</v>
          </cell>
          <cell r="G100" t="str">
            <v>Real</v>
          </cell>
        </row>
        <row r="101">
          <cell r="A101" t="str">
            <v>ADELL</v>
          </cell>
          <cell r="B101">
            <v>202406</v>
          </cell>
          <cell r="D101" t="str">
            <v>RC</v>
          </cell>
          <cell r="G101" t="str">
            <v>Real</v>
          </cell>
        </row>
        <row r="102">
          <cell r="A102" t="str">
            <v>ADELL</v>
          </cell>
          <cell r="B102">
            <v>202406</v>
          </cell>
          <cell r="D102" t="str">
            <v>Seguros Personales (No Vida) Colectivos</v>
          </cell>
          <cell r="G102" t="str">
            <v>Real</v>
          </cell>
        </row>
        <row r="103">
          <cell r="A103" t="str">
            <v>ADELL</v>
          </cell>
          <cell r="B103">
            <v>202406</v>
          </cell>
          <cell r="D103" t="str">
            <v>Seguros Personales (No Vida) Particular</v>
          </cell>
          <cell r="G103" t="str">
            <v>Real</v>
          </cell>
        </row>
        <row r="104">
          <cell r="A104" t="str">
            <v>ADELL</v>
          </cell>
          <cell r="B104">
            <v>202406</v>
          </cell>
          <cell r="D104" t="str">
            <v>Transporte</v>
          </cell>
          <cell r="G104" t="str">
            <v>Real</v>
          </cell>
        </row>
        <row r="105">
          <cell r="A105" t="str">
            <v>ADELL</v>
          </cell>
          <cell r="B105">
            <v>202406</v>
          </cell>
          <cell r="D105" t="str">
            <v>Venta Cruzada</v>
          </cell>
          <cell r="G105" t="str">
            <v>Real</v>
          </cell>
        </row>
        <row r="106">
          <cell r="A106" t="str">
            <v>ADELL</v>
          </cell>
          <cell r="B106">
            <v>202406</v>
          </cell>
          <cell r="D106" t="str">
            <v>Vida Ahorro Particular</v>
          </cell>
          <cell r="G106" t="str">
            <v>Real</v>
          </cell>
        </row>
        <row r="107">
          <cell r="A107" t="str">
            <v>ADELL</v>
          </cell>
          <cell r="B107">
            <v>202406</v>
          </cell>
          <cell r="D107" t="str">
            <v>Vida Riesgo Particular</v>
          </cell>
          <cell r="G107" t="str">
            <v>Real</v>
          </cell>
        </row>
        <row r="108">
          <cell r="A108" t="str">
            <v>ADELL</v>
          </cell>
          <cell r="B108">
            <v>202407</v>
          </cell>
          <cell r="D108" t="str">
            <v>--</v>
          </cell>
          <cell r="G108" t="str">
            <v>Real</v>
          </cell>
        </row>
        <row r="109">
          <cell r="A109" t="str">
            <v>ADELL</v>
          </cell>
          <cell r="B109">
            <v>202407</v>
          </cell>
          <cell r="D109" t="str">
            <v>Autos</v>
          </cell>
          <cell r="G109" t="str">
            <v>Real</v>
          </cell>
        </row>
        <row r="110">
          <cell r="A110" t="str">
            <v>ADELL</v>
          </cell>
          <cell r="B110">
            <v>202407</v>
          </cell>
          <cell r="D110" t="str">
            <v>Crédito Internacional</v>
          </cell>
          <cell r="G110" t="str">
            <v>Real</v>
          </cell>
        </row>
        <row r="111">
          <cell r="A111" t="str">
            <v>ADELL</v>
          </cell>
          <cell r="B111">
            <v>202407</v>
          </cell>
          <cell r="D111" t="str">
            <v>Hogar</v>
          </cell>
          <cell r="G111" t="str">
            <v>Real</v>
          </cell>
        </row>
        <row r="112">
          <cell r="A112" t="str">
            <v>ADELL</v>
          </cell>
          <cell r="B112">
            <v>202407</v>
          </cell>
          <cell r="D112" t="str">
            <v>Líneas Financieras</v>
          </cell>
          <cell r="G112" t="str">
            <v>Real</v>
          </cell>
        </row>
        <row r="113">
          <cell r="A113" t="str">
            <v>ADELL</v>
          </cell>
          <cell r="B113">
            <v>202407</v>
          </cell>
          <cell r="D113" t="str">
            <v>Náutica</v>
          </cell>
          <cell r="G113" t="str">
            <v>Real</v>
          </cell>
        </row>
        <row r="114">
          <cell r="A114" t="str">
            <v>ADELL</v>
          </cell>
          <cell r="B114">
            <v>202407</v>
          </cell>
          <cell r="D114" t="str">
            <v>Particulares Resto</v>
          </cell>
          <cell r="G114" t="str">
            <v>Real</v>
          </cell>
        </row>
        <row r="115">
          <cell r="A115" t="str">
            <v>ADELL</v>
          </cell>
          <cell r="B115">
            <v>202407</v>
          </cell>
          <cell r="D115" t="str">
            <v>Property</v>
          </cell>
          <cell r="G115" t="str">
            <v>Real</v>
          </cell>
        </row>
        <row r="116">
          <cell r="A116" t="str">
            <v>ADELL</v>
          </cell>
          <cell r="B116">
            <v>202407</v>
          </cell>
          <cell r="D116" t="str">
            <v>RC</v>
          </cell>
          <cell r="G116" t="str">
            <v>Real</v>
          </cell>
        </row>
        <row r="117">
          <cell r="A117" t="str">
            <v>ADELL</v>
          </cell>
          <cell r="B117">
            <v>202407</v>
          </cell>
          <cell r="D117" t="str">
            <v>Seguros Personales (No Vida) Colectivos</v>
          </cell>
          <cell r="G117" t="str">
            <v>Real</v>
          </cell>
        </row>
        <row r="118">
          <cell r="A118" t="str">
            <v>ADELL</v>
          </cell>
          <cell r="B118">
            <v>202407</v>
          </cell>
          <cell r="D118" t="str">
            <v>Seguros Personales (No Vida) Particular</v>
          </cell>
          <cell r="G118" t="str">
            <v>Real</v>
          </cell>
        </row>
        <row r="119">
          <cell r="A119" t="str">
            <v>ADELL</v>
          </cell>
          <cell r="B119">
            <v>202407</v>
          </cell>
          <cell r="D119" t="str">
            <v>Transporte</v>
          </cell>
          <cell r="G119" t="str">
            <v>Real</v>
          </cell>
        </row>
        <row r="120">
          <cell r="A120" t="str">
            <v>ADELL</v>
          </cell>
          <cell r="B120">
            <v>202407</v>
          </cell>
          <cell r="D120" t="str">
            <v>Venta Cruzada</v>
          </cell>
          <cell r="G120" t="str">
            <v>Real</v>
          </cell>
        </row>
        <row r="121">
          <cell r="A121" t="str">
            <v>ADELL</v>
          </cell>
          <cell r="B121">
            <v>202407</v>
          </cell>
          <cell r="D121" t="str">
            <v>Vida Ahorro Particular</v>
          </cell>
          <cell r="G121" t="str">
            <v>Real</v>
          </cell>
        </row>
        <row r="122">
          <cell r="A122" t="str">
            <v>ADELL</v>
          </cell>
          <cell r="B122">
            <v>202407</v>
          </cell>
          <cell r="D122" t="str">
            <v>Vida Riesgo Particular</v>
          </cell>
          <cell r="G122" t="str">
            <v>Real</v>
          </cell>
        </row>
        <row r="123">
          <cell r="A123" t="str">
            <v>ADELL</v>
          </cell>
          <cell r="B123">
            <v>202408</v>
          </cell>
          <cell r="D123" t="str">
            <v>--</v>
          </cell>
          <cell r="G123" t="str">
            <v>Real</v>
          </cell>
        </row>
        <row r="124">
          <cell r="A124" t="str">
            <v>ADELL</v>
          </cell>
          <cell r="B124">
            <v>202408</v>
          </cell>
          <cell r="D124" t="str">
            <v>Autos</v>
          </cell>
          <cell r="G124" t="str">
            <v>Real</v>
          </cell>
        </row>
        <row r="125">
          <cell r="A125" t="str">
            <v>ADELL</v>
          </cell>
          <cell r="B125">
            <v>202408</v>
          </cell>
          <cell r="D125" t="str">
            <v>Caución</v>
          </cell>
          <cell r="G125" t="str">
            <v>Real</v>
          </cell>
        </row>
        <row r="126">
          <cell r="A126" t="str">
            <v>ADELL</v>
          </cell>
          <cell r="B126">
            <v>202408</v>
          </cell>
          <cell r="D126" t="str">
            <v>Crédito Internacional</v>
          </cell>
          <cell r="G126" t="str">
            <v>Real</v>
          </cell>
        </row>
        <row r="127">
          <cell r="A127" t="str">
            <v>ADELL</v>
          </cell>
          <cell r="B127">
            <v>202408</v>
          </cell>
          <cell r="D127" t="str">
            <v>Hogar</v>
          </cell>
          <cell r="G127" t="str">
            <v>Real</v>
          </cell>
        </row>
        <row r="128">
          <cell r="A128" t="str">
            <v>ADELL</v>
          </cell>
          <cell r="B128">
            <v>202408</v>
          </cell>
          <cell r="D128" t="str">
            <v>Náutica</v>
          </cell>
          <cell r="G128" t="str">
            <v>Real</v>
          </cell>
        </row>
        <row r="129">
          <cell r="A129" t="str">
            <v>ADELL</v>
          </cell>
          <cell r="B129">
            <v>202408</v>
          </cell>
          <cell r="D129" t="str">
            <v>Particulares Resto</v>
          </cell>
          <cell r="G129" t="str">
            <v>Real</v>
          </cell>
        </row>
        <row r="130">
          <cell r="A130" t="str">
            <v>ADELL</v>
          </cell>
          <cell r="B130">
            <v>202408</v>
          </cell>
          <cell r="D130" t="str">
            <v>Property</v>
          </cell>
          <cell r="G130" t="str">
            <v>Real</v>
          </cell>
        </row>
        <row r="131">
          <cell r="A131" t="str">
            <v>ADELL</v>
          </cell>
          <cell r="B131">
            <v>202408</v>
          </cell>
          <cell r="D131" t="str">
            <v>RC</v>
          </cell>
          <cell r="G131" t="str">
            <v>Real</v>
          </cell>
        </row>
        <row r="132">
          <cell r="A132" t="str">
            <v>ADELL</v>
          </cell>
          <cell r="B132">
            <v>202408</v>
          </cell>
          <cell r="D132" t="str">
            <v>Seguros Personales (No Vida) Colectivos</v>
          </cell>
          <cell r="G132" t="str">
            <v>Real</v>
          </cell>
        </row>
        <row r="133">
          <cell r="A133" t="str">
            <v>ADELL</v>
          </cell>
          <cell r="B133">
            <v>202408</v>
          </cell>
          <cell r="D133" t="str">
            <v>Seguros Personales (No Vida) Particular</v>
          </cell>
          <cell r="G133" t="str">
            <v>Real</v>
          </cell>
        </row>
        <row r="134">
          <cell r="A134" t="str">
            <v>ADELL</v>
          </cell>
          <cell r="B134">
            <v>202408</v>
          </cell>
          <cell r="D134" t="str">
            <v>Venta Cruzada</v>
          </cell>
          <cell r="G134" t="str">
            <v>Real</v>
          </cell>
        </row>
        <row r="135">
          <cell r="A135" t="str">
            <v>ADELL</v>
          </cell>
          <cell r="B135">
            <v>202408</v>
          </cell>
          <cell r="D135" t="str">
            <v>Vida Ahorro Particular</v>
          </cell>
          <cell r="G135" t="str">
            <v>Real</v>
          </cell>
        </row>
        <row r="136">
          <cell r="A136" t="str">
            <v>ADELL</v>
          </cell>
          <cell r="B136">
            <v>202408</v>
          </cell>
          <cell r="D136" t="str">
            <v>Vida Riesgo Particular</v>
          </cell>
          <cell r="G136" t="str">
            <v>Real</v>
          </cell>
        </row>
        <row r="137">
          <cell r="A137" t="str">
            <v>ADELL</v>
          </cell>
          <cell r="B137">
            <v>202409</v>
          </cell>
          <cell r="D137" t="str">
            <v>--</v>
          </cell>
          <cell r="G137" t="str">
            <v>Real</v>
          </cell>
        </row>
        <row r="138">
          <cell r="A138" t="str">
            <v>ADELL</v>
          </cell>
          <cell r="B138">
            <v>202409</v>
          </cell>
          <cell r="D138" t="str">
            <v>Autos</v>
          </cell>
          <cell r="G138" t="str">
            <v>Real</v>
          </cell>
        </row>
        <row r="139">
          <cell r="A139" t="str">
            <v>ADELL</v>
          </cell>
          <cell r="B139">
            <v>202409</v>
          </cell>
          <cell r="D139" t="str">
            <v>Caución</v>
          </cell>
          <cell r="G139" t="str">
            <v>Real</v>
          </cell>
        </row>
        <row r="140">
          <cell r="A140" t="str">
            <v>ADELL</v>
          </cell>
          <cell r="B140">
            <v>202409</v>
          </cell>
          <cell r="D140" t="str">
            <v>Hogar</v>
          </cell>
          <cell r="G140" t="str">
            <v>Real</v>
          </cell>
        </row>
        <row r="141">
          <cell r="A141" t="str">
            <v>ADELL</v>
          </cell>
          <cell r="B141">
            <v>202409</v>
          </cell>
          <cell r="D141" t="str">
            <v>Ingeniería</v>
          </cell>
          <cell r="G141" t="str">
            <v>Real</v>
          </cell>
        </row>
        <row r="142">
          <cell r="A142" t="str">
            <v>ADELL</v>
          </cell>
          <cell r="B142">
            <v>202409</v>
          </cell>
          <cell r="D142" t="str">
            <v>Líneas Financieras</v>
          </cell>
          <cell r="G142" t="str">
            <v>Real</v>
          </cell>
        </row>
        <row r="143">
          <cell r="A143" t="str">
            <v>ADELL</v>
          </cell>
          <cell r="B143">
            <v>202409</v>
          </cell>
          <cell r="D143" t="str">
            <v>Náutica</v>
          </cell>
          <cell r="G143" t="str">
            <v>Real</v>
          </cell>
        </row>
        <row r="144">
          <cell r="A144" t="str">
            <v>ADELL</v>
          </cell>
          <cell r="B144">
            <v>202409</v>
          </cell>
          <cell r="D144" t="str">
            <v>Particulares Resto</v>
          </cell>
          <cell r="G144" t="str">
            <v>Real</v>
          </cell>
        </row>
        <row r="145">
          <cell r="A145" t="str">
            <v>ADELL</v>
          </cell>
          <cell r="B145">
            <v>202409</v>
          </cell>
          <cell r="D145" t="str">
            <v>Property</v>
          </cell>
          <cell r="G145" t="str">
            <v>Real</v>
          </cell>
        </row>
        <row r="146">
          <cell r="A146" t="str">
            <v>ADELL</v>
          </cell>
          <cell r="B146">
            <v>202409</v>
          </cell>
          <cell r="D146" t="str">
            <v>RC</v>
          </cell>
          <cell r="G146" t="str">
            <v>Real</v>
          </cell>
        </row>
        <row r="147">
          <cell r="A147" t="str">
            <v>ADELL</v>
          </cell>
          <cell r="B147">
            <v>202409</v>
          </cell>
          <cell r="D147" t="str">
            <v>Seguros Personales (No Vida) Colectivos</v>
          </cell>
          <cell r="G147" t="str">
            <v>Real</v>
          </cell>
        </row>
        <row r="148">
          <cell r="A148" t="str">
            <v>ADELL</v>
          </cell>
          <cell r="B148">
            <v>202409</v>
          </cell>
          <cell r="D148" t="str">
            <v>Seguros Personales (No Vida) Particular</v>
          </cell>
          <cell r="G148" t="str">
            <v>Real</v>
          </cell>
        </row>
        <row r="149">
          <cell r="A149" t="str">
            <v>ADELL</v>
          </cell>
          <cell r="B149">
            <v>202409</v>
          </cell>
          <cell r="D149" t="str">
            <v>Transporte</v>
          </cell>
          <cell r="G149" t="str">
            <v>Real</v>
          </cell>
        </row>
        <row r="150">
          <cell r="A150" t="str">
            <v>ADELL</v>
          </cell>
          <cell r="B150">
            <v>202409</v>
          </cell>
          <cell r="D150" t="str">
            <v>Vida Ahorro Particular</v>
          </cell>
          <cell r="G150" t="str">
            <v>Real</v>
          </cell>
        </row>
        <row r="151">
          <cell r="A151" t="str">
            <v>ADELL</v>
          </cell>
          <cell r="B151">
            <v>202409</v>
          </cell>
          <cell r="D151" t="str">
            <v>Vida Riesgo Particular</v>
          </cell>
          <cell r="G151" t="str">
            <v>Real</v>
          </cell>
        </row>
        <row r="152">
          <cell r="A152" t="str">
            <v>ADELL</v>
          </cell>
          <cell r="B152">
            <v>202410</v>
          </cell>
          <cell r="D152" t="str">
            <v>--</v>
          </cell>
          <cell r="G152" t="str">
            <v>Real</v>
          </cell>
        </row>
        <row r="153">
          <cell r="A153" t="str">
            <v>ADELL</v>
          </cell>
          <cell r="B153">
            <v>202410</v>
          </cell>
          <cell r="D153" t="str">
            <v>Autos</v>
          </cell>
          <cell r="G153" t="str">
            <v>Real</v>
          </cell>
        </row>
        <row r="154">
          <cell r="A154" t="str">
            <v>ADELL</v>
          </cell>
          <cell r="B154">
            <v>202410</v>
          </cell>
          <cell r="D154" t="str">
            <v>Crédito Internacional</v>
          </cell>
          <cell r="G154" t="str">
            <v>Real</v>
          </cell>
        </row>
        <row r="155">
          <cell r="A155" t="str">
            <v>ADELL</v>
          </cell>
          <cell r="B155">
            <v>202410</v>
          </cell>
          <cell r="D155" t="str">
            <v>Hogar</v>
          </cell>
          <cell r="G155" t="str">
            <v>Real</v>
          </cell>
        </row>
        <row r="156">
          <cell r="A156" t="str">
            <v>ADELL</v>
          </cell>
          <cell r="B156">
            <v>202410</v>
          </cell>
          <cell r="D156" t="str">
            <v>Ingeniería</v>
          </cell>
          <cell r="G156" t="str">
            <v>Real</v>
          </cell>
        </row>
        <row r="157">
          <cell r="A157" t="str">
            <v>ADELL</v>
          </cell>
          <cell r="B157">
            <v>202410</v>
          </cell>
          <cell r="D157" t="str">
            <v>Líneas Financieras</v>
          </cell>
          <cell r="G157" t="str">
            <v>Real</v>
          </cell>
        </row>
        <row r="158">
          <cell r="A158" t="str">
            <v>ADELL</v>
          </cell>
          <cell r="B158">
            <v>202410</v>
          </cell>
          <cell r="D158" t="str">
            <v>Náutica</v>
          </cell>
          <cell r="G158" t="str">
            <v>Real</v>
          </cell>
        </row>
        <row r="159">
          <cell r="A159" t="str">
            <v>ADELL</v>
          </cell>
          <cell r="B159">
            <v>202410</v>
          </cell>
          <cell r="D159" t="str">
            <v>Particulares Resto</v>
          </cell>
          <cell r="G159" t="str">
            <v>Real</v>
          </cell>
        </row>
        <row r="160">
          <cell r="A160" t="str">
            <v>ADELL</v>
          </cell>
          <cell r="B160">
            <v>202410</v>
          </cell>
          <cell r="D160" t="str">
            <v>Property</v>
          </cell>
          <cell r="G160" t="str">
            <v>Real</v>
          </cell>
        </row>
        <row r="161">
          <cell r="A161" t="str">
            <v>ADELL</v>
          </cell>
          <cell r="B161">
            <v>202410</v>
          </cell>
          <cell r="D161" t="str">
            <v>RC</v>
          </cell>
          <cell r="G161" t="str">
            <v>Real</v>
          </cell>
        </row>
        <row r="162">
          <cell r="A162" t="str">
            <v>ADELL</v>
          </cell>
          <cell r="B162">
            <v>202410</v>
          </cell>
          <cell r="D162" t="str">
            <v>Seguros Personales (No Vida) Colectivos</v>
          </cell>
          <cell r="G162" t="str">
            <v>Real</v>
          </cell>
        </row>
        <row r="163">
          <cell r="A163" t="str">
            <v>ADELL</v>
          </cell>
          <cell r="B163">
            <v>202410</v>
          </cell>
          <cell r="D163" t="str">
            <v>Seguros Personales (No Vida) Particular</v>
          </cell>
          <cell r="G163" t="str">
            <v>Real</v>
          </cell>
        </row>
        <row r="164">
          <cell r="A164" t="str">
            <v>ADELL</v>
          </cell>
          <cell r="B164">
            <v>202410</v>
          </cell>
          <cell r="D164" t="str">
            <v>Transporte</v>
          </cell>
          <cell r="G164" t="str">
            <v>Real</v>
          </cell>
        </row>
        <row r="165">
          <cell r="A165" t="str">
            <v>ADELL</v>
          </cell>
          <cell r="B165">
            <v>202410</v>
          </cell>
          <cell r="D165" t="str">
            <v>Venta Cruzada</v>
          </cell>
          <cell r="G165" t="str">
            <v>Real</v>
          </cell>
        </row>
        <row r="166">
          <cell r="A166" t="str">
            <v>ADELL</v>
          </cell>
          <cell r="B166">
            <v>202410</v>
          </cell>
          <cell r="D166" t="str">
            <v>Vida Ahorro Particular</v>
          </cell>
          <cell r="G166" t="str">
            <v>Real</v>
          </cell>
        </row>
        <row r="167">
          <cell r="A167" t="str">
            <v>ADELL</v>
          </cell>
          <cell r="B167">
            <v>202410</v>
          </cell>
          <cell r="D167" t="str">
            <v>Vida Riesgo Colectivo</v>
          </cell>
          <cell r="G167" t="str">
            <v>Real</v>
          </cell>
        </row>
        <row r="168">
          <cell r="A168" t="str">
            <v>ADELL</v>
          </cell>
          <cell r="B168">
            <v>202410</v>
          </cell>
          <cell r="D168" t="str">
            <v>Vida Riesgo Particular</v>
          </cell>
          <cell r="G168" t="str">
            <v>Real</v>
          </cell>
        </row>
        <row r="169">
          <cell r="A169" t="str">
            <v>ADELL</v>
          </cell>
          <cell r="B169">
            <v>202411</v>
          </cell>
          <cell r="D169" t="str">
            <v>--</v>
          </cell>
          <cell r="G169" t="str">
            <v>Real</v>
          </cell>
        </row>
        <row r="170">
          <cell r="A170" t="str">
            <v>ADELL</v>
          </cell>
          <cell r="B170">
            <v>202411</v>
          </cell>
          <cell r="D170" t="str">
            <v>Autos</v>
          </cell>
          <cell r="G170" t="str">
            <v>Real</v>
          </cell>
        </row>
        <row r="171">
          <cell r="A171" t="str">
            <v>ADELL</v>
          </cell>
          <cell r="B171">
            <v>202411</v>
          </cell>
          <cell r="D171" t="str">
            <v>Hogar</v>
          </cell>
          <cell r="G171" t="str">
            <v>Real</v>
          </cell>
        </row>
        <row r="172">
          <cell r="A172" t="str">
            <v>ADELL</v>
          </cell>
          <cell r="B172">
            <v>202411</v>
          </cell>
          <cell r="D172" t="str">
            <v>Líneas Financieras</v>
          </cell>
          <cell r="G172" t="str">
            <v>Real</v>
          </cell>
        </row>
        <row r="173">
          <cell r="A173" t="str">
            <v>ADELL</v>
          </cell>
          <cell r="B173">
            <v>202411</v>
          </cell>
          <cell r="D173" t="str">
            <v>Náutica</v>
          </cell>
          <cell r="G173" t="str">
            <v>Real</v>
          </cell>
        </row>
        <row r="174">
          <cell r="A174" t="str">
            <v>ADELL</v>
          </cell>
          <cell r="B174">
            <v>202411</v>
          </cell>
          <cell r="D174" t="str">
            <v>Particulares Resto</v>
          </cell>
          <cell r="G174" t="str">
            <v>Real</v>
          </cell>
        </row>
        <row r="175">
          <cell r="A175" t="str">
            <v>ADELL</v>
          </cell>
          <cell r="B175">
            <v>202411</v>
          </cell>
          <cell r="D175" t="str">
            <v>Property</v>
          </cell>
          <cell r="G175" t="str">
            <v>Real</v>
          </cell>
        </row>
        <row r="176">
          <cell r="A176" t="str">
            <v>ADELL</v>
          </cell>
          <cell r="B176">
            <v>202411</v>
          </cell>
          <cell r="D176" t="str">
            <v>RC</v>
          </cell>
          <cell r="G176" t="str">
            <v>Real</v>
          </cell>
        </row>
        <row r="177">
          <cell r="A177" t="str">
            <v>ADELL</v>
          </cell>
          <cell r="B177">
            <v>202411</v>
          </cell>
          <cell r="D177" t="str">
            <v>Seguros Personales (No Vida) Colectivos</v>
          </cell>
          <cell r="G177" t="str">
            <v>Real</v>
          </cell>
        </row>
        <row r="178">
          <cell r="A178" t="str">
            <v>ADELL</v>
          </cell>
          <cell r="B178">
            <v>202411</v>
          </cell>
          <cell r="D178" t="str">
            <v>Seguros Personales (No Vida) Particular</v>
          </cell>
          <cell r="G178" t="str">
            <v>Real</v>
          </cell>
        </row>
        <row r="179">
          <cell r="A179" t="str">
            <v>ADELL</v>
          </cell>
          <cell r="B179">
            <v>202411</v>
          </cell>
          <cell r="D179" t="str">
            <v>Transporte</v>
          </cell>
          <cell r="G179" t="str">
            <v>Real</v>
          </cell>
        </row>
        <row r="180">
          <cell r="A180" t="str">
            <v>ADELL</v>
          </cell>
          <cell r="B180">
            <v>202411</v>
          </cell>
          <cell r="D180" t="str">
            <v>Venta Cruzada</v>
          </cell>
          <cell r="G180" t="str">
            <v>Real</v>
          </cell>
        </row>
        <row r="181">
          <cell r="A181" t="str">
            <v>ADELL</v>
          </cell>
          <cell r="B181">
            <v>202411</v>
          </cell>
          <cell r="D181" t="str">
            <v>Vida Ahorro Particular</v>
          </cell>
          <cell r="G181" t="str">
            <v>Real</v>
          </cell>
        </row>
        <row r="182">
          <cell r="A182" t="str">
            <v>ADELL</v>
          </cell>
          <cell r="B182">
            <v>202411</v>
          </cell>
          <cell r="D182" t="str">
            <v>Vida Riesgo Particular</v>
          </cell>
          <cell r="G182" t="str">
            <v>Real</v>
          </cell>
        </row>
        <row r="183">
          <cell r="A183" t="str">
            <v>ADELL</v>
          </cell>
          <cell r="B183">
            <v>202412</v>
          </cell>
          <cell r="D183" t="str">
            <v>--</v>
          </cell>
          <cell r="G183" t="str">
            <v>Real</v>
          </cell>
        </row>
        <row r="184">
          <cell r="A184" t="str">
            <v>ADELL</v>
          </cell>
          <cell r="B184">
            <v>202412</v>
          </cell>
          <cell r="D184" t="str">
            <v>Autos</v>
          </cell>
          <cell r="G184" t="str">
            <v>Real</v>
          </cell>
        </row>
        <row r="185">
          <cell r="A185" t="str">
            <v>ADELL</v>
          </cell>
          <cell r="B185">
            <v>202412</v>
          </cell>
          <cell r="D185" t="str">
            <v>Flotas</v>
          </cell>
          <cell r="G185" t="str">
            <v>Real</v>
          </cell>
        </row>
        <row r="186">
          <cell r="A186" t="str">
            <v>ADELL</v>
          </cell>
          <cell r="B186">
            <v>202412</v>
          </cell>
          <cell r="D186" t="str">
            <v>Hogar</v>
          </cell>
          <cell r="G186" t="str">
            <v>Real</v>
          </cell>
        </row>
        <row r="187">
          <cell r="A187" t="str">
            <v>ADELL</v>
          </cell>
          <cell r="B187">
            <v>202412</v>
          </cell>
          <cell r="D187" t="str">
            <v>Ingeniería</v>
          </cell>
          <cell r="G187" t="str">
            <v>Real</v>
          </cell>
        </row>
        <row r="188">
          <cell r="A188" t="str">
            <v>ADELL</v>
          </cell>
          <cell r="B188">
            <v>202412</v>
          </cell>
          <cell r="D188" t="str">
            <v>Líneas Financieras</v>
          </cell>
          <cell r="G188" t="str">
            <v>Real</v>
          </cell>
        </row>
        <row r="189">
          <cell r="A189" t="str">
            <v>ADELL</v>
          </cell>
          <cell r="B189">
            <v>202412</v>
          </cell>
          <cell r="D189" t="str">
            <v>Náutica</v>
          </cell>
          <cell r="G189" t="str">
            <v>Real</v>
          </cell>
        </row>
        <row r="190">
          <cell r="A190" t="str">
            <v>ADELL</v>
          </cell>
          <cell r="B190">
            <v>202412</v>
          </cell>
          <cell r="D190" t="str">
            <v>Particulares Resto</v>
          </cell>
          <cell r="G190" t="str">
            <v>Real</v>
          </cell>
        </row>
        <row r="191">
          <cell r="A191" t="str">
            <v>ADELL</v>
          </cell>
          <cell r="B191">
            <v>202412</v>
          </cell>
          <cell r="D191" t="str">
            <v>Property</v>
          </cell>
          <cell r="G191" t="str">
            <v>Real</v>
          </cell>
        </row>
        <row r="192">
          <cell r="A192" t="str">
            <v>ADELL</v>
          </cell>
          <cell r="B192">
            <v>202412</v>
          </cell>
          <cell r="D192" t="str">
            <v>RC</v>
          </cell>
          <cell r="G192" t="str">
            <v>Real</v>
          </cell>
        </row>
        <row r="193">
          <cell r="A193" t="str">
            <v>ADELL</v>
          </cell>
          <cell r="B193">
            <v>202412</v>
          </cell>
          <cell r="D193" t="str">
            <v>Seguros Personales (No Vida) Colectivos</v>
          </cell>
          <cell r="G193" t="str">
            <v>Real</v>
          </cell>
        </row>
        <row r="194">
          <cell r="A194" t="str">
            <v>ADELL</v>
          </cell>
          <cell r="B194">
            <v>202412</v>
          </cell>
          <cell r="D194" t="str">
            <v>Seguros Personales (No Vida) Particular</v>
          </cell>
          <cell r="G194" t="str">
            <v>Real</v>
          </cell>
        </row>
        <row r="195">
          <cell r="A195" t="str">
            <v>ADELL</v>
          </cell>
          <cell r="B195">
            <v>202412</v>
          </cell>
          <cell r="D195" t="str">
            <v>Transporte</v>
          </cell>
          <cell r="G195" t="str">
            <v>Real</v>
          </cell>
        </row>
        <row r="196">
          <cell r="A196" t="str">
            <v>ADELL</v>
          </cell>
          <cell r="B196">
            <v>202412</v>
          </cell>
          <cell r="D196" t="str">
            <v>Venta Cruzada</v>
          </cell>
          <cell r="G196" t="str">
            <v>Real</v>
          </cell>
        </row>
        <row r="197">
          <cell r="A197" t="str">
            <v>ADELL</v>
          </cell>
          <cell r="B197">
            <v>202412</v>
          </cell>
          <cell r="D197" t="str">
            <v>Vida Ahorro Particular</v>
          </cell>
          <cell r="G197" t="str">
            <v>Real</v>
          </cell>
        </row>
        <row r="198">
          <cell r="A198" t="str">
            <v>ADELL</v>
          </cell>
          <cell r="B198">
            <v>202412</v>
          </cell>
          <cell r="D198" t="str">
            <v>Vida Riesgo Colectivo</v>
          </cell>
          <cell r="G198" t="str">
            <v>Real</v>
          </cell>
        </row>
        <row r="199">
          <cell r="A199" t="str">
            <v>ADELL</v>
          </cell>
          <cell r="B199">
            <v>202412</v>
          </cell>
          <cell r="D199" t="str">
            <v>Vida Riesgo Particular</v>
          </cell>
          <cell r="G199" t="str">
            <v>Real</v>
          </cell>
        </row>
        <row r="200">
          <cell r="A200" t="str">
            <v>ADELL</v>
          </cell>
          <cell r="B200">
            <v>202501</v>
          </cell>
          <cell r="D200" t="str">
            <v>--</v>
          </cell>
          <cell r="G200" t="str">
            <v>Presupuesto</v>
          </cell>
        </row>
        <row r="201">
          <cell r="A201" t="str">
            <v>ADELL</v>
          </cell>
          <cell r="B201">
            <v>202501</v>
          </cell>
          <cell r="D201" t="str">
            <v>--</v>
          </cell>
          <cell r="G201" t="str">
            <v>Real</v>
          </cell>
        </row>
        <row r="202">
          <cell r="A202" t="str">
            <v>ADELL</v>
          </cell>
          <cell r="B202">
            <v>202501</v>
          </cell>
          <cell r="D202" t="str">
            <v>Arte</v>
          </cell>
          <cell r="G202" t="str">
            <v>Presupuesto</v>
          </cell>
        </row>
        <row r="203">
          <cell r="A203" t="str">
            <v>ADELL</v>
          </cell>
          <cell r="B203">
            <v>202501</v>
          </cell>
          <cell r="D203" t="str">
            <v>Autos</v>
          </cell>
          <cell r="G203" t="str">
            <v>Presupuesto</v>
          </cell>
        </row>
        <row r="204">
          <cell r="A204" t="str">
            <v>ADELL</v>
          </cell>
          <cell r="B204">
            <v>202501</v>
          </cell>
          <cell r="D204" t="str">
            <v>Autos</v>
          </cell>
          <cell r="G204" t="str">
            <v>Real</v>
          </cell>
        </row>
        <row r="205">
          <cell r="A205" t="str">
            <v>ADELL</v>
          </cell>
          <cell r="B205">
            <v>202501</v>
          </cell>
          <cell r="D205" t="str">
            <v>B2B2C</v>
          </cell>
          <cell r="G205" t="str">
            <v>Presupuesto</v>
          </cell>
        </row>
        <row r="206">
          <cell r="A206" t="str">
            <v>ADELL</v>
          </cell>
          <cell r="B206">
            <v>202501</v>
          </cell>
          <cell r="D206" t="str">
            <v>Caución</v>
          </cell>
          <cell r="G206" t="str">
            <v>Presupuesto</v>
          </cell>
        </row>
        <row r="207">
          <cell r="A207" t="str">
            <v>ADELL</v>
          </cell>
          <cell r="B207">
            <v>202501</v>
          </cell>
          <cell r="D207" t="str">
            <v>Crédito Internacional</v>
          </cell>
          <cell r="G207" t="str">
            <v>Presupuesto</v>
          </cell>
        </row>
        <row r="208">
          <cell r="A208" t="str">
            <v>ADELL</v>
          </cell>
          <cell r="B208">
            <v>202501</v>
          </cell>
          <cell r="D208" t="str">
            <v>Crédito Internacional</v>
          </cell>
          <cell r="G208" t="str">
            <v>Real</v>
          </cell>
        </row>
        <row r="209">
          <cell r="A209" t="str">
            <v>ADELL</v>
          </cell>
          <cell r="B209">
            <v>202501</v>
          </cell>
          <cell r="D209" t="str">
            <v>Crédito Nacional</v>
          </cell>
          <cell r="G209" t="str">
            <v>Presupuesto</v>
          </cell>
        </row>
        <row r="210">
          <cell r="A210" t="str">
            <v>ADELL</v>
          </cell>
          <cell r="B210">
            <v>202501</v>
          </cell>
          <cell r="D210" t="str">
            <v>Eventos</v>
          </cell>
          <cell r="G210" t="str">
            <v>Presupuesto</v>
          </cell>
        </row>
        <row r="211">
          <cell r="A211" t="str">
            <v>ADELL</v>
          </cell>
          <cell r="B211">
            <v>202501</v>
          </cell>
          <cell r="D211" t="str">
            <v>Flotas</v>
          </cell>
          <cell r="G211" t="str">
            <v>Presupuesto</v>
          </cell>
        </row>
        <row r="212">
          <cell r="A212" t="str">
            <v>ADELL</v>
          </cell>
          <cell r="B212">
            <v>202501</v>
          </cell>
          <cell r="D212" t="str">
            <v>Flotas</v>
          </cell>
          <cell r="G212" t="str">
            <v>Real</v>
          </cell>
        </row>
        <row r="213">
          <cell r="A213" t="str">
            <v>ADELL</v>
          </cell>
          <cell r="B213">
            <v>202501</v>
          </cell>
          <cell r="D213" t="str">
            <v>Hogar</v>
          </cell>
          <cell r="G213" t="str">
            <v>Presupuesto</v>
          </cell>
        </row>
        <row r="214">
          <cell r="A214" t="str">
            <v>ADELL</v>
          </cell>
          <cell r="B214">
            <v>202501</v>
          </cell>
          <cell r="D214" t="str">
            <v>Hogar</v>
          </cell>
          <cell r="G214" t="str">
            <v>Real</v>
          </cell>
        </row>
        <row r="215">
          <cell r="A215" t="str">
            <v>ADELL</v>
          </cell>
          <cell r="B215">
            <v>202501</v>
          </cell>
          <cell r="D215" t="str">
            <v>Ingeniería</v>
          </cell>
          <cell r="G215" t="str">
            <v>Presupuesto</v>
          </cell>
        </row>
        <row r="216">
          <cell r="A216" t="str">
            <v>ADELL</v>
          </cell>
          <cell r="B216">
            <v>202501</v>
          </cell>
          <cell r="D216" t="str">
            <v>Ingeniería</v>
          </cell>
          <cell r="G216" t="str">
            <v>Real</v>
          </cell>
        </row>
        <row r="217">
          <cell r="A217" t="str">
            <v>ADELL</v>
          </cell>
          <cell r="B217">
            <v>202501</v>
          </cell>
          <cell r="D217" t="str">
            <v>Inmobiliario</v>
          </cell>
          <cell r="G217" t="str">
            <v>Presupuesto</v>
          </cell>
        </row>
        <row r="218">
          <cell r="A218" t="str">
            <v>ADELL</v>
          </cell>
          <cell r="B218">
            <v>202501</v>
          </cell>
          <cell r="D218" t="str">
            <v>Líneas Financieras</v>
          </cell>
          <cell r="G218" t="str">
            <v>Presupuesto</v>
          </cell>
        </row>
        <row r="219">
          <cell r="A219" t="str">
            <v>ADELL</v>
          </cell>
          <cell r="B219">
            <v>202501</v>
          </cell>
          <cell r="D219" t="str">
            <v>Líneas Financieras</v>
          </cell>
          <cell r="G219" t="str">
            <v>Real</v>
          </cell>
        </row>
        <row r="220">
          <cell r="A220" t="str">
            <v>ADELL</v>
          </cell>
          <cell r="B220">
            <v>202501</v>
          </cell>
          <cell r="D220" t="str">
            <v>Náutica</v>
          </cell>
          <cell r="G220" t="str">
            <v>Presupuesto</v>
          </cell>
        </row>
        <row r="221">
          <cell r="A221" t="str">
            <v>ADELL</v>
          </cell>
          <cell r="B221">
            <v>202501</v>
          </cell>
          <cell r="D221" t="str">
            <v>Náutica</v>
          </cell>
          <cell r="G221" t="str">
            <v>Real</v>
          </cell>
        </row>
        <row r="222">
          <cell r="A222" t="str">
            <v>ADELL</v>
          </cell>
          <cell r="B222">
            <v>202501</v>
          </cell>
          <cell r="D222" t="str">
            <v>Particulares Resto</v>
          </cell>
          <cell r="G222" t="str">
            <v>Presupuesto</v>
          </cell>
        </row>
        <row r="223">
          <cell r="A223" t="str">
            <v>ADELL</v>
          </cell>
          <cell r="B223">
            <v>202501</v>
          </cell>
          <cell r="D223" t="str">
            <v>Particulares Resto</v>
          </cell>
          <cell r="G223" t="str">
            <v>Real</v>
          </cell>
        </row>
        <row r="224">
          <cell r="A224" t="str">
            <v>ADELL</v>
          </cell>
          <cell r="B224">
            <v>202501</v>
          </cell>
          <cell r="D224" t="str">
            <v>Property</v>
          </cell>
          <cell r="G224" t="str">
            <v>Presupuesto</v>
          </cell>
        </row>
        <row r="225">
          <cell r="A225" t="str">
            <v>ADELL</v>
          </cell>
          <cell r="B225">
            <v>202501</v>
          </cell>
          <cell r="D225" t="str">
            <v>Property</v>
          </cell>
          <cell r="G225" t="str">
            <v>Real</v>
          </cell>
        </row>
        <row r="226">
          <cell r="A226" t="str">
            <v>ADELL</v>
          </cell>
          <cell r="B226">
            <v>202501</v>
          </cell>
          <cell r="D226" t="str">
            <v>RC</v>
          </cell>
          <cell r="G226" t="str">
            <v>Presupuesto</v>
          </cell>
        </row>
        <row r="227">
          <cell r="A227" t="str">
            <v>ADELL</v>
          </cell>
          <cell r="B227">
            <v>202501</v>
          </cell>
          <cell r="D227" t="str">
            <v>RC</v>
          </cell>
          <cell r="G227" t="str">
            <v>Real</v>
          </cell>
        </row>
        <row r="228">
          <cell r="A228" t="str">
            <v>ADELL</v>
          </cell>
          <cell r="B228">
            <v>202501</v>
          </cell>
          <cell r="D228" t="str">
            <v>Resto de lineas</v>
          </cell>
          <cell r="G228" t="str">
            <v>Presupuesto</v>
          </cell>
        </row>
        <row r="229">
          <cell r="A229" t="str">
            <v>ADELL</v>
          </cell>
          <cell r="B229">
            <v>202501</v>
          </cell>
          <cell r="D229" t="str">
            <v>Resto de lineas</v>
          </cell>
          <cell r="G229" t="str">
            <v>Real</v>
          </cell>
        </row>
        <row r="230">
          <cell r="A230" t="str">
            <v>ADELL</v>
          </cell>
          <cell r="B230">
            <v>202501</v>
          </cell>
          <cell r="D230" t="str">
            <v>Retirada</v>
          </cell>
          <cell r="G230" t="str">
            <v>Presupuesto</v>
          </cell>
        </row>
        <row r="231">
          <cell r="A231" t="str">
            <v>ADELL</v>
          </cell>
          <cell r="B231">
            <v>202501</v>
          </cell>
          <cell r="D231" t="str">
            <v>Seguros Personales (No Vida) Colectivos</v>
          </cell>
          <cell r="G231" t="str">
            <v>Presupuesto</v>
          </cell>
        </row>
        <row r="232">
          <cell r="A232" t="str">
            <v>ADELL</v>
          </cell>
          <cell r="B232">
            <v>202501</v>
          </cell>
          <cell r="D232" t="str">
            <v>Seguros Personales (No Vida) Colectivos</v>
          </cell>
          <cell r="G232" t="str">
            <v>Real</v>
          </cell>
        </row>
        <row r="233">
          <cell r="A233" t="str">
            <v>ADELL</v>
          </cell>
          <cell r="B233">
            <v>202501</v>
          </cell>
          <cell r="D233" t="str">
            <v>Seguros Personales (No Vida) Particular</v>
          </cell>
          <cell r="G233" t="str">
            <v>Presupuesto</v>
          </cell>
        </row>
        <row r="234">
          <cell r="A234" t="str">
            <v>ADELL</v>
          </cell>
          <cell r="B234">
            <v>202501</v>
          </cell>
          <cell r="D234" t="str">
            <v>Seguros Personales (No Vida) Particular</v>
          </cell>
          <cell r="G234" t="str">
            <v>Real</v>
          </cell>
        </row>
        <row r="235">
          <cell r="A235" t="str">
            <v>ADELL</v>
          </cell>
          <cell r="B235">
            <v>202501</v>
          </cell>
          <cell r="D235" t="str">
            <v>Transporte</v>
          </cell>
          <cell r="G235" t="str">
            <v>Presupuesto</v>
          </cell>
        </row>
        <row r="236">
          <cell r="A236" t="str">
            <v>ADELL</v>
          </cell>
          <cell r="B236">
            <v>202501</v>
          </cell>
          <cell r="D236" t="str">
            <v>Transporte</v>
          </cell>
          <cell r="G236" t="str">
            <v>Real</v>
          </cell>
        </row>
        <row r="237">
          <cell r="A237" t="str">
            <v>ADELL</v>
          </cell>
          <cell r="B237">
            <v>202501</v>
          </cell>
          <cell r="D237" t="str">
            <v>Venta Cruzada</v>
          </cell>
          <cell r="G237" t="str">
            <v>Presupuesto</v>
          </cell>
        </row>
        <row r="238">
          <cell r="A238" t="str">
            <v>ADELL</v>
          </cell>
          <cell r="B238">
            <v>202501</v>
          </cell>
          <cell r="D238" t="str">
            <v>Venta Cruzada</v>
          </cell>
          <cell r="G238" t="str">
            <v>Real</v>
          </cell>
        </row>
        <row r="239">
          <cell r="A239" t="str">
            <v>ADELL</v>
          </cell>
          <cell r="B239">
            <v>202501</v>
          </cell>
          <cell r="D239" t="str">
            <v>Vida Ahorro Colectivo</v>
          </cell>
          <cell r="G239" t="str">
            <v>Presupuesto</v>
          </cell>
        </row>
        <row r="240">
          <cell r="A240" t="str">
            <v>ADELL</v>
          </cell>
          <cell r="B240">
            <v>202501</v>
          </cell>
          <cell r="D240" t="str">
            <v>Vida Ahorro Particular</v>
          </cell>
          <cell r="G240" t="str">
            <v>Presupuesto</v>
          </cell>
        </row>
        <row r="241">
          <cell r="A241" t="str">
            <v>ADELL</v>
          </cell>
          <cell r="B241">
            <v>202501</v>
          </cell>
          <cell r="D241" t="str">
            <v>Vida Ahorro Particular</v>
          </cell>
          <cell r="G241" t="str">
            <v>Real</v>
          </cell>
        </row>
        <row r="242">
          <cell r="A242" t="str">
            <v>ADELL</v>
          </cell>
          <cell r="B242">
            <v>202501</v>
          </cell>
          <cell r="D242" t="str">
            <v>Vida Ganado</v>
          </cell>
          <cell r="G242" t="str">
            <v>Presupuesto</v>
          </cell>
        </row>
        <row r="243">
          <cell r="A243" t="str">
            <v>ADELL</v>
          </cell>
          <cell r="B243">
            <v>202501</v>
          </cell>
          <cell r="D243" t="str">
            <v>Vida Riesgo Colectivo</v>
          </cell>
          <cell r="G243" t="str">
            <v>Presupuesto</v>
          </cell>
        </row>
        <row r="244">
          <cell r="A244" t="str">
            <v>ADELL</v>
          </cell>
          <cell r="B244">
            <v>202501</v>
          </cell>
          <cell r="D244" t="str">
            <v>Vida Riesgo Colectivo</v>
          </cell>
          <cell r="G244" t="str">
            <v>Real</v>
          </cell>
        </row>
        <row r="245">
          <cell r="A245" t="str">
            <v>ADELL</v>
          </cell>
          <cell r="B245">
            <v>202501</v>
          </cell>
          <cell r="D245" t="str">
            <v>Vida Riesgo Particular</v>
          </cell>
          <cell r="G245" t="str">
            <v>Presupuesto</v>
          </cell>
        </row>
        <row r="246">
          <cell r="A246" t="str">
            <v>ADELL</v>
          </cell>
          <cell r="B246">
            <v>202501</v>
          </cell>
          <cell r="D246" t="str">
            <v>Vida Riesgo Particular</v>
          </cell>
          <cell r="G246" t="str">
            <v>Real</v>
          </cell>
        </row>
        <row r="247">
          <cell r="A247" t="str">
            <v>ADELL</v>
          </cell>
          <cell r="B247">
            <v>202502</v>
          </cell>
          <cell r="D247" t="str">
            <v>--</v>
          </cell>
          <cell r="G247" t="str">
            <v>Presupuesto</v>
          </cell>
        </row>
        <row r="248">
          <cell r="A248" t="str">
            <v>ADELL</v>
          </cell>
          <cell r="B248">
            <v>202502</v>
          </cell>
          <cell r="D248" t="str">
            <v>--</v>
          </cell>
          <cell r="G248" t="str">
            <v>Real</v>
          </cell>
        </row>
        <row r="249">
          <cell r="A249" t="str">
            <v>ADELL</v>
          </cell>
          <cell r="B249">
            <v>202502</v>
          </cell>
          <cell r="D249" t="str">
            <v>Arte</v>
          </cell>
          <cell r="G249" t="str">
            <v>Presupuesto</v>
          </cell>
        </row>
        <row r="250">
          <cell r="A250" t="str">
            <v>ADELL</v>
          </cell>
          <cell r="B250">
            <v>202502</v>
          </cell>
          <cell r="D250" t="str">
            <v>Autos</v>
          </cell>
          <cell r="G250" t="str">
            <v>Presupuesto</v>
          </cell>
        </row>
        <row r="251">
          <cell r="A251" t="str">
            <v>ADELL</v>
          </cell>
          <cell r="B251">
            <v>202502</v>
          </cell>
          <cell r="D251" t="str">
            <v>Autos</v>
          </cell>
          <cell r="G251" t="str">
            <v>Real</v>
          </cell>
        </row>
        <row r="252">
          <cell r="A252" t="str">
            <v>ADELL</v>
          </cell>
          <cell r="B252">
            <v>202502</v>
          </cell>
          <cell r="D252" t="str">
            <v>B2B2C</v>
          </cell>
          <cell r="G252" t="str">
            <v>Presupuesto</v>
          </cell>
        </row>
        <row r="253">
          <cell r="A253" t="str">
            <v>ADELL</v>
          </cell>
          <cell r="B253">
            <v>202502</v>
          </cell>
          <cell r="D253" t="str">
            <v>Caución</v>
          </cell>
          <cell r="G253" t="str">
            <v>Presupuesto</v>
          </cell>
        </row>
        <row r="254">
          <cell r="A254" t="str">
            <v>ADELL</v>
          </cell>
          <cell r="B254">
            <v>202502</v>
          </cell>
          <cell r="D254" t="str">
            <v>Crédito Internacional</v>
          </cell>
          <cell r="G254" t="str">
            <v>Presupuesto</v>
          </cell>
        </row>
        <row r="255">
          <cell r="A255" t="str">
            <v>ADELL</v>
          </cell>
          <cell r="B255">
            <v>202502</v>
          </cell>
          <cell r="D255" t="str">
            <v>Crédito Internacional</v>
          </cell>
          <cell r="G255" t="str">
            <v>Real</v>
          </cell>
        </row>
        <row r="256">
          <cell r="A256" t="str">
            <v>ADELL</v>
          </cell>
          <cell r="B256">
            <v>202502</v>
          </cell>
          <cell r="D256" t="str">
            <v>Crédito Nacional</v>
          </cell>
          <cell r="G256" t="str">
            <v>Presupuesto</v>
          </cell>
        </row>
        <row r="257">
          <cell r="A257" t="str">
            <v>ADELL</v>
          </cell>
          <cell r="B257">
            <v>202502</v>
          </cell>
          <cell r="D257" t="str">
            <v>Eventos</v>
          </cell>
          <cell r="G257" t="str">
            <v>Presupuesto</v>
          </cell>
        </row>
        <row r="258">
          <cell r="A258" t="str">
            <v>ADELL</v>
          </cell>
          <cell r="B258">
            <v>202502</v>
          </cell>
          <cell r="D258" t="str">
            <v>Flotas</v>
          </cell>
          <cell r="G258" t="str">
            <v>Presupuesto</v>
          </cell>
        </row>
        <row r="259">
          <cell r="A259" t="str">
            <v>ADELL</v>
          </cell>
          <cell r="B259">
            <v>202502</v>
          </cell>
          <cell r="D259" t="str">
            <v>Flotas</v>
          </cell>
          <cell r="G259" t="str">
            <v>Real</v>
          </cell>
        </row>
        <row r="260">
          <cell r="A260" t="str">
            <v>ADELL</v>
          </cell>
          <cell r="B260">
            <v>202502</v>
          </cell>
          <cell r="D260" t="str">
            <v>Hogar</v>
          </cell>
          <cell r="G260" t="str">
            <v>Presupuesto</v>
          </cell>
        </row>
        <row r="261">
          <cell r="A261" t="str">
            <v>ADELL</v>
          </cell>
          <cell r="B261">
            <v>202502</v>
          </cell>
          <cell r="D261" t="str">
            <v>Hogar</v>
          </cell>
          <cell r="G261" t="str">
            <v>Real</v>
          </cell>
        </row>
        <row r="262">
          <cell r="A262" t="str">
            <v>ADELL</v>
          </cell>
          <cell r="B262">
            <v>202502</v>
          </cell>
          <cell r="D262" t="str">
            <v>Ingeniería</v>
          </cell>
          <cell r="G262" t="str">
            <v>Presupuesto</v>
          </cell>
        </row>
        <row r="263">
          <cell r="A263" t="str">
            <v>ADELL</v>
          </cell>
          <cell r="B263">
            <v>202502</v>
          </cell>
          <cell r="D263" t="str">
            <v>Ingeniería</v>
          </cell>
          <cell r="G263" t="str">
            <v>Real</v>
          </cell>
        </row>
        <row r="264">
          <cell r="A264" t="str">
            <v>ADELL</v>
          </cell>
          <cell r="B264">
            <v>202502</v>
          </cell>
          <cell r="D264" t="str">
            <v>Inmobiliario</v>
          </cell>
          <cell r="G264" t="str">
            <v>Presupuesto</v>
          </cell>
        </row>
        <row r="265">
          <cell r="A265" t="str">
            <v>ADELL</v>
          </cell>
          <cell r="B265">
            <v>202502</v>
          </cell>
          <cell r="D265" t="str">
            <v>Líneas Financieras</v>
          </cell>
          <cell r="G265" t="str">
            <v>Presupuesto</v>
          </cell>
        </row>
        <row r="266">
          <cell r="A266" t="str">
            <v>ADELL</v>
          </cell>
          <cell r="B266">
            <v>202502</v>
          </cell>
          <cell r="D266" t="str">
            <v>Líneas Financieras</v>
          </cell>
          <cell r="G266" t="str">
            <v>Real</v>
          </cell>
        </row>
        <row r="267">
          <cell r="A267" t="str">
            <v>ADELL</v>
          </cell>
          <cell r="B267">
            <v>202502</v>
          </cell>
          <cell r="D267" t="str">
            <v>Náutica</v>
          </cell>
          <cell r="G267" t="str">
            <v>Presupuesto</v>
          </cell>
        </row>
        <row r="268">
          <cell r="A268" t="str">
            <v>ADELL</v>
          </cell>
          <cell r="B268">
            <v>202502</v>
          </cell>
          <cell r="D268" t="str">
            <v>Náutica</v>
          </cell>
          <cell r="G268" t="str">
            <v>Real</v>
          </cell>
        </row>
        <row r="269">
          <cell r="A269" t="str">
            <v>ADELL</v>
          </cell>
          <cell r="B269">
            <v>202502</v>
          </cell>
          <cell r="D269" t="str">
            <v>Particulares Resto</v>
          </cell>
          <cell r="G269" t="str">
            <v>Presupuesto</v>
          </cell>
        </row>
        <row r="270">
          <cell r="A270" t="str">
            <v>ADELL</v>
          </cell>
          <cell r="B270">
            <v>202502</v>
          </cell>
          <cell r="D270" t="str">
            <v>Particulares Resto</v>
          </cell>
          <cell r="G270" t="str">
            <v>Real</v>
          </cell>
        </row>
        <row r="271">
          <cell r="A271" t="str">
            <v>ADELL</v>
          </cell>
          <cell r="B271">
            <v>202502</v>
          </cell>
          <cell r="D271" t="str">
            <v>Property</v>
          </cell>
          <cell r="G271" t="str">
            <v>Presupuesto</v>
          </cell>
        </row>
        <row r="272">
          <cell r="A272" t="str">
            <v>ADELL</v>
          </cell>
          <cell r="B272">
            <v>202502</v>
          </cell>
          <cell r="D272" t="str">
            <v>Property</v>
          </cell>
          <cell r="G272" t="str">
            <v>Real</v>
          </cell>
        </row>
        <row r="273">
          <cell r="A273" t="str">
            <v>ADELL</v>
          </cell>
          <cell r="B273">
            <v>202502</v>
          </cell>
          <cell r="D273" t="str">
            <v>RC</v>
          </cell>
          <cell r="G273" t="str">
            <v>Presupuesto</v>
          </cell>
        </row>
        <row r="274">
          <cell r="A274" t="str">
            <v>ADELL</v>
          </cell>
          <cell r="B274">
            <v>202502</v>
          </cell>
          <cell r="D274" t="str">
            <v>RC</v>
          </cell>
          <cell r="G274" t="str">
            <v>Real</v>
          </cell>
        </row>
        <row r="275">
          <cell r="A275" t="str">
            <v>ADELL</v>
          </cell>
          <cell r="B275">
            <v>202502</v>
          </cell>
          <cell r="D275" t="str">
            <v>Resto de lineas</v>
          </cell>
          <cell r="G275" t="str">
            <v>Presupuesto</v>
          </cell>
        </row>
        <row r="276">
          <cell r="A276" t="str">
            <v>ADELL</v>
          </cell>
          <cell r="B276">
            <v>202502</v>
          </cell>
          <cell r="D276" t="str">
            <v>Resto de lineas</v>
          </cell>
          <cell r="G276" t="str">
            <v>Real</v>
          </cell>
        </row>
        <row r="277">
          <cell r="A277" t="str">
            <v>ADELL</v>
          </cell>
          <cell r="B277">
            <v>202502</v>
          </cell>
          <cell r="D277" t="str">
            <v>Retirada</v>
          </cell>
          <cell r="G277" t="str">
            <v>Presupuesto</v>
          </cell>
        </row>
        <row r="278">
          <cell r="A278" t="str">
            <v>ADELL</v>
          </cell>
          <cell r="B278">
            <v>202502</v>
          </cell>
          <cell r="D278" t="str">
            <v>Seguros Personales (No Vida) Colectivos</v>
          </cell>
          <cell r="G278" t="str">
            <v>Presupuesto</v>
          </cell>
        </row>
        <row r="279">
          <cell r="A279" t="str">
            <v>ADELL</v>
          </cell>
          <cell r="B279">
            <v>202502</v>
          </cell>
          <cell r="D279" t="str">
            <v>Seguros Personales (No Vida) Colectivos</v>
          </cell>
          <cell r="G279" t="str">
            <v>Real</v>
          </cell>
        </row>
        <row r="280">
          <cell r="A280" t="str">
            <v>ADELL</v>
          </cell>
          <cell r="B280">
            <v>202502</v>
          </cell>
          <cell r="D280" t="str">
            <v>Seguros Personales (No Vida) Particular</v>
          </cell>
          <cell r="G280" t="str">
            <v>Presupuesto</v>
          </cell>
        </row>
        <row r="281">
          <cell r="A281" t="str">
            <v>ADELL</v>
          </cell>
          <cell r="B281">
            <v>202502</v>
          </cell>
          <cell r="D281" t="str">
            <v>Seguros Personales (No Vida) Particular</v>
          </cell>
          <cell r="G281" t="str">
            <v>Real</v>
          </cell>
        </row>
        <row r="282">
          <cell r="A282" t="str">
            <v>ADELL</v>
          </cell>
          <cell r="B282">
            <v>202502</v>
          </cell>
          <cell r="D282" t="str">
            <v>Transporte</v>
          </cell>
          <cell r="G282" t="str">
            <v>Presupuesto</v>
          </cell>
        </row>
        <row r="283">
          <cell r="A283" t="str">
            <v>ADELL</v>
          </cell>
          <cell r="B283">
            <v>202502</v>
          </cell>
          <cell r="D283" t="str">
            <v>Transporte</v>
          </cell>
          <cell r="G283" t="str">
            <v>Real</v>
          </cell>
        </row>
        <row r="284">
          <cell r="A284" t="str">
            <v>ADELL</v>
          </cell>
          <cell r="B284">
            <v>202502</v>
          </cell>
          <cell r="D284" t="str">
            <v>Venta Cruzada</v>
          </cell>
          <cell r="G284" t="str">
            <v>Presupuesto</v>
          </cell>
        </row>
        <row r="285">
          <cell r="A285" t="str">
            <v>ADELL</v>
          </cell>
          <cell r="B285">
            <v>202502</v>
          </cell>
          <cell r="D285" t="str">
            <v>Venta Cruzada</v>
          </cell>
          <cell r="G285" t="str">
            <v>Real</v>
          </cell>
        </row>
        <row r="286">
          <cell r="A286" t="str">
            <v>ADELL</v>
          </cell>
          <cell r="B286">
            <v>202502</v>
          </cell>
          <cell r="D286" t="str">
            <v>Vida Ahorro Colectivo</v>
          </cell>
          <cell r="G286" t="str">
            <v>Presupuesto</v>
          </cell>
        </row>
        <row r="287">
          <cell r="A287" t="str">
            <v>ADELL</v>
          </cell>
          <cell r="B287">
            <v>202502</v>
          </cell>
          <cell r="D287" t="str">
            <v>Vida Ahorro Particular</v>
          </cell>
          <cell r="G287" t="str">
            <v>Presupuesto</v>
          </cell>
        </row>
        <row r="288">
          <cell r="A288" t="str">
            <v>ADELL</v>
          </cell>
          <cell r="B288">
            <v>202502</v>
          </cell>
          <cell r="D288" t="str">
            <v>Vida Ahorro Particular</v>
          </cell>
          <cell r="G288" t="str">
            <v>Real</v>
          </cell>
        </row>
        <row r="289">
          <cell r="A289" t="str">
            <v>ADELL</v>
          </cell>
          <cell r="B289">
            <v>202502</v>
          </cell>
          <cell r="D289" t="str">
            <v>Vida Ganado</v>
          </cell>
          <cell r="G289" t="str">
            <v>Presupuesto</v>
          </cell>
        </row>
        <row r="290">
          <cell r="A290" t="str">
            <v>ADELL</v>
          </cell>
          <cell r="B290">
            <v>202502</v>
          </cell>
          <cell r="D290" t="str">
            <v>Vida Riesgo Colectivo</v>
          </cell>
          <cell r="G290" t="str">
            <v>Presupuesto</v>
          </cell>
        </row>
        <row r="291">
          <cell r="A291" t="str">
            <v>ADELL</v>
          </cell>
          <cell r="B291">
            <v>202502</v>
          </cell>
          <cell r="D291" t="str">
            <v>Vida Riesgo Colectivo</v>
          </cell>
          <cell r="G291" t="str">
            <v>Real</v>
          </cell>
        </row>
        <row r="292">
          <cell r="A292" t="str">
            <v>ADELL</v>
          </cell>
          <cell r="B292">
            <v>202502</v>
          </cell>
          <cell r="D292" t="str">
            <v>Vida Riesgo Particular</v>
          </cell>
          <cell r="G292" t="str">
            <v>Presupuesto</v>
          </cell>
        </row>
        <row r="293">
          <cell r="A293" t="str">
            <v>ADELL</v>
          </cell>
          <cell r="B293">
            <v>202502</v>
          </cell>
          <cell r="D293" t="str">
            <v>Vida Riesgo Particular</v>
          </cell>
          <cell r="G293" t="str">
            <v>Real</v>
          </cell>
        </row>
        <row r="294">
          <cell r="A294" t="str">
            <v>ADELL</v>
          </cell>
          <cell r="B294">
            <v>202503</v>
          </cell>
          <cell r="D294" t="str">
            <v>--</v>
          </cell>
          <cell r="G294" t="str">
            <v>Presupuesto</v>
          </cell>
        </row>
        <row r="295">
          <cell r="A295" t="str">
            <v>ADELL</v>
          </cell>
          <cell r="B295">
            <v>202503</v>
          </cell>
          <cell r="D295" t="str">
            <v>--</v>
          </cell>
          <cell r="G295" t="str">
            <v>Real</v>
          </cell>
        </row>
        <row r="296">
          <cell r="A296" t="str">
            <v>ADELL</v>
          </cell>
          <cell r="B296">
            <v>202503</v>
          </cell>
          <cell r="D296" t="str">
            <v>Arte</v>
          </cell>
          <cell r="G296" t="str">
            <v>Presupuesto</v>
          </cell>
        </row>
        <row r="297">
          <cell r="A297" t="str">
            <v>ADELL</v>
          </cell>
          <cell r="B297">
            <v>202503</v>
          </cell>
          <cell r="D297" t="str">
            <v>Autos</v>
          </cell>
          <cell r="G297" t="str">
            <v>Presupuesto</v>
          </cell>
        </row>
        <row r="298">
          <cell r="A298" t="str">
            <v>ADELL</v>
          </cell>
          <cell r="B298">
            <v>202503</v>
          </cell>
          <cell r="D298" t="str">
            <v>Autos</v>
          </cell>
          <cell r="G298" t="str">
            <v>Real</v>
          </cell>
        </row>
        <row r="299">
          <cell r="A299" t="str">
            <v>ADELL</v>
          </cell>
          <cell r="B299">
            <v>202503</v>
          </cell>
          <cell r="D299" t="str">
            <v>B2B2C</v>
          </cell>
          <cell r="G299" t="str">
            <v>Presupuesto</v>
          </cell>
        </row>
        <row r="300">
          <cell r="A300" t="str">
            <v>ADELL</v>
          </cell>
          <cell r="B300">
            <v>202503</v>
          </cell>
          <cell r="D300" t="str">
            <v>Caución</v>
          </cell>
          <cell r="G300" t="str">
            <v>Presupuesto</v>
          </cell>
        </row>
        <row r="301">
          <cell r="A301" t="str">
            <v>ADELL</v>
          </cell>
          <cell r="B301">
            <v>202503</v>
          </cell>
          <cell r="D301" t="str">
            <v>Crédito Internacional</v>
          </cell>
          <cell r="G301" t="str">
            <v>Presupuesto</v>
          </cell>
        </row>
        <row r="302">
          <cell r="A302" t="str">
            <v>ADELL</v>
          </cell>
          <cell r="B302">
            <v>202503</v>
          </cell>
          <cell r="D302" t="str">
            <v>Crédito Internacional</v>
          </cell>
          <cell r="G302" t="str">
            <v>Real</v>
          </cell>
        </row>
        <row r="303">
          <cell r="A303" t="str">
            <v>ADELL</v>
          </cell>
          <cell r="B303">
            <v>202503</v>
          </cell>
          <cell r="D303" t="str">
            <v>Crédito Nacional</v>
          </cell>
          <cell r="G303" t="str">
            <v>Presupuesto</v>
          </cell>
        </row>
        <row r="304">
          <cell r="A304" t="str">
            <v>ADELL</v>
          </cell>
          <cell r="B304">
            <v>202503</v>
          </cell>
          <cell r="D304" t="str">
            <v>Eventos</v>
          </cell>
          <cell r="G304" t="str">
            <v>Presupuesto</v>
          </cell>
        </row>
        <row r="305">
          <cell r="A305" t="str">
            <v>ADELL</v>
          </cell>
          <cell r="B305">
            <v>202503</v>
          </cell>
          <cell r="D305" t="str">
            <v>Flotas</v>
          </cell>
          <cell r="G305" t="str">
            <v>Presupuesto</v>
          </cell>
        </row>
        <row r="306">
          <cell r="A306" t="str">
            <v>ADELL</v>
          </cell>
          <cell r="B306">
            <v>202503</v>
          </cell>
          <cell r="D306" t="str">
            <v>Flotas</v>
          </cell>
          <cell r="G306" t="str">
            <v>Real</v>
          </cell>
        </row>
        <row r="307">
          <cell r="A307" t="str">
            <v>ADELL</v>
          </cell>
          <cell r="B307">
            <v>202503</v>
          </cell>
          <cell r="D307" t="str">
            <v>Hogar</v>
          </cell>
          <cell r="G307" t="str">
            <v>Presupuesto</v>
          </cell>
        </row>
        <row r="308">
          <cell r="A308" t="str">
            <v>ADELL</v>
          </cell>
          <cell r="B308">
            <v>202503</v>
          </cell>
          <cell r="D308" t="str">
            <v>Hogar</v>
          </cell>
          <cell r="G308" t="str">
            <v>Real</v>
          </cell>
        </row>
        <row r="309">
          <cell r="A309" t="str">
            <v>ADELL</v>
          </cell>
          <cell r="B309">
            <v>202503</v>
          </cell>
          <cell r="D309" t="str">
            <v>Ingeniería</v>
          </cell>
          <cell r="G309" t="str">
            <v>Presupuesto</v>
          </cell>
        </row>
        <row r="310">
          <cell r="A310" t="str">
            <v>ADELL</v>
          </cell>
          <cell r="B310">
            <v>202503</v>
          </cell>
          <cell r="D310" t="str">
            <v>Ingeniería</v>
          </cell>
          <cell r="G310" t="str">
            <v>Real</v>
          </cell>
        </row>
        <row r="311">
          <cell r="A311" t="str">
            <v>ADELL</v>
          </cell>
          <cell r="B311">
            <v>202503</v>
          </cell>
          <cell r="D311" t="str">
            <v>Inmobiliario</v>
          </cell>
          <cell r="G311" t="str">
            <v>Presupuesto</v>
          </cell>
        </row>
        <row r="312">
          <cell r="A312" t="str">
            <v>ADELL</v>
          </cell>
          <cell r="B312">
            <v>202503</v>
          </cell>
          <cell r="D312" t="str">
            <v>Líneas Financieras</v>
          </cell>
          <cell r="G312" t="str">
            <v>Presupuesto</v>
          </cell>
        </row>
        <row r="313">
          <cell r="A313" t="str">
            <v>ADELL</v>
          </cell>
          <cell r="B313">
            <v>202503</v>
          </cell>
          <cell r="D313" t="str">
            <v>Líneas Financieras</v>
          </cell>
          <cell r="G313" t="str">
            <v>Real</v>
          </cell>
        </row>
        <row r="314">
          <cell r="A314" t="str">
            <v>ADELL</v>
          </cell>
          <cell r="B314">
            <v>202503</v>
          </cell>
          <cell r="D314" t="str">
            <v>Náutica</v>
          </cell>
          <cell r="G314" t="str">
            <v>Presupuesto</v>
          </cell>
        </row>
        <row r="315">
          <cell r="A315" t="str">
            <v>ADELL</v>
          </cell>
          <cell r="B315">
            <v>202503</v>
          </cell>
          <cell r="D315" t="str">
            <v>Náutica</v>
          </cell>
          <cell r="G315" t="str">
            <v>Real</v>
          </cell>
        </row>
        <row r="316">
          <cell r="A316" t="str">
            <v>ADELL</v>
          </cell>
          <cell r="B316">
            <v>202503</v>
          </cell>
          <cell r="D316" t="str">
            <v>Particulares Resto</v>
          </cell>
          <cell r="G316" t="str">
            <v>Presupuesto</v>
          </cell>
        </row>
        <row r="317">
          <cell r="A317" t="str">
            <v>ADELL</v>
          </cell>
          <cell r="B317">
            <v>202503</v>
          </cell>
          <cell r="D317" t="str">
            <v>Particulares Resto</v>
          </cell>
          <cell r="G317" t="str">
            <v>Real</v>
          </cell>
        </row>
        <row r="318">
          <cell r="A318" t="str">
            <v>ADELL</v>
          </cell>
          <cell r="B318">
            <v>202503</v>
          </cell>
          <cell r="D318" t="str">
            <v>Property</v>
          </cell>
          <cell r="G318" t="str">
            <v>Presupuesto</v>
          </cell>
        </row>
        <row r="319">
          <cell r="A319" t="str">
            <v>ADELL</v>
          </cell>
          <cell r="B319">
            <v>202503</v>
          </cell>
          <cell r="D319" t="str">
            <v>Property</v>
          </cell>
          <cell r="G319" t="str">
            <v>Real</v>
          </cell>
        </row>
        <row r="320">
          <cell r="A320" t="str">
            <v>ADELL</v>
          </cell>
          <cell r="B320">
            <v>202503</v>
          </cell>
          <cell r="D320" t="str">
            <v>RC</v>
          </cell>
          <cell r="G320" t="str">
            <v>Presupuesto</v>
          </cell>
        </row>
        <row r="321">
          <cell r="A321" t="str">
            <v>ADELL</v>
          </cell>
          <cell r="B321">
            <v>202503</v>
          </cell>
          <cell r="D321" t="str">
            <v>RC</v>
          </cell>
          <cell r="G321" t="str">
            <v>Real</v>
          </cell>
        </row>
        <row r="322">
          <cell r="A322" t="str">
            <v>ADELL</v>
          </cell>
          <cell r="B322">
            <v>202503</v>
          </cell>
          <cell r="D322" t="str">
            <v>Resto de lineas</v>
          </cell>
          <cell r="G322" t="str">
            <v>Presupuesto</v>
          </cell>
        </row>
        <row r="323">
          <cell r="A323" t="str">
            <v>ADELL</v>
          </cell>
          <cell r="B323">
            <v>202503</v>
          </cell>
          <cell r="D323" t="str">
            <v>Resto de lineas</v>
          </cell>
          <cell r="G323" t="str">
            <v>Real</v>
          </cell>
        </row>
        <row r="324">
          <cell r="A324" t="str">
            <v>ADELL</v>
          </cell>
          <cell r="B324">
            <v>202503</v>
          </cell>
          <cell r="D324" t="str">
            <v>Retirada</v>
          </cell>
          <cell r="G324" t="str">
            <v>Presupuesto</v>
          </cell>
        </row>
        <row r="325">
          <cell r="A325" t="str">
            <v>ADELL</v>
          </cell>
          <cell r="B325">
            <v>202503</v>
          </cell>
          <cell r="D325" t="str">
            <v>Seguros Personales (No Vida) Colectivos</v>
          </cell>
          <cell r="G325" t="str">
            <v>Presupuesto</v>
          </cell>
        </row>
        <row r="326">
          <cell r="A326" t="str">
            <v>ADELL</v>
          </cell>
          <cell r="B326">
            <v>202503</v>
          </cell>
          <cell r="D326" t="str">
            <v>Seguros Personales (No Vida) Colectivos</v>
          </cell>
          <cell r="G326" t="str">
            <v>Real</v>
          </cell>
        </row>
        <row r="327">
          <cell r="A327" t="str">
            <v>ADELL</v>
          </cell>
          <cell r="B327">
            <v>202503</v>
          </cell>
          <cell r="D327" t="str">
            <v>Seguros Personales (No Vida) Particular</v>
          </cell>
          <cell r="G327" t="str">
            <v>Presupuesto</v>
          </cell>
        </row>
        <row r="328">
          <cell r="A328" t="str">
            <v>ADELL</v>
          </cell>
          <cell r="B328">
            <v>202503</v>
          </cell>
          <cell r="D328" t="str">
            <v>Seguros Personales (No Vida) Particular</v>
          </cell>
          <cell r="G328" t="str">
            <v>Real</v>
          </cell>
        </row>
        <row r="329">
          <cell r="A329" t="str">
            <v>ADELL</v>
          </cell>
          <cell r="B329">
            <v>202503</v>
          </cell>
          <cell r="D329" t="str">
            <v>Transporte</v>
          </cell>
          <cell r="G329" t="str">
            <v>Presupuesto</v>
          </cell>
        </row>
        <row r="330">
          <cell r="A330" t="str">
            <v>ADELL</v>
          </cell>
          <cell r="B330">
            <v>202503</v>
          </cell>
          <cell r="D330" t="str">
            <v>Transporte</v>
          </cell>
          <cell r="G330" t="str">
            <v>Real</v>
          </cell>
        </row>
        <row r="331">
          <cell r="A331" t="str">
            <v>ADELL</v>
          </cell>
          <cell r="B331">
            <v>202503</v>
          </cell>
          <cell r="D331" t="str">
            <v>Venta Cruzada</v>
          </cell>
          <cell r="G331" t="str">
            <v>Presupuesto</v>
          </cell>
        </row>
        <row r="332">
          <cell r="A332" t="str">
            <v>ADELL</v>
          </cell>
          <cell r="B332">
            <v>202503</v>
          </cell>
          <cell r="D332" t="str">
            <v>Venta Cruzada</v>
          </cell>
          <cell r="G332" t="str">
            <v>Real</v>
          </cell>
        </row>
        <row r="333">
          <cell r="A333" t="str">
            <v>ADELL</v>
          </cell>
          <cell r="B333">
            <v>202503</v>
          </cell>
          <cell r="D333" t="str">
            <v>Vida Ahorro Colectivo</v>
          </cell>
          <cell r="G333" t="str">
            <v>Presupuesto</v>
          </cell>
        </row>
        <row r="334">
          <cell r="A334" t="str">
            <v>ADELL</v>
          </cell>
          <cell r="B334">
            <v>202503</v>
          </cell>
          <cell r="D334" t="str">
            <v>Vida Ahorro Particular</v>
          </cell>
          <cell r="G334" t="str">
            <v>Presupuesto</v>
          </cell>
        </row>
        <row r="335">
          <cell r="A335" t="str">
            <v>ADELL</v>
          </cell>
          <cell r="B335">
            <v>202503</v>
          </cell>
          <cell r="D335" t="str">
            <v>Vida Ahorro Particular</v>
          </cell>
          <cell r="G335" t="str">
            <v>Real</v>
          </cell>
        </row>
        <row r="336">
          <cell r="A336" t="str">
            <v>ADELL</v>
          </cell>
          <cell r="B336">
            <v>202503</v>
          </cell>
          <cell r="D336" t="str">
            <v>Vida Ganado</v>
          </cell>
          <cell r="G336" t="str">
            <v>Presupuesto</v>
          </cell>
        </row>
        <row r="337">
          <cell r="A337" t="str">
            <v>ADELL</v>
          </cell>
          <cell r="B337">
            <v>202503</v>
          </cell>
          <cell r="D337" t="str">
            <v>Vida Riesgo Colectivo</v>
          </cell>
          <cell r="G337" t="str">
            <v>Presupuesto</v>
          </cell>
        </row>
        <row r="338">
          <cell r="A338" t="str">
            <v>ADELL</v>
          </cell>
          <cell r="B338">
            <v>202503</v>
          </cell>
          <cell r="D338" t="str">
            <v>Vida Riesgo Colectivo</v>
          </cell>
          <cell r="G338" t="str">
            <v>Real</v>
          </cell>
        </row>
        <row r="339">
          <cell r="A339" t="str">
            <v>ADELL</v>
          </cell>
          <cell r="B339">
            <v>202503</v>
          </cell>
          <cell r="D339" t="str">
            <v>Vida Riesgo Particular</v>
          </cell>
          <cell r="G339" t="str">
            <v>Presupuesto</v>
          </cell>
        </row>
        <row r="340">
          <cell r="A340" t="str">
            <v>ADELL</v>
          </cell>
          <cell r="B340">
            <v>202503</v>
          </cell>
          <cell r="D340" t="str">
            <v>Vida Riesgo Particular</v>
          </cell>
          <cell r="G340" t="str">
            <v>Real</v>
          </cell>
        </row>
        <row r="341">
          <cell r="A341" t="str">
            <v>ADELL</v>
          </cell>
          <cell r="B341">
            <v>202504</v>
          </cell>
          <cell r="D341" t="str">
            <v>--</v>
          </cell>
          <cell r="G341" t="str">
            <v>Presupuesto</v>
          </cell>
        </row>
        <row r="342">
          <cell r="A342" t="str">
            <v>ADELL</v>
          </cell>
          <cell r="B342">
            <v>202504</v>
          </cell>
          <cell r="D342" t="str">
            <v>--</v>
          </cell>
          <cell r="G342" t="str">
            <v>Real</v>
          </cell>
        </row>
        <row r="343">
          <cell r="A343" t="str">
            <v>ADELL</v>
          </cell>
          <cell r="B343">
            <v>202504</v>
          </cell>
          <cell r="D343" t="str">
            <v>Arte</v>
          </cell>
          <cell r="G343" t="str">
            <v>Presupuesto</v>
          </cell>
        </row>
        <row r="344">
          <cell r="A344" t="str">
            <v>ADELL</v>
          </cell>
          <cell r="B344">
            <v>202504</v>
          </cell>
          <cell r="D344" t="str">
            <v>Autos</v>
          </cell>
          <cell r="G344" t="str">
            <v>Presupuesto</v>
          </cell>
        </row>
        <row r="345">
          <cell r="A345" t="str">
            <v>ADELL</v>
          </cell>
          <cell r="B345">
            <v>202504</v>
          </cell>
          <cell r="D345" t="str">
            <v>Autos</v>
          </cell>
          <cell r="G345" t="str">
            <v>Real</v>
          </cell>
        </row>
        <row r="346">
          <cell r="A346" t="str">
            <v>ADELL</v>
          </cell>
          <cell r="B346">
            <v>202504</v>
          </cell>
          <cell r="D346" t="str">
            <v>B2B2C</v>
          </cell>
          <cell r="G346" t="str">
            <v>Presupuesto</v>
          </cell>
        </row>
        <row r="347">
          <cell r="A347" t="str">
            <v>ADELL</v>
          </cell>
          <cell r="B347">
            <v>202504</v>
          </cell>
          <cell r="D347" t="str">
            <v>Caución</v>
          </cell>
          <cell r="G347" t="str">
            <v>Presupuesto</v>
          </cell>
        </row>
        <row r="348">
          <cell r="A348" t="str">
            <v>ADELL</v>
          </cell>
          <cell r="B348">
            <v>202504</v>
          </cell>
          <cell r="D348" t="str">
            <v>Crédito Internacional</v>
          </cell>
          <cell r="G348" t="str">
            <v>Presupuesto</v>
          </cell>
        </row>
        <row r="349">
          <cell r="A349" t="str">
            <v>ADELL</v>
          </cell>
          <cell r="B349">
            <v>202504</v>
          </cell>
          <cell r="D349" t="str">
            <v>Crédito Internacional</v>
          </cell>
          <cell r="G349" t="str">
            <v>Real</v>
          </cell>
        </row>
        <row r="350">
          <cell r="A350" t="str">
            <v>ADELL</v>
          </cell>
          <cell r="B350">
            <v>202504</v>
          </cell>
          <cell r="D350" t="str">
            <v>Crédito Nacional</v>
          </cell>
          <cell r="G350" t="str">
            <v>Presupuesto</v>
          </cell>
        </row>
        <row r="351">
          <cell r="A351" t="str">
            <v>ADELL</v>
          </cell>
          <cell r="B351">
            <v>202504</v>
          </cell>
          <cell r="D351" t="str">
            <v>Eventos</v>
          </cell>
          <cell r="G351" t="str">
            <v>Presupuesto</v>
          </cell>
        </row>
        <row r="352">
          <cell r="A352" t="str">
            <v>ADELL</v>
          </cell>
          <cell r="B352">
            <v>202504</v>
          </cell>
          <cell r="D352" t="str">
            <v>Flotas</v>
          </cell>
          <cell r="G352" t="str">
            <v>Presupuesto</v>
          </cell>
        </row>
        <row r="353">
          <cell r="A353" t="str">
            <v>ADELL</v>
          </cell>
          <cell r="B353">
            <v>202504</v>
          </cell>
          <cell r="D353" t="str">
            <v>Flotas</v>
          </cell>
          <cell r="G353" t="str">
            <v>Real</v>
          </cell>
        </row>
        <row r="354">
          <cell r="A354" t="str">
            <v>ADELL</v>
          </cell>
          <cell r="B354">
            <v>202504</v>
          </cell>
          <cell r="D354" t="str">
            <v>Hogar</v>
          </cell>
          <cell r="G354" t="str">
            <v>Presupuesto</v>
          </cell>
        </row>
        <row r="355">
          <cell r="A355" t="str">
            <v>ADELL</v>
          </cell>
          <cell r="B355">
            <v>202504</v>
          </cell>
          <cell r="D355" t="str">
            <v>Hogar</v>
          </cell>
          <cell r="G355" t="str">
            <v>Real</v>
          </cell>
        </row>
        <row r="356">
          <cell r="A356" t="str">
            <v>ADELL</v>
          </cell>
          <cell r="B356">
            <v>202504</v>
          </cell>
          <cell r="D356" t="str">
            <v>Ingeniería</v>
          </cell>
          <cell r="G356" t="str">
            <v>Presupuesto</v>
          </cell>
        </row>
        <row r="357">
          <cell r="A357" t="str">
            <v>ADELL</v>
          </cell>
          <cell r="B357">
            <v>202504</v>
          </cell>
          <cell r="D357" t="str">
            <v>Ingeniería</v>
          </cell>
          <cell r="G357" t="str">
            <v>Real</v>
          </cell>
        </row>
        <row r="358">
          <cell r="A358" t="str">
            <v>ADELL</v>
          </cell>
          <cell r="B358">
            <v>202504</v>
          </cell>
          <cell r="D358" t="str">
            <v>Inmobiliario</v>
          </cell>
          <cell r="G358" t="str">
            <v>Presupuesto</v>
          </cell>
        </row>
        <row r="359">
          <cell r="A359" t="str">
            <v>ADELL</v>
          </cell>
          <cell r="B359">
            <v>202504</v>
          </cell>
          <cell r="D359" t="str">
            <v>Líneas Financieras</v>
          </cell>
          <cell r="G359" t="str">
            <v>Presupuesto</v>
          </cell>
        </row>
        <row r="360">
          <cell r="A360" t="str">
            <v>ADELL</v>
          </cell>
          <cell r="B360">
            <v>202504</v>
          </cell>
          <cell r="D360" t="str">
            <v>Líneas Financieras</v>
          </cell>
          <cell r="G360" t="str">
            <v>Real</v>
          </cell>
        </row>
        <row r="361">
          <cell r="A361" t="str">
            <v>ADELL</v>
          </cell>
          <cell r="B361">
            <v>202504</v>
          </cell>
          <cell r="D361" t="str">
            <v>Náutica</v>
          </cell>
          <cell r="G361" t="str">
            <v>Presupuesto</v>
          </cell>
        </row>
        <row r="362">
          <cell r="A362" t="str">
            <v>ADELL</v>
          </cell>
          <cell r="B362">
            <v>202504</v>
          </cell>
          <cell r="D362" t="str">
            <v>Náutica</v>
          </cell>
          <cell r="G362" t="str">
            <v>Real</v>
          </cell>
        </row>
        <row r="363">
          <cell r="A363" t="str">
            <v>ADELL</v>
          </cell>
          <cell r="B363">
            <v>202504</v>
          </cell>
          <cell r="D363" t="str">
            <v>Particulares Resto</v>
          </cell>
          <cell r="G363" t="str">
            <v>Presupuesto</v>
          </cell>
        </row>
        <row r="364">
          <cell r="A364" t="str">
            <v>ADELL</v>
          </cell>
          <cell r="B364">
            <v>202504</v>
          </cell>
          <cell r="D364" t="str">
            <v>Particulares Resto</v>
          </cell>
          <cell r="G364" t="str">
            <v>Real</v>
          </cell>
        </row>
        <row r="365">
          <cell r="A365" t="str">
            <v>ADELL</v>
          </cell>
          <cell r="B365">
            <v>202504</v>
          </cell>
          <cell r="D365" t="str">
            <v>Property</v>
          </cell>
          <cell r="G365" t="str">
            <v>Presupuesto</v>
          </cell>
        </row>
        <row r="366">
          <cell r="A366" t="str">
            <v>ADELL</v>
          </cell>
          <cell r="B366">
            <v>202504</v>
          </cell>
          <cell r="D366" t="str">
            <v>Property</v>
          </cell>
          <cell r="G366" t="str">
            <v>Real</v>
          </cell>
        </row>
        <row r="367">
          <cell r="A367" t="str">
            <v>ADELL</v>
          </cell>
          <cell r="B367">
            <v>202504</v>
          </cell>
          <cell r="D367" t="str">
            <v>RC</v>
          </cell>
          <cell r="G367" t="str">
            <v>Presupuesto</v>
          </cell>
        </row>
        <row r="368">
          <cell r="A368" t="str">
            <v>ADELL</v>
          </cell>
          <cell r="B368">
            <v>202504</v>
          </cell>
          <cell r="D368" t="str">
            <v>RC</v>
          </cell>
          <cell r="G368" t="str">
            <v>Real</v>
          </cell>
        </row>
        <row r="369">
          <cell r="A369" t="str">
            <v>ADELL</v>
          </cell>
          <cell r="B369">
            <v>202504</v>
          </cell>
          <cell r="D369" t="str">
            <v>Resto de lineas</v>
          </cell>
          <cell r="G369" t="str">
            <v>Presupuesto</v>
          </cell>
        </row>
        <row r="370">
          <cell r="A370" t="str">
            <v>ADELL</v>
          </cell>
          <cell r="B370">
            <v>202504</v>
          </cell>
          <cell r="D370" t="str">
            <v>Resto de lineas</v>
          </cell>
          <cell r="G370" t="str">
            <v>Real</v>
          </cell>
        </row>
        <row r="371">
          <cell r="A371" t="str">
            <v>ADELL</v>
          </cell>
          <cell r="B371">
            <v>202504</v>
          </cell>
          <cell r="D371" t="str">
            <v>Retirada</v>
          </cell>
          <cell r="G371" t="str">
            <v>Presupuesto</v>
          </cell>
        </row>
        <row r="372">
          <cell r="A372" t="str">
            <v>ADELL</v>
          </cell>
          <cell r="B372">
            <v>202504</v>
          </cell>
          <cell r="D372" t="str">
            <v>Seguros Personales (No Vida) Colectivos</v>
          </cell>
          <cell r="G372" t="str">
            <v>Presupuesto</v>
          </cell>
        </row>
        <row r="373">
          <cell r="A373" t="str">
            <v>ADELL</v>
          </cell>
          <cell r="B373">
            <v>202504</v>
          </cell>
          <cell r="D373" t="str">
            <v>Seguros Personales (No Vida) Colectivos</v>
          </cell>
          <cell r="G373" t="str">
            <v>Real</v>
          </cell>
        </row>
        <row r="374">
          <cell r="A374" t="str">
            <v>ADELL</v>
          </cell>
          <cell r="B374">
            <v>202504</v>
          </cell>
          <cell r="D374" t="str">
            <v>Seguros Personales (No Vida) Particular</v>
          </cell>
          <cell r="G374" t="str">
            <v>Presupuesto</v>
          </cell>
        </row>
        <row r="375">
          <cell r="A375" t="str">
            <v>ADELL</v>
          </cell>
          <cell r="B375">
            <v>202504</v>
          </cell>
          <cell r="D375" t="str">
            <v>Seguros Personales (No Vida) Particular</v>
          </cell>
          <cell r="G375" t="str">
            <v>Real</v>
          </cell>
        </row>
        <row r="376">
          <cell r="A376" t="str">
            <v>ADELL</v>
          </cell>
          <cell r="B376">
            <v>202504</v>
          </cell>
          <cell r="D376" t="str">
            <v>Transporte</v>
          </cell>
          <cell r="G376" t="str">
            <v>Presupuesto</v>
          </cell>
        </row>
        <row r="377">
          <cell r="A377" t="str">
            <v>ADELL</v>
          </cell>
          <cell r="B377">
            <v>202504</v>
          </cell>
          <cell r="D377" t="str">
            <v>Transporte</v>
          </cell>
          <cell r="G377" t="str">
            <v>Real</v>
          </cell>
        </row>
        <row r="378">
          <cell r="A378" t="str">
            <v>ADELL</v>
          </cell>
          <cell r="B378">
            <v>202504</v>
          </cell>
          <cell r="D378" t="str">
            <v>Venta Cruzada</v>
          </cell>
          <cell r="G378" t="str">
            <v>Presupuesto</v>
          </cell>
        </row>
        <row r="379">
          <cell r="A379" t="str">
            <v>ADELL</v>
          </cell>
          <cell r="B379">
            <v>202504</v>
          </cell>
          <cell r="D379" t="str">
            <v>Venta Cruzada</v>
          </cell>
          <cell r="G379" t="str">
            <v>Real</v>
          </cell>
        </row>
        <row r="380">
          <cell r="A380" t="str">
            <v>ADELL</v>
          </cell>
          <cell r="B380">
            <v>202504</v>
          </cell>
          <cell r="D380" t="str">
            <v>Vida Ahorro Colectivo</v>
          </cell>
          <cell r="G380" t="str">
            <v>Presupuesto</v>
          </cell>
        </row>
        <row r="381">
          <cell r="A381" t="str">
            <v>ADELL</v>
          </cell>
          <cell r="B381">
            <v>202504</v>
          </cell>
          <cell r="D381" t="str">
            <v>Vida Ahorro Particular</v>
          </cell>
          <cell r="G381" t="str">
            <v>Presupuesto</v>
          </cell>
        </row>
        <row r="382">
          <cell r="A382" t="str">
            <v>ADELL</v>
          </cell>
          <cell r="B382">
            <v>202504</v>
          </cell>
          <cell r="D382" t="str">
            <v>Vida Ahorro Particular</v>
          </cell>
          <cell r="G382" t="str">
            <v>Real</v>
          </cell>
        </row>
        <row r="383">
          <cell r="A383" t="str">
            <v>ADELL</v>
          </cell>
          <cell r="B383">
            <v>202504</v>
          </cell>
          <cell r="D383" t="str">
            <v>Vida Ganado</v>
          </cell>
          <cell r="G383" t="str">
            <v>Presupuesto</v>
          </cell>
        </row>
        <row r="384">
          <cell r="A384" t="str">
            <v>ADELL</v>
          </cell>
          <cell r="B384">
            <v>202504</v>
          </cell>
          <cell r="D384" t="str">
            <v>Vida Riesgo Colectivo</v>
          </cell>
          <cell r="G384" t="str">
            <v>Presupuesto</v>
          </cell>
        </row>
        <row r="385">
          <cell r="A385" t="str">
            <v>ADELL</v>
          </cell>
          <cell r="B385">
            <v>202504</v>
          </cell>
          <cell r="D385" t="str">
            <v>Vida Riesgo Colectivo</v>
          </cell>
          <cell r="G385" t="str">
            <v>Real</v>
          </cell>
        </row>
        <row r="386">
          <cell r="A386" t="str">
            <v>ADELL</v>
          </cell>
          <cell r="B386">
            <v>202504</v>
          </cell>
          <cell r="D386" t="str">
            <v>Vida Riesgo Particular</v>
          </cell>
          <cell r="G386" t="str">
            <v>Presupuesto</v>
          </cell>
        </row>
        <row r="387">
          <cell r="A387" t="str">
            <v>ADELL</v>
          </cell>
          <cell r="B387">
            <v>202504</v>
          </cell>
          <cell r="D387" t="str">
            <v>Vida Riesgo Particular</v>
          </cell>
          <cell r="G387" t="str">
            <v>Real</v>
          </cell>
        </row>
        <row r="388">
          <cell r="A388" t="str">
            <v>ADELL</v>
          </cell>
          <cell r="B388">
            <v>202505</v>
          </cell>
          <cell r="D388" t="str">
            <v>--</v>
          </cell>
          <cell r="G388" t="str">
            <v>Presupuesto</v>
          </cell>
        </row>
        <row r="389">
          <cell r="A389" t="str">
            <v>ADELL</v>
          </cell>
          <cell r="B389">
            <v>202505</v>
          </cell>
          <cell r="D389" t="str">
            <v>--</v>
          </cell>
          <cell r="G389" t="str">
            <v>Real</v>
          </cell>
        </row>
        <row r="390">
          <cell r="A390" t="str">
            <v>ADELL</v>
          </cell>
          <cell r="B390">
            <v>202505</v>
          </cell>
          <cell r="D390" t="str">
            <v>Arte</v>
          </cell>
          <cell r="G390" t="str">
            <v>Presupuesto</v>
          </cell>
        </row>
        <row r="391">
          <cell r="A391" t="str">
            <v>ADELL</v>
          </cell>
          <cell r="B391">
            <v>202505</v>
          </cell>
          <cell r="D391" t="str">
            <v>Autos</v>
          </cell>
          <cell r="G391" t="str">
            <v>Presupuesto</v>
          </cell>
        </row>
        <row r="392">
          <cell r="A392" t="str">
            <v>ADELL</v>
          </cell>
          <cell r="B392">
            <v>202505</v>
          </cell>
          <cell r="D392" t="str">
            <v>Autos</v>
          </cell>
          <cell r="G392" t="str">
            <v>Real</v>
          </cell>
        </row>
        <row r="393">
          <cell r="A393" t="str">
            <v>ADELL</v>
          </cell>
          <cell r="B393">
            <v>202505</v>
          </cell>
          <cell r="D393" t="str">
            <v>B2B2C</v>
          </cell>
          <cell r="G393" t="str">
            <v>Presupuesto</v>
          </cell>
        </row>
        <row r="394">
          <cell r="A394" t="str">
            <v>ADELL</v>
          </cell>
          <cell r="B394">
            <v>202505</v>
          </cell>
          <cell r="D394" t="str">
            <v>Caución</v>
          </cell>
          <cell r="G394" t="str">
            <v>Presupuesto</v>
          </cell>
        </row>
        <row r="395">
          <cell r="A395" t="str">
            <v>ADELL</v>
          </cell>
          <cell r="B395">
            <v>202505</v>
          </cell>
          <cell r="D395" t="str">
            <v>Caución</v>
          </cell>
          <cell r="G395" t="str">
            <v>Real</v>
          </cell>
        </row>
        <row r="396">
          <cell r="A396" t="str">
            <v>ADELL</v>
          </cell>
          <cell r="B396">
            <v>202505</v>
          </cell>
          <cell r="D396" t="str">
            <v>Crédito Internacional</v>
          </cell>
          <cell r="G396" t="str">
            <v>Presupuesto</v>
          </cell>
        </row>
        <row r="397">
          <cell r="A397" t="str">
            <v>ADELL</v>
          </cell>
          <cell r="B397">
            <v>202505</v>
          </cell>
          <cell r="D397" t="str">
            <v>Crédito Internacional</v>
          </cell>
          <cell r="G397" t="str">
            <v>Real</v>
          </cell>
        </row>
        <row r="398">
          <cell r="A398" t="str">
            <v>ADELL</v>
          </cell>
          <cell r="B398">
            <v>202505</v>
          </cell>
          <cell r="D398" t="str">
            <v>Crédito Nacional</v>
          </cell>
          <cell r="G398" t="str">
            <v>Presupuesto</v>
          </cell>
        </row>
        <row r="399">
          <cell r="A399" t="str">
            <v>ADELL</v>
          </cell>
          <cell r="B399">
            <v>202505</v>
          </cell>
          <cell r="D399" t="str">
            <v>Eventos</v>
          </cell>
          <cell r="G399" t="str">
            <v>Presupuesto</v>
          </cell>
        </row>
        <row r="400">
          <cell r="A400" t="str">
            <v>ADELL</v>
          </cell>
          <cell r="B400">
            <v>202505</v>
          </cell>
          <cell r="D400" t="str">
            <v>Flotas</v>
          </cell>
          <cell r="G400" t="str">
            <v>Presupuesto</v>
          </cell>
        </row>
        <row r="401">
          <cell r="A401" t="str">
            <v>ADELL</v>
          </cell>
          <cell r="B401">
            <v>202505</v>
          </cell>
          <cell r="D401" t="str">
            <v>Flotas</v>
          </cell>
          <cell r="G401" t="str">
            <v>Real</v>
          </cell>
        </row>
        <row r="402">
          <cell r="A402" t="str">
            <v>ADELL</v>
          </cell>
          <cell r="B402">
            <v>202505</v>
          </cell>
          <cell r="D402" t="str">
            <v>Hogar</v>
          </cell>
          <cell r="G402" t="str">
            <v>Presupuesto</v>
          </cell>
        </row>
        <row r="403">
          <cell r="A403" t="str">
            <v>ADELL</v>
          </cell>
          <cell r="B403">
            <v>202505</v>
          </cell>
          <cell r="D403" t="str">
            <v>Hogar</v>
          </cell>
          <cell r="G403" t="str">
            <v>Real</v>
          </cell>
        </row>
        <row r="404">
          <cell r="A404" t="str">
            <v>ADELL</v>
          </cell>
          <cell r="B404">
            <v>202505</v>
          </cell>
          <cell r="D404" t="str">
            <v>Ingeniería</v>
          </cell>
          <cell r="G404" t="str">
            <v>Presupuesto</v>
          </cell>
        </row>
        <row r="405">
          <cell r="A405" t="str">
            <v>ADELL</v>
          </cell>
          <cell r="B405">
            <v>202505</v>
          </cell>
          <cell r="D405" t="str">
            <v>Ingeniería</v>
          </cell>
          <cell r="G405" t="str">
            <v>Real</v>
          </cell>
        </row>
        <row r="406">
          <cell r="A406" t="str">
            <v>ADELL</v>
          </cell>
          <cell r="B406">
            <v>202505</v>
          </cell>
          <cell r="D406" t="str">
            <v>Inmobiliario</v>
          </cell>
          <cell r="G406" t="str">
            <v>Presupuesto</v>
          </cell>
        </row>
        <row r="407">
          <cell r="A407" t="str">
            <v>ADELL</v>
          </cell>
          <cell r="B407">
            <v>202505</v>
          </cell>
          <cell r="D407" t="str">
            <v>Líneas Financieras</v>
          </cell>
          <cell r="G407" t="str">
            <v>Presupuesto</v>
          </cell>
        </row>
        <row r="408">
          <cell r="A408" t="str">
            <v>ADELL</v>
          </cell>
          <cell r="B408">
            <v>202505</v>
          </cell>
          <cell r="D408" t="str">
            <v>Líneas Financieras</v>
          </cell>
          <cell r="G408" t="str">
            <v>Real</v>
          </cell>
        </row>
        <row r="409">
          <cell r="A409" t="str">
            <v>ADELL</v>
          </cell>
          <cell r="B409">
            <v>202505</v>
          </cell>
          <cell r="D409" t="str">
            <v>Náutica</v>
          </cell>
          <cell r="G409" t="str">
            <v>Presupuesto</v>
          </cell>
        </row>
        <row r="410">
          <cell r="A410" t="str">
            <v>ADELL</v>
          </cell>
          <cell r="B410">
            <v>202505</v>
          </cell>
          <cell r="D410" t="str">
            <v>Náutica</v>
          </cell>
          <cell r="G410" t="str">
            <v>Real</v>
          </cell>
        </row>
        <row r="411">
          <cell r="A411" t="str">
            <v>ADELL</v>
          </cell>
          <cell r="B411">
            <v>202505</v>
          </cell>
          <cell r="D411" t="str">
            <v>Particulares Resto</v>
          </cell>
          <cell r="G411" t="str">
            <v>Presupuesto</v>
          </cell>
        </row>
        <row r="412">
          <cell r="A412" t="str">
            <v>ADELL</v>
          </cell>
          <cell r="B412">
            <v>202505</v>
          </cell>
          <cell r="D412" t="str">
            <v>Particulares Resto</v>
          </cell>
          <cell r="G412" t="str">
            <v>Real</v>
          </cell>
        </row>
        <row r="413">
          <cell r="A413" t="str">
            <v>ADELL</v>
          </cell>
          <cell r="B413">
            <v>202505</v>
          </cell>
          <cell r="D413" t="str">
            <v>Property</v>
          </cell>
          <cell r="G413" t="str">
            <v>Presupuesto</v>
          </cell>
        </row>
        <row r="414">
          <cell r="A414" t="str">
            <v>ADELL</v>
          </cell>
          <cell r="B414">
            <v>202505</v>
          </cell>
          <cell r="D414" t="str">
            <v>Property</v>
          </cell>
          <cell r="G414" t="str">
            <v>Real</v>
          </cell>
        </row>
        <row r="415">
          <cell r="A415" t="str">
            <v>ADELL</v>
          </cell>
          <cell r="B415">
            <v>202505</v>
          </cell>
          <cell r="D415" t="str">
            <v>RC</v>
          </cell>
          <cell r="G415" t="str">
            <v>Presupuesto</v>
          </cell>
        </row>
        <row r="416">
          <cell r="A416" t="str">
            <v>ADELL</v>
          </cell>
          <cell r="B416">
            <v>202505</v>
          </cell>
          <cell r="D416" t="str">
            <v>RC</v>
          </cell>
          <cell r="G416" t="str">
            <v>Real</v>
          </cell>
        </row>
        <row r="417">
          <cell r="A417" t="str">
            <v>ADELL</v>
          </cell>
          <cell r="B417">
            <v>202505</v>
          </cell>
          <cell r="D417" t="str">
            <v>Resto de lineas</v>
          </cell>
          <cell r="G417" t="str">
            <v>Presupuesto</v>
          </cell>
        </row>
        <row r="418">
          <cell r="A418" t="str">
            <v>ADELL</v>
          </cell>
          <cell r="B418">
            <v>202505</v>
          </cell>
          <cell r="D418" t="str">
            <v>Resto de lineas</v>
          </cell>
          <cell r="G418" t="str">
            <v>Real</v>
          </cell>
        </row>
        <row r="419">
          <cell r="A419" t="str">
            <v>ADELL</v>
          </cell>
          <cell r="B419">
            <v>202505</v>
          </cell>
          <cell r="D419" t="str">
            <v>Retirada</v>
          </cell>
          <cell r="G419" t="str">
            <v>Presupuesto</v>
          </cell>
        </row>
        <row r="420">
          <cell r="A420" t="str">
            <v>ADELL</v>
          </cell>
          <cell r="B420">
            <v>202505</v>
          </cell>
          <cell r="D420" t="str">
            <v>Seguros Personales (No Vida) Colectivos</v>
          </cell>
          <cell r="G420" t="str">
            <v>Presupuesto</v>
          </cell>
        </row>
        <row r="421">
          <cell r="A421" t="str">
            <v>ADELL</v>
          </cell>
          <cell r="B421">
            <v>202505</v>
          </cell>
          <cell r="D421" t="str">
            <v>Seguros Personales (No Vida) Colectivos</v>
          </cell>
          <cell r="G421" t="str">
            <v>Real</v>
          </cell>
        </row>
        <row r="422">
          <cell r="A422" t="str">
            <v>ADELL</v>
          </cell>
          <cell r="B422">
            <v>202505</v>
          </cell>
          <cell r="D422" t="str">
            <v>Seguros Personales (No Vida) Particular</v>
          </cell>
          <cell r="G422" t="str">
            <v>Presupuesto</v>
          </cell>
        </row>
        <row r="423">
          <cell r="A423" t="str">
            <v>ADELL</v>
          </cell>
          <cell r="B423">
            <v>202505</v>
          </cell>
          <cell r="D423" t="str">
            <v>Seguros Personales (No Vida) Particular</v>
          </cell>
          <cell r="G423" t="str">
            <v>Real</v>
          </cell>
        </row>
        <row r="424">
          <cell r="A424" t="str">
            <v>ADELL</v>
          </cell>
          <cell r="B424">
            <v>202505</v>
          </cell>
          <cell r="D424" t="str">
            <v>Transporte</v>
          </cell>
          <cell r="G424" t="str">
            <v>Presupuesto</v>
          </cell>
        </row>
        <row r="425">
          <cell r="A425" t="str">
            <v>ADELL</v>
          </cell>
          <cell r="B425">
            <v>202505</v>
          </cell>
          <cell r="D425" t="str">
            <v>Transporte</v>
          </cell>
          <cell r="G425" t="str">
            <v>Real</v>
          </cell>
        </row>
        <row r="426">
          <cell r="A426" t="str">
            <v>ADELL</v>
          </cell>
          <cell r="B426">
            <v>202505</v>
          </cell>
          <cell r="D426" t="str">
            <v>Venta Cruzada</v>
          </cell>
          <cell r="G426" t="str">
            <v>Presupuesto</v>
          </cell>
        </row>
        <row r="427">
          <cell r="A427" t="str">
            <v>ADELL</v>
          </cell>
          <cell r="B427">
            <v>202505</v>
          </cell>
          <cell r="D427" t="str">
            <v>Venta Cruzada</v>
          </cell>
          <cell r="G427" t="str">
            <v>Real</v>
          </cell>
        </row>
        <row r="428">
          <cell r="A428" t="str">
            <v>ADELL</v>
          </cell>
          <cell r="B428">
            <v>202505</v>
          </cell>
          <cell r="D428" t="str">
            <v>Vida Ahorro Colectivo</v>
          </cell>
          <cell r="G428" t="str">
            <v>Presupuesto</v>
          </cell>
        </row>
        <row r="429">
          <cell r="A429" t="str">
            <v>ADELL</v>
          </cell>
          <cell r="B429">
            <v>202505</v>
          </cell>
          <cell r="D429" t="str">
            <v>Vida Ahorro Particular</v>
          </cell>
          <cell r="G429" t="str">
            <v>Presupuesto</v>
          </cell>
        </row>
        <row r="430">
          <cell r="A430" t="str">
            <v>ADELL</v>
          </cell>
          <cell r="B430">
            <v>202505</v>
          </cell>
          <cell r="D430" t="str">
            <v>Vida Ahorro Particular</v>
          </cell>
          <cell r="G430" t="str">
            <v>Real</v>
          </cell>
        </row>
        <row r="431">
          <cell r="A431" t="str">
            <v>ADELL</v>
          </cell>
          <cell r="B431">
            <v>202505</v>
          </cell>
          <cell r="D431" t="str">
            <v>Vida Ganado</v>
          </cell>
          <cell r="G431" t="str">
            <v>Presupuesto</v>
          </cell>
        </row>
        <row r="432">
          <cell r="A432" t="str">
            <v>ADELL</v>
          </cell>
          <cell r="B432">
            <v>202505</v>
          </cell>
          <cell r="D432" t="str">
            <v>Vida Riesgo Colectivo</v>
          </cell>
          <cell r="G432" t="str">
            <v>Presupuesto</v>
          </cell>
        </row>
        <row r="433">
          <cell r="A433" t="str">
            <v>ADELL</v>
          </cell>
          <cell r="B433">
            <v>202505</v>
          </cell>
          <cell r="D433" t="str">
            <v>Vida Riesgo Colectivo</v>
          </cell>
          <cell r="G433" t="str">
            <v>Real</v>
          </cell>
        </row>
        <row r="434">
          <cell r="A434" t="str">
            <v>ADELL</v>
          </cell>
          <cell r="B434">
            <v>202505</v>
          </cell>
          <cell r="D434" t="str">
            <v>Vida Riesgo Particular</v>
          </cell>
          <cell r="G434" t="str">
            <v>Presupuesto</v>
          </cell>
        </row>
        <row r="435">
          <cell r="A435" t="str">
            <v>ADELL</v>
          </cell>
          <cell r="B435">
            <v>202505</v>
          </cell>
          <cell r="D435" t="str">
            <v>Vida Riesgo Particular</v>
          </cell>
          <cell r="G435" t="str">
            <v>Real</v>
          </cell>
        </row>
        <row r="436">
          <cell r="A436" t="str">
            <v>ADELL</v>
          </cell>
          <cell r="B436">
            <v>202506</v>
          </cell>
          <cell r="D436" t="str">
            <v>--</v>
          </cell>
          <cell r="G436" t="str">
            <v>Presupuesto</v>
          </cell>
        </row>
        <row r="437">
          <cell r="A437" t="str">
            <v>ADELL</v>
          </cell>
          <cell r="B437">
            <v>202506</v>
          </cell>
          <cell r="D437" t="str">
            <v>--</v>
          </cell>
          <cell r="G437" t="str">
            <v>Real</v>
          </cell>
        </row>
        <row r="438">
          <cell r="A438" t="str">
            <v>ADELL</v>
          </cell>
          <cell r="B438">
            <v>202506</v>
          </cell>
          <cell r="D438" t="str">
            <v>Resto de Lineas</v>
          </cell>
          <cell r="G438" t="str">
            <v>Real</v>
          </cell>
        </row>
        <row r="439">
          <cell r="A439" t="str">
            <v>ADELL</v>
          </cell>
          <cell r="B439">
            <v>202506</v>
          </cell>
          <cell r="D439" t="str">
            <v>Arte</v>
          </cell>
          <cell r="G439" t="str">
            <v>Presupuesto</v>
          </cell>
        </row>
        <row r="440">
          <cell r="A440" t="str">
            <v>ADELL</v>
          </cell>
          <cell r="B440">
            <v>202506</v>
          </cell>
          <cell r="D440" t="str">
            <v>Autos</v>
          </cell>
          <cell r="G440" t="str">
            <v>Presupuesto</v>
          </cell>
        </row>
        <row r="441">
          <cell r="A441" t="str">
            <v>ADELL</v>
          </cell>
          <cell r="B441">
            <v>202506</v>
          </cell>
          <cell r="D441" t="str">
            <v>Autos</v>
          </cell>
          <cell r="G441" t="str">
            <v>Real</v>
          </cell>
        </row>
        <row r="442">
          <cell r="A442" t="str">
            <v>ADELL</v>
          </cell>
          <cell r="B442">
            <v>202506</v>
          </cell>
          <cell r="D442" t="str">
            <v>B2B2C</v>
          </cell>
          <cell r="G442" t="str">
            <v>Presupuesto</v>
          </cell>
        </row>
        <row r="443">
          <cell r="A443" t="str">
            <v>ADELL</v>
          </cell>
          <cell r="B443">
            <v>202506</v>
          </cell>
          <cell r="D443" t="str">
            <v>Caución</v>
          </cell>
          <cell r="G443" t="str">
            <v>Presupuesto</v>
          </cell>
        </row>
        <row r="444">
          <cell r="A444" t="str">
            <v>ADELL</v>
          </cell>
          <cell r="B444">
            <v>202506</v>
          </cell>
          <cell r="D444" t="str">
            <v>Caución</v>
          </cell>
          <cell r="G444" t="str">
            <v>Real</v>
          </cell>
        </row>
        <row r="445">
          <cell r="A445" t="str">
            <v>ADELL</v>
          </cell>
          <cell r="B445">
            <v>202506</v>
          </cell>
          <cell r="D445" t="str">
            <v>Crédito Internacional</v>
          </cell>
          <cell r="G445" t="str">
            <v>Presupuesto</v>
          </cell>
        </row>
        <row r="446">
          <cell r="A446" t="str">
            <v>ADELL</v>
          </cell>
          <cell r="B446">
            <v>202506</v>
          </cell>
          <cell r="D446" t="str">
            <v>Crédito Internacional</v>
          </cell>
          <cell r="G446" t="str">
            <v>Real</v>
          </cell>
        </row>
        <row r="447">
          <cell r="A447" t="str">
            <v>ADELL</v>
          </cell>
          <cell r="B447">
            <v>202506</v>
          </cell>
          <cell r="D447" t="str">
            <v>Crédito Nacional</v>
          </cell>
          <cell r="G447" t="str">
            <v>Presupuesto</v>
          </cell>
        </row>
        <row r="448">
          <cell r="A448" t="str">
            <v>ADELL</v>
          </cell>
          <cell r="B448">
            <v>202506</v>
          </cell>
          <cell r="D448" t="str">
            <v>Eventos</v>
          </cell>
          <cell r="G448" t="str">
            <v>Presupuesto</v>
          </cell>
        </row>
        <row r="449">
          <cell r="A449" t="str">
            <v>ADELL</v>
          </cell>
          <cell r="B449">
            <v>202506</v>
          </cell>
          <cell r="D449" t="str">
            <v>Flotas</v>
          </cell>
          <cell r="G449" t="str">
            <v>Presupuesto</v>
          </cell>
        </row>
        <row r="450">
          <cell r="A450" t="str">
            <v>ADELL</v>
          </cell>
          <cell r="B450">
            <v>202506</v>
          </cell>
          <cell r="D450" t="str">
            <v>Flotas</v>
          </cell>
          <cell r="G450" t="str">
            <v>Real</v>
          </cell>
        </row>
        <row r="451">
          <cell r="A451" t="str">
            <v>ADELL</v>
          </cell>
          <cell r="B451">
            <v>202506</v>
          </cell>
          <cell r="D451" t="str">
            <v>Hogar</v>
          </cell>
          <cell r="G451" t="str">
            <v>Presupuesto</v>
          </cell>
        </row>
        <row r="452">
          <cell r="A452" t="str">
            <v>ADELL</v>
          </cell>
          <cell r="B452">
            <v>202506</v>
          </cell>
          <cell r="D452" t="str">
            <v>Hogar</v>
          </cell>
          <cell r="G452" t="str">
            <v>Real</v>
          </cell>
        </row>
        <row r="453">
          <cell r="A453" t="str">
            <v>ADELL</v>
          </cell>
          <cell r="B453">
            <v>202506</v>
          </cell>
          <cell r="D453" t="str">
            <v>Ingeniería</v>
          </cell>
          <cell r="G453" t="str">
            <v>Presupuesto</v>
          </cell>
        </row>
        <row r="454">
          <cell r="A454" t="str">
            <v>ADELL</v>
          </cell>
          <cell r="B454">
            <v>202506</v>
          </cell>
          <cell r="D454" t="str">
            <v>Ingeniería</v>
          </cell>
          <cell r="G454" t="str">
            <v>Real</v>
          </cell>
        </row>
        <row r="455">
          <cell r="A455" t="str">
            <v>ADELL</v>
          </cell>
          <cell r="B455">
            <v>202506</v>
          </cell>
          <cell r="D455" t="str">
            <v>Inmobiliario</v>
          </cell>
          <cell r="G455" t="str">
            <v>Presupuesto</v>
          </cell>
        </row>
        <row r="456">
          <cell r="A456" t="str">
            <v>ADELL</v>
          </cell>
          <cell r="B456">
            <v>202506</v>
          </cell>
          <cell r="D456" t="str">
            <v>Líneas Financieras</v>
          </cell>
          <cell r="G456" t="str">
            <v>Presupuesto</v>
          </cell>
        </row>
        <row r="457">
          <cell r="A457" t="str">
            <v>ADELL</v>
          </cell>
          <cell r="B457">
            <v>202506</v>
          </cell>
          <cell r="D457" t="str">
            <v>Líneas Financieras</v>
          </cell>
          <cell r="G457" t="str">
            <v>Real</v>
          </cell>
        </row>
        <row r="458">
          <cell r="A458" t="str">
            <v>ADELL</v>
          </cell>
          <cell r="B458">
            <v>202506</v>
          </cell>
          <cell r="D458" t="str">
            <v>Náutica</v>
          </cell>
          <cell r="G458" t="str">
            <v>Presupuesto</v>
          </cell>
        </row>
        <row r="459">
          <cell r="A459" t="str">
            <v>ADELL</v>
          </cell>
          <cell r="B459">
            <v>202506</v>
          </cell>
          <cell r="D459" t="str">
            <v>Náutica</v>
          </cell>
          <cell r="G459" t="str">
            <v>Real</v>
          </cell>
        </row>
        <row r="460">
          <cell r="A460" t="str">
            <v>ADELL</v>
          </cell>
          <cell r="B460">
            <v>202506</v>
          </cell>
          <cell r="D460" t="str">
            <v>Particulares Resto</v>
          </cell>
          <cell r="G460" t="str">
            <v>Presupuesto</v>
          </cell>
        </row>
        <row r="461">
          <cell r="A461" t="str">
            <v>ADELL</v>
          </cell>
          <cell r="B461">
            <v>202506</v>
          </cell>
          <cell r="D461" t="str">
            <v>Particulares Resto</v>
          </cell>
          <cell r="G461" t="str">
            <v>Real</v>
          </cell>
        </row>
        <row r="462">
          <cell r="A462" t="str">
            <v>ADELL</v>
          </cell>
          <cell r="B462">
            <v>202506</v>
          </cell>
          <cell r="D462" t="str">
            <v>Property</v>
          </cell>
          <cell r="G462" t="str">
            <v>Presupuesto</v>
          </cell>
        </row>
        <row r="463">
          <cell r="A463" t="str">
            <v>ADELL</v>
          </cell>
          <cell r="B463">
            <v>202506</v>
          </cell>
          <cell r="D463" t="str">
            <v>Property</v>
          </cell>
          <cell r="G463" t="str">
            <v>Real</v>
          </cell>
        </row>
        <row r="464">
          <cell r="A464" t="str">
            <v>ADELL</v>
          </cell>
          <cell r="B464">
            <v>202506</v>
          </cell>
          <cell r="D464" t="str">
            <v>RC</v>
          </cell>
          <cell r="G464" t="str">
            <v>Presupuesto</v>
          </cell>
        </row>
        <row r="465">
          <cell r="A465" t="str">
            <v>ADELL</v>
          </cell>
          <cell r="B465">
            <v>202506</v>
          </cell>
          <cell r="D465" t="str">
            <v>RC</v>
          </cell>
          <cell r="G465" t="str">
            <v>Real</v>
          </cell>
        </row>
        <row r="466">
          <cell r="A466" t="str">
            <v>ADELL</v>
          </cell>
          <cell r="B466">
            <v>202506</v>
          </cell>
          <cell r="D466" t="str">
            <v>Resto de lineas</v>
          </cell>
          <cell r="G466" t="str">
            <v>Presupuesto</v>
          </cell>
        </row>
        <row r="467">
          <cell r="A467" t="str">
            <v>ADELL</v>
          </cell>
          <cell r="B467">
            <v>202506</v>
          </cell>
          <cell r="D467" t="str">
            <v>Retirada</v>
          </cell>
          <cell r="G467" t="str">
            <v>Presupuesto</v>
          </cell>
        </row>
        <row r="468">
          <cell r="A468" t="str">
            <v>ADELL</v>
          </cell>
          <cell r="B468">
            <v>202506</v>
          </cell>
          <cell r="D468" t="str">
            <v>Seguros Personales (No Vida) Colectivos</v>
          </cell>
          <cell r="G468" t="str">
            <v>Presupuesto</v>
          </cell>
        </row>
        <row r="469">
          <cell r="A469" t="str">
            <v>ADELL</v>
          </cell>
          <cell r="B469">
            <v>202506</v>
          </cell>
          <cell r="D469" t="str">
            <v>Seguros Personales (No Vida) Colectivos</v>
          </cell>
          <cell r="G469" t="str">
            <v>Real</v>
          </cell>
        </row>
        <row r="470">
          <cell r="A470" t="str">
            <v>ADELL</v>
          </cell>
          <cell r="B470">
            <v>202506</v>
          </cell>
          <cell r="D470" t="str">
            <v>Seguros Personales (No Vida) Particular</v>
          </cell>
          <cell r="G470" t="str">
            <v>Presupuesto</v>
          </cell>
        </row>
        <row r="471">
          <cell r="A471" t="str">
            <v>ADELL</v>
          </cell>
          <cell r="B471">
            <v>202506</v>
          </cell>
          <cell r="D471" t="str">
            <v>Seguros Personales (No Vida) Particular</v>
          </cell>
          <cell r="G471" t="str">
            <v>Real</v>
          </cell>
        </row>
        <row r="472">
          <cell r="A472" t="str">
            <v>ADELL</v>
          </cell>
          <cell r="B472">
            <v>202506</v>
          </cell>
          <cell r="D472" t="str">
            <v>Transporte</v>
          </cell>
          <cell r="G472" t="str">
            <v>Presupuesto</v>
          </cell>
        </row>
        <row r="473">
          <cell r="A473" t="str">
            <v>ADELL</v>
          </cell>
          <cell r="B473">
            <v>202506</v>
          </cell>
          <cell r="D473" t="str">
            <v>Transporte</v>
          </cell>
          <cell r="G473" t="str">
            <v>Real</v>
          </cell>
        </row>
        <row r="474">
          <cell r="A474" t="str">
            <v>ADELL</v>
          </cell>
          <cell r="B474">
            <v>202506</v>
          </cell>
          <cell r="D474" t="str">
            <v>Venta Cruzada</v>
          </cell>
          <cell r="G474" t="str">
            <v>Presupuesto</v>
          </cell>
        </row>
        <row r="475">
          <cell r="A475" t="str">
            <v>ADELL</v>
          </cell>
          <cell r="B475">
            <v>202506</v>
          </cell>
          <cell r="D475" t="str">
            <v>Venta Cruzada</v>
          </cell>
          <cell r="G475" t="str">
            <v>Real</v>
          </cell>
        </row>
        <row r="476">
          <cell r="A476" t="str">
            <v>ADELL</v>
          </cell>
          <cell r="B476">
            <v>202506</v>
          </cell>
          <cell r="D476" t="str">
            <v>Vida Ahorro Colectivo</v>
          </cell>
          <cell r="G476" t="str">
            <v>Presupuesto</v>
          </cell>
        </row>
        <row r="477">
          <cell r="A477" t="str">
            <v>ADELL</v>
          </cell>
          <cell r="B477">
            <v>202506</v>
          </cell>
          <cell r="D477" t="str">
            <v>Vida Ahorro Particular</v>
          </cell>
          <cell r="G477" t="str">
            <v>Presupuesto</v>
          </cell>
        </row>
        <row r="478">
          <cell r="A478" t="str">
            <v>ADELL</v>
          </cell>
          <cell r="B478">
            <v>202506</v>
          </cell>
          <cell r="D478" t="str">
            <v>Vida Ahorro Particular</v>
          </cell>
          <cell r="G478" t="str">
            <v>Real</v>
          </cell>
        </row>
        <row r="479">
          <cell r="A479" t="str">
            <v>ADELL</v>
          </cell>
          <cell r="B479">
            <v>202506</v>
          </cell>
          <cell r="D479" t="str">
            <v>Vida Ganado</v>
          </cell>
          <cell r="G479" t="str">
            <v>Presupuesto</v>
          </cell>
        </row>
        <row r="480">
          <cell r="A480" t="str">
            <v>ADELL</v>
          </cell>
          <cell r="B480">
            <v>202506</v>
          </cell>
          <cell r="D480" t="str">
            <v>Vida Riesgo Colectivo</v>
          </cell>
          <cell r="G480" t="str">
            <v>Presupuesto</v>
          </cell>
        </row>
        <row r="481">
          <cell r="A481" t="str">
            <v>ADELL</v>
          </cell>
          <cell r="B481">
            <v>202506</v>
          </cell>
          <cell r="D481" t="str">
            <v>Vida Riesgo Colectivo</v>
          </cell>
          <cell r="G481" t="str">
            <v>Real</v>
          </cell>
        </row>
        <row r="482">
          <cell r="A482" t="str">
            <v>ADELL</v>
          </cell>
          <cell r="B482">
            <v>202506</v>
          </cell>
          <cell r="D482" t="str">
            <v>Vida Riesgo Particular</v>
          </cell>
          <cell r="G482" t="str">
            <v>Presupuesto</v>
          </cell>
        </row>
        <row r="483">
          <cell r="A483" t="str">
            <v>ADELL</v>
          </cell>
          <cell r="B483">
            <v>202506</v>
          </cell>
          <cell r="D483" t="str">
            <v>Vida Riesgo Particular</v>
          </cell>
          <cell r="G483" t="str">
            <v>Real</v>
          </cell>
        </row>
        <row r="484">
          <cell r="A484" t="str">
            <v>ADELL</v>
          </cell>
          <cell r="B484">
            <v>202507</v>
          </cell>
          <cell r="D484" t="str">
            <v>--</v>
          </cell>
          <cell r="G484" t="str">
            <v>Presupuesto</v>
          </cell>
        </row>
        <row r="485">
          <cell r="A485" t="str">
            <v>ADELL</v>
          </cell>
          <cell r="B485">
            <v>202507</v>
          </cell>
          <cell r="D485" t="str">
            <v>--</v>
          </cell>
          <cell r="G485" t="str">
            <v>Real</v>
          </cell>
        </row>
        <row r="486">
          <cell r="A486" t="str">
            <v>ADELL</v>
          </cell>
          <cell r="B486">
            <v>202507</v>
          </cell>
          <cell r="D486" t="str">
            <v>Resto de Lineas</v>
          </cell>
          <cell r="G486" t="str">
            <v>Real</v>
          </cell>
        </row>
        <row r="487">
          <cell r="A487" t="str">
            <v>ADELL</v>
          </cell>
          <cell r="B487">
            <v>202507</v>
          </cell>
          <cell r="D487" t="str">
            <v>Arte</v>
          </cell>
          <cell r="G487" t="str">
            <v>Presupuesto</v>
          </cell>
        </row>
        <row r="488">
          <cell r="A488" t="str">
            <v>ADELL</v>
          </cell>
          <cell r="B488">
            <v>202507</v>
          </cell>
          <cell r="D488" t="str">
            <v>Autos</v>
          </cell>
          <cell r="G488" t="str">
            <v>Presupuesto</v>
          </cell>
        </row>
        <row r="489">
          <cell r="A489" t="str">
            <v>ADELL</v>
          </cell>
          <cell r="B489">
            <v>202507</v>
          </cell>
          <cell r="D489" t="str">
            <v>Autos</v>
          </cell>
          <cell r="G489" t="str">
            <v>Real</v>
          </cell>
        </row>
        <row r="490">
          <cell r="A490" t="str">
            <v>ADELL</v>
          </cell>
          <cell r="B490">
            <v>202507</v>
          </cell>
          <cell r="D490" t="str">
            <v>B2B2C</v>
          </cell>
          <cell r="G490" t="str">
            <v>Presupuesto</v>
          </cell>
        </row>
        <row r="491">
          <cell r="A491" t="str">
            <v>ADELL</v>
          </cell>
          <cell r="B491">
            <v>202507</v>
          </cell>
          <cell r="D491" t="str">
            <v>Caución</v>
          </cell>
          <cell r="G491" t="str">
            <v>Presupuesto</v>
          </cell>
        </row>
        <row r="492">
          <cell r="A492" t="str">
            <v>ADELL</v>
          </cell>
          <cell r="B492">
            <v>202507</v>
          </cell>
          <cell r="D492" t="str">
            <v>Caución</v>
          </cell>
          <cell r="G492" t="str">
            <v>Real</v>
          </cell>
        </row>
        <row r="493">
          <cell r="A493" t="str">
            <v>ADELL</v>
          </cell>
          <cell r="B493">
            <v>202507</v>
          </cell>
          <cell r="D493" t="str">
            <v>Crédito Internacional</v>
          </cell>
          <cell r="G493" t="str">
            <v>Presupuesto</v>
          </cell>
        </row>
        <row r="494">
          <cell r="A494" t="str">
            <v>ADELL</v>
          </cell>
          <cell r="B494">
            <v>202507</v>
          </cell>
          <cell r="D494" t="str">
            <v>Crédito Internacional</v>
          </cell>
          <cell r="G494" t="str">
            <v>Real</v>
          </cell>
        </row>
        <row r="495">
          <cell r="A495" t="str">
            <v>ADELL</v>
          </cell>
          <cell r="B495">
            <v>202507</v>
          </cell>
          <cell r="D495" t="str">
            <v>Crédito Nacional</v>
          </cell>
          <cell r="G495" t="str">
            <v>Presupuesto</v>
          </cell>
        </row>
        <row r="496">
          <cell r="A496" t="str">
            <v>ADELL</v>
          </cell>
          <cell r="B496">
            <v>202507</v>
          </cell>
          <cell r="D496" t="str">
            <v>Eventos</v>
          </cell>
          <cell r="G496" t="str">
            <v>Presupuesto</v>
          </cell>
        </row>
        <row r="497">
          <cell r="A497" t="str">
            <v>ADELL</v>
          </cell>
          <cell r="B497">
            <v>202507</v>
          </cell>
          <cell r="D497" t="str">
            <v>Flotas</v>
          </cell>
          <cell r="G497" t="str">
            <v>Presupuesto</v>
          </cell>
        </row>
        <row r="498">
          <cell r="A498" t="str">
            <v>ADELL</v>
          </cell>
          <cell r="B498">
            <v>202507</v>
          </cell>
          <cell r="D498" t="str">
            <v>Flotas</v>
          </cell>
          <cell r="G498" t="str">
            <v>Real</v>
          </cell>
        </row>
        <row r="499">
          <cell r="A499" t="str">
            <v>ADELL</v>
          </cell>
          <cell r="B499">
            <v>202507</v>
          </cell>
          <cell r="D499" t="str">
            <v>Hogar</v>
          </cell>
          <cell r="G499" t="str">
            <v>Presupuesto</v>
          </cell>
        </row>
        <row r="500">
          <cell r="A500" t="str">
            <v>ADELL</v>
          </cell>
          <cell r="B500">
            <v>202507</v>
          </cell>
          <cell r="D500" t="str">
            <v>Hogar</v>
          </cell>
          <cell r="G500" t="str">
            <v>Real</v>
          </cell>
        </row>
        <row r="501">
          <cell r="A501" t="str">
            <v>ADELL</v>
          </cell>
          <cell r="B501">
            <v>202507</v>
          </cell>
          <cell r="D501" t="str">
            <v>Ingeniería</v>
          </cell>
          <cell r="G501" t="str">
            <v>Presupuesto</v>
          </cell>
        </row>
        <row r="502">
          <cell r="A502" t="str">
            <v>ADELL</v>
          </cell>
          <cell r="B502">
            <v>202507</v>
          </cell>
          <cell r="D502" t="str">
            <v>Ingeniería</v>
          </cell>
          <cell r="G502" t="str">
            <v>Real</v>
          </cell>
        </row>
        <row r="503">
          <cell r="A503" t="str">
            <v>ADELL</v>
          </cell>
          <cell r="B503">
            <v>202507</v>
          </cell>
          <cell r="D503" t="str">
            <v>Inmobiliario</v>
          </cell>
          <cell r="G503" t="str">
            <v>Presupuesto</v>
          </cell>
        </row>
        <row r="504">
          <cell r="A504" t="str">
            <v>ADELL</v>
          </cell>
          <cell r="B504">
            <v>202507</v>
          </cell>
          <cell r="D504" t="str">
            <v>Líneas Financieras</v>
          </cell>
          <cell r="G504" t="str">
            <v>Presupuesto</v>
          </cell>
        </row>
        <row r="505">
          <cell r="A505" t="str">
            <v>ADELL</v>
          </cell>
          <cell r="B505">
            <v>202507</v>
          </cell>
          <cell r="D505" t="str">
            <v>Líneas Financieras</v>
          </cell>
          <cell r="G505" t="str">
            <v>Real</v>
          </cell>
        </row>
        <row r="506">
          <cell r="A506" t="str">
            <v>ADELL</v>
          </cell>
          <cell r="B506">
            <v>202507</v>
          </cell>
          <cell r="D506" t="str">
            <v>Náutica</v>
          </cell>
          <cell r="G506" t="str">
            <v>Presupuesto</v>
          </cell>
        </row>
        <row r="507">
          <cell r="A507" t="str">
            <v>ADELL</v>
          </cell>
          <cell r="B507">
            <v>202507</v>
          </cell>
          <cell r="D507" t="str">
            <v>Náutica</v>
          </cell>
          <cell r="G507" t="str">
            <v>Real</v>
          </cell>
        </row>
        <row r="508">
          <cell r="A508" t="str">
            <v>ADELL</v>
          </cell>
          <cell r="B508">
            <v>202507</v>
          </cell>
          <cell r="D508" t="str">
            <v>Particulares Resto</v>
          </cell>
          <cell r="G508" t="str">
            <v>Presupuesto</v>
          </cell>
        </row>
        <row r="509">
          <cell r="A509" t="str">
            <v>ADELL</v>
          </cell>
          <cell r="B509">
            <v>202507</v>
          </cell>
          <cell r="D509" t="str">
            <v>Particulares Resto</v>
          </cell>
          <cell r="G509" t="str">
            <v>Real</v>
          </cell>
        </row>
        <row r="510">
          <cell r="A510" t="str">
            <v>ADELL</v>
          </cell>
          <cell r="B510">
            <v>202507</v>
          </cell>
          <cell r="D510" t="str">
            <v>Property</v>
          </cell>
          <cell r="G510" t="str">
            <v>Presupuesto</v>
          </cell>
        </row>
        <row r="511">
          <cell r="A511" t="str">
            <v>ADELL</v>
          </cell>
          <cell r="B511">
            <v>202507</v>
          </cell>
          <cell r="D511" t="str">
            <v>Property</v>
          </cell>
          <cell r="G511" t="str">
            <v>Real</v>
          </cell>
        </row>
        <row r="512">
          <cell r="A512" t="str">
            <v>ADELL</v>
          </cell>
          <cell r="B512">
            <v>202507</v>
          </cell>
          <cell r="D512" t="str">
            <v>RC</v>
          </cell>
          <cell r="G512" t="str">
            <v>Presupuesto</v>
          </cell>
        </row>
        <row r="513">
          <cell r="A513" t="str">
            <v>ADELL</v>
          </cell>
          <cell r="B513">
            <v>202507</v>
          </cell>
          <cell r="D513" t="str">
            <v>RC</v>
          </cell>
          <cell r="G513" t="str">
            <v>Real</v>
          </cell>
        </row>
        <row r="514">
          <cell r="A514" t="str">
            <v>ADELL</v>
          </cell>
          <cell r="B514">
            <v>202507</v>
          </cell>
          <cell r="D514" t="str">
            <v>Resto de lineas</v>
          </cell>
          <cell r="G514" t="str">
            <v>Presupuesto</v>
          </cell>
        </row>
        <row r="515">
          <cell r="A515" t="str">
            <v>ADELL</v>
          </cell>
          <cell r="B515">
            <v>202507</v>
          </cell>
          <cell r="D515" t="str">
            <v>Retirada</v>
          </cell>
          <cell r="G515" t="str">
            <v>Presupuesto</v>
          </cell>
        </row>
        <row r="516">
          <cell r="A516" t="str">
            <v>ADELL</v>
          </cell>
          <cell r="B516">
            <v>202507</v>
          </cell>
          <cell r="D516" t="str">
            <v>Seguros Personales (No Vida) Colectivos</v>
          </cell>
          <cell r="G516" t="str">
            <v>Presupuesto</v>
          </cell>
        </row>
        <row r="517">
          <cell r="A517" t="str">
            <v>ADELL</v>
          </cell>
          <cell r="B517">
            <v>202507</v>
          </cell>
          <cell r="D517" t="str">
            <v>Seguros Personales (No Vida) Colectivos</v>
          </cell>
          <cell r="G517" t="str">
            <v>Real</v>
          </cell>
        </row>
        <row r="518">
          <cell r="A518" t="str">
            <v>ADELL</v>
          </cell>
          <cell r="B518">
            <v>202507</v>
          </cell>
          <cell r="D518" t="str">
            <v>Seguros Personales (No Vida) Particular</v>
          </cell>
          <cell r="G518" t="str">
            <v>Presupuesto</v>
          </cell>
        </row>
        <row r="519">
          <cell r="A519" t="str">
            <v>ADELL</v>
          </cell>
          <cell r="B519">
            <v>202507</v>
          </cell>
          <cell r="D519" t="str">
            <v>Seguros Personales (No Vida) Particular</v>
          </cell>
          <cell r="G519" t="str">
            <v>Real</v>
          </cell>
        </row>
        <row r="520">
          <cell r="A520" t="str">
            <v>ADELL</v>
          </cell>
          <cell r="B520">
            <v>202507</v>
          </cell>
          <cell r="D520" t="str">
            <v>Transporte</v>
          </cell>
          <cell r="G520" t="str">
            <v>Presupuesto</v>
          </cell>
        </row>
        <row r="521">
          <cell r="A521" t="str">
            <v>ADELL</v>
          </cell>
          <cell r="B521">
            <v>202507</v>
          </cell>
          <cell r="D521" t="str">
            <v>Transporte</v>
          </cell>
          <cell r="G521" t="str">
            <v>Real</v>
          </cell>
        </row>
        <row r="522">
          <cell r="A522" t="str">
            <v>ADELL</v>
          </cell>
          <cell r="B522">
            <v>202507</v>
          </cell>
          <cell r="D522" t="str">
            <v>Venta Cruzada</v>
          </cell>
          <cell r="G522" t="str">
            <v>Presupuesto</v>
          </cell>
        </row>
        <row r="523">
          <cell r="A523" t="str">
            <v>ADELL</v>
          </cell>
          <cell r="B523">
            <v>202507</v>
          </cell>
          <cell r="D523" t="str">
            <v>Venta Cruzada</v>
          </cell>
          <cell r="G523" t="str">
            <v>Real</v>
          </cell>
        </row>
        <row r="524">
          <cell r="A524" t="str">
            <v>ADELL</v>
          </cell>
          <cell r="B524">
            <v>202507</v>
          </cell>
          <cell r="D524" t="str">
            <v>Vida Ahorro Colectivo</v>
          </cell>
          <cell r="G524" t="str">
            <v>Presupuesto</v>
          </cell>
        </row>
        <row r="525">
          <cell r="A525" t="str">
            <v>ADELL</v>
          </cell>
          <cell r="B525">
            <v>202507</v>
          </cell>
          <cell r="D525" t="str">
            <v>Vida Ahorro Particular</v>
          </cell>
          <cell r="G525" t="str">
            <v>Presupuesto</v>
          </cell>
        </row>
        <row r="526">
          <cell r="A526" t="str">
            <v>ADELL</v>
          </cell>
          <cell r="B526">
            <v>202507</v>
          </cell>
          <cell r="D526" t="str">
            <v>Vida Ahorro Particular</v>
          </cell>
          <cell r="G526" t="str">
            <v>Real</v>
          </cell>
        </row>
        <row r="527">
          <cell r="A527" t="str">
            <v>ADELL</v>
          </cell>
          <cell r="B527">
            <v>202507</v>
          </cell>
          <cell r="D527" t="str">
            <v>Vida Ganado</v>
          </cell>
          <cell r="G527" t="str">
            <v>Presupuesto</v>
          </cell>
        </row>
        <row r="528">
          <cell r="A528" t="str">
            <v>ADELL</v>
          </cell>
          <cell r="B528">
            <v>202507</v>
          </cell>
          <cell r="D528" t="str">
            <v>Vida Riesgo Colectivo</v>
          </cell>
          <cell r="G528" t="str">
            <v>Presupuesto</v>
          </cell>
        </row>
        <row r="529">
          <cell r="A529" t="str">
            <v>ADELL</v>
          </cell>
          <cell r="B529">
            <v>202507</v>
          </cell>
          <cell r="D529" t="str">
            <v>Vida Riesgo Colectivo</v>
          </cell>
          <cell r="G529" t="str">
            <v>Real</v>
          </cell>
        </row>
        <row r="530">
          <cell r="A530" t="str">
            <v>ADELL</v>
          </cell>
          <cell r="B530">
            <v>202507</v>
          </cell>
          <cell r="D530" t="str">
            <v>Vida Riesgo Particular</v>
          </cell>
          <cell r="G530" t="str">
            <v>Presupuesto</v>
          </cell>
        </row>
        <row r="531">
          <cell r="A531" t="str">
            <v>ADELL</v>
          </cell>
          <cell r="B531">
            <v>202507</v>
          </cell>
          <cell r="D531" t="str">
            <v>Vida Riesgo Particular</v>
          </cell>
          <cell r="G531" t="str">
            <v>Real</v>
          </cell>
        </row>
        <row r="532">
          <cell r="A532" t="str">
            <v>ADELL</v>
          </cell>
          <cell r="B532">
            <v>202508</v>
          </cell>
          <cell r="D532" t="str">
            <v>--</v>
          </cell>
          <cell r="G532" t="str">
            <v>Presupuesto</v>
          </cell>
        </row>
        <row r="533">
          <cell r="A533" t="str">
            <v>ADELL</v>
          </cell>
          <cell r="B533">
            <v>202508</v>
          </cell>
          <cell r="D533" t="str">
            <v>--</v>
          </cell>
          <cell r="G533" t="str">
            <v>Real</v>
          </cell>
        </row>
        <row r="534">
          <cell r="A534" t="str">
            <v>ADELL</v>
          </cell>
          <cell r="B534">
            <v>202508</v>
          </cell>
          <cell r="D534" t="str">
            <v>Resto de Lineas</v>
          </cell>
          <cell r="G534" t="str">
            <v>Real</v>
          </cell>
        </row>
        <row r="535">
          <cell r="A535" t="str">
            <v>ADELL</v>
          </cell>
          <cell r="B535">
            <v>202508</v>
          </cell>
          <cell r="D535" t="str">
            <v>Arte</v>
          </cell>
          <cell r="G535" t="str">
            <v>Presupuesto</v>
          </cell>
        </row>
        <row r="536">
          <cell r="A536" t="str">
            <v>ADELL</v>
          </cell>
          <cell r="B536">
            <v>202508</v>
          </cell>
          <cell r="D536" t="str">
            <v>Autos</v>
          </cell>
          <cell r="G536" t="str">
            <v>Presupuesto</v>
          </cell>
        </row>
        <row r="537">
          <cell r="A537" t="str">
            <v>ADELL</v>
          </cell>
          <cell r="B537">
            <v>202508</v>
          </cell>
          <cell r="D537" t="str">
            <v>Autos</v>
          </cell>
          <cell r="G537" t="str">
            <v>Real</v>
          </cell>
        </row>
        <row r="538">
          <cell r="A538" t="str">
            <v>ADELL</v>
          </cell>
          <cell r="B538">
            <v>202508</v>
          </cell>
          <cell r="D538" t="str">
            <v>B2B2C</v>
          </cell>
          <cell r="G538" t="str">
            <v>Presupuesto</v>
          </cell>
        </row>
        <row r="539">
          <cell r="A539" t="str">
            <v>ADELL</v>
          </cell>
          <cell r="B539">
            <v>202508</v>
          </cell>
          <cell r="D539" t="str">
            <v>Caución</v>
          </cell>
          <cell r="G539" t="str">
            <v>Presupuesto</v>
          </cell>
        </row>
        <row r="540">
          <cell r="A540" t="str">
            <v>ADELL</v>
          </cell>
          <cell r="B540">
            <v>202508</v>
          </cell>
          <cell r="D540" t="str">
            <v>Caución</v>
          </cell>
          <cell r="G540" t="str">
            <v>Real</v>
          </cell>
        </row>
        <row r="541">
          <cell r="A541" t="str">
            <v>ADELL</v>
          </cell>
          <cell r="B541">
            <v>202508</v>
          </cell>
          <cell r="D541" t="str">
            <v>Crédito Internacional</v>
          </cell>
          <cell r="G541" t="str">
            <v>Presupuesto</v>
          </cell>
        </row>
        <row r="542">
          <cell r="A542" t="str">
            <v>ADELL</v>
          </cell>
          <cell r="B542">
            <v>202508</v>
          </cell>
          <cell r="D542" t="str">
            <v>Crédito Internacional</v>
          </cell>
          <cell r="G542" t="str">
            <v>Real</v>
          </cell>
        </row>
        <row r="543">
          <cell r="A543" t="str">
            <v>ADELL</v>
          </cell>
          <cell r="B543">
            <v>202508</v>
          </cell>
          <cell r="D543" t="str">
            <v>Crédito Nacional</v>
          </cell>
          <cell r="G543" t="str">
            <v>Presupuesto</v>
          </cell>
        </row>
        <row r="544">
          <cell r="A544" t="str">
            <v>ADELL</v>
          </cell>
          <cell r="B544">
            <v>202508</v>
          </cell>
          <cell r="D544" t="str">
            <v>Eventos</v>
          </cell>
          <cell r="G544" t="str">
            <v>Presupuesto</v>
          </cell>
        </row>
        <row r="545">
          <cell r="A545" t="str">
            <v>ADELL</v>
          </cell>
          <cell r="B545">
            <v>202508</v>
          </cell>
          <cell r="D545" t="str">
            <v>Flotas</v>
          </cell>
          <cell r="G545" t="str">
            <v>Presupuesto</v>
          </cell>
        </row>
        <row r="546">
          <cell r="A546" t="str">
            <v>ADELL</v>
          </cell>
          <cell r="B546">
            <v>202508</v>
          </cell>
          <cell r="D546" t="str">
            <v>Flotas</v>
          </cell>
          <cell r="G546" t="str">
            <v>Real</v>
          </cell>
        </row>
        <row r="547">
          <cell r="A547" t="str">
            <v>ADELL</v>
          </cell>
          <cell r="B547">
            <v>202508</v>
          </cell>
          <cell r="D547" t="str">
            <v>Hogar</v>
          </cell>
          <cell r="G547" t="str">
            <v>Presupuesto</v>
          </cell>
        </row>
        <row r="548">
          <cell r="A548" t="str">
            <v>ADELL</v>
          </cell>
          <cell r="B548">
            <v>202508</v>
          </cell>
          <cell r="D548" t="str">
            <v>Hogar</v>
          </cell>
          <cell r="G548" t="str">
            <v>Real</v>
          </cell>
        </row>
        <row r="549">
          <cell r="A549" t="str">
            <v>ADELL</v>
          </cell>
          <cell r="B549">
            <v>202508</v>
          </cell>
          <cell r="D549" t="str">
            <v>Ingeniería</v>
          </cell>
          <cell r="G549" t="str">
            <v>Presupuesto</v>
          </cell>
        </row>
        <row r="550">
          <cell r="A550" t="str">
            <v>ADELL</v>
          </cell>
          <cell r="B550">
            <v>202508</v>
          </cell>
          <cell r="D550" t="str">
            <v>Ingeniería</v>
          </cell>
          <cell r="G550" t="str">
            <v>Real</v>
          </cell>
        </row>
        <row r="551">
          <cell r="A551" t="str">
            <v>ADELL</v>
          </cell>
          <cell r="B551">
            <v>202508</v>
          </cell>
          <cell r="D551" t="str">
            <v>Inmobiliario</v>
          </cell>
          <cell r="G551" t="str">
            <v>Presupuesto</v>
          </cell>
        </row>
        <row r="552">
          <cell r="A552" t="str">
            <v>ADELL</v>
          </cell>
          <cell r="B552">
            <v>202508</v>
          </cell>
          <cell r="D552" t="str">
            <v>Líneas Financieras</v>
          </cell>
          <cell r="G552" t="str">
            <v>Presupuesto</v>
          </cell>
        </row>
        <row r="553">
          <cell r="A553" t="str">
            <v>ADELL</v>
          </cell>
          <cell r="B553">
            <v>202508</v>
          </cell>
          <cell r="D553" t="str">
            <v>Líneas Financieras</v>
          </cell>
          <cell r="G553" t="str">
            <v>Real</v>
          </cell>
        </row>
        <row r="554">
          <cell r="A554" t="str">
            <v>ADELL</v>
          </cell>
          <cell r="B554">
            <v>202508</v>
          </cell>
          <cell r="D554" t="str">
            <v>Náutica</v>
          </cell>
          <cell r="G554" t="str">
            <v>Presupuesto</v>
          </cell>
        </row>
        <row r="555">
          <cell r="A555" t="str">
            <v>ADELL</v>
          </cell>
          <cell r="B555">
            <v>202508</v>
          </cell>
          <cell r="D555" t="str">
            <v>Náutica</v>
          </cell>
          <cell r="G555" t="str">
            <v>Real</v>
          </cell>
        </row>
        <row r="556">
          <cell r="A556" t="str">
            <v>ADELL</v>
          </cell>
          <cell r="B556">
            <v>202508</v>
          </cell>
          <cell r="D556" t="str">
            <v>Particulares Resto</v>
          </cell>
          <cell r="G556" t="str">
            <v>Presupuesto</v>
          </cell>
        </row>
        <row r="557">
          <cell r="A557" t="str">
            <v>ADELL</v>
          </cell>
          <cell r="B557">
            <v>202508</v>
          </cell>
          <cell r="D557" t="str">
            <v>Particulares Resto</v>
          </cell>
          <cell r="G557" t="str">
            <v>Real</v>
          </cell>
        </row>
        <row r="558">
          <cell r="A558" t="str">
            <v>ADELL</v>
          </cell>
          <cell r="B558">
            <v>202508</v>
          </cell>
          <cell r="D558" t="str">
            <v>Property</v>
          </cell>
          <cell r="G558" t="str">
            <v>Presupuesto</v>
          </cell>
        </row>
        <row r="559">
          <cell r="A559" t="str">
            <v>ADELL</v>
          </cell>
          <cell r="B559">
            <v>202508</v>
          </cell>
          <cell r="D559" t="str">
            <v>Property</v>
          </cell>
          <cell r="G559" t="str">
            <v>Real</v>
          </cell>
        </row>
        <row r="560">
          <cell r="A560" t="str">
            <v>ADELL</v>
          </cell>
          <cell r="B560">
            <v>202508</v>
          </cell>
          <cell r="D560" t="str">
            <v>RC</v>
          </cell>
          <cell r="G560" t="str">
            <v>Presupuesto</v>
          </cell>
        </row>
        <row r="561">
          <cell r="A561" t="str">
            <v>ADELL</v>
          </cell>
          <cell r="B561">
            <v>202508</v>
          </cell>
          <cell r="D561" t="str">
            <v>RC</v>
          </cell>
          <cell r="G561" t="str">
            <v>Real</v>
          </cell>
        </row>
        <row r="562">
          <cell r="A562" t="str">
            <v>ADELL</v>
          </cell>
          <cell r="B562">
            <v>202508</v>
          </cell>
          <cell r="D562" t="str">
            <v>Resto de lineas</v>
          </cell>
          <cell r="G562" t="str">
            <v>Presupuesto</v>
          </cell>
        </row>
        <row r="563">
          <cell r="A563" t="str">
            <v>ADELL</v>
          </cell>
          <cell r="B563">
            <v>202508</v>
          </cell>
          <cell r="D563" t="str">
            <v>Retirada</v>
          </cell>
          <cell r="G563" t="str">
            <v>Presupuesto</v>
          </cell>
        </row>
        <row r="564">
          <cell r="A564" t="str">
            <v>ADELL</v>
          </cell>
          <cell r="B564">
            <v>202508</v>
          </cell>
          <cell r="D564" t="str">
            <v>Seguros Personales (No Vida) Colectivos</v>
          </cell>
          <cell r="G564" t="str">
            <v>Presupuesto</v>
          </cell>
        </row>
        <row r="565">
          <cell r="A565" t="str">
            <v>ADELL</v>
          </cell>
          <cell r="B565">
            <v>202508</v>
          </cell>
          <cell r="D565" t="str">
            <v>Seguros Personales (No Vida) Colectivos</v>
          </cell>
          <cell r="G565" t="str">
            <v>Real</v>
          </cell>
        </row>
        <row r="566">
          <cell r="A566" t="str">
            <v>ADELL</v>
          </cell>
          <cell r="B566">
            <v>202508</v>
          </cell>
          <cell r="D566" t="str">
            <v>Seguros Personales (No Vida) Particular</v>
          </cell>
          <cell r="G566" t="str">
            <v>Presupuesto</v>
          </cell>
        </row>
        <row r="567">
          <cell r="A567" t="str">
            <v>ADELL</v>
          </cell>
          <cell r="B567">
            <v>202508</v>
          </cell>
          <cell r="D567" t="str">
            <v>Seguros Personales (No Vida) Particular</v>
          </cell>
          <cell r="G567" t="str">
            <v>Real</v>
          </cell>
        </row>
        <row r="568">
          <cell r="A568" t="str">
            <v>ADELL</v>
          </cell>
          <cell r="B568">
            <v>202508</v>
          </cell>
          <cell r="D568" t="str">
            <v>Transporte</v>
          </cell>
          <cell r="G568" t="str">
            <v>Presupuesto</v>
          </cell>
        </row>
        <row r="569">
          <cell r="A569" t="str">
            <v>ADELL</v>
          </cell>
          <cell r="B569">
            <v>202508</v>
          </cell>
          <cell r="D569" t="str">
            <v>Transporte</v>
          </cell>
          <cell r="G569" t="str">
            <v>Real</v>
          </cell>
        </row>
        <row r="570">
          <cell r="A570" t="str">
            <v>ADELL</v>
          </cell>
          <cell r="B570">
            <v>202508</v>
          </cell>
          <cell r="D570" t="str">
            <v>Venta Cruzada</v>
          </cell>
          <cell r="G570" t="str">
            <v>Presupuesto</v>
          </cell>
        </row>
        <row r="571">
          <cell r="A571" t="str">
            <v>ADELL</v>
          </cell>
          <cell r="B571">
            <v>202508</v>
          </cell>
          <cell r="D571" t="str">
            <v>Venta Cruzada</v>
          </cell>
          <cell r="G571" t="str">
            <v>Real</v>
          </cell>
        </row>
        <row r="572">
          <cell r="A572" t="str">
            <v>ADELL</v>
          </cell>
          <cell r="B572">
            <v>202508</v>
          </cell>
          <cell r="D572" t="str">
            <v>Vida Ahorro Colectivo</v>
          </cell>
          <cell r="G572" t="str">
            <v>Presupuesto</v>
          </cell>
        </row>
        <row r="573">
          <cell r="A573" t="str">
            <v>ADELL</v>
          </cell>
          <cell r="B573">
            <v>202508</v>
          </cell>
          <cell r="D573" t="str">
            <v>Vida Ahorro Particular</v>
          </cell>
          <cell r="G573" t="str">
            <v>Presupuesto</v>
          </cell>
        </row>
        <row r="574">
          <cell r="A574" t="str">
            <v>ADELL</v>
          </cell>
          <cell r="B574">
            <v>202508</v>
          </cell>
          <cell r="D574" t="str">
            <v>Vida Ahorro Particular</v>
          </cell>
          <cell r="G574" t="str">
            <v>Real</v>
          </cell>
        </row>
        <row r="575">
          <cell r="A575" t="str">
            <v>ADELL</v>
          </cell>
          <cell r="B575">
            <v>202508</v>
          </cell>
          <cell r="D575" t="str">
            <v>Vida Ganado</v>
          </cell>
          <cell r="G575" t="str">
            <v>Presupuesto</v>
          </cell>
        </row>
        <row r="576">
          <cell r="A576" t="str">
            <v>ADELL</v>
          </cell>
          <cell r="B576">
            <v>202508</v>
          </cell>
          <cell r="D576" t="str">
            <v>Vida Riesgo Colectivo</v>
          </cell>
          <cell r="G576" t="str">
            <v>Presupuesto</v>
          </cell>
        </row>
        <row r="577">
          <cell r="A577" t="str">
            <v>ADELL</v>
          </cell>
          <cell r="B577">
            <v>202508</v>
          </cell>
          <cell r="D577" t="str">
            <v>Vida Riesgo Colectivo</v>
          </cell>
          <cell r="G577" t="str">
            <v>Real</v>
          </cell>
        </row>
        <row r="578">
          <cell r="A578" t="str">
            <v>ADELL</v>
          </cell>
          <cell r="B578">
            <v>202508</v>
          </cell>
          <cell r="D578" t="str">
            <v>Vida Riesgo Particular</v>
          </cell>
          <cell r="G578" t="str">
            <v>Presupuesto</v>
          </cell>
        </row>
        <row r="579">
          <cell r="A579" t="str">
            <v>ADELL</v>
          </cell>
          <cell r="B579">
            <v>202508</v>
          </cell>
          <cell r="D579" t="str">
            <v>Vida Riesgo Particular</v>
          </cell>
          <cell r="G579" t="str">
            <v>Real</v>
          </cell>
        </row>
        <row r="580">
          <cell r="A580" t="str">
            <v>ADELL</v>
          </cell>
          <cell r="B580">
            <v>202509</v>
          </cell>
          <cell r="D580" t="str">
            <v>--</v>
          </cell>
          <cell r="G580" t="str">
            <v>Presupuesto</v>
          </cell>
        </row>
        <row r="581">
          <cell r="A581" t="str">
            <v>ADELL</v>
          </cell>
          <cell r="B581">
            <v>202509</v>
          </cell>
          <cell r="D581" t="str">
            <v>--</v>
          </cell>
          <cell r="G581" t="str">
            <v>Real</v>
          </cell>
        </row>
        <row r="582">
          <cell r="A582" t="str">
            <v>ADELL</v>
          </cell>
          <cell r="B582">
            <v>202509</v>
          </cell>
          <cell r="D582" t="str">
            <v>Resto de Lineas</v>
          </cell>
          <cell r="G582" t="str">
            <v>Real</v>
          </cell>
        </row>
        <row r="583">
          <cell r="A583" t="str">
            <v>ADELL</v>
          </cell>
          <cell r="B583">
            <v>202509</v>
          </cell>
          <cell r="D583" t="str">
            <v>Arte</v>
          </cell>
          <cell r="G583" t="str">
            <v>Presupuesto</v>
          </cell>
        </row>
        <row r="584">
          <cell r="A584" t="str">
            <v>ADELL</v>
          </cell>
          <cell r="B584">
            <v>202509</v>
          </cell>
          <cell r="D584" t="str">
            <v>Autos</v>
          </cell>
          <cell r="G584" t="str">
            <v>Presupuesto</v>
          </cell>
        </row>
        <row r="585">
          <cell r="A585" t="str">
            <v>ADELL</v>
          </cell>
          <cell r="B585">
            <v>202509</v>
          </cell>
          <cell r="D585" t="str">
            <v>Autos</v>
          </cell>
          <cell r="G585" t="str">
            <v>Real</v>
          </cell>
        </row>
        <row r="586">
          <cell r="A586" t="str">
            <v>ADELL</v>
          </cell>
          <cell r="B586">
            <v>202509</v>
          </cell>
          <cell r="D586" t="str">
            <v>B2B2C</v>
          </cell>
          <cell r="G586" t="str">
            <v>Presupuesto</v>
          </cell>
        </row>
        <row r="587">
          <cell r="A587" t="str">
            <v>ADELL</v>
          </cell>
          <cell r="B587">
            <v>202509</v>
          </cell>
          <cell r="D587" t="str">
            <v>Caución</v>
          </cell>
          <cell r="G587" t="str">
            <v>Presupuesto</v>
          </cell>
        </row>
        <row r="588">
          <cell r="A588" t="str">
            <v>ADELL</v>
          </cell>
          <cell r="B588">
            <v>202509</v>
          </cell>
          <cell r="D588" t="str">
            <v>Caución</v>
          </cell>
          <cell r="G588" t="str">
            <v>Real</v>
          </cell>
        </row>
        <row r="589">
          <cell r="A589" t="str">
            <v>ADELL</v>
          </cell>
          <cell r="B589">
            <v>202509</v>
          </cell>
          <cell r="D589" t="str">
            <v>Crédito Internacional</v>
          </cell>
          <cell r="G589" t="str">
            <v>Presupuesto</v>
          </cell>
        </row>
        <row r="590">
          <cell r="A590" t="str">
            <v>ADELL</v>
          </cell>
          <cell r="B590">
            <v>202509</v>
          </cell>
          <cell r="D590" t="str">
            <v>Crédito Internacional</v>
          </cell>
          <cell r="G590" t="str">
            <v>Real</v>
          </cell>
        </row>
        <row r="591">
          <cell r="A591" t="str">
            <v>ADELL</v>
          </cell>
          <cell r="B591">
            <v>202509</v>
          </cell>
          <cell r="D591" t="str">
            <v>Crédito Nacional</v>
          </cell>
          <cell r="G591" t="str">
            <v>Presupuesto</v>
          </cell>
        </row>
        <row r="592">
          <cell r="A592" t="str">
            <v>ADELL</v>
          </cell>
          <cell r="B592">
            <v>202509</v>
          </cell>
          <cell r="D592" t="str">
            <v>Eventos</v>
          </cell>
          <cell r="G592" t="str">
            <v>Presupuesto</v>
          </cell>
        </row>
        <row r="593">
          <cell r="A593" t="str">
            <v>ADELL</v>
          </cell>
          <cell r="B593">
            <v>202509</v>
          </cell>
          <cell r="D593" t="str">
            <v>Flotas</v>
          </cell>
          <cell r="G593" t="str">
            <v>Presupuesto</v>
          </cell>
        </row>
        <row r="594">
          <cell r="A594" t="str">
            <v>ADELL</v>
          </cell>
          <cell r="B594">
            <v>202509</v>
          </cell>
          <cell r="D594" t="str">
            <v>Flotas</v>
          </cell>
          <cell r="G594" t="str">
            <v>Real</v>
          </cell>
        </row>
        <row r="595">
          <cell r="A595" t="str">
            <v>ADELL</v>
          </cell>
          <cell r="B595">
            <v>202509</v>
          </cell>
          <cell r="D595" t="str">
            <v>Hogar</v>
          </cell>
          <cell r="G595" t="str">
            <v>Presupuesto</v>
          </cell>
        </row>
        <row r="596">
          <cell r="A596" t="str">
            <v>ADELL</v>
          </cell>
          <cell r="B596">
            <v>202509</v>
          </cell>
          <cell r="D596" t="str">
            <v>Hogar</v>
          </cell>
          <cell r="G596" t="str">
            <v>Real</v>
          </cell>
        </row>
        <row r="597">
          <cell r="A597" t="str">
            <v>ADELL</v>
          </cell>
          <cell r="B597">
            <v>202509</v>
          </cell>
          <cell r="D597" t="str">
            <v>Ingeniería</v>
          </cell>
          <cell r="G597" t="str">
            <v>Presupuesto</v>
          </cell>
        </row>
        <row r="598">
          <cell r="A598" t="str">
            <v>ADELL</v>
          </cell>
          <cell r="B598">
            <v>202509</v>
          </cell>
          <cell r="D598" t="str">
            <v>Ingeniería</v>
          </cell>
          <cell r="G598" t="str">
            <v>Real</v>
          </cell>
        </row>
        <row r="599">
          <cell r="A599" t="str">
            <v>ADELL</v>
          </cell>
          <cell r="B599">
            <v>202509</v>
          </cell>
          <cell r="D599" t="str">
            <v>Inmobiliario</v>
          </cell>
          <cell r="G599" t="str">
            <v>Presupuesto</v>
          </cell>
        </row>
        <row r="600">
          <cell r="A600" t="str">
            <v>ADELL</v>
          </cell>
          <cell r="B600">
            <v>202509</v>
          </cell>
          <cell r="D600" t="str">
            <v>Líneas Financieras</v>
          </cell>
          <cell r="G600" t="str">
            <v>Presupuesto</v>
          </cell>
        </row>
        <row r="601">
          <cell r="A601" t="str">
            <v>ADELL</v>
          </cell>
          <cell r="B601">
            <v>202509</v>
          </cell>
          <cell r="D601" t="str">
            <v>Líneas Financieras</v>
          </cell>
          <cell r="G601" t="str">
            <v>Real</v>
          </cell>
        </row>
        <row r="602">
          <cell r="A602" t="str">
            <v>ADELL</v>
          </cell>
          <cell r="B602">
            <v>202509</v>
          </cell>
          <cell r="D602" t="str">
            <v>Náutica</v>
          </cell>
          <cell r="G602" t="str">
            <v>Presupuesto</v>
          </cell>
        </row>
        <row r="603">
          <cell r="A603" t="str">
            <v>ADELL</v>
          </cell>
          <cell r="B603">
            <v>202509</v>
          </cell>
          <cell r="D603" t="str">
            <v>Náutica</v>
          </cell>
          <cell r="G603" t="str">
            <v>Real</v>
          </cell>
        </row>
        <row r="604">
          <cell r="A604" t="str">
            <v>ADELL</v>
          </cell>
          <cell r="B604">
            <v>202509</v>
          </cell>
          <cell r="D604" t="str">
            <v>Particulares Resto</v>
          </cell>
          <cell r="G604" t="str">
            <v>Presupuesto</v>
          </cell>
        </row>
        <row r="605">
          <cell r="A605" t="str">
            <v>ADELL</v>
          </cell>
          <cell r="B605">
            <v>202509</v>
          </cell>
          <cell r="D605" t="str">
            <v>Particulares Resto</v>
          </cell>
          <cell r="G605" t="str">
            <v>Real</v>
          </cell>
        </row>
        <row r="606">
          <cell r="A606" t="str">
            <v>ADELL</v>
          </cell>
          <cell r="B606">
            <v>202509</v>
          </cell>
          <cell r="D606" t="str">
            <v>Property</v>
          </cell>
          <cell r="G606" t="str">
            <v>Presupuesto</v>
          </cell>
        </row>
        <row r="607">
          <cell r="A607" t="str">
            <v>ADELL</v>
          </cell>
          <cell r="B607">
            <v>202509</v>
          </cell>
          <cell r="D607" t="str">
            <v>Property</v>
          </cell>
          <cell r="G607" t="str">
            <v>Real</v>
          </cell>
        </row>
        <row r="608">
          <cell r="A608" t="str">
            <v>ADELL</v>
          </cell>
          <cell r="B608">
            <v>202509</v>
          </cell>
          <cell r="D608" t="str">
            <v>RC</v>
          </cell>
          <cell r="G608" t="str">
            <v>Presupuesto</v>
          </cell>
        </row>
        <row r="609">
          <cell r="A609" t="str">
            <v>ADELL</v>
          </cell>
          <cell r="B609">
            <v>202509</v>
          </cell>
          <cell r="D609" t="str">
            <v>RC</v>
          </cell>
          <cell r="G609" t="str">
            <v>Real</v>
          </cell>
        </row>
        <row r="610">
          <cell r="A610" t="str">
            <v>ADELL</v>
          </cell>
          <cell r="B610">
            <v>202509</v>
          </cell>
          <cell r="D610" t="str">
            <v>Resto de lineas</v>
          </cell>
          <cell r="G610" t="str">
            <v>Presupuesto</v>
          </cell>
        </row>
        <row r="611">
          <cell r="A611" t="str">
            <v>ADELL</v>
          </cell>
          <cell r="B611">
            <v>202509</v>
          </cell>
          <cell r="D611" t="str">
            <v>Retirada</v>
          </cell>
          <cell r="G611" t="str">
            <v>Presupuesto</v>
          </cell>
        </row>
        <row r="612">
          <cell r="A612" t="str">
            <v>ADELL</v>
          </cell>
          <cell r="B612">
            <v>202509</v>
          </cell>
          <cell r="D612" t="str">
            <v>Seguros Personales (No Vida) Colectivos</v>
          </cell>
          <cell r="G612" t="str">
            <v>Presupuesto</v>
          </cell>
        </row>
        <row r="613">
          <cell r="A613" t="str">
            <v>ADELL</v>
          </cell>
          <cell r="B613">
            <v>202509</v>
          </cell>
          <cell r="D613" t="str">
            <v>Seguros Personales (No Vida) Colectivos</v>
          </cell>
          <cell r="G613" t="str">
            <v>Real</v>
          </cell>
        </row>
        <row r="614">
          <cell r="A614" t="str">
            <v>ADELL</v>
          </cell>
          <cell r="B614">
            <v>202509</v>
          </cell>
          <cell r="D614" t="str">
            <v>Seguros Personales (No Vida) Particular</v>
          </cell>
          <cell r="G614" t="str">
            <v>Presupuesto</v>
          </cell>
        </row>
        <row r="615">
          <cell r="A615" t="str">
            <v>ADELL</v>
          </cell>
          <cell r="B615">
            <v>202509</v>
          </cell>
          <cell r="D615" t="str">
            <v>Seguros Personales (No Vida) Particular</v>
          </cell>
          <cell r="G615" t="str">
            <v>Real</v>
          </cell>
        </row>
        <row r="616">
          <cell r="A616" t="str">
            <v>ADELL</v>
          </cell>
          <cell r="B616">
            <v>202509</v>
          </cell>
          <cell r="D616" t="str">
            <v>Transporte</v>
          </cell>
          <cell r="G616" t="str">
            <v>Presupuesto</v>
          </cell>
        </row>
        <row r="617">
          <cell r="A617" t="str">
            <v>ADELL</v>
          </cell>
          <cell r="B617">
            <v>202509</v>
          </cell>
          <cell r="D617" t="str">
            <v>Transporte</v>
          </cell>
          <cell r="G617" t="str">
            <v>Real</v>
          </cell>
        </row>
        <row r="618">
          <cell r="A618" t="str">
            <v>ADELL</v>
          </cell>
          <cell r="B618">
            <v>202509</v>
          </cell>
          <cell r="D618" t="str">
            <v>Venta Cruzada</v>
          </cell>
          <cell r="G618" t="str">
            <v>Presupuesto</v>
          </cell>
        </row>
        <row r="619">
          <cell r="A619" t="str">
            <v>ADELL</v>
          </cell>
          <cell r="B619">
            <v>202509</v>
          </cell>
          <cell r="D619" t="str">
            <v>Venta Cruzada</v>
          </cell>
          <cell r="G619" t="str">
            <v>Real</v>
          </cell>
        </row>
        <row r="620">
          <cell r="A620" t="str">
            <v>ADELL</v>
          </cell>
          <cell r="B620">
            <v>202509</v>
          </cell>
          <cell r="D620" t="str">
            <v>Vida Ahorro Colectivo</v>
          </cell>
          <cell r="G620" t="str">
            <v>Presupuesto</v>
          </cell>
        </row>
        <row r="621">
          <cell r="A621" t="str">
            <v>ADELL</v>
          </cell>
          <cell r="B621">
            <v>202509</v>
          </cell>
          <cell r="D621" t="str">
            <v>Vida Ahorro Particular</v>
          </cell>
          <cell r="G621" t="str">
            <v>Presupuesto</v>
          </cell>
        </row>
        <row r="622">
          <cell r="A622" t="str">
            <v>ADELL</v>
          </cell>
          <cell r="B622">
            <v>202509</v>
          </cell>
          <cell r="D622" t="str">
            <v>Vida Ahorro Particular</v>
          </cell>
          <cell r="G622" t="str">
            <v>Real</v>
          </cell>
        </row>
        <row r="623">
          <cell r="A623" t="str">
            <v>ADELL</v>
          </cell>
          <cell r="B623">
            <v>202509</v>
          </cell>
          <cell r="D623" t="str">
            <v>Vida Ganado</v>
          </cell>
          <cell r="G623" t="str">
            <v>Presupuesto</v>
          </cell>
        </row>
        <row r="624">
          <cell r="A624" t="str">
            <v>ADELL</v>
          </cell>
          <cell r="B624">
            <v>202509</v>
          </cell>
          <cell r="D624" t="str">
            <v>Vida Riesgo Colectivo</v>
          </cell>
          <cell r="G624" t="str">
            <v>Presupuesto</v>
          </cell>
        </row>
        <row r="625">
          <cell r="A625" t="str">
            <v>ADELL</v>
          </cell>
          <cell r="B625">
            <v>202509</v>
          </cell>
          <cell r="D625" t="str">
            <v>Vida Riesgo Colectivo</v>
          </cell>
          <cell r="G625" t="str">
            <v>Real</v>
          </cell>
        </row>
        <row r="626">
          <cell r="A626" t="str">
            <v>ADELL</v>
          </cell>
          <cell r="B626">
            <v>202509</v>
          </cell>
          <cell r="D626" t="str">
            <v>Vida Riesgo Particular</v>
          </cell>
          <cell r="G626" t="str">
            <v>Presupuesto</v>
          </cell>
        </row>
        <row r="627">
          <cell r="A627" t="str">
            <v>ADELL</v>
          </cell>
          <cell r="B627">
            <v>202509</v>
          </cell>
          <cell r="D627" t="str">
            <v>Vida Riesgo Particular</v>
          </cell>
          <cell r="G627" t="str">
            <v>Real</v>
          </cell>
        </row>
        <row r="628">
          <cell r="A628" t="str">
            <v>ADELL</v>
          </cell>
          <cell r="B628">
            <v>202510</v>
          </cell>
          <cell r="D628" t="str">
            <v>--</v>
          </cell>
          <cell r="G628" t="str">
            <v>Presupuesto</v>
          </cell>
        </row>
        <row r="629">
          <cell r="A629" t="str">
            <v>ADELL</v>
          </cell>
          <cell r="B629">
            <v>202510</v>
          </cell>
          <cell r="D629" t="str">
            <v>--</v>
          </cell>
          <cell r="G629" t="str">
            <v>Real</v>
          </cell>
        </row>
        <row r="630">
          <cell r="A630" t="str">
            <v>ADELL</v>
          </cell>
          <cell r="B630">
            <v>202510</v>
          </cell>
          <cell r="D630" t="str">
            <v>Resto de Lineas</v>
          </cell>
          <cell r="G630" t="str">
            <v>Real</v>
          </cell>
        </row>
        <row r="631">
          <cell r="A631" t="str">
            <v>ADELL</v>
          </cell>
          <cell r="B631">
            <v>202510</v>
          </cell>
          <cell r="D631" t="str">
            <v>Arte</v>
          </cell>
          <cell r="G631" t="str">
            <v>Presupuesto</v>
          </cell>
        </row>
        <row r="632">
          <cell r="A632" t="str">
            <v>ADELL</v>
          </cell>
          <cell r="B632">
            <v>202510</v>
          </cell>
          <cell r="D632" t="str">
            <v>Autos</v>
          </cell>
          <cell r="G632" t="str">
            <v>Presupuesto</v>
          </cell>
        </row>
        <row r="633">
          <cell r="A633" t="str">
            <v>ADELL</v>
          </cell>
          <cell r="B633">
            <v>202510</v>
          </cell>
          <cell r="D633" t="str">
            <v>Autos</v>
          </cell>
          <cell r="G633" t="str">
            <v>Real</v>
          </cell>
        </row>
        <row r="634">
          <cell r="A634" t="str">
            <v>ADELL</v>
          </cell>
          <cell r="B634">
            <v>202510</v>
          </cell>
          <cell r="D634" t="str">
            <v>B2B2C</v>
          </cell>
          <cell r="G634" t="str">
            <v>Presupuesto</v>
          </cell>
        </row>
        <row r="635">
          <cell r="A635" t="str">
            <v>ADELL</v>
          </cell>
          <cell r="B635">
            <v>202510</v>
          </cell>
          <cell r="D635" t="str">
            <v>Caución</v>
          </cell>
          <cell r="G635" t="str">
            <v>Presupuesto</v>
          </cell>
        </row>
        <row r="636">
          <cell r="A636" t="str">
            <v>ADELL</v>
          </cell>
          <cell r="B636">
            <v>202510</v>
          </cell>
          <cell r="D636" t="str">
            <v>Caución</v>
          </cell>
          <cell r="G636" t="str">
            <v>Real</v>
          </cell>
        </row>
        <row r="637">
          <cell r="A637" t="str">
            <v>ADELL</v>
          </cell>
          <cell r="B637">
            <v>202510</v>
          </cell>
          <cell r="D637" t="str">
            <v>Crédito Internacional</v>
          </cell>
          <cell r="G637" t="str">
            <v>Presupuesto</v>
          </cell>
        </row>
        <row r="638">
          <cell r="A638" t="str">
            <v>ADELL</v>
          </cell>
          <cell r="B638">
            <v>202510</v>
          </cell>
          <cell r="D638" t="str">
            <v>Crédito Internacional</v>
          </cell>
          <cell r="G638" t="str">
            <v>Real</v>
          </cell>
        </row>
        <row r="639">
          <cell r="A639" t="str">
            <v>ADELL</v>
          </cell>
          <cell r="B639">
            <v>202510</v>
          </cell>
          <cell r="D639" t="str">
            <v>Crédito Nacional</v>
          </cell>
          <cell r="G639" t="str">
            <v>Presupuesto</v>
          </cell>
        </row>
        <row r="640">
          <cell r="A640" t="str">
            <v>ADELL</v>
          </cell>
          <cell r="B640">
            <v>202510</v>
          </cell>
          <cell r="D640" t="str">
            <v>Eventos</v>
          </cell>
          <cell r="G640" t="str">
            <v>Presupuesto</v>
          </cell>
        </row>
        <row r="641">
          <cell r="A641" t="str">
            <v>ADELL</v>
          </cell>
          <cell r="B641">
            <v>202510</v>
          </cell>
          <cell r="D641" t="str">
            <v>Flotas</v>
          </cell>
          <cell r="G641" t="str">
            <v>Presupuesto</v>
          </cell>
        </row>
        <row r="642">
          <cell r="A642" t="str">
            <v>ADELL</v>
          </cell>
          <cell r="B642">
            <v>202510</v>
          </cell>
          <cell r="D642" t="str">
            <v>Flotas</v>
          </cell>
          <cell r="G642" t="str">
            <v>Real</v>
          </cell>
        </row>
        <row r="643">
          <cell r="A643" t="str">
            <v>ADELL</v>
          </cell>
          <cell r="B643">
            <v>202510</v>
          </cell>
          <cell r="D643" t="str">
            <v>Hogar</v>
          </cell>
          <cell r="G643" t="str">
            <v>Presupuesto</v>
          </cell>
        </row>
        <row r="644">
          <cell r="A644" t="str">
            <v>ADELL</v>
          </cell>
          <cell r="B644">
            <v>202510</v>
          </cell>
          <cell r="D644" t="str">
            <v>Hogar</v>
          </cell>
          <cell r="G644" t="str">
            <v>Real</v>
          </cell>
        </row>
        <row r="645">
          <cell r="A645" t="str">
            <v>ADELL</v>
          </cell>
          <cell r="B645">
            <v>202510</v>
          </cell>
          <cell r="D645" t="str">
            <v>Ingeniería</v>
          </cell>
          <cell r="G645" t="str">
            <v>Presupuesto</v>
          </cell>
        </row>
        <row r="646">
          <cell r="A646" t="str">
            <v>ADELL</v>
          </cell>
          <cell r="B646">
            <v>202510</v>
          </cell>
          <cell r="D646" t="str">
            <v>Ingeniería</v>
          </cell>
          <cell r="G646" t="str">
            <v>Real</v>
          </cell>
        </row>
        <row r="647">
          <cell r="A647" t="str">
            <v>ADELL</v>
          </cell>
          <cell r="B647">
            <v>202510</v>
          </cell>
          <cell r="D647" t="str">
            <v>Inmobiliario</v>
          </cell>
          <cell r="G647" t="str">
            <v>Presupuesto</v>
          </cell>
        </row>
        <row r="648">
          <cell r="A648" t="str">
            <v>ADELL</v>
          </cell>
          <cell r="B648">
            <v>202510</v>
          </cell>
          <cell r="D648" t="str">
            <v>Líneas Financieras</v>
          </cell>
          <cell r="G648" t="str">
            <v>Presupuesto</v>
          </cell>
        </row>
        <row r="649">
          <cell r="A649" t="str">
            <v>ADELL</v>
          </cell>
          <cell r="B649">
            <v>202510</v>
          </cell>
          <cell r="D649" t="str">
            <v>Líneas Financieras</v>
          </cell>
          <cell r="G649" t="str">
            <v>Real</v>
          </cell>
        </row>
        <row r="650">
          <cell r="A650" t="str">
            <v>ADELL</v>
          </cell>
          <cell r="B650">
            <v>202510</v>
          </cell>
          <cell r="D650" t="str">
            <v>Náutica</v>
          </cell>
          <cell r="G650" t="str">
            <v>Presupuesto</v>
          </cell>
        </row>
        <row r="651">
          <cell r="A651" t="str">
            <v>ADELL</v>
          </cell>
          <cell r="B651">
            <v>202510</v>
          </cell>
          <cell r="D651" t="str">
            <v>Náutica</v>
          </cell>
          <cell r="G651" t="str">
            <v>Real</v>
          </cell>
        </row>
        <row r="652">
          <cell r="A652" t="str">
            <v>ADELL</v>
          </cell>
          <cell r="B652">
            <v>202510</v>
          </cell>
          <cell r="D652" t="str">
            <v>Particulares Resto</v>
          </cell>
          <cell r="G652" t="str">
            <v>Presupuesto</v>
          </cell>
        </row>
        <row r="653">
          <cell r="A653" t="str">
            <v>ADELL</v>
          </cell>
          <cell r="B653">
            <v>202510</v>
          </cell>
          <cell r="D653" t="str">
            <v>Particulares Resto</v>
          </cell>
          <cell r="G653" t="str">
            <v>Real</v>
          </cell>
        </row>
        <row r="654">
          <cell r="A654" t="str">
            <v>ADELL</v>
          </cell>
          <cell r="B654">
            <v>202510</v>
          </cell>
          <cell r="D654" t="str">
            <v>Property</v>
          </cell>
          <cell r="G654" t="str">
            <v>Presupuesto</v>
          </cell>
        </row>
        <row r="655">
          <cell r="A655" t="str">
            <v>ADELL</v>
          </cell>
          <cell r="B655">
            <v>202510</v>
          </cell>
          <cell r="D655" t="str">
            <v>Property</v>
          </cell>
          <cell r="G655" t="str">
            <v>Real</v>
          </cell>
        </row>
        <row r="656">
          <cell r="A656" t="str">
            <v>ADELL</v>
          </cell>
          <cell r="B656">
            <v>202510</v>
          </cell>
          <cell r="D656" t="str">
            <v>RC</v>
          </cell>
          <cell r="G656" t="str">
            <v>Presupuesto</v>
          </cell>
        </row>
        <row r="657">
          <cell r="A657" t="str">
            <v>ADELL</v>
          </cell>
          <cell r="B657">
            <v>202510</v>
          </cell>
          <cell r="D657" t="str">
            <v>RC</v>
          </cell>
          <cell r="G657" t="str">
            <v>Real</v>
          </cell>
        </row>
        <row r="658">
          <cell r="A658" t="str">
            <v>ADELL</v>
          </cell>
          <cell r="B658">
            <v>202510</v>
          </cell>
          <cell r="D658" t="str">
            <v>Resto de lineas</v>
          </cell>
          <cell r="G658" t="str">
            <v>Presupuesto</v>
          </cell>
        </row>
        <row r="659">
          <cell r="A659" t="str">
            <v>ADELL</v>
          </cell>
          <cell r="B659">
            <v>202510</v>
          </cell>
          <cell r="D659" t="str">
            <v>Retirada</v>
          </cell>
          <cell r="G659" t="str">
            <v>Presupuesto</v>
          </cell>
        </row>
        <row r="660">
          <cell r="A660" t="str">
            <v>ADELL</v>
          </cell>
          <cell r="B660">
            <v>202510</v>
          </cell>
          <cell r="D660" t="str">
            <v>Seguros Personales (No Vida) Colectivos</v>
          </cell>
          <cell r="G660" t="str">
            <v>Presupuesto</v>
          </cell>
        </row>
        <row r="661">
          <cell r="A661" t="str">
            <v>ADELL</v>
          </cell>
          <cell r="B661">
            <v>202510</v>
          </cell>
          <cell r="D661" t="str">
            <v>Seguros Personales (No Vida) Colectivos</v>
          </cell>
          <cell r="G661" t="str">
            <v>Real</v>
          </cell>
        </row>
        <row r="662">
          <cell r="A662" t="str">
            <v>ADELL</v>
          </cell>
          <cell r="B662">
            <v>202510</v>
          </cell>
          <cell r="D662" t="str">
            <v>Seguros Personales (No Vida) Particular</v>
          </cell>
          <cell r="G662" t="str">
            <v>Presupuesto</v>
          </cell>
        </row>
        <row r="663">
          <cell r="A663" t="str">
            <v>ADELL</v>
          </cell>
          <cell r="B663">
            <v>202510</v>
          </cell>
          <cell r="D663" t="str">
            <v>Seguros Personales (No Vida) Particular</v>
          </cell>
          <cell r="G663" t="str">
            <v>Real</v>
          </cell>
        </row>
        <row r="664">
          <cell r="A664" t="str">
            <v>ADELL</v>
          </cell>
          <cell r="B664">
            <v>202510</v>
          </cell>
          <cell r="D664" t="str">
            <v>Transporte</v>
          </cell>
          <cell r="G664" t="str">
            <v>Presupuesto</v>
          </cell>
        </row>
        <row r="665">
          <cell r="A665" t="str">
            <v>ADELL</v>
          </cell>
          <cell r="B665">
            <v>202510</v>
          </cell>
          <cell r="D665" t="str">
            <v>Transporte</v>
          </cell>
          <cell r="G665" t="str">
            <v>Real</v>
          </cell>
        </row>
        <row r="666">
          <cell r="A666" t="str">
            <v>ADELL</v>
          </cell>
          <cell r="B666">
            <v>202510</v>
          </cell>
          <cell r="D666" t="str">
            <v>Venta Cruzada</v>
          </cell>
          <cell r="G666" t="str">
            <v>Presupuesto</v>
          </cell>
        </row>
        <row r="667">
          <cell r="A667" t="str">
            <v>ADELL</v>
          </cell>
          <cell r="B667">
            <v>202510</v>
          </cell>
          <cell r="D667" t="str">
            <v>Venta Cruzada</v>
          </cell>
          <cell r="G667" t="str">
            <v>Real</v>
          </cell>
        </row>
        <row r="668">
          <cell r="A668" t="str">
            <v>ADELL</v>
          </cell>
          <cell r="B668">
            <v>202510</v>
          </cell>
          <cell r="D668" t="str">
            <v>Vida Ahorro Colectivo</v>
          </cell>
          <cell r="G668" t="str">
            <v>Presupuesto</v>
          </cell>
        </row>
        <row r="669">
          <cell r="A669" t="str">
            <v>ADELL</v>
          </cell>
          <cell r="B669">
            <v>202510</v>
          </cell>
          <cell r="D669" t="str">
            <v>Vida Ahorro Particular</v>
          </cell>
          <cell r="G669" t="str">
            <v>Presupuesto</v>
          </cell>
        </row>
        <row r="670">
          <cell r="A670" t="str">
            <v>ADELL</v>
          </cell>
          <cell r="B670">
            <v>202510</v>
          </cell>
          <cell r="D670" t="str">
            <v>Vida Ahorro Particular</v>
          </cell>
          <cell r="G670" t="str">
            <v>Real</v>
          </cell>
        </row>
        <row r="671">
          <cell r="A671" t="str">
            <v>ADELL</v>
          </cell>
          <cell r="B671">
            <v>202510</v>
          </cell>
          <cell r="D671" t="str">
            <v>Vida Ganado</v>
          </cell>
          <cell r="G671" t="str">
            <v>Presupuesto</v>
          </cell>
        </row>
        <row r="672">
          <cell r="A672" t="str">
            <v>ADELL</v>
          </cell>
          <cell r="B672">
            <v>202510</v>
          </cell>
          <cell r="D672" t="str">
            <v>Vida Riesgo Colectivo</v>
          </cell>
          <cell r="G672" t="str">
            <v>Presupuesto</v>
          </cell>
        </row>
        <row r="673">
          <cell r="A673" t="str">
            <v>ADELL</v>
          </cell>
          <cell r="B673">
            <v>202510</v>
          </cell>
          <cell r="D673" t="str">
            <v>Vida Riesgo Colectivo</v>
          </cell>
          <cell r="G673" t="str">
            <v>Real</v>
          </cell>
        </row>
        <row r="674">
          <cell r="A674" t="str">
            <v>ADELL</v>
          </cell>
          <cell r="B674">
            <v>202510</v>
          </cell>
          <cell r="D674" t="str">
            <v>Vida Riesgo Particular</v>
          </cell>
          <cell r="G674" t="str">
            <v>Presupuesto</v>
          </cell>
        </row>
        <row r="675">
          <cell r="A675" t="str">
            <v>ADELL</v>
          </cell>
          <cell r="B675">
            <v>202510</v>
          </cell>
          <cell r="D675" t="str">
            <v>Vida Riesgo Particular</v>
          </cell>
          <cell r="G675" t="str">
            <v>Real</v>
          </cell>
        </row>
        <row r="676">
          <cell r="A676" t="str">
            <v>ADELL</v>
          </cell>
          <cell r="B676">
            <v>202511</v>
          </cell>
          <cell r="D676" t="str">
            <v>--</v>
          </cell>
          <cell r="G676" t="str">
            <v>Presupuesto</v>
          </cell>
        </row>
        <row r="677">
          <cell r="A677" t="str">
            <v>ADELL</v>
          </cell>
          <cell r="B677">
            <v>202511</v>
          </cell>
          <cell r="D677" t="str">
            <v>--</v>
          </cell>
          <cell r="G677" t="str">
            <v>Real</v>
          </cell>
        </row>
        <row r="678">
          <cell r="A678" t="str">
            <v>ADELL</v>
          </cell>
          <cell r="B678">
            <v>202511</v>
          </cell>
          <cell r="D678" t="str">
            <v>Resto de Lineas</v>
          </cell>
          <cell r="G678" t="str">
            <v>Real</v>
          </cell>
        </row>
        <row r="679">
          <cell r="A679" t="str">
            <v>ADELL</v>
          </cell>
          <cell r="B679">
            <v>202511</v>
          </cell>
          <cell r="D679" t="str">
            <v>Arte</v>
          </cell>
          <cell r="G679" t="str">
            <v>Presupuesto</v>
          </cell>
        </row>
        <row r="680">
          <cell r="A680" t="str">
            <v>ADELL</v>
          </cell>
          <cell r="B680">
            <v>202511</v>
          </cell>
          <cell r="D680" t="str">
            <v>Autos</v>
          </cell>
          <cell r="G680" t="str">
            <v>Presupuesto</v>
          </cell>
        </row>
        <row r="681">
          <cell r="A681" t="str">
            <v>ADELL</v>
          </cell>
          <cell r="B681">
            <v>202511</v>
          </cell>
          <cell r="D681" t="str">
            <v>Autos</v>
          </cell>
          <cell r="G681" t="str">
            <v>Real</v>
          </cell>
        </row>
        <row r="682">
          <cell r="A682" t="str">
            <v>ADELL</v>
          </cell>
          <cell r="B682">
            <v>202511</v>
          </cell>
          <cell r="D682" t="str">
            <v>B2B2C</v>
          </cell>
          <cell r="G682" t="str">
            <v>Presupuesto</v>
          </cell>
        </row>
        <row r="683">
          <cell r="A683" t="str">
            <v>ADELL</v>
          </cell>
          <cell r="B683">
            <v>202511</v>
          </cell>
          <cell r="D683" t="str">
            <v>Caución</v>
          </cell>
          <cell r="G683" t="str">
            <v>Presupuesto</v>
          </cell>
        </row>
        <row r="684">
          <cell r="A684" t="str">
            <v>ADELL</v>
          </cell>
          <cell r="B684">
            <v>202511</v>
          </cell>
          <cell r="D684" t="str">
            <v>Caución</v>
          </cell>
          <cell r="G684" t="str">
            <v>Real</v>
          </cell>
        </row>
        <row r="685">
          <cell r="A685" t="str">
            <v>ADELL</v>
          </cell>
          <cell r="B685">
            <v>202511</v>
          </cell>
          <cell r="D685" t="str">
            <v>Crédito Internacional</v>
          </cell>
          <cell r="G685" t="str">
            <v>Presupuesto</v>
          </cell>
        </row>
        <row r="686">
          <cell r="A686" t="str">
            <v>ADELL</v>
          </cell>
          <cell r="B686">
            <v>202511</v>
          </cell>
          <cell r="D686" t="str">
            <v>Crédito Internacional</v>
          </cell>
          <cell r="G686" t="str">
            <v>Real</v>
          </cell>
        </row>
        <row r="687">
          <cell r="A687" t="str">
            <v>ADELL</v>
          </cell>
          <cell r="B687">
            <v>202511</v>
          </cell>
          <cell r="D687" t="str">
            <v>Crédito Nacional</v>
          </cell>
          <cell r="G687" t="str">
            <v>Presupuesto</v>
          </cell>
        </row>
        <row r="688">
          <cell r="A688" t="str">
            <v>ADELL</v>
          </cell>
          <cell r="B688">
            <v>202511</v>
          </cell>
          <cell r="D688" t="str">
            <v>Eventos</v>
          </cell>
          <cell r="G688" t="str">
            <v>Presupuesto</v>
          </cell>
        </row>
        <row r="689">
          <cell r="A689" t="str">
            <v>ADELL</v>
          </cell>
          <cell r="B689">
            <v>202511</v>
          </cell>
          <cell r="D689" t="str">
            <v>Flotas</v>
          </cell>
          <cell r="G689" t="str">
            <v>Presupuesto</v>
          </cell>
        </row>
        <row r="690">
          <cell r="A690" t="str">
            <v>ADELL</v>
          </cell>
          <cell r="B690">
            <v>202511</v>
          </cell>
          <cell r="D690" t="str">
            <v>Flotas</v>
          </cell>
          <cell r="G690" t="str">
            <v>Real</v>
          </cell>
        </row>
        <row r="691">
          <cell r="A691" t="str">
            <v>ADELL</v>
          </cell>
          <cell r="B691">
            <v>202511</v>
          </cell>
          <cell r="D691" t="str">
            <v>Hogar</v>
          </cell>
          <cell r="G691" t="str">
            <v>Presupuesto</v>
          </cell>
        </row>
        <row r="692">
          <cell r="A692" t="str">
            <v>ADELL</v>
          </cell>
          <cell r="B692">
            <v>202511</v>
          </cell>
          <cell r="D692" t="str">
            <v>Hogar</v>
          </cell>
          <cell r="G692" t="str">
            <v>Real</v>
          </cell>
        </row>
        <row r="693">
          <cell r="A693" t="str">
            <v>ADELL</v>
          </cell>
          <cell r="B693">
            <v>202511</v>
          </cell>
          <cell r="D693" t="str">
            <v>Ingeniería</v>
          </cell>
          <cell r="G693" t="str">
            <v>Presupuesto</v>
          </cell>
        </row>
        <row r="694">
          <cell r="A694" t="str">
            <v>ADELL</v>
          </cell>
          <cell r="B694">
            <v>202511</v>
          </cell>
          <cell r="D694" t="str">
            <v>Ingeniería</v>
          </cell>
          <cell r="G694" t="str">
            <v>Real</v>
          </cell>
        </row>
        <row r="695">
          <cell r="A695" t="str">
            <v>ADELL</v>
          </cell>
          <cell r="B695">
            <v>202511</v>
          </cell>
          <cell r="D695" t="str">
            <v>Inmobiliario</v>
          </cell>
          <cell r="G695" t="str">
            <v>Presupuesto</v>
          </cell>
        </row>
        <row r="696">
          <cell r="A696" t="str">
            <v>ADELL</v>
          </cell>
          <cell r="B696">
            <v>202511</v>
          </cell>
          <cell r="D696" t="str">
            <v>Líneas Financieras</v>
          </cell>
          <cell r="G696" t="str">
            <v>Presupuesto</v>
          </cell>
        </row>
        <row r="697">
          <cell r="A697" t="str">
            <v>ADELL</v>
          </cell>
          <cell r="B697">
            <v>202511</v>
          </cell>
          <cell r="D697" t="str">
            <v>Líneas Financieras</v>
          </cell>
          <cell r="G697" t="str">
            <v>Real</v>
          </cell>
        </row>
        <row r="698">
          <cell r="A698" t="str">
            <v>ADELL</v>
          </cell>
          <cell r="B698">
            <v>202511</v>
          </cell>
          <cell r="D698" t="str">
            <v>Náutica</v>
          </cell>
          <cell r="G698" t="str">
            <v>Presupuesto</v>
          </cell>
        </row>
        <row r="699">
          <cell r="A699" t="str">
            <v>ADELL</v>
          </cell>
          <cell r="B699">
            <v>202511</v>
          </cell>
          <cell r="D699" t="str">
            <v>Náutica</v>
          </cell>
          <cell r="G699" t="str">
            <v>Real</v>
          </cell>
        </row>
        <row r="700">
          <cell r="A700" t="str">
            <v>ADELL</v>
          </cell>
          <cell r="B700">
            <v>202511</v>
          </cell>
          <cell r="D700" t="str">
            <v>Particulares Resto</v>
          </cell>
          <cell r="G700" t="str">
            <v>Presupuesto</v>
          </cell>
        </row>
        <row r="701">
          <cell r="A701" t="str">
            <v>ADELL</v>
          </cell>
          <cell r="B701">
            <v>202511</v>
          </cell>
          <cell r="D701" t="str">
            <v>Particulares Resto</v>
          </cell>
          <cell r="G701" t="str">
            <v>Real</v>
          </cell>
        </row>
        <row r="702">
          <cell r="A702" t="str">
            <v>ADELL</v>
          </cell>
          <cell r="B702">
            <v>202511</v>
          </cell>
          <cell r="D702" t="str">
            <v>Property</v>
          </cell>
          <cell r="G702" t="str">
            <v>Presupuesto</v>
          </cell>
        </row>
        <row r="703">
          <cell r="A703" t="str">
            <v>ADELL</v>
          </cell>
          <cell r="B703">
            <v>202511</v>
          </cell>
          <cell r="D703" t="str">
            <v>Property</v>
          </cell>
          <cell r="G703" t="str">
            <v>Real</v>
          </cell>
        </row>
        <row r="704">
          <cell r="A704" t="str">
            <v>ADELL</v>
          </cell>
          <cell r="B704">
            <v>202511</v>
          </cell>
          <cell r="D704" t="str">
            <v>RC</v>
          </cell>
          <cell r="G704" t="str">
            <v>Presupuesto</v>
          </cell>
        </row>
        <row r="705">
          <cell r="A705" t="str">
            <v>ADELL</v>
          </cell>
          <cell r="B705">
            <v>202511</v>
          </cell>
          <cell r="D705" t="str">
            <v>RC</v>
          </cell>
          <cell r="G705" t="str">
            <v>Real</v>
          </cell>
        </row>
        <row r="706">
          <cell r="A706" t="str">
            <v>ADELL</v>
          </cell>
          <cell r="B706">
            <v>202511</v>
          </cell>
          <cell r="D706" t="str">
            <v>Resto de lineas</v>
          </cell>
          <cell r="G706" t="str">
            <v>Presupuesto</v>
          </cell>
        </row>
        <row r="707">
          <cell r="A707" t="str">
            <v>ADELL</v>
          </cell>
          <cell r="B707">
            <v>202511</v>
          </cell>
          <cell r="D707" t="str">
            <v>Retirada</v>
          </cell>
          <cell r="G707" t="str">
            <v>Presupuesto</v>
          </cell>
        </row>
        <row r="708">
          <cell r="A708" t="str">
            <v>ADELL</v>
          </cell>
          <cell r="B708">
            <v>202511</v>
          </cell>
          <cell r="D708" t="str">
            <v>Seguros Personales (No Vida) Colectivos</v>
          </cell>
          <cell r="G708" t="str">
            <v>Presupuesto</v>
          </cell>
        </row>
        <row r="709">
          <cell r="A709" t="str">
            <v>ADELL</v>
          </cell>
          <cell r="B709">
            <v>202511</v>
          </cell>
          <cell r="D709" t="str">
            <v>Seguros Personales (No Vida) Colectivos</v>
          </cell>
          <cell r="G709" t="str">
            <v>Real</v>
          </cell>
        </row>
        <row r="710">
          <cell r="A710" t="str">
            <v>ADELL</v>
          </cell>
          <cell r="B710">
            <v>202511</v>
          </cell>
          <cell r="D710" t="str">
            <v>Seguros Personales (No Vida) Particular</v>
          </cell>
          <cell r="G710" t="str">
            <v>Presupuesto</v>
          </cell>
        </row>
        <row r="711">
          <cell r="A711" t="str">
            <v>ADELL</v>
          </cell>
          <cell r="B711">
            <v>202511</v>
          </cell>
          <cell r="D711" t="str">
            <v>Seguros Personales (No Vida) Particular</v>
          </cell>
          <cell r="G711" t="str">
            <v>Real</v>
          </cell>
        </row>
        <row r="712">
          <cell r="A712" t="str">
            <v>ADELL</v>
          </cell>
          <cell r="B712">
            <v>202511</v>
          </cell>
          <cell r="D712" t="str">
            <v>Transporte</v>
          </cell>
          <cell r="G712" t="str">
            <v>Presupuesto</v>
          </cell>
        </row>
        <row r="713">
          <cell r="A713" t="str">
            <v>ADELL</v>
          </cell>
          <cell r="B713">
            <v>202511</v>
          </cell>
          <cell r="D713" t="str">
            <v>Transporte</v>
          </cell>
          <cell r="G713" t="str">
            <v>Real</v>
          </cell>
        </row>
        <row r="714">
          <cell r="A714" t="str">
            <v>ADELL</v>
          </cell>
          <cell r="B714">
            <v>202511</v>
          </cell>
          <cell r="D714" t="str">
            <v>Venta Cruzada</v>
          </cell>
          <cell r="G714" t="str">
            <v>Presupuesto</v>
          </cell>
        </row>
        <row r="715">
          <cell r="A715" t="str">
            <v>ADELL</v>
          </cell>
          <cell r="B715">
            <v>202511</v>
          </cell>
          <cell r="D715" t="str">
            <v>Venta Cruzada</v>
          </cell>
          <cell r="G715" t="str">
            <v>Real</v>
          </cell>
        </row>
        <row r="716">
          <cell r="A716" t="str">
            <v>ADELL</v>
          </cell>
          <cell r="B716">
            <v>202511</v>
          </cell>
          <cell r="D716" t="str">
            <v>Vida Ahorro Colectivo</v>
          </cell>
          <cell r="G716" t="str">
            <v>Presupuesto</v>
          </cell>
        </row>
        <row r="717">
          <cell r="A717" t="str">
            <v>ADELL</v>
          </cell>
          <cell r="B717">
            <v>202511</v>
          </cell>
          <cell r="D717" t="str">
            <v>Vida Ahorro Particular</v>
          </cell>
          <cell r="G717" t="str">
            <v>Presupuesto</v>
          </cell>
        </row>
        <row r="718">
          <cell r="A718" t="str">
            <v>ADELL</v>
          </cell>
          <cell r="B718">
            <v>202511</v>
          </cell>
          <cell r="D718" t="str">
            <v>Vida Ahorro Particular</v>
          </cell>
          <cell r="G718" t="str">
            <v>Real</v>
          </cell>
        </row>
        <row r="719">
          <cell r="A719" t="str">
            <v>ADELL</v>
          </cell>
          <cell r="B719">
            <v>202511</v>
          </cell>
          <cell r="D719" t="str">
            <v>Vida Ganado</v>
          </cell>
          <cell r="G719" t="str">
            <v>Presupuesto</v>
          </cell>
        </row>
        <row r="720">
          <cell r="A720" t="str">
            <v>ADELL</v>
          </cell>
          <cell r="B720">
            <v>202511</v>
          </cell>
          <cell r="D720" t="str">
            <v>Vida Riesgo Colectivo</v>
          </cell>
          <cell r="G720" t="str">
            <v>Presupuesto</v>
          </cell>
        </row>
        <row r="721">
          <cell r="A721" t="str">
            <v>ADELL</v>
          </cell>
          <cell r="B721">
            <v>202511</v>
          </cell>
          <cell r="D721" t="str">
            <v>Vida Riesgo Colectivo</v>
          </cell>
          <cell r="G721" t="str">
            <v>Real</v>
          </cell>
        </row>
        <row r="722">
          <cell r="A722" t="str">
            <v>ADELL</v>
          </cell>
          <cell r="B722">
            <v>202511</v>
          </cell>
          <cell r="D722" t="str">
            <v>Vida Riesgo Particular</v>
          </cell>
          <cell r="G722" t="str">
            <v>Presupuesto</v>
          </cell>
        </row>
        <row r="723">
          <cell r="A723" t="str">
            <v>ADELL</v>
          </cell>
          <cell r="B723">
            <v>202511</v>
          </cell>
          <cell r="D723" t="str">
            <v>Vida Riesgo Particular</v>
          </cell>
          <cell r="G723" t="str">
            <v>Real</v>
          </cell>
        </row>
        <row r="724">
          <cell r="A724" t="str">
            <v>ADELL</v>
          </cell>
          <cell r="B724">
            <v>202512</v>
          </cell>
          <cell r="D724" t="str">
            <v>--</v>
          </cell>
          <cell r="G724" t="str">
            <v>Presupuesto</v>
          </cell>
        </row>
        <row r="725">
          <cell r="A725" t="str">
            <v>ADELL</v>
          </cell>
          <cell r="B725">
            <v>202512</v>
          </cell>
          <cell r="D725" t="str">
            <v>--</v>
          </cell>
          <cell r="G725" t="str">
            <v>Real</v>
          </cell>
        </row>
        <row r="726">
          <cell r="A726" t="str">
            <v>ADELL</v>
          </cell>
          <cell r="B726">
            <v>202512</v>
          </cell>
          <cell r="D726" t="str">
            <v>Resto de Lineas</v>
          </cell>
          <cell r="G726" t="str">
            <v>Real</v>
          </cell>
        </row>
        <row r="727">
          <cell r="A727" t="str">
            <v>ADELL</v>
          </cell>
          <cell r="B727">
            <v>202512</v>
          </cell>
          <cell r="D727" t="str">
            <v>Arte</v>
          </cell>
          <cell r="G727" t="str">
            <v>Presupuesto</v>
          </cell>
        </row>
        <row r="728">
          <cell r="A728" t="str">
            <v>ADELL</v>
          </cell>
          <cell r="B728">
            <v>202512</v>
          </cell>
          <cell r="D728" t="str">
            <v>Autos</v>
          </cell>
          <cell r="G728" t="str">
            <v>Presupuesto</v>
          </cell>
        </row>
        <row r="729">
          <cell r="A729" t="str">
            <v>ADELL</v>
          </cell>
          <cell r="B729">
            <v>202512</v>
          </cell>
          <cell r="D729" t="str">
            <v>Autos</v>
          </cell>
          <cell r="G729" t="str">
            <v>Real</v>
          </cell>
        </row>
        <row r="730">
          <cell r="A730" t="str">
            <v>ADELL</v>
          </cell>
          <cell r="B730">
            <v>202512</v>
          </cell>
          <cell r="D730" t="str">
            <v>B2B2C</v>
          </cell>
          <cell r="G730" t="str">
            <v>Presupuesto</v>
          </cell>
        </row>
        <row r="731">
          <cell r="A731" t="str">
            <v>ADELL</v>
          </cell>
          <cell r="B731">
            <v>202512</v>
          </cell>
          <cell r="D731" t="str">
            <v>Caución</v>
          </cell>
          <cell r="G731" t="str">
            <v>Presupuesto</v>
          </cell>
        </row>
        <row r="732">
          <cell r="A732" t="str">
            <v>ADELL</v>
          </cell>
          <cell r="B732">
            <v>202512</v>
          </cell>
          <cell r="D732" t="str">
            <v>Caución</v>
          </cell>
          <cell r="G732" t="str">
            <v>Real</v>
          </cell>
        </row>
        <row r="733">
          <cell r="A733" t="str">
            <v>ADELL</v>
          </cell>
          <cell r="B733">
            <v>202512</v>
          </cell>
          <cell r="D733" t="str">
            <v>Crédito Internacional</v>
          </cell>
          <cell r="G733" t="str">
            <v>Presupuesto</v>
          </cell>
        </row>
        <row r="734">
          <cell r="A734" t="str">
            <v>ADELL</v>
          </cell>
          <cell r="B734">
            <v>202512</v>
          </cell>
          <cell r="D734" t="str">
            <v>Crédito Internacional</v>
          </cell>
          <cell r="G734" t="str">
            <v>Real</v>
          </cell>
        </row>
        <row r="735">
          <cell r="A735" t="str">
            <v>ADELL</v>
          </cell>
          <cell r="B735">
            <v>202512</v>
          </cell>
          <cell r="D735" t="str">
            <v>Crédito Nacional</v>
          </cell>
          <cell r="G735" t="str">
            <v>Presupuesto</v>
          </cell>
        </row>
        <row r="736">
          <cell r="A736" t="str">
            <v>ADELL</v>
          </cell>
          <cell r="B736">
            <v>202512</v>
          </cell>
          <cell r="D736" t="str">
            <v>Eventos</v>
          </cell>
          <cell r="G736" t="str">
            <v>Presupuesto</v>
          </cell>
        </row>
        <row r="737">
          <cell r="A737" t="str">
            <v>ADELL</v>
          </cell>
          <cell r="B737">
            <v>202512</v>
          </cell>
          <cell r="D737" t="str">
            <v>Flotas</v>
          </cell>
          <cell r="G737" t="str">
            <v>Presupuesto</v>
          </cell>
        </row>
        <row r="738">
          <cell r="A738" t="str">
            <v>ADELL</v>
          </cell>
          <cell r="B738">
            <v>202512</v>
          </cell>
          <cell r="D738" t="str">
            <v>Flotas</v>
          </cell>
          <cell r="G738" t="str">
            <v>Real</v>
          </cell>
        </row>
        <row r="739">
          <cell r="A739" t="str">
            <v>ADELL</v>
          </cell>
          <cell r="B739">
            <v>202512</v>
          </cell>
          <cell r="D739" t="str">
            <v>Hogar</v>
          </cell>
          <cell r="G739" t="str">
            <v>Presupuesto</v>
          </cell>
        </row>
        <row r="740">
          <cell r="A740" t="str">
            <v>ADELL</v>
          </cell>
          <cell r="B740">
            <v>202512</v>
          </cell>
          <cell r="D740" t="str">
            <v>Hogar</v>
          </cell>
          <cell r="G740" t="str">
            <v>Real</v>
          </cell>
        </row>
        <row r="741">
          <cell r="A741" t="str">
            <v>ADELL</v>
          </cell>
          <cell r="B741">
            <v>202512</v>
          </cell>
          <cell r="D741" t="str">
            <v>Ingeniería</v>
          </cell>
          <cell r="G741" t="str">
            <v>Presupuesto</v>
          </cell>
        </row>
        <row r="742">
          <cell r="A742" t="str">
            <v>ADELL</v>
          </cell>
          <cell r="B742">
            <v>202512</v>
          </cell>
          <cell r="D742" t="str">
            <v>Ingeniería</v>
          </cell>
          <cell r="G742" t="str">
            <v>Real</v>
          </cell>
        </row>
        <row r="743">
          <cell r="A743" t="str">
            <v>ADELL</v>
          </cell>
          <cell r="B743">
            <v>202512</v>
          </cell>
          <cell r="D743" t="str">
            <v>Inmobiliario</v>
          </cell>
          <cell r="G743" t="str">
            <v>Presupuesto</v>
          </cell>
        </row>
        <row r="744">
          <cell r="A744" t="str">
            <v>ADELL</v>
          </cell>
          <cell r="B744">
            <v>202512</v>
          </cell>
          <cell r="D744" t="str">
            <v>Líneas Financieras</v>
          </cell>
          <cell r="G744" t="str">
            <v>Presupuesto</v>
          </cell>
        </row>
        <row r="745">
          <cell r="A745" t="str">
            <v>ADELL</v>
          </cell>
          <cell r="B745">
            <v>202512</v>
          </cell>
          <cell r="D745" t="str">
            <v>Líneas Financieras</v>
          </cell>
          <cell r="G745" t="str">
            <v>Real</v>
          </cell>
        </row>
        <row r="746">
          <cell r="A746" t="str">
            <v>ADELL</v>
          </cell>
          <cell r="B746">
            <v>202512</v>
          </cell>
          <cell r="D746" t="str">
            <v>Náutica</v>
          </cell>
          <cell r="G746" t="str">
            <v>Presupuesto</v>
          </cell>
        </row>
        <row r="747">
          <cell r="A747" t="str">
            <v>ADELL</v>
          </cell>
          <cell r="B747">
            <v>202512</v>
          </cell>
          <cell r="D747" t="str">
            <v>Náutica</v>
          </cell>
          <cell r="G747" t="str">
            <v>Real</v>
          </cell>
        </row>
        <row r="748">
          <cell r="A748" t="str">
            <v>ADELL</v>
          </cell>
          <cell r="B748">
            <v>202512</v>
          </cell>
          <cell r="D748" t="str">
            <v>Particulares Resto</v>
          </cell>
          <cell r="G748" t="str">
            <v>Presupuesto</v>
          </cell>
        </row>
        <row r="749">
          <cell r="A749" t="str">
            <v>ADELL</v>
          </cell>
          <cell r="B749">
            <v>202512</v>
          </cell>
          <cell r="D749" t="str">
            <v>Particulares Resto</v>
          </cell>
          <cell r="G749" t="str">
            <v>Real</v>
          </cell>
        </row>
        <row r="750">
          <cell r="A750" t="str">
            <v>ADELL</v>
          </cell>
          <cell r="B750">
            <v>202512</v>
          </cell>
          <cell r="D750" t="str">
            <v>Property</v>
          </cell>
          <cell r="G750" t="str">
            <v>Presupuesto</v>
          </cell>
        </row>
        <row r="751">
          <cell r="A751" t="str">
            <v>ADELL</v>
          </cell>
          <cell r="B751">
            <v>202512</v>
          </cell>
          <cell r="D751" t="str">
            <v>Property</v>
          </cell>
          <cell r="G751" t="str">
            <v>Real</v>
          </cell>
        </row>
        <row r="752">
          <cell r="A752" t="str">
            <v>ADELL</v>
          </cell>
          <cell r="B752">
            <v>202512</v>
          </cell>
          <cell r="D752" t="str">
            <v>RC</v>
          </cell>
          <cell r="G752" t="str">
            <v>Presupuesto</v>
          </cell>
        </row>
        <row r="753">
          <cell r="A753" t="str">
            <v>ADELL</v>
          </cell>
          <cell r="B753">
            <v>202512</v>
          </cell>
          <cell r="D753" t="str">
            <v>RC</v>
          </cell>
          <cell r="G753" t="str">
            <v>Real</v>
          </cell>
        </row>
        <row r="754">
          <cell r="A754" t="str">
            <v>ADELL</v>
          </cell>
          <cell r="B754">
            <v>202512</v>
          </cell>
          <cell r="D754" t="str">
            <v>Resto de lineas</v>
          </cell>
          <cell r="G754" t="str">
            <v>Presupuesto</v>
          </cell>
        </row>
        <row r="755">
          <cell r="A755" t="str">
            <v>ADELL</v>
          </cell>
          <cell r="B755">
            <v>202512</v>
          </cell>
          <cell r="D755" t="str">
            <v>Retirada</v>
          </cell>
          <cell r="G755" t="str">
            <v>Presupuesto</v>
          </cell>
        </row>
        <row r="756">
          <cell r="A756" t="str">
            <v>ADELL</v>
          </cell>
          <cell r="B756">
            <v>202512</v>
          </cell>
          <cell r="D756" t="str">
            <v>Seguros Personales (No Vida) Colectivos</v>
          </cell>
          <cell r="G756" t="str">
            <v>Presupuesto</v>
          </cell>
        </row>
        <row r="757">
          <cell r="A757" t="str">
            <v>ADELL</v>
          </cell>
          <cell r="B757">
            <v>202512</v>
          </cell>
          <cell r="D757" t="str">
            <v>Seguros Personales (No Vida) Colectivos</v>
          </cell>
          <cell r="G757" t="str">
            <v>Real</v>
          </cell>
        </row>
        <row r="758">
          <cell r="A758" t="str">
            <v>ADELL</v>
          </cell>
          <cell r="B758">
            <v>202512</v>
          </cell>
          <cell r="D758" t="str">
            <v>Seguros Personales (No Vida) Particular</v>
          </cell>
          <cell r="G758" t="str">
            <v>Presupuesto</v>
          </cell>
        </row>
        <row r="759">
          <cell r="A759" t="str">
            <v>ADELL</v>
          </cell>
          <cell r="B759">
            <v>202512</v>
          </cell>
          <cell r="D759" t="str">
            <v>Seguros Personales (No Vida) Particular</v>
          </cell>
          <cell r="G759" t="str">
            <v>Real</v>
          </cell>
        </row>
        <row r="760">
          <cell r="A760" t="str">
            <v>ADELL</v>
          </cell>
          <cell r="B760">
            <v>202512</v>
          </cell>
          <cell r="D760" t="str">
            <v>Transporte</v>
          </cell>
          <cell r="G760" t="str">
            <v>Presupuesto</v>
          </cell>
        </row>
        <row r="761">
          <cell r="A761" t="str">
            <v>ADELL</v>
          </cell>
          <cell r="B761">
            <v>202512</v>
          </cell>
          <cell r="D761" t="str">
            <v>Transporte</v>
          </cell>
          <cell r="G761" t="str">
            <v>Real</v>
          </cell>
        </row>
        <row r="762">
          <cell r="A762" t="str">
            <v>ADELL</v>
          </cell>
          <cell r="B762">
            <v>202512</v>
          </cell>
          <cell r="D762" t="str">
            <v>Venta Cruzada</v>
          </cell>
          <cell r="G762" t="str">
            <v>Presupuesto</v>
          </cell>
        </row>
        <row r="763">
          <cell r="A763" t="str">
            <v>ADELL</v>
          </cell>
          <cell r="B763">
            <v>202512</v>
          </cell>
          <cell r="D763" t="str">
            <v>Venta Cruzada</v>
          </cell>
          <cell r="G763" t="str">
            <v>Real</v>
          </cell>
        </row>
        <row r="764">
          <cell r="A764" t="str">
            <v>ADELL</v>
          </cell>
          <cell r="B764">
            <v>202512</v>
          </cell>
          <cell r="D764" t="str">
            <v>Vida Ahorro Colectivo</v>
          </cell>
          <cell r="G764" t="str">
            <v>Presupuesto</v>
          </cell>
        </row>
        <row r="765">
          <cell r="A765" t="str">
            <v>ADELL</v>
          </cell>
          <cell r="B765">
            <v>202512</v>
          </cell>
          <cell r="D765" t="str">
            <v>Vida Ahorro Particular</v>
          </cell>
          <cell r="G765" t="str">
            <v>Presupuesto</v>
          </cell>
        </row>
        <row r="766">
          <cell r="A766" t="str">
            <v>ADELL</v>
          </cell>
          <cell r="B766">
            <v>202512</v>
          </cell>
          <cell r="D766" t="str">
            <v>Vida Ahorro Particular</v>
          </cell>
          <cell r="G766" t="str">
            <v>Real</v>
          </cell>
        </row>
        <row r="767">
          <cell r="A767" t="str">
            <v>ADELL</v>
          </cell>
          <cell r="B767">
            <v>202512</v>
          </cell>
          <cell r="D767" t="str">
            <v>Vida Ganado</v>
          </cell>
          <cell r="G767" t="str">
            <v>Presupuesto</v>
          </cell>
        </row>
        <row r="768">
          <cell r="A768" t="str">
            <v>ADELL</v>
          </cell>
          <cell r="B768">
            <v>202512</v>
          </cell>
          <cell r="D768" t="str">
            <v>Vida Riesgo Colectivo</v>
          </cell>
          <cell r="G768" t="str">
            <v>Presupuesto</v>
          </cell>
        </row>
        <row r="769">
          <cell r="A769" t="str">
            <v>ADELL</v>
          </cell>
          <cell r="B769">
            <v>202512</v>
          </cell>
          <cell r="D769" t="str">
            <v>Vida Riesgo Colectivo</v>
          </cell>
          <cell r="G769" t="str">
            <v>Real</v>
          </cell>
        </row>
        <row r="770">
          <cell r="A770" t="str">
            <v>ADELL</v>
          </cell>
          <cell r="B770">
            <v>202512</v>
          </cell>
          <cell r="D770" t="str">
            <v>Vida Riesgo Particular</v>
          </cell>
          <cell r="G770" t="str">
            <v>Presupuesto</v>
          </cell>
        </row>
        <row r="771">
          <cell r="A771" t="str">
            <v>ADELL</v>
          </cell>
          <cell r="B771">
            <v>202512</v>
          </cell>
          <cell r="D771" t="str">
            <v>Vida Riesgo Particular</v>
          </cell>
          <cell r="G771" t="str">
            <v>Real</v>
          </cell>
        </row>
        <row r="772">
          <cell r="A772" t="str">
            <v>AGRINALCAZAR</v>
          </cell>
          <cell r="B772">
            <v>202401</v>
          </cell>
          <cell r="D772" t="str">
            <v>--</v>
          </cell>
          <cell r="G772" t="str">
            <v>Real</v>
          </cell>
        </row>
        <row r="773">
          <cell r="A773" t="str">
            <v>AGRINALCAZAR</v>
          </cell>
          <cell r="B773">
            <v>202401</v>
          </cell>
          <cell r="D773" t="str">
            <v>Resto de Lineas</v>
          </cell>
          <cell r="G773" t="str">
            <v>Real</v>
          </cell>
        </row>
        <row r="774">
          <cell r="A774" t="str">
            <v>AGRINALCAZAR</v>
          </cell>
          <cell r="B774">
            <v>202401</v>
          </cell>
          <cell r="D774" t="str">
            <v>Autos</v>
          </cell>
          <cell r="G774" t="str">
            <v>Real</v>
          </cell>
        </row>
        <row r="775">
          <cell r="A775" t="str">
            <v>AGRINALCAZAR</v>
          </cell>
          <cell r="B775">
            <v>202401</v>
          </cell>
          <cell r="D775" t="str">
            <v>Flotas</v>
          </cell>
          <cell r="G775" t="str">
            <v>Real</v>
          </cell>
        </row>
        <row r="776">
          <cell r="A776" t="str">
            <v>AGRINALCAZAR</v>
          </cell>
          <cell r="B776">
            <v>202401</v>
          </cell>
          <cell r="D776" t="str">
            <v>Particulares Resto</v>
          </cell>
          <cell r="G776" t="str">
            <v>Real</v>
          </cell>
        </row>
        <row r="777">
          <cell r="A777" t="str">
            <v>AGRINALCAZAR</v>
          </cell>
          <cell r="B777">
            <v>202401</v>
          </cell>
          <cell r="D777" t="str">
            <v>RC</v>
          </cell>
          <cell r="G777" t="str">
            <v>Real</v>
          </cell>
        </row>
        <row r="778">
          <cell r="A778" t="str">
            <v>AGRINALCAZAR</v>
          </cell>
          <cell r="B778">
            <v>202401</v>
          </cell>
          <cell r="D778" t="str">
            <v>Seguros Personales (No Vida) Particular</v>
          </cell>
          <cell r="G778" t="str">
            <v>Real</v>
          </cell>
        </row>
        <row r="779">
          <cell r="A779" t="str">
            <v>AGRINALCAZAR</v>
          </cell>
          <cell r="B779">
            <v>202401</v>
          </cell>
          <cell r="D779" t="str">
            <v>Vida Ahorro Particular</v>
          </cell>
          <cell r="G779" t="str">
            <v>Real</v>
          </cell>
        </row>
        <row r="780">
          <cell r="A780" t="str">
            <v>AGRINALCAZAR</v>
          </cell>
          <cell r="B780">
            <v>202402</v>
          </cell>
          <cell r="D780" t="str">
            <v>--</v>
          </cell>
          <cell r="G780" t="str">
            <v>Real</v>
          </cell>
        </row>
        <row r="781">
          <cell r="A781" t="str">
            <v>AGRINALCAZAR</v>
          </cell>
          <cell r="B781">
            <v>202402</v>
          </cell>
          <cell r="D781" t="str">
            <v>Resto de Lineas</v>
          </cell>
          <cell r="G781" t="str">
            <v>Real</v>
          </cell>
        </row>
        <row r="782">
          <cell r="A782" t="str">
            <v>AGRINALCAZAR</v>
          </cell>
          <cell r="B782">
            <v>202402</v>
          </cell>
          <cell r="D782" t="str">
            <v>Autos</v>
          </cell>
          <cell r="G782" t="str">
            <v>Real</v>
          </cell>
        </row>
        <row r="783">
          <cell r="A783" t="str">
            <v>AGRINALCAZAR</v>
          </cell>
          <cell r="B783">
            <v>202402</v>
          </cell>
          <cell r="D783" t="str">
            <v>Flotas</v>
          </cell>
          <cell r="G783" t="str">
            <v>Real</v>
          </cell>
        </row>
        <row r="784">
          <cell r="A784" t="str">
            <v>AGRINALCAZAR</v>
          </cell>
          <cell r="B784">
            <v>202402</v>
          </cell>
          <cell r="D784" t="str">
            <v>Particulares Resto</v>
          </cell>
          <cell r="G784" t="str">
            <v>Real</v>
          </cell>
        </row>
        <row r="785">
          <cell r="A785" t="str">
            <v>AGRINALCAZAR</v>
          </cell>
          <cell r="B785">
            <v>202402</v>
          </cell>
          <cell r="D785" t="str">
            <v>RC</v>
          </cell>
          <cell r="G785" t="str">
            <v>Real</v>
          </cell>
        </row>
        <row r="786">
          <cell r="A786" t="str">
            <v>AGRINALCAZAR</v>
          </cell>
          <cell r="B786">
            <v>202402</v>
          </cell>
          <cell r="D786" t="str">
            <v>Seguros Personales (No Vida) Particular</v>
          </cell>
          <cell r="G786" t="str">
            <v>Real</v>
          </cell>
        </row>
        <row r="787">
          <cell r="A787" t="str">
            <v>AGRINALCAZAR</v>
          </cell>
          <cell r="B787">
            <v>202402</v>
          </cell>
          <cell r="D787" t="str">
            <v>Vida Ahorro Particular</v>
          </cell>
          <cell r="G787" t="str">
            <v>Real</v>
          </cell>
        </row>
        <row r="788">
          <cell r="A788" t="str">
            <v>AGRINALCAZAR</v>
          </cell>
          <cell r="B788">
            <v>202403</v>
          </cell>
          <cell r="D788" t="str">
            <v>--</v>
          </cell>
          <cell r="G788" t="str">
            <v>Real</v>
          </cell>
        </row>
        <row r="789">
          <cell r="A789" t="str">
            <v>AGRINALCAZAR</v>
          </cell>
          <cell r="B789">
            <v>202403</v>
          </cell>
          <cell r="D789" t="str">
            <v>Resto de Lineas</v>
          </cell>
          <cell r="G789" t="str">
            <v>Real</v>
          </cell>
        </row>
        <row r="790">
          <cell r="A790" t="str">
            <v>AGRINALCAZAR</v>
          </cell>
          <cell r="B790">
            <v>202403</v>
          </cell>
          <cell r="D790" t="str">
            <v>Autos</v>
          </cell>
          <cell r="G790" t="str">
            <v>Real</v>
          </cell>
        </row>
        <row r="791">
          <cell r="A791" t="str">
            <v>AGRINALCAZAR</v>
          </cell>
          <cell r="B791">
            <v>202403</v>
          </cell>
          <cell r="D791" t="str">
            <v>Flotas</v>
          </cell>
          <cell r="G791" t="str">
            <v>Real</v>
          </cell>
        </row>
        <row r="792">
          <cell r="A792" t="str">
            <v>AGRINALCAZAR</v>
          </cell>
          <cell r="B792">
            <v>202403</v>
          </cell>
          <cell r="D792" t="str">
            <v>Particulares Resto</v>
          </cell>
          <cell r="G792" t="str">
            <v>Real</v>
          </cell>
        </row>
        <row r="793">
          <cell r="A793" t="str">
            <v>AGRINALCAZAR</v>
          </cell>
          <cell r="B793">
            <v>202403</v>
          </cell>
          <cell r="D793" t="str">
            <v>RC</v>
          </cell>
          <cell r="G793" t="str">
            <v>Real</v>
          </cell>
        </row>
        <row r="794">
          <cell r="A794" t="str">
            <v>AGRINALCAZAR</v>
          </cell>
          <cell r="B794">
            <v>202403</v>
          </cell>
          <cell r="D794" t="str">
            <v>Seguros Personales (No Vida) Particular</v>
          </cell>
          <cell r="G794" t="str">
            <v>Real</v>
          </cell>
        </row>
        <row r="795">
          <cell r="A795" t="str">
            <v>AGRINALCAZAR</v>
          </cell>
          <cell r="B795">
            <v>202403</v>
          </cell>
          <cell r="D795" t="str">
            <v>Vida Ahorro Particular</v>
          </cell>
          <cell r="G795" t="str">
            <v>Real</v>
          </cell>
        </row>
        <row r="796">
          <cell r="A796" t="str">
            <v>AGRINALCAZAR</v>
          </cell>
          <cell r="B796">
            <v>202404</v>
          </cell>
          <cell r="D796" t="str">
            <v>--</v>
          </cell>
          <cell r="G796" t="str">
            <v>Real</v>
          </cell>
        </row>
        <row r="797">
          <cell r="A797" t="str">
            <v>AGRINALCAZAR</v>
          </cell>
          <cell r="B797">
            <v>202404</v>
          </cell>
          <cell r="D797" t="str">
            <v>Resto de Lineas</v>
          </cell>
          <cell r="G797" t="str">
            <v>Real</v>
          </cell>
        </row>
        <row r="798">
          <cell r="A798" t="str">
            <v>AGRINALCAZAR</v>
          </cell>
          <cell r="B798">
            <v>202404</v>
          </cell>
          <cell r="D798" t="str">
            <v>Autos</v>
          </cell>
          <cell r="G798" t="str">
            <v>Real</v>
          </cell>
        </row>
        <row r="799">
          <cell r="A799" t="str">
            <v>AGRINALCAZAR</v>
          </cell>
          <cell r="B799">
            <v>202404</v>
          </cell>
          <cell r="D799" t="str">
            <v>Flotas</v>
          </cell>
          <cell r="G799" t="str">
            <v>Real</v>
          </cell>
        </row>
        <row r="800">
          <cell r="A800" t="str">
            <v>AGRINALCAZAR</v>
          </cell>
          <cell r="B800">
            <v>202404</v>
          </cell>
          <cell r="D800" t="str">
            <v>Particulares Resto</v>
          </cell>
          <cell r="G800" t="str">
            <v>Real</v>
          </cell>
        </row>
        <row r="801">
          <cell r="A801" t="str">
            <v>AGRINALCAZAR</v>
          </cell>
          <cell r="B801">
            <v>202404</v>
          </cell>
          <cell r="D801" t="str">
            <v>RC</v>
          </cell>
          <cell r="G801" t="str">
            <v>Real</v>
          </cell>
        </row>
        <row r="802">
          <cell r="A802" t="str">
            <v>AGRINALCAZAR</v>
          </cell>
          <cell r="B802">
            <v>202404</v>
          </cell>
          <cell r="D802" t="str">
            <v>Seguros Personales (No Vida) Particular</v>
          </cell>
          <cell r="G802" t="str">
            <v>Real</v>
          </cell>
        </row>
        <row r="803">
          <cell r="A803" t="str">
            <v>AGRINALCAZAR</v>
          </cell>
          <cell r="B803">
            <v>202404</v>
          </cell>
          <cell r="D803" t="str">
            <v>Transporte</v>
          </cell>
          <cell r="G803" t="str">
            <v>Real</v>
          </cell>
        </row>
        <row r="804">
          <cell r="A804" t="str">
            <v>AGRINALCAZAR</v>
          </cell>
          <cell r="B804">
            <v>202404</v>
          </cell>
          <cell r="D804" t="str">
            <v>Vida Ahorro Particular</v>
          </cell>
          <cell r="G804" t="str">
            <v>Real</v>
          </cell>
        </row>
        <row r="805">
          <cell r="A805" t="str">
            <v>AGRINALCAZAR</v>
          </cell>
          <cell r="B805">
            <v>202405</v>
          </cell>
          <cell r="D805" t="str">
            <v>--</v>
          </cell>
          <cell r="G805" t="str">
            <v>Real</v>
          </cell>
        </row>
        <row r="806">
          <cell r="A806" t="str">
            <v>AGRINALCAZAR</v>
          </cell>
          <cell r="B806">
            <v>202405</v>
          </cell>
          <cell r="D806" t="str">
            <v>Resto de Lineas</v>
          </cell>
          <cell r="G806" t="str">
            <v>Real</v>
          </cell>
        </row>
        <row r="807">
          <cell r="A807" t="str">
            <v>AGRINALCAZAR</v>
          </cell>
          <cell r="B807">
            <v>202405</v>
          </cell>
          <cell r="D807" t="str">
            <v>Autos</v>
          </cell>
          <cell r="G807" t="str">
            <v>Real</v>
          </cell>
        </row>
        <row r="808">
          <cell r="A808" t="str">
            <v>AGRINALCAZAR</v>
          </cell>
          <cell r="B808">
            <v>202405</v>
          </cell>
          <cell r="D808" t="str">
            <v>Flotas</v>
          </cell>
          <cell r="G808" t="str">
            <v>Real</v>
          </cell>
        </row>
        <row r="809">
          <cell r="A809" t="str">
            <v>AGRINALCAZAR</v>
          </cell>
          <cell r="B809">
            <v>202405</v>
          </cell>
          <cell r="D809" t="str">
            <v>Ingeniería</v>
          </cell>
          <cell r="G809" t="str">
            <v>Real</v>
          </cell>
        </row>
        <row r="810">
          <cell r="A810" t="str">
            <v>AGRINALCAZAR</v>
          </cell>
          <cell r="B810">
            <v>202405</v>
          </cell>
          <cell r="D810" t="str">
            <v>Particulares Resto</v>
          </cell>
          <cell r="G810" t="str">
            <v>Real</v>
          </cell>
        </row>
        <row r="811">
          <cell r="A811" t="str">
            <v>AGRINALCAZAR</v>
          </cell>
          <cell r="B811">
            <v>202405</v>
          </cell>
          <cell r="D811" t="str">
            <v>RC</v>
          </cell>
          <cell r="G811" t="str">
            <v>Real</v>
          </cell>
        </row>
        <row r="812">
          <cell r="A812" t="str">
            <v>AGRINALCAZAR</v>
          </cell>
          <cell r="B812">
            <v>202405</v>
          </cell>
          <cell r="D812" t="str">
            <v>Seguros Personales (No Vida) Particular</v>
          </cell>
          <cell r="G812" t="str">
            <v>Real</v>
          </cell>
        </row>
        <row r="813">
          <cell r="A813" t="str">
            <v>AGRINALCAZAR</v>
          </cell>
          <cell r="B813">
            <v>202405</v>
          </cell>
          <cell r="D813" t="str">
            <v>Vida Ahorro Particular</v>
          </cell>
          <cell r="G813" t="str">
            <v>Real</v>
          </cell>
        </row>
        <row r="814">
          <cell r="A814" t="str">
            <v>AGRINALCAZAR</v>
          </cell>
          <cell r="B814">
            <v>202406</v>
          </cell>
          <cell r="D814" t="str">
            <v>--</v>
          </cell>
          <cell r="G814" t="str">
            <v>Real</v>
          </cell>
        </row>
        <row r="815">
          <cell r="A815" t="str">
            <v>AGRINALCAZAR</v>
          </cell>
          <cell r="B815">
            <v>202406</v>
          </cell>
          <cell r="D815" t="str">
            <v>Resto de Lineas</v>
          </cell>
          <cell r="G815" t="str">
            <v>Real</v>
          </cell>
        </row>
        <row r="816">
          <cell r="A816" t="str">
            <v>AGRINALCAZAR</v>
          </cell>
          <cell r="B816">
            <v>202406</v>
          </cell>
          <cell r="D816" t="str">
            <v>Autos</v>
          </cell>
          <cell r="G816" t="str">
            <v>Real</v>
          </cell>
        </row>
        <row r="817">
          <cell r="A817" t="str">
            <v>AGRINALCAZAR</v>
          </cell>
          <cell r="B817">
            <v>202406</v>
          </cell>
          <cell r="D817" t="str">
            <v>Flotas</v>
          </cell>
          <cell r="G817" t="str">
            <v>Real</v>
          </cell>
        </row>
        <row r="818">
          <cell r="A818" t="str">
            <v>AGRINALCAZAR</v>
          </cell>
          <cell r="B818">
            <v>202406</v>
          </cell>
          <cell r="D818" t="str">
            <v>Particulares Resto</v>
          </cell>
          <cell r="G818" t="str">
            <v>Real</v>
          </cell>
        </row>
        <row r="819">
          <cell r="A819" t="str">
            <v>AGRINALCAZAR</v>
          </cell>
          <cell r="B819">
            <v>202406</v>
          </cell>
          <cell r="D819" t="str">
            <v>RC</v>
          </cell>
          <cell r="G819" t="str">
            <v>Real</v>
          </cell>
        </row>
        <row r="820">
          <cell r="A820" t="str">
            <v>AGRINALCAZAR</v>
          </cell>
          <cell r="B820">
            <v>202406</v>
          </cell>
          <cell r="D820" t="str">
            <v>Seguros Personales (No Vida) Particular</v>
          </cell>
          <cell r="G820" t="str">
            <v>Real</v>
          </cell>
        </row>
        <row r="821">
          <cell r="A821" t="str">
            <v>AGRINALCAZAR</v>
          </cell>
          <cell r="B821">
            <v>202406</v>
          </cell>
          <cell r="D821" t="str">
            <v>Transporte</v>
          </cell>
          <cell r="G821" t="str">
            <v>Real</v>
          </cell>
        </row>
        <row r="822">
          <cell r="A822" t="str">
            <v>AGRINALCAZAR</v>
          </cell>
          <cell r="B822">
            <v>202406</v>
          </cell>
          <cell r="D822" t="str">
            <v>Vida Ahorro Particular</v>
          </cell>
          <cell r="G822" t="str">
            <v>Real</v>
          </cell>
        </row>
        <row r="823">
          <cell r="A823" t="str">
            <v>AGRINALCAZAR</v>
          </cell>
          <cell r="B823">
            <v>202407</v>
          </cell>
          <cell r="D823" t="str">
            <v>--</v>
          </cell>
          <cell r="G823" t="str">
            <v>Real</v>
          </cell>
        </row>
        <row r="824">
          <cell r="A824" t="str">
            <v>AGRINALCAZAR</v>
          </cell>
          <cell r="B824">
            <v>202407</v>
          </cell>
          <cell r="D824" t="str">
            <v>Resto de Lineas</v>
          </cell>
          <cell r="G824" t="str">
            <v>Real</v>
          </cell>
        </row>
        <row r="825">
          <cell r="A825" t="str">
            <v>AGRINALCAZAR</v>
          </cell>
          <cell r="B825">
            <v>202407</v>
          </cell>
          <cell r="D825" t="str">
            <v>Autos</v>
          </cell>
          <cell r="G825" t="str">
            <v>Real</v>
          </cell>
        </row>
        <row r="826">
          <cell r="A826" t="str">
            <v>AGRINALCAZAR</v>
          </cell>
          <cell r="B826">
            <v>202407</v>
          </cell>
          <cell r="D826" t="str">
            <v>Flotas</v>
          </cell>
          <cell r="G826" t="str">
            <v>Real</v>
          </cell>
        </row>
        <row r="827">
          <cell r="A827" t="str">
            <v>AGRINALCAZAR</v>
          </cell>
          <cell r="B827">
            <v>202407</v>
          </cell>
          <cell r="D827" t="str">
            <v>Ingeniería</v>
          </cell>
          <cell r="G827" t="str">
            <v>Real</v>
          </cell>
        </row>
        <row r="828">
          <cell r="A828" t="str">
            <v>AGRINALCAZAR</v>
          </cell>
          <cell r="B828">
            <v>202407</v>
          </cell>
          <cell r="D828" t="str">
            <v>Particulares Resto</v>
          </cell>
          <cell r="G828" t="str">
            <v>Real</v>
          </cell>
        </row>
        <row r="829">
          <cell r="A829" t="str">
            <v>AGRINALCAZAR</v>
          </cell>
          <cell r="B829">
            <v>202407</v>
          </cell>
          <cell r="D829" t="str">
            <v>RC</v>
          </cell>
          <cell r="G829" t="str">
            <v>Real</v>
          </cell>
        </row>
        <row r="830">
          <cell r="A830" t="str">
            <v>AGRINALCAZAR</v>
          </cell>
          <cell r="B830">
            <v>202407</v>
          </cell>
          <cell r="D830" t="str">
            <v>Seguros Personales (No Vida) Particular</v>
          </cell>
          <cell r="G830" t="str">
            <v>Real</v>
          </cell>
        </row>
        <row r="831">
          <cell r="A831" t="str">
            <v>AGRINALCAZAR</v>
          </cell>
          <cell r="B831">
            <v>202407</v>
          </cell>
          <cell r="D831" t="str">
            <v>Transporte</v>
          </cell>
          <cell r="G831" t="str">
            <v>Real</v>
          </cell>
        </row>
        <row r="832">
          <cell r="A832" t="str">
            <v>AGRINALCAZAR</v>
          </cell>
          <cell r="B832">
            <v>202407</v>
          </cell>
          <cell r="D832" t="str">
            <v>Vida Ahorro Particular</v>
          </cell>
          <cell r="G832" t="str">
            <v>Real</v>
          </cell>
        </row>
        <row r="833">
          <cell r="A833" t="str">
            <v>AGRINALCAZAR</v>
          </cell>
          <cell r="B833">
            <v>202408</v>
          </cell>
          <cell r="D833" t="str">
            <v>--</v>
          </cell>
          <cell r="G833" t="str">
            <v>Real</v>
          </cell>
        </row>
        <row r="834">
          <cell r="A834" t="str">
            <v>AGRINALCAZAR</v>
          </cell>
          <cell r="B834">
            <v>202408</v>
          </cell>
          <cell r="D834" t="str">
            <v>Resto de Lineas</v>
          </cell>
          <cell r="G834" t="str">
            <v>Real</v>
          </cell>
        </row>
        <row r="835">
          <cell r="A835" t="str">
            <v>AGRINALCAZAR</v>
          </cell>
          <cell r="B835">
            <v>202408</v>
          </cell>
          <cell r="D835" t="str">
            <v>Autos</v>
          </cell>
          <cell r="G835" t="str">
            <v>Real</v>
          </cell>
        </row>
        <row r="836">
          <cell r="A836" t="str">
            <v>AGRINALCAZAR</v>
          </cell>
          <cell r="B836">
            <v>202408</v>
          </cell>
          <cell r="D836" t="str">
            <v>Flotas</v>
          </cell>
          <cell r="G836" t="str">
            <v>Real</v>
          </cell>
        </row>
        <row r="837">
          <cell r="A837" t="str">
            <v>AGRINALCAZAR</v>
          </cell>
          <cell r="B837">
            <v>202408</v>
          </cell>
          <cell r="D837" t="str">
            <v>Particulares Resto</v>
          </cell>
          <cell r="G837" t="str">
            <v>Real</v>
          </cell>
        </row>
        <row r="838">
          <cell r="A838" t="str">
            <v>AGRINALCAZAR</v>
          </cell>
          <cell r="B838">
            <v>202408</v>
          </cell>
          <cell r="D838" t="str">
            <v>RC</v>
          </cell>
          <cell r="G838" t="str">
            <v>Real</v>
          </cell>
        </row>
        <row r="839">
          <cell r="A839" t="str">
            <v>AGRINALCAZAR</v>
          </cell>
          <cell r="B839">
            <v>202408</v>
          </cell>
          <cell r="D839" t="str">
            <v>Seguros Personales (No Vida) Particular</v>
          </cell>
          <cell r="G839" t="str">
            <v>Real</v>
          </cell>
        </row>
        <row r="840">
          <cell r="A840" t="str">
            <v>AGRINALCAZAR</v>
          </cell>
          <cell r="B840">
            <v>202408</v>
          </cell>
          <cell r="D840" t="str">
            <v>Transporte</v>
          </cell>
          <cell r="G840" t="str">
            <v>Real</v>
          </cell>
        </row>
        <row r="841">
          <cell r="A841" t="str">
            <v>AGRINALCAZAR</v>
          </cell>
          <cell r="B841">
            <v>202408</v>
          </cell>
          <cell r="D841" t="str">
            <v>Vida Ahorro Particular</v>
          </cell>
          <cell r="G841" t="str">
            <v>Real</v>
          </cell>
        </row>
        <row r="842">
          <cell r="A842" t="str">
            <v>AGRINALCAZAR</v>
          </cell>
          <cell r="B842">
            <v>202409</v>
          </cell>
          <cell r="D842" t="str">
            <v>--</v>
          </cell>
          <cell r="G842" t="str">
            <v>Real</v>
          </cell>
        </row>
        <row r="843">
          <cell r="A843" t="str">
            <v>AGRINALCAZAR</v>
          </cell>
          <cell r="B843">
            <v>202409</v>
          </cell>
          <cell r="D843" t="str">
            <v>Resto de Lineas</v>
          </cell>
          <cell r="G843" t="str">
            <v>Real</v>
          </cell>
        </row>
        <row r="844">
          <cell r="A844" t="str">
            <v>AGRINALCAZAR</v>
          </cell>
          <cell r="B844">
            <v>202409</v>
          </cell>
          <cell r="D844" t="str">
            <v>Autos</v>
          </cell>
          <cell r="G844" t="str">
            <v>Real</v>
          </cell>
        </row>
        <row r="845">
          <cell r="A845" t="str">
            <v>AGRINALCAZAR</v>
          </cell>
          <cell r="B845">
            <v>202409</v>
          </cell>
          <cell r="D845" t="str">
            <v>Flotas</v>
          </cell>
          <cell r="G845" t="str">
            <v>Real</v>
          </cell>
        </row>
        <row r="846">
          <cell r="A846" t="str">
            <v>AGRINALCAZAR</v>
          </cell>
          <cell r="B846">
            <v>202409</v>
          </cell>
          <cell r="D846" t="str">
            <v>Particulares Resto</v>
          </cell>
          <cell r="G846" t="str">
            <v>Real</v>
          </cell>
        </row>
        <row r="847">
          <cell r="A847" t="str">
            <v>AGRINALCAZAR</v>
          </cell>
          <cell r="B847">
            <v>202409</v>
          </cell>
          <cell r="D847" t="str">
            <v>RC</v>
          </cell>
          <cell r="G847" t="str">
            <v>Real</v>
          </cell>
        </row>
        <row r="848">
          <cell r="A848" t="str">
            <v>AGRINALCAZAR</v>
          </cell>
          <cell r="B848">
            <v>202409</v>
          </cell>
          <cell r="D848" t="str">
            <v>Seguros Personales (No Vida) Particular</v>
          </cell>
          <cell r="G848" t="str">
            <v>Real</v>
          </cell>
        </row>
        <row r="849">
          <cell r="A849" t="str">
            <v>AGRINALCAZAR</v>
          </cell>
          <cell r="B849">
            <v>202409</v>
          </cell>
          <cell r="D849" t="str">
            <v>Vida Ahorro Particular</v>
          </cell>
          <cell r="G849" t="str">
            <v>Real</v>
          </cell>
        </row>
        <row r="850">
          <cell r="A850" t="str">
            <v>AGRINALCAZAR</v>
          </cell>
          <cell r="B850">
            <v>202410</v>
          </cell>
          <cell r="D850" t="str">
            <v>--</v>
          </cell>
          <cell r="G850" t="str">
            <v>Real</v>
          </cell>
        </row>
        <row r="851">
          <cell r="A851" t="str">
            <v>AGRINALCAZAR</v>
          </cell>
          <cell r="B851">
            <v>202410</v>
          </cell>
          <cell r="D851" t="str">
            <v>Autos</v>
          </cell>
          <cell r="G851" t="str">
            <v>Real</v>
          </cell>
        </row>
        <row r="852">
          <cell r="A852" t="str">
            <v>AGRINALCAZAR</v>
          </cell>
          <cell r="B852">
            <v>202410</v>
          </cell>
          <cell r="D852" t="str">
            <v>Flotas</v>
          </cell>
          <cell r="G852" t="str">
            <v>Real</v>
          </cell>
        </row>
        <row r="853">
          <cell r="A853" t="str">
            <v>AGRINALCAZAR</v>
          </cell>
          <cell r="B853">
            <v>202410</v>
          </cell>
          <cell r="D853" t="str">
            <v>Particulares Resto</v>
          </cell>
          <cell r="G853" t="str">
            <v>Real</v>
          </cell>
        </row>
        <row r="854">
          <cell r="A854" t="str">
            <v>AGRINALCAZAR</v>
          </cell>
          <cell r="B854">
            <v>202410</v>
          </cell>
          <cell r="D854" t="str">
            <v>RC</v>
          </cell>
          <cell r="G854" t="str">
            <v>Real</v>
          </cell>
        </row>
        <row r="855">
          <cell r="A855" t="str">
            <v>AGRINALCAZAR</v>
          </cell>
          <cell r="B855">
            <v>202410</v>
          </cell>
          <cell r="D855" t="str">
            <v>Seguros Personales (No Vida) Particular</v>
          </cell>
          <cell r="G855" t="str">
            <v>Real</v>
          </cell>
        </row>
        <row r="856">
          <cell r="A856" t="str">
            <v>AGRINALCAZAR</v>
          </cell>
          <cell r="B856">
            <v>202410</v>
          </cell>
          <cell r="D856" t="str">
            <v>Vida Ahorro Particular</v>
          </cell>
          <cell r="G856" t="str">
            <v>Real</v>
          </cell>
        </row>
        <row r="857">
          <cell r="A857" t="str">
            <v>AGRINALCAZAR</v>
          </cell>
          <cell r="B857">
            <v>202411</v>
          </cell>
          <cell r="D857" t="str">
            <v>--</v>
          </cell>
          <cell r="G857" t="str">
            <v>Real</v>
          </cell>
        </row>
        <row r="858">
          <cell r="A858" t="str">
            <v>AGRINALCAZAR</v>
          </cell>
          <cell r="B858">
            <v>202411</v>
          </cell>
          <cell r="D858" t="str">
            <v>Autos</v>
          </cell>
          <cell r="G858" t="str">
            <v>Real</v>
          </cell>
        </row>
        <row r="859">
          <cell r="A859" t="str">
            <v>AGRINALCAZAR</v>
          </cell>
          <cell r="B859">
            <v>202411</v>
          </cell>
          <cell r="D859" t="str">
            <v>Flotas</v>
          </cell>
          <cell r="G859" t="str">
            <v>Real</v>
          </cell>
        </row>
        <row r="860">
          <cell r="A860" t="str">
            <v>AGRINALCAZAR</v>
          </cell>
          <cell r="B860">
            <v>202411</v>
          </cell>
          <cell r="D860" t="str">
            <v>Particulares Resto</v>
          </cell>
          <cell r="G860" t="str">
            <v>Real</v>
          </cell>
        </row>
        <row r="861">
          <cell r="A861" t="str">
            <v>AGRINALCAZAR</v>
          </cell>
          <cell r="B861">
            <v>202411</v>
          </cell>
          <cell r="D861" t="str">
            <v>RC</v>
          </cell>
          <cell r="G861" t="str">
            <v>Real</v>
          </cell>
        </row>
        <row r="862">
          <cell r="A862" t="str">
            <v>AGRINALCAZAR</v>
          </cell>
          <cell r="B862">
            <v>202411</v>
          </cell>
          <cell r="D862" t="str">
            <v>Seguros Personales (No Vida) Particular</v>
          </cell>
          <cell r="G862" t="str">
            <v>Real</v>
          </cell>
        </row>
        <row r="863">
          <cell r="A863" t="str">
            <v>AGRINALCAZAR</v>
          </cell>
          <cell r="B863">
            <v>202411</v>
          </cell>
          <cell r="D863" t="str">
            <v>Vida Ahorro Particular</v>
          </cell>
          <cell r="G863" t="str">
            <v>Real</v>
          </cell>
        </row>
        <row r="864">
          <cell r="A864" t="str">
            <v>AGRINALCAZAR</v>
          </cell>
          <cell r="B864">
            <v>202412</v>
          </cell>
          <cell r="D864" t="str">
            <v>--</v>
          </cell>
          <cell r="G864" t="str">
            <v>Real</v>
          </cell>
        </row>
        <row r="865">
          <cell r="A865" t="str">
            <v>AGRINALCAZAR</v>
          </cell>
          <cell r="B865">
            <v>202412</v>
          </cell>
          <cell r="D865" t="str">
            <v>Resto de Lineas</v>
          </cell>
          <cell r="G865" t="str">
            <v>Real</v>
          </cell>
        </row>
        <row r="866">
          <cell r="A866" t="str">
            <v>AGRINALCAZAR</v>
          </cell>
          <cell r="B866">
            <v>202412</v>
          </cell>
          <cell r="D866" t="str">
            <v>Autos</v>
          </cell>
          <cell r="G866" t="str">
            <v>Real</v>
          </cell>
        </row>
        <row r="867">
          <cell r="A867" t="str">
            <v>AGRINALCAZAR</v>
          </cell>
          <cell r="B867">
            <v>202412</v>
          </cell>
          <cell r="D867" t="str">
            <v>Flotas</v>
          </cell>
          <cell r="G867" t="str">
            <v>Real</v>
          </cell>
        </row>
        <row r="868">
          <cell r="A868" t="str">
            <v>AGRINALCAZAR</v>
          </cell>
          <cell r="B868">
            <v>202412</v>
          </cell>
          <cell r="D868" t="str">
            <v>Particulares Resto</v>
          </cell>
          <cell r="G868" t="str">
            <v>Real</v>
          </cell>
        </row>
        <row r="869">
          <cell r="A869" t="str">
            <v>AGRINALCAZAR</v>
          </cell>
          <cell r="B869">
            <v>202412</v>
          </cell>
          <cell r="D869" t="str">
            <v>RC</v>
          </cell>
          <cell r="G869" t="str">
            <v>Real</v>
          </cell>
        </row>
        <row r="870">
          <cell r="A870" t="str">
            <v>AGRINALCAZAR</v>
          </cell>
          <cell r="B870">
            <v>202412</v>
          </cell>
          <cell r="D870" t="str">
            <v>Seguros Personales (No Vida) Particular</v>
          </cell>
          <cell r="G870" t="str">
            <v>Real</v>
          </cell>
        </row>
        <row r="871">
          <cell r="A871" t="str">
            <v>AGRINALCAZAR</v>
          </cell>
          <cell r="B871">
            <v>202412</v>
          </cell>
          <cell r="D871" t="str">
            <v>Vida Ahorro Particular</v>
          </cell>
          <cell r="G871" t="str">
            <v>Real</v>
          </cell>
        </row>
        <row r="872">
          <cell r="A872" t="str">
            <v>AGRINALCAZAR</v>
          </cell>
          <cell r="B872">
            <v>202501</v>
          </cell>
          <cell r="D872" t="str">
            <v>--</v>
          </cell>
          <cell r="G872" t="str">
            <v>Presupuesto</v>
          </cell>
        </row>
        <row r="873">
          <cell r="A873" t="str">
            <v>AGRINALCAZAR</v>
          </cell>
          <cell r="B873">
            <v>202501</v>
          </cell>
          <cell r="D873" t="str">
            <v>--</v>
          </cell>
          <cell r="G873" t="str">
            <v>Real</v>
          </cell>
        </row>
        <row r="874">
          <cell r="A874" t="str">
            <v>AGRINALCAZAR</v>
          </cell>
          <cell r="B874">
            <v>202501</v>
          </cell>
          <cell r="D874" t="str">
            <v>Arte</v>
          </cell>
          <cell r="G874" t="str">
            <v>Presupuesto</v>
          </cell>
        </row>
        <row r="875">
          <cell r="A875" t="str">
            <v>AGRINALCAZAR</v>
          </cell>
          <cell r="B875">
            <v>202501</v>
          </cell>
          <cell r="D875" t="str">
            <v>Autos</v>
          </cell>
          <cell r="G875" t="str">
            <v>Presupuesto</v>
          </cell>
        </row>
        <row r="876">
          <cell r="A876" t="str">
            <v>AGRINALCAZAR</v>
          </cell>
          <cell r="B876">
            <v>202501</v>
          </cell>
          <cell r="D876" t="str">
            <v>Autos</v>
          </cell>
          <cell r="G876" t="str">
            <v>Real</v>
          </cell>
        </row>
        <row r="877">
          <cell r="A877" t="str">
            <v>AGRINALCAZAR</v>
          </cell>
          <cell r="B877">
            <v>202501</v>
          </cell>
          <cell r="D877" t="str">
            <v>B2B2C</v>
          </cell>
          <cell r="G877" t="str">
            <v>Presupuesto</v>
          </cell>
        </row>
        <row r="878">
          <cell r="A878" t="str">
            <v>AGRINALCAZAR</v>
          </cell>
          <cell r="B878">
            <v>202501</v>
          </cell>
          <cell r="D878" t="str">
            <v>Caución</v>
          </cell>
          <cell r="G878" t="str">
            <v>Presupuesto</v>
          </cell>
        </row>
        <row r="879">
          <cell r="A879" t="str">
            <v>AGRINALCAZAR</v>
          </cell>
          <cell r="B879">
            <v>202501</v>
          </cell>
          <cell r="D879" t="str">
            <v>Crédito Internacional</v>
          </cell>
          <cell r="G879" t="str">
            <v>Presupuesto</v>
          </cell>
        </row>
        <row r="880">
          <cell r="A880" t="str">
            <v>AGRINALCAZAR</v>
          </cell>
          <cell r="B880">
            <v>202501</v>
          </cell>
          <cell r="D880" t="str">
            <v>Crédito Nacional</v>
          </cell>
          <cell r="G880" t="str">
            <v>Presupuesto</v>
          </cell>
        </row>
        <row r="881">
          <cell r="A881" t="str">
            <v>AGRINALCAZAR</v>
          </cell>
          <cell r="B881">
            <v>202501</v>
          </cell>
          <cell r="D881" t="str">
            <v>Eventos</v>
          </cell>
          <cell r="G881" t="str">
            <v>Presupuesto</v>
          </cell>
        </row>
        <row r="882">
          <cell r="A882" t="str">
            <v>AGRINALCAZAR</v>
          </cell>
          <cell r="B882">
            <v>202501</v>
          </cell>
          <cell r="D882" t="str">
            <v>Flotas</v>
          </cell>
          <cell r="G882" t="str">
            <v>Presupuesto</v>
          </cell>
        </row>
        <row r="883">
          <cell r="A883" t="str">
            <v>AGRINALCAZAR</v>
          </cell>
          <cell r="B883">
            <v>202501</v>
          </cell>
          <cell r="D883" t="str">
            <v>Flotas</v>
          </cell>
          <cell r="G883" t="str">
            <v>Real</v>
          </cell>
        </row>
        <row r="884">
          <cell r="A884" t="str">
            <v>AGRINALCAZAR</v>
          </cell>
          <cell r="B884">
            <v>202501</v>
          </cell>
          <cell r="D884" t="str">
            <v>Hogar</v>
          </cell>
          <cell r="G884" t="str">
            <v>Presupuesto</v>
          </cell>
        </row>
        <row r="885">
          <cell r="A885" t="str">
            <v>AGRINALCAZAR</v>
          </cell>
          <cell r="B885">
            <v>202501</v>
          </cell>
          <cell r="D885" t="str">
            <v>Hogar</v>
          </cell>
          <cell r="G885" t="str">
            <v>Real</v>
          </cell>
        </row>
        <row r="886">
          <cell r="A886" t="str">
            <v>AGRINALCAZAR</v>
          </cell>
          <cell r="B886">
            <v>202501</v>
          </cell>
          <cell r="D886" t="str">
            <v>Ingeniería</v>
          </cell>
          <cell r="G886" t="str">
            <v>Presupuesto</v>
          </cell>
        </row>
        <row r="887">
          <cell r="A887" t="str">
            <v>AGRINALCAZAR</v>
          </cell>
          <cell r="B887">
            <v>202501</v>
          </cell>
          <cell r="D887" t="str">
            <v>Inmobiliario</v>
          </cell>
          <cell r="G887" t="str">
            <v>Presupuesto</v>
          </cell>
        </row>
        <row r="888">
          <cell r="A888" t="str">
            <v>AGRINALCAZAR</v>
          </cell>
          <cell r="B888">
            <v>202501</v>
          </cell>
          <cell r="D888" t="str">
            <v>Líneas Financieras</v>
          </cell>
          <cell r="G888" t="str">
            <v>Presupuesto</v>
          </cell>
        </row>
        <row r="889">
          <cell r="A889" t="str">
            <v>AGRINALCAZAR</v>
          </cell>
          <cell r="B889">
            <v>202501</v>
          </cell>
          <cell r="D889" t="str">
            <v>Náutica</v>
          </cell>
          <cell r="G889" t="str">
            <v>Presupuesto</v>
          </cell>
        </row>
        <row r="890">
          <cell r="A890" t="str">
            <v>AGRINALCAZAR</v>
          </cell>
          <cell r="B890">
            <v>202501</v>
          </cell>
          <cell r="D890" t="str">
            <v>Particulares Resto</v>
          </cell>
          <cell r="G890" t="str">
            <v>Presupuesto</v>
          </cell>
        </row>
        <row r="891">
          <cell r="A891" t="str">
            <v>AGRINALCAZAR</v>
          </cell>
          <cell r="B891">
            <v>202501</v>
          </cell>
          <cell r="D891" t="str">
            <v>Property</v>
          </cell>
          <cell r="G891" t="str">
            <v>Presupuesto</v>
          </cell>
        </row>
        <row r="892">
          <cell r="A892" t="str">
            <v>AGRINALCAZAR</v>
          </cell>
          <cell r="B892">
            <v>202501</v>
          </cell>
          <cell r="D892" t="str">
            <v>Property</v>
          </cell>
          <cell r="G892" t="str">
            <v>Real</v>
          </cell>
        </row>
        <row r="893">
          <cell r="A893" t="str">
            <v>AGRINALCAZAR</v>
          </cell>
          <cell r="B893">
            <v>202501</v>
          </cell>
          <cell r="D893" t="str">
            <v>RC</v>
          </cell>
          <cell r="G893" t="str">
            <v>Presupuesto</v>
          </cell>
        </row>
        <row r="894">
          <cell r="A894" t="str">
            <v>AGRINALCAZAR</v>
          </cell>
          <cell r="B894">
            <v>202501</v>
          </cell>
          <cell r="D894" t="str">
            <v>RC</v>
          </cell>
          <cell r="G894" t="str">
            <v>Real</v>
          </cell>
        </row>
        <row r="895">
          <cell r="A895" t="str">
            <v>AGRINALCAZAR</v>
          </cell>
          <cell r="B895">
            <v>202501</v>
          </cell>
          <cell r="D895" t="str">
            <v>Resto de lineas</v>
          </cell>
          <cell r="G895" t="str">
            <v>Presupuesto</v>
          </cell>
        </row>
        <row r="896">
          <cell r="A896" t="str">
            <v>AGRINALCAZAR</v>
          </cell>
          <cell r="B896">
            <v>202501</v>
          </cell>
          <cell r="D896" t="str">
            <v>Resto de lineas</v>
          </cell>
          <cell r="G896" t="str">
            <v>Real</v>
          </cell>
        </row>
        <row r="897">
          <cell r="A897" t="str">
            <v>AGRINALCAZAR</v>
          </cell>
          <cell r="B897">
            <v>202501</v>
          </cell>
          <cell r="D897" t="str">
            <v>Retirada</v>
          </cell>
          <cell r="G897" t="str">
            <v>Presupuesto</v>
          </cell>
        </row>
        <row r="898">
          <cell r="A898" t="str">
            <v>AGRINALCAZAR</v>
          </cell>
          <cell r="B898">
            <v>202501</v>
          </cell>
          <cell r="D898" t="str">
            <v>Seguros Personales (No Vida) Colectivos</v>
          </cell>
          <cell r="G898" t="str">
            <v>Presupuesto</v>
          </cell>
        </row>
        <row r="899">
          <cell r="A899" t="str">
            <v>AGRINALCAZAR</v>
          </cell>
          <cell r="B899">
            <v>202501</v>
          </cell>
          <cell r="D899" t="str">
            <v>Seguros Personales (No Vida) Particular</v>
          </cell>
          <cell r="G899" t="str">
            <v>Presupuesto</v>
          </cell>
        </row>
        <row r="900">
          <cell r="A900" t="str">
            <v>AGRINALCAZAR</v>
          </cell>
          <cell r="B900">
            <v>202501</v>
          </cell>
          <cell r="D900" t="str">
            <v>Seguros Personales (No Vida) Particular</v>
          </cell>
          <cell r="G900" t="str">
            <v>Real</v>
          </cell>
        </row>
        <row r="901">
          <cell r="A901" t="str">
            <v>AGRINALCAZAR</v>
          </cell>
          <cell r="B901">
            <v>202501</v>
          </cell>
          <cell r="D901" t="str">
            <v>Transporte</v>
          </cell>
          <cell r="G901" t="str">
            <v>Presupuesto</v>
          </cell>
        </row>
        <row r="902">
          <cell r="A902" t="str">
            <v>AGRINALCAZAR</v>
          </cell>
          <cell r="B902">
            <v>202501</v>
          </cell>
          <cell r="D902" t="str">
            <v>Venta Cruzada</v>
          </cell>
          <cell r="G902" t="str">
            <v>Presupuesto</v>
          </cell>
        </row>
        <row r="903">
          <cell r="A903" t="str">
            <v>AGRINALCAZAR</v>
          </cell>
          <cell r="B903">
            <v>202501</v>
          </cell>
          <cell r="D903" t="str">
            <v>Vida Ahorro Colectivo</v>
          </cell>
          <cell r="G903" t="str">
            <v>Presupuesto</v>
          </cell>
        </row>
        <row r="904">
          <cell r="A904" t="str">
            <v>AGRINALCAZAR</v>
          </cell>
          <cell r="B904">
            <v>202501</v>
          </cell>
          <cell r="D904" t="str">
            <v>Vida Ahorro Particular</v>
          </cell>
          <cell r="G904" t="str">
            <v>Presupuesto</v>
          </cell>
        </row>
        <row r="905">
          <cell r="A905" t="str">
            <v>AGRINALCAZAR</v>
          </cell>
          <cell r="B905">
            <v>202501</v>
          </cell>
          <cell r="D905" t="str">
            <v>Vida Ahorro Particular</v>
          </cell>
          <cell r="G905" t="str">
            <v>Real</v>
          </cell>
        </row>
        <row r="906">
          <cell r="A906" t="str">
            <v>AGRINALCAZAR</v>
          </cell>
          <cell r="B906">
            <v>202501</v>
          </cell>
          <cell r="D906" t="str">
            <v>Vida Ganado</v>
          </cell>
          <cell r="G906" t="str">
            <v>Presupuesto</v>
          </cell>
        </row>
        <row r="907">
          <cell r="A907" t="str">
            <v>AGRINALCAZAR</v>
          </cell>
          <cell r="B907">
            <v>202501</v>
          </cell>
          <cell r="D907" t="str">
            <v>Vida Riesgo Colectivo</v>
          </cell>
          <cell r="G907" t="str">
            <v>Presupuesto</v>
          </cell>
        </row>
        <row r="908">
          <cell r="A908" t="str">
            <v>AGRINALCAZAR</v>
          </cell>
          <cell r="B908">
            <v>202501</v>
          </cell>
          <cell r="D908" t="str">
            <v>Vida Riesgo Particular</v>
          </cell>
          <cell r="G908" t="str">
            <v>Presupuesto</v>
          </cell>
        </row>
        <row r="909">
          <cell r="A909" t="str">
            <v>AGRINALCAZAR</v>
          </cell>
          <cell r="B909">
            <v>202501</v>
          </cell>
          <cell r="D909" t="str">
            <v>Vida Riesgo Particular</v>
          </cell>
          <cell r="G909" t="str">
            <v>Real</v>
          </cell>
        </row>
        <row r="910">
          <cell r="A910" t="str">
            <v>AGRINALCAZAR</v>
          </cell>
          <cell r="B910">
            <v>202502</v>
          </cell>
          <cell r="D910" t="str">
            <v>--</v>
          </cell>
          <cell r="G910" t="str">
            <v>Presupuesto</v>
          </cell>
        </row>
        <row r="911">
          <cell r="A911" t="str">
            <v>AGRINALCAZAR</v>
          </cell>
          <cell r="B911">
            <v>202502</v>
          </cell>
          <cell r="D911" t="str">
            <v>--</v>
          </cell>
          <cell r="G911" t="str">
            <v>Real</v>
          </cell>
        </row>
        <row r="912">
          <cell r="A912" t="str">
            <v>AGRINALCAZAR</v>
          </cell>
          <cell r="B912">
            <v>202502</v>
          </cell>
          <cell r="D912" t="str">
            <v>Arte</v>
          </cell>
          <cell r="G912" t="str">
            <v>Presupuesto</v>
          </cell>
        </row>
        <row r="913">
          <cell r="A913" t="str">
            <v>AGRINALCAZAR</v>
          </cell>
          <cell r="B913">
            <v>202502</v>
          </cell>
          <cell r="D913" t="str">
            <v>Autos</v>
          </cell>
          <cell r="G913" t="str">
            <v>Presupuesto</v>
          </cell>
        </row>
        <row r="914">
          <cell r="A914" t="str">
            <v>AGRINALCAZAR</v>
          </cell>
          <cell r="B914">
            <v>202502</v>
          </cell>
          <cell r="D914" t="str">
            <v>Autos</v>
          </cell>
          <cell r="G914" t="str">
            <v>Real</v>
          </cell>
        </row>
        <row r="915">
          <cell r="A915" t="str">
            <v>AGRINALCAZAR</v>
          </cell>
          <cell r="B915">
            <v>202502</v>
          </cell>
          <cell r="D915" t="str">
            <v>B2B2C</v>
          </cell>
          <cell r="G915" t="str">
            <v>Presupuesto</v>
          </cell>
        </row>
        <row r="916">
          <cell r="A916" t="str">
            <v>AGRINALCAZAR</v>
          </cell>
          <cell r="B916">
            <v>202502</v>
          </cell>
          <cell r="D916" t="str">
            <v>Caución</v>
          </cell>
          <cell r="G916" t="str">
            <v>Presupuesto</v>
          </cell>
        </row>
        <row r="917">
          <cell r="A917" t="str">
            <v>AGRINALCAZAR</v>
          </cell>
          <cell r="B917">
            <v>202502</v>
          </cell>
          <cell r="D917" t="str">
            <v>Crédito Internacional</v>
          </cell>
          <cell r="G917" t="str">
            <v>Presupuesto</v>
          </cell>
        </row>
        <row r="918">
          <cell r="A918" t="str">
            <v>AGRINALCAZAR</v>
          </cell>
          <cell r="B918">
            <v>202502</v>
          </cell>
          <cell r="D918" t="str">
            <v>Crédito Nacional</v>
          </cell>
          <cell r="G918" t="str">
            <v>Presupuesto</v>
          </cell>
        </row>
        <row r="919">
          <cell r="A919" t="str">
            <v>AGRINALCAZAR</v>
          </cell>
          <cell r="B919">
            <v>202502</v>
          </cell>
          <cell r="D919" t="str">
            <v>Eventos</v>
          </cell>
          <cell r="G919" t="str">
            <v>Presupuesto</v>
          </cell>
        </row>
        <row r="920">
          <cell r="A920" t="str">
            <v>AGRINALCAZAR</v>
          </cell>
          <cell r="B920">
            <v>202502</v>
          </cell>
          <cell r="D920" t="str">
            <v>Flotas</v>
          </cell>
          <cell r="G920" t="str">
            <v>Presupuesto</v>
          </cell>
        </row>
        <row r="921">
          <cell r="A921" t="str">
            <v>AGRINALCAZAR</v>
          </cell>
          <cell r="B921">
            <v>202502</v>
          </cell>
          <cell r="D921" t="str">
            <v>Flotas</v>
          </cell>
          <cell r="G921" t="str">
            <v>Real</v>
          </cell>
        </row>
        <row r="922">
          <cell r="A922" t="str">
            <v>AGRINALCAZAR</v>
          </cell>
          <cell r="B922">
            <v>202502</v>
          </cell>
          <cell r="D922" t="str">
            <v>Hogar</v>
          </cell>
          <cell r="G922" t="str">
            <v>Presupuesto</v>
          </cell>
        </row>
        <row r="923">
          <cell r="A923" t="str">
            <v>AGRINALCAZAR</v>
          </cell>
          <cell r="B923">
            <v>202502</v>
          </cell>
          <cell r="D923" t="str">
            <v>Hogar</v>
          </cell>
          <cell r="G923" t="str">
            <v>Real</v>
          </cell>
        </row>
        <row r="924">
          <cell r="A924" t="str">
            <v>AGRINALCAZAR</v>
          </cell>
          <cell r="B924">
            <v>202502</v>
          </cell>
          <cell r="D924" t="str">
            <v>Ingeniería</v>
          </cell>
          <cell r="G924" t="str">
            <v>Presupuesto</v>
          </cell>
        </row>
        <row r="925">
          <cell r="A925" t="str">
            <v>AGRINALCAZAR</v>
          </cell>
          <cell r="B925">
            <v>202502</v>
          </cell>
          <cell r="D925" t="str">
            <v>Inmobiliario</v>
          </cell>
          <cell r="G925" t="str">
            <v>Presupuesto</v>
          </cell>
        </row>
        <row r="926">
          <cell r="A926" t="str">
            <v>AGRINALCAZAR</v>
          </cell>
          <cell r="B926">
            <v>202502</v>
          </cell>
          <cell r="D926" t="str">
            <v>Líneas Financieras</v>
          </cell>
          <cell r="G926" t="str">
            <v>Presupuesto</v>
          </cell>
        </row>
        <row r="927">
          <cell r="A927" t="str">
            <v>AGRINALCAZAR</v>
          </cell>
          <cell r="B927">
            <v>202502</v>
          </cell>
          <cell r="D927" t="str">
            <v>Náutica</v>
          </cell>
          <cell r="G927" t="str">
            <v>Presupuesto</v>
          </cell>
        </row>
        <row r="928">
          <cell r="A928" t="str">
            <v>AGRINALCAZAR</v>
          </cell>
          <cell r="B928">
            <v>202502</v>
          </cell>
          <cell r="D928" t="str">
            <v>Particulares Resto</v>
          </cell>
          <cell r="G928" t="str">
            <v>Presupuesto</v>
          </cell>
        </row>
        <row r="929">
          <cell r="A929" t="str">
            <v>AGRINALCAZAR</v>
          </cell>
          <cell r="B929">
            <v>202502</v>
          </cell>
          <cell r="D929" t="str">
            <v>Property</v>
          </cell>
          <cell r="G929" t="str">
            <v>Presupuesto</v>
          </cell>
        </row>
        <row r="930">
          <cell r="A930" t="str">
            <v>AGRINALCAZAR</v>
          </cell>
          <cell r="B930">
            <v>202502</v>
          </cell>
          <cell r="D930" t="str">
            <v>Property</v>
          </cell>
          <cell r="G930" t="str">
            <v>Real</v>
          </cell>
        </row>
        <row r="931">
          <cell r="A931" t="str">
            <v>AGRINALCAZAR</v>
          </cell>
          <cell r="B931">
            <v>202502</v>
          </cell>
          <cell r="D931" t="str">
            <v>RC</v>
          </cell>
          <cell r="G931" t="str">
            <v>Presupuesto</v>
          </cell>
        </row>
        <row r="932">
          <cell r="A932" t="str">
            <v>AGRINALCAZAR</v>
          </cell>
          <cell r="B932">
            <v>202502</v>
          </cell>
          <cell r="D932" t="str">
            <v>RC</v>
          </cell>
          <cell r="G932" t="str">
            <v>Real</v>
          </cell>
        </row>
        <row r="933">
          <cell r="A933" t="str">
            <v>AGRINALCAZAR</v>
          </cell>
          <cell r="B933">
            <v>202502</v>
          </cell>
          <cell r="D933" t="str">
            <v>Resto de lineas</v>
          </cell>
          <cell r="G933" t="str">
            <v>Presupuesto</v>
          </cell>
        </row>
        <row r="934">
          <cell r="A934" t="str">
            <v>AGRINALCAZAR</v>
          </cell>
          <cell r="B934">
            <v>202502</v>
          </cell>
          <cell r="D934" t="str">
            <v>Resto de lineas</v>
          </cell>
          <cell r="G934" t="str">
            <v>Real</v>
          </cell>
        </row>
        <row r="935">
          <cell r="A935" t="str">
            <v>AGRINALCAZAR</v>
          </cell>
          <cell r="B935">
            <v>202502</v>
          </cell>
          <cell r="D935" t="str">
            <v>Retirada</v>
          </cell>
          <cell r="G935" t="str">
            <v>Presupuesto</v>
          </cell>
        </row>
        <row r="936">
          <cell r="A936" t="str">
            <v>AGRINALCAZAR</v>
          </cell>
          <cell r="B936">
            <v>202502</v>
          </cell>
          <cell r="D936" t="str">
            <v>Seguros Personales (No Vida) Colectivos</v>
          </cell>
          <cell r="G936" t="str">
            <v>Presupuesto</v>
          </cell>
        </row>
        <row r="937">
          <cell r="A937" t="str">
            <v>AGRINALCAZAR</v>
          </cell>
          <cell r="B937">
            <v>202502</v>
          </cell>
          <cell r="D937" t="str">
            <v>Seguros Personales (No Vida) Colectivos</v>
          </cell>
          <cell r="G937" t="str">
            <v>Real</v>
          </cell>
        </row>
        <row r="938">
          <cell r="A938" t="str">
            <v>AGRINALCAZAR</v>
          </cell>
          <cell r="B938">
            <v>202502</v>
          </cell>
          <cell r="D938" t="str">
            <v>Seguros Personales (No Vida) Particular</v>
          </cell>
          <cell r="G938" t="str">
            <v>Presupuesto</v>
          </cell>
        </row>
        <row r="939">
          <cell r="A939" t="str">
            <v>AGRINALCAZAR</v>
          </cell>
          <cell r="B939">
            <v>202502</v>
          </cell>
          <cell r="D939" t="str">
            <v>Seguros Personales (No Vida) Particular</v>
          </cell>
          <cell r="G939" t="str">
            <v>Real</v>
          </cell>
        </row>
        <row r="940">
          <cell r="A940" t="str">
            <v>AGRINALCAZAR</v>
          </cell>
          <cell r="B940">
            <v>202502</v>
          </cell>
          <cell r="D940" t="str">
            <v>Transporte</v>
          </cell>
          <cell r="G940" t="str">
            <v>Presupuesto</v>
          </cell>
        </row>
        <row r="941">
          <cell r="A941" t="str">
            <v>AGRINALCAZAR</v>
          </cell>
          <cell r="B941">
            <v>202502</v>
          </cell>
          <cell r="D941" t="str">
            <v>Venta Cruzada</v>
          </cell>
          <cell r="G941" t="str">
            <v>Presupuesto</v>
          </cell>
        </row>
        <row r="942">
          <cell r="A942" t="str">
            <v>AGRINALCAZAR</v>
          </cell>
          <cell r="B942">
            <v>202502</v>
          </cell>
          <cell r="D942" t="str">
            <v>Vida Ahorro Colectivo</v>
          </cell>
          <cell r="G942" t="str">
            <v>Presupuesto</v>
          </cell>
        </row>
        <row r="943">
          <cell r="A943" t="str">
            <v>AGRINALCAZAR</v>
          </cell>
          <cell r="B943">
            <v>202502</v>
          </cell>
          <cell r="D943" t="str">
            <v>Vida Ahorro Particular</v>
          </cell>
          <cell r="G943" t="str">
            <v>Presupuesto</v>
          </cell>
        </row>
        <row r="944">
          <cell r="A944" t="str">
            <v>AGRINALCAZAR</v>
          </cell>
          <cell r="B944">
            <v>202502</v>
          </cell>
          <cell r="D944" t="str">
            <v>Vida Ahorro Particular</v>
          </cell>
          <cell r="G944" t="str">
            <v>Real</v>
          </cell>
        </row>
        <row r="945">
          <cell r="A945" t="str">
            <v>AGRINALCAZAR</v>
          </cell>
          <cell r="B945">
            <v>202502</v>
          </cell>
          <cell r="D945" t="str">
            <v>Vida Ganado</v>
          </cell>
          <cell r="G945" t="str">
            <v>Presupuesto</v>
          </cell>
        </row>
        <row r="946">
          <cell r="A946" t="str">
            <v>AGRINALCAZAR</v>
          </cell>
          <cell r="B946">
            <v>202502</v>
          </cell>
          <cell r="D946" t="str">
            <v>Vida Riesgo Colectivo</v>
          </cell>
          <cell r="G946" t="str">
            <v>Presupuesto</v>
          </cell>
        </row>
        <row r="947">
          <cell r="A947" t="str">
            <v>AGRINALCAZAR</v>
          </cell>
          <cell r="B947">
            <v>202502</v>
          </cell>
          <cell r="D947" t="str">
            <v>Vida Riesgo Particular</v>
          </cell>
          <cell r="G947" t="str">
            <v>Presupuesto</v>
          </cell>
        </row>
        <row r="948">
          <cell r="A948" t="str">
            <v>AGRINALCAZAR</v>
          </cell>
          <cell r="B948">
            <v>202502</v>
          </cell>
          <cell r="D948" t="str">
            <v>Vida Riesgo Particular</v>
          </cell>
          <cell r="G948" t="str">
            <v>Real</v>
          </cell>
        </row>
        <row r="949">
          <cell r="A949" t="str">
            <v>AGRINALCAZAR</v>
          </cell>
          <cell r="B949">
            <v>202503</v>
          </cell>
          <cell r="D949" t="str">
            <v>--</v>
          </cell>
          <cell r="G949" t="str">
            <v>Presupuesto</v>
          </cell>
        </row>
        <row r="950">
          <cell r="A950" t="str">
            <v>AGRINALCAZAR</v>
          </cell>
          <cell r="B950">
            <v>202503</v>
          </cell>
          <cell r="D950" t="str">
            <v>--</v>
          </cell>
          <cell r="G950" t="str">
            <v>Real</v>
          </cell>
        </row>
        <row r="951">
          <cell r="A951" t="str">
            <v>AGRINALCAZAR</v>
          </cell>
          <cell r="B951">
            <v>202503</v>
          </cell>
          <cell r="D951" t="str">
            <v>Resto de Lineas</v>
          </cell>
          <cell r="G951" t="str">
            <v>Real</v>
          </cell>
        </row>
        <row r="952">
          <cell r="A952" t="str">
            <v>AGRINALCAZAR</v>
          </cell>
          <cell r="B952">
            <v>202503</v>
          </cell>
          <cell r="D952" t="str">
            <v>Arte</v>
          </cell>
          <cell r="G952" t="str">
            <v>Presupuesto</v>
          </cell>
        </row>
        <row r="953">
          <cell r="A953" t="str">
            <v>AGRINALCAZAR</v>
          </cell>
          <cell r="B953">
            <v>202503</v>
          </cell>
          <cell r="D953" t="str">
            <v>Autos</v>
          </cell>
          <cell r="G953" t="str">
            <v>Presupuesto</v>
          </cell>
        </row>
        <row r="954">
          <cell r="A954" t="str">
            <v>AGRINALCAZAR</v>
          </cell>
          <cell r="B954">
            <v>202503</v>
          </cell>
          <cell r="D954" t="str">
            <v>Autos</v>
          </cell>
          <cell r="G954" t="str">
            <v>Real</v>
          </cell>
        </row>
        <row r="955">
          <cell r="A955" t="str">
            <v>AGRINALCAZAR</v>
          </cell>
          <cell r="B955">
            <v>202503</v>
          </cell>
          <cell r="D955" t="str">
            <v>B2B2C</v>
          </cell>
          <cell r="G955" t="str">
            <v>Presupuesto</v>
          </cell>
        </row>
        <row r="956">
          <cell r="A956" t="str">
            <v>AGRINALCAZAR</v>
          </cell>
          <cell r="B956">
            <v>202503</v>
          </cell>
          <cell r="D956" t="str">
            <v>Caución</v>
          </cell>
          <cell r="G956" t="str">
            <v>Presupuesto</v>
          </cell>
        </row>
        <row r="957">
          <cell r="A957" t="str">
            <v>AGRINALCAZAR</v>
          </cell>
          <cell r="B957">
            <v>202503</v>
          </cell>
          <cell r="D957" t="str">
            <v>Crédito Internacional</v>
          </cell>
          <cell r="G957" t="str">
            <v>Presupuesto</v>
          </cell>
        </row>
        <row r="958">
          <cell r="A958" t="str">
            <v>AGRINALCAZAR</v>
          </cell>
          <cell r="B958">
            <v>202503</v>
          </cell>
          <cell r="D958" t="str">
            <v>Crédito Nacional</v>
          </cell>
          <cell r="G958" t="str">
            <v>Presupuesto</v>
          </cell>
        </row>
        <row r="959">
          <cell r="A959" t="str">
            <v>AGRINALCAZAR</v>
          </cell>
          <cell r="B959">
            <v>202503</v>
          </cell>
          <cell r="D959" t="str">
            <v>Eventos</v>
          </cell>
          <cell r="G959" t="str">
            <v>Presupuesto</v>
          </cell>
        </row>
        <row r="960">
          <cell r="A960" t="str">
            <v>AGRINALCAZAR</v>
          </cell>
          <cell r="B960">
            <v>202503</v>
          </cell>
          <cell r="D960" t="str">
            <v>Flotas</v>
          </cell>
          <cell r="G960" t="str">
            <v>Presupuesto</v>
          </cell>
        </row>
        <row r="961">
          <cell r="A961" t="str">
            <v>AGRINALCAZAR</v>
          </cell>
          <cell r="B961">
            <v>202503</v>
          </cell>
          <cell r="D961" t="str">
            <v>Flotas</v>
          </cell>
          <cell r="G961" t="str">
            <v>Real</v>
          </cell>
        </row>
        <row r="962">
          <cell r="A962" t="str">
            <v>AGRINALCAZAR</v>
          </cell>
          <cell r="B962">
            <v>202503</v>
          </cell>
          <cell r="D962" t="str">
            <v>Hogar</v>
          </cell>
          <cell r="G962" t="str">
            <v>Presupuesto</v>
          </cell>
        </row>
        <row r="963">
          <cell r="A963" t="str">
            <v>AGRINALCAZAR</v>
          </cell>
          <cell r="B963">
            <v>202503</v>
          </cell>
          <cell r="D963" t="str">
            <v>Hogar</v>
          </cell>
          <cell r="G963" t="str">
            <v>Real</v>
          </cell>
        </row>
        <row r="964">
          <cell r="A964" t="str">
            <v>AGRINALCAZAR</v>
          </cell>
          <cell r="B964">
            <v>202503</v>
          </cell>
          <cell r="D964" t="str">
            <v>Ingeniería</v>
          </cell>
          <cell r="G964" t="str">
            <v>Presupuesto</v>
          </cell>
        </row>
        <row r="965">
          <cell r="A965" t="str">
            <v>AGRINALCAZAR</v>
          </cell>
          <cell r="B965">
            <v>202503</v>
          </cell>
          <cell r="D965" t="str">
            <v>Inmobiliario</v>
          </cell>
          <cell r="G965" t="str">
            <v>Presupuesto</v>
          </cell>
        </row>
        <row r="966">
          <cell r="A966" t="str">
            <v>AGRINALCAZAR</v>
          </cell>
          <cell r="B966">
            <v>202503</v>
          </cell>
          <cell r="D966" t="str">
            <v>Líneas Financieras</v>
          </cell>
          <cell r="G966" t="str">
            <v>Presupuesto</v>
          </cell>
        </row>
        <row r="967">
          <cell r="A967" t="str">
            <v>AGRINALCAZAR</v>
          </cell>
          <cell r="B967">
            <v>202503</v>
          </cell>
          <cell r="D967" t="str">
            <v>Líneas Financieras</v>
          </cell>
          <cell r="G967" t="str">
            <v>Real</v>
          </cell>
        </row>
        <row r="968">
          <cell r="A968" t="str">
            <v>AGRINALCAZAR</v>
          </cell>
          <cell r="B968">
            <v>202503</v>
          </cell>
          <cell r="D968" t="str">
            <v>Náutica</v>
          </cell>
          <cell r="G968" t="str">
            <v>Presupuesto</v>
          </cell>
        </row>
        <row r="969">
          <cell r="A969" t="str">
            <v>AGRINALCAZAR</v>
          </cell>
          <cell r="B969">
            <v>202503</v>
          </cell>
          <cell r="D969" t="str">
            <v>Particulares Resto</v>
          </cell>
          <cell r="G969" t="str">
            <v>Presupuesto</v>
          </cell>
        </row>
        <row r="970">
          <cell r="A970" t="str">
            <v>AGRINALCAZAR</v>
          </cell>
          <cell r="B970">
            <v>202503</v>
          </cell>
          <cell r="D970" t="str">
            <v>Property</v>
          </cell>
          <cell r="G970" t="str">
            <v>Presupuesto</v>
          </cell>
        </row>
        <row r="971">
          <cell r="A971" t="str">
            <v>AGRINALCAZAR</v>
          </cell>
          <cell r="B971">
            <v>202503</v>
          </cell>
          <cell r="D971" t="str">
            <v>Property</v>
          </cell>
          <cell r="G971" t="str">
            <v>Real</v>
          </cell>
        </row>
        <row r="972">
          <cell r="A972" t="str">
            <v>AGRINALCAZAR</v>
          </cell>
          <cell r="B972">
            <v>202503</v>
          </cell>
          <cell r="D972" t="str">
            <v>RC</v>
          </cell>
          <cell r="G972" t="str">
            <v>Presupuesto</v>
          </cell>
        </row>
        <row r="973">
          <cell r="A973" t="str">
            <v>AGRINALCAZAR</v>
          </cell>
          <cell r="B973">
            <v>202503</v>
          </cell>
          <cell r="D973" t="str">
            <v>RC</v>
          </cell>
          <cell r="G973" t="str">
            <v>Real</v>
          </cell>
        </row>
        <row r="974">
          <cell r="A974" t="str">
            <v>AGRINALCAZAR</v>
          </cell>
          <cell r="B974">
            <v>202503</v>
          </cell>
          <cell r="D974" t="str">
            <v>Resto de lineas</v>
          </cell>
          <cell r="G974" t="str">
            <v>Presupuesto</v>
          </cell>
        </row>
        <row r="975">
          <cell r="A975" t="str">
            <v>AGRINALCAZAR</v>
          </cell>
          <cell r="B975">
            <v>202503</v>
          </cell>
          <cell r="D975" t="str">
            <v>Resto de lineas</v>
          </cell>
          <cell r="G975" t="str">
            <v>Real</v>
          </cell>
        </row>
        <row r="976">
          <cell r="A976" t="str">
            <v>AGRINALCAZAR</v>
          </cell>
          <cell r="B976">
            <v>202503</v>
          </cell>
          <cell r="D976" t="str">
            <v>Retirada</v>
          </cell>
          <cell r="G976" t="str">
            <v>Presupuesto</v>
          </cell>
        </row>
        <row r="977">
          <cell r="A977" t="str">
            <v>AGRINALCAZAR</v>
          </cell>
          <cell r="B977">
            <v>202503</v>
          </cell>
          <cell r="D977" t="str">
            <v>Seguros Personales (No Vida) Colectivos</v>
          </cell>
          <cell r="G977" t="str">
            <v>Presupuesto</v>
          </cell>
        </row>
        <row r="978">
          <cell r="A978" t="str">
            <v>AGRINALCAZAR</v>
          </cell>
          <cell r="B978">
            <v>202503</v>
          </cell>
          <cell r="D978" t="str">
            <v>Seguros Personales (No Vida) Colectivos</v>
          </cell>
          <cell r="G978" t="str">
            <v>Real</v>
          </cell>
        </row>
        <row r="979">
          <cell r="A979" t="str">
            <v>AGRINALCAZAR</v>
          </cell>
          <cell r="B979">
            <v>202503</v>
          </cell>
          <cell r="D979" t="str">
            <v>Seguros Personales (No Vida) Particular</v>
          </cell>
          <cell r="G979" t="str">
            <v>Presupuesto</v>
          </cell>
        </row>
        <row r="980">
          <cell r="A980" t="str">
            <v>AGRINALCAZAR</v>
          </cell>
          <cell r="B980">
            <v>202503</v>
          </cell>
          <cell r="D980" t="str">
            <v>Seguros Personales (No Vida) Particular</v>
          </cell>
          <cell r="G980" t="str">
            <v>Real</v>
          </cell>
        </row>
        <row r="981">
          <cell r="A981" t="str">
            <v>AGRINALCAZAR</v>
          </cell>
          <cell r="B981">
            <v>202503</v>
          </cell>
          <cell r="D981" t="str">
            <v>Transporte</v>
          </cell>
          <cell r="G981" t="str">
            <v>Presupuesto</v>
          </cell>
        </row>
        <row r="982">
          <cell r="A982" t="str">
            <v>AGRINALCAZAR</v>
          </cell>
          <cell r="B982">
            <v>202503</v>
          </cell>
          <cell r="D982" t="str">
            <v>Venta Cruzada</v>
          </cell>
          <cell r="G982" t="str">
            <v>Presupuesto</v>
          </cell>
        </row>
        <row r="983">
          <cell r="A983" t="str">
            <v>AGRINALCAZAR</v>
          </cell>
          <cell r="B983">
            <v>202503</v>
          </cell>
          <cell r="D983" t="str">
            <v>Vida Ahorro Colectivo</v>
          </cell>
          <cell r="G983" t="str">
            <v>Presupuesto</v>
          </cell>
        </row>
        <row r="984">
          <cell r="A984" t="str">
            <v>AGRINALCAZAR</v>
          </cell>
          <cell r="B984">
            <v>202503</v>
          </cell>
          <cell r="D984" t="str">
            <v>Vida Ahorro Particular</v>
          </cell>
          <cell r="G984" t="str">
            <v>Presupuesto</v>
          </cell>
        </row>
        <row r="985">
          <cell r="A985" t="str">
            <v>AGRINALCAZAR</v>
          </cell>
          <cell r="B985">
            <v>202503</v>
          </cell>
          <cell r="D985" t="str">
            <v>Vida Ahorro Particular</v>
          </cell>
          <cell r="G985" t="str">
            <v>Real</v>
          </cell>
        </row>
        <row r="986">
          <cell r="A986" t="str">
            <v>AGRINALCAZAR</v>
          </cell>
          <cell r="B986">
            <v>202503</v>
          </cell>
          <cell r="D986" t="str">
            <v>Vida Ganado</v>
          </cell>
          <cell r="G986" t="str">
            <v>Presupuesto</v>
          </cell>
        </row>
        <row r="987">
          <cell r="A987" t="str">
            <v>AGRINALCAZAR</v>
          </cell>
          <cell r="B987">
            <v>202503</v>
          </cell>
          <cell r="D987" t="str">
            <v>Vida Riesgo Colectivo</v>
          </cell>
          <cell r="G987" t="str">
            <v>Presupuesto</v>
          </cell>
        </row>
        <row r="988">
          <cell r="A988" t="str">
            <v>AGRINALCAZAR</v>
          </cell>
          <cell r="B988">
            <v>202503</v>
          </cell>
          <cell r="D988" t="str">
            <v>Vida Riesgo Particular</v>
          </cell>
          <cell r="G988" t="str">
            <v>Presupuesto</v>
          </cell>
        </row>
        <row r="989">
          <cell r="A989" t="str">
            <v>AGRINALCAZAR</v>
          </cell>
          <cell r="B989">
            <v>202503</v>
          </cell>
          <cell r="D989" t="str">
            <v>Vida Riesgo Particular</v>
          </cell>
          <cell r="G989" t="str">
            <v>Real</v>
          </cell>
        </row>
        <row r="990">
          <cell r="A990" t="str">
            <v>AGRINALCAZAR</v>
          </cell>
          <cell r="B990">
            <v>202504</v>
          </cell>
          <cell r="D990" t="str">
            <v>--</v>
          </cell>
          <cell r="G990" t="str">
            <v>Presupuesto</v>
          </cell>
        </row>
        <row r="991">
          <cell r="A991" t="str">
            <v>AGRINALCAZAR</v>
          </cell>
          <cell r="B991">
            <v>202504</v>
          </cell>
          <cell r="D991" t="str">
            <v>--</v>
          </cell>
          <cell r="G991" t="str">
            <v>Real</v>
          </cell>
        </row>
        <row r="992">
          <cell r="A992" t="str">
            <v>AGRINALCAZAR</v>
          </cell>
          <cell r="B992">
            <v>202504</v>
          </cell>
          <cell r="D992" t="str">
            <v>Arte</v>
          </cell>
          <cell r="G992" t="str">
            <v>Presupuesto</v>
          </cell>
        </row>
        <row r="993">
          <cell r="A993" t="str">
            <v>AGRINALCAZAR</v>
          </cell>
          <cell r="B993">
            <v>202504</v>
          </cell>
          <cell r="D993" t="str">
            <v>Autos</v>
          </cell>
          <cell r="G993" t="str">
            <v>Presupuesto</v>
          </cell>
        </row>
        <row r="994">
          <cell r="A994" t="str">
            <v>AGRINALCAZAR</v>
          </cell>
          <cell r="B994">
            <v>202504</v>
          </cell>
          <cell r="D994" t="str">
            <v>Autos</v>
          </cell>
          <cell r="G994" t="str">
            <v>Real</v>
          </cell>
        </row>
        <row r="995">
          <cell r="A995" t="str">
            <v>AGRINALCAZAR</v>
          </cell>
          <cell r="B995">
            <v>202504</v>
          </cell>
          <cell r="D995" t="str">
            <v>B2B2C</v>
          </cell>
          <cell r="G995" t="str">
            <v>Presupuesto</v>
          </cell>
        </row>
        <row r="996">
          <cell r="A996" t="str">
            <v>AGRINALCAZAR</v>
          </cell>
          <cell r="B996">
            <v>202504</v>
          </cell>
          <cell r="D996" t="str">
            <v>Caución</v>
          </cell>
          <cell r="G996" t="str">
            <v>Presupuesto</v>
          </cell>
        </row>
        <row r="997">
          <cell r="A997" t="str">
            <v>AGRINALCAZAR</v>
          </cell>
          <cell r="B997">
            <v>202504</v>
          </cell>
          <cell r="D997" t="str">
            <v>Crédito Internacional</v>
          </cell>
          <cell r="G997" t="str">
            <v>Presupuesto</v>
          </cell>
        </row>
        <row r="998">
          <cell r="A998" t="str">
            <v>AGRINALCAZAR</v>
          </cell>
          <cell r="B998">
            <v>202504</v>
          </cell>
          <cell r="D998" t="str">
            <v>Crédito Nacional</v>
          </cell>
          <cell r="G998" t="str">
            <v>Presupuesto</v>
          </cell>
        </row>
        <row r="999">
          <cell r="A999" t="str">
            <v>AGRINALCAZAR</v>
          </cell>
          <cell r="B999">
            <v>202504</v>
          </cell>
          <cell r="D999" t="str">
            <v>Eventos</v>
          </cell>
          <cell r="G999" t="str">
            <v>Presupuesto</v>
          </cell>
        </row>
        <row r="1000">
          <cell r="A1000" t="str">
            <v>AGRINALCAZAR</v>
          </cell>
          <cell r="B1000">
            <v>202504</v>
          </cell>
          <cell r="D1000" t="str">
            <v>Flotas</v>
          </cell>
          <cell r="G1000" t="str">
            <v>Presupuesto</v>
          </cell>
        </row>
        <row r="1001">
          <cell r="A1001" t="str">
            <v>AGRINALCAZAR</v>
          </cell>
          <cell r="B1001">
            <v>202504</v>
          </cell>
          <cell r="D1001" t="str">
            <v>Flotas</v>
          </cell>
          <cell r="G1001" t="str">
            <v>Real</v>
          </cell>
        </row>
        <row r="1002">
          <cell r="A1002" t="str">
            <v>AGRINALCAZAR</v>
          </cell>
          <cell r="B1002">
            <v>202504</v>
          </cell>
          <cell r="D1002" t="str">
            <v>Hogar</v>
          </cell>
          <cell r="G1002" t="str">
            <v>Presupuesto</v>
          </cell>
        </row>
        <row r="1003">
          <cell r="A1003" t="str">
            <v>AGRINALCAZAR</v>
          </cell>
          <cell r="B1003">
            <v>202504</v>
          </cell>
          <cell r="D1003" t="str">
            <v>Hogar</v>
          </cell>
          <cell r="G1003" t="str">
            <v>Real</v>
          </cell>
        </row>
        <row r="1004">
          <cell r="A1004" t="str">
            <v>AGRINALCAZAR</v>
          </cell>
          <cell r="B1004">
            <v>202504</v>
          </cell>
          <cell r="D1004" t="str">
            <v>Ingeniería</v>
          </cell>
          <cell r="G1004" t="str">
            <v>Presupuesto</v>
          </cell>
        </row>
        <row r="1005">
          <cell r="A1005" t="str">
            <v>AGRINALCAZAR</v>
          </cell>
          <cell r="B1005">
            <v>202504</v>
          </cell>
          <cell r="D1005" t="str">
            <v>Inmobiliario</v>
          </cell>
          <cell r="G1005" t="str">
            <v>Presupuesto</v>
          </cell>
        </row>
        <row r="1006">
          <cell r="A1006" t="str">
            <v>AGRINALCAZAR</v>
          </cell>
          <cell r="B1006">
            <v>202504</v>
          </cell>
          <cell r="D1006" t="str">
            <v>Líneas Financieras</v>
          </cell>
          <cell r="G1006" t="str">
            <v>Presupuesto</v>
          </cell>
        </row>
        <row r="1007">
          <cell r="A1007" t="str">
            <v>AGRINALCAZAR</v>
          </cell>
          <cell r="B1007">
            <v>202504</v>
          </cell>
          <cell r="D1007" t="str">
            <v>Líneas Financieras</v>
          </cell>
          <cell r="G1007" t="str">
            <v>Real</v>
          </cell>
        </row>
        <row r="1008">
          <cell r="A1008" t="str">
            <v>AGRINALCAZAR</v>
          </cell>
          <cell r="B1008">
            <v>202504</v>
          </cell>
          <cell r="D1008" t="str">
            <v>Náutica</v>
          </cell>
          <cell r="G1008" t="str">
            <v>Presupuesto</v>
          </cell>
        </row>
        <row r="1009">
          <cell r="A1009" t="str">
            <v>AGRINALCAZAR</v>
          </cell>
          <cell r="B1009">
            <v>202504</v>
          </cell>
          <cell r="D1009" t="str">
            <v>Particulares Resto</v>
          </cell>
          <cell r="G1009" t="str">
            <v>Presupuesto</v>
          </cell>
        </row>
        <row r="1010">
          <cell r="A1010" t="str">
            <v>AGRINALCAZAR</v>
          </cell>
          <cell r="B1010">
            <v>202504</v>
          </cell>
          <cell r="D1010" t="str">
            <v>Property</v>
          </cell>
          <cell r="G1010" t="str">
            <v>Presupuesto</v>
          </cell>
        </row>
        <row r="1011">
          <cell r="A1011" t="str">
            <v>AGRINALCAZAR</v>
          </cell>
          <cell r="B1011">
            <v>202504</v>
          </cell>
          <cell r="D1011" t="str">
            <v>Property</v>
          </cell>
          <cell r="G1011" t="str">
            <v>Real</v>
          </cell>
        </row>
        <row r="1012">
          <cell r="A1012" t="str">
            <v>AGRINALCAZAR</v>
          </cell>
          <cell r="B1012">
            <v>202504</v>
          </cell>
          <cell r="D1012" t="str">
            <v>RC</v>
          </cell>
          <cell r="G1012" t="str">
            <v>Presupuesto</v>
          </cell>
        </row>
        <row r="1013">
          <cell r="A1013" t="str">
            <v>AGRINALCAZAR</v>
          </cell>
          <cell r="B1013">
            <v>202504</v>
          </cell>
          <cell r="D1013" t="str">
            <v>RC</v>
          </cell>
          <cell r="G1013" t="str">
            <v>Real</v>
          </cell>
        </row>
        <row r="1014">
          <cell r="A1014" t="str">
            <v>AGRINALCAZAR</v>
          </cell>
          <cell r="B1014">
            <v>202504</v>
          </cell>
          <cell r="D1014" t="str">
            <v>Resto de lineas</v>
          </cell>
          <cell r="G1014" t="str">
            <v>Presupuesto</v>
          </cell>
        </row>
        <row r="1015">
          <cell r="A1015" t="str">
            <v>AGRINALCAZAR</v>
          </cell>
          <cell r="B1015">
            <v>202504</v>
          </cell>
          <cell r="D1015" t="str">
            <v>Resto de lineas</v>
          </cell>
          <cell r="G1015" t="str">
            <v>Real</v>
          </cell>
        </row>
        <row r="1016">
          <cell r="A1016" t="str">
            <v>AGRINALCAZAR</v>
          </cell>
          <cell r="B1016">
            <v>202504</v>
          </cell>
          <cell r="D1016" t="str">
            <v>Retirada</v>
          </cell>
          <cell r="G1016" t="str">
            <v>Presupuesto</v>
          </cell>
        </row>
        <row r="1017">
          <cell r="A1017" t="str">
            <v>AGRINALCAZAR</v>
          </cell>
          <cell r="B1017">
            <v>202504</v>
          </cell>
          <cell r="D1017" t="str">
            <v>Seguros Personales (No Vida) Colectivos</v>
          </cell>
          <cell r="G1017" t="str">
            <v>Presupuesto</v>
          </cell>
        </row>
        <row r="1018">
          <cell r="A1018" t="str">
            <v>AGRINALCAZAR</v>
          </cell>
          <cell r="B1018">
            <v>202504</v>
          </cell>
          <cell r="D1018" t="str">
            <v>Seguros Personales (No Vida) Colectivos</v>
          </cell>
          <cell r="G1018" t="str">
            <v>Real</v>
          </cell>
        </row>
        <row r="1019">
          <cell r="A1019" t="str">
            <v>AGRINALCAZAR</v>
          </cell>
          <cell r="B1019">
            <v>202504</v>
          </cell>
          <cell r="D1019" t="str">
            <v>Seguros Personales (No Vida) Particular</v>
          </cell>
          <cell r="G1019" t="str">
            <v>Presupuesto</v>
          </cell>
        </row>
        <row r="1020">
          <cell r="A1020" t="str">
            <v>AGRINALCAZAR</v>
          </cell>
          <cell r="B1020">
            <v>202504</v>
          </cell>
          <cell r="D1020" t="str">
            <v>Seguros Personales (No Vida) Particular</v>
          </cell>
          <cell r="G1020" t="str">
            <v>Real</v>
          </cell>
        </row>
        <row r="1021">
          <cell r="A1021" t="str">
            <v>AGRINALCAZAR</v>
          </cell>
          <cell r="B1021">
            <v>202504</v>
          </cell>
          <cell r="D1021" t="str">
            <v>Transporte</v>
          </cell>
          <cell r="G1021" t="str">
            <v>Presupuesto</v>
          </cell>
        </row>
        <row r="1022">
          <cell r="A1022" t="str">
            <v>AGRINALCAZAR</v>
          </cell>
          <cell r="B1022">
            <v>202504</v>
          </cell>
          <cell r="D1022" t="str">
            <v>Transporte</v>
          </cell>
          <cell r="G1022" t="str">
            <v>Real</v>
          </cell>
        </row>
        <row r="1023">
          <cell r="A1023" t="str">
            <v>AGRINALCAZAR</v>
          </cell>
          <cell r="B1023">
            <v>202504</v>
          </cell>
          <cell r="D1023" t="str">
            <v>Venta Cruzada</v>
          </cell>
          <cell r="G1023" t="str">
            <v>Presupuesto</v>
          </cell>
        </row>
        <row r="1024">
          <cell r="A1024" t="str">
            <v>AGRINALCAZAR</v>
          </cell>
          <cell r="B1024">
            <v>202504</v>
          </cell>
          <cell r="D1024" t="str">
            <v>Vida Ahorro Colectivo</v>
          </cell>
          <cell r="G1024" t="str">
            <v>Presupuesto</v>
          </cell>
        </row>
        <row r="1025">
          <cell r="A1025" t="str">
            <v>AGRINALCAZAR</v>
          </cell>
          <cell r="B1025">
            <v>202504</v>
          </cell>
          <cell r="D1025" t="str">
            <v>Vida Ahorro Particular</v>
          </cell>
          <cell r="G1025" t="str">
            <v>Presupuesto</v>
          </cell>
        </row>
        <row r="1026">
          <cell r="A1026" t="str">
            <v>AGRINALCAZAR</v>
          </cell>
          <cell r="B1026">
            <v>202504</v>
          </cell>
          <cell r="D1026" t="str">
            <v>Vida Ahorro Particular</v>
          </cell>
          <cell r="G1026" t="str">
            <v>Real</v>
          </cell>
        </row>
        <row r="1027">
          <cell r="A1027" t="str">
            <v>AGRINALCAZAR</v>
          </cell>
          <cell r="B1027">
            <v>202504</v>
          </cell>
          <cell r="D1027" t="str">
            <v>Vida Ganado</v>
          </cell>
          <cell r="G1027" t="str">
            <v>Presupuesto</v>
          </cell>
        </row>
        <row r="1028">
          <cell r="A1028" t="str">
            <v>AGRINALCAZAR</v>
          </cell>
          <cell r="B1028">
            <v>202504</v>
          </cell>
          <cell r="D1028" t="str">
            <v>Vida Riesgo Colectivo</v>
          </cell>
          <cell r="G1028" t="str">
            <v>Presupuesto</v>
          </cell>
        </row>
        <row r="1029">
          <cell r="A1029" t="str">
            <v>AGRINALCAZAR</v>
          </cell>
          <cell r="B1029">
            <v>202504</v>
          </cell>
          <cell r="D1029" t="str">
            <v>Vida Riesgo Particular</v>
          </cell>
          <cell r="G1029" t="str">
            <v>Presupuesto</v>
          </cell>
        </row>
        <row r="1030">
          <cell r="A1030" t="str">
            <v>AGRINALCAZAR</v>
          </cell>
          <cell r="B1030">
            <v>202504</v>
          </cell>
          <cell r="D1030" t="str">
            <v>Vida Riesgo Particular</v>
          </cell>
          <cell r="G1030" t="str">
            <v>Real</v>
          </cell>
        </row>
        <row r="1031">
          <cell r="A1031" t="str">
            <v>AGRINALCAZAR</v>
          </cell>
          <cell r="B1031">
            <v>202505</v>
          </cell>
          <cell r="D1031" t="str">
            <v>--</v>
          </cell>
          <cell r="G1031" t="str">
            <v>Presupuesto</v>
          </cell>
        </row>
        <row r="1032">
          <cell r="A1032" t="str">
            <v>AGRINALCAZAR</v>
          </cell>
          <cell r="B1032">
            <v>202505</v>
          </cell>
          <cell r="D1032" t="str">
            <v>--</v>
          </cell>
          <cell r="G1032" t="str">
            <v>Real</v>
          </cell>
        </row>
        <row r="1033">
          <cell r="A1033" t="str">
            <v>AGRINALCAZAR</v>
          </cell>
          <cell r="B1033">
            <v>202505</v>
          </cell>
          <cell r="D1033" t="str">
            <v>Arte</v>
          </cell>
          <cell r="G1033" t="str">
            <v>Presupuesto</v>
          </cell>
        </row>
        <row r="1034">
          <cell r="A1034" t="str">
            <v>AGRINALCAZAR</v>
          </cell>
          <cell r="B1034">
            <v>202505</v>
          </cell>
          <cell r="D1034" t="str">
            <v>Autos</v>
          </cell>
          <cell r="G1034" t="str">
            <v>Presupuesto</v>
          </cell>
        </row>
        <row r="1035">
          <cell r="A1035" t="str">
            <v>AGRINALCAZAR</v>
          </cell>
          <cell r="B1035">
            <v>202505</v>
          </cell>
          <cell r="D1035" t="str">
            <v>Autos</v>
          </cell>
          <cell r="G1035" t="str">
            <v>Real</v>
          </cell>
        </row>
        <row r="1036">
          <cell r="A1036" t="str">
            <v>AGRINALCAZAR</v>
          </cell>
          <cell r="B1036">
            <v>202505</v>
          </cell>
          <cell r="D1036" t="str">
            <v>B2B2C</v>
          </cell>
          <cell r="G1036" t="str">
            <v>Presupuesto</v>
          </cell>
        </row>
        <row r="1037">
          <cell r="A1037" t="str">
            <v>AGRINALCAZAR</v>
          </cell>
          <cell r="B1037">
            <v>202505</v>
          </cell>
          <cell r="D1037" t="str">
            <v>Caución</v>
          </cell>
          <cell r="G1037" t="str">
            <v>Presupuesto</v>
          </cell>
        </row>
        <row r="1038">
          <cell r="A1038" t="str">
            <v>AGRINALCAZAR</v>
          </cell>
          <cell r="B1038">
            <v>202505</v>
          </cell>
          <cell r="D1038" t="str">
            <v>Crédito Internacional</v>
          </cell>
          <cell r="G1038" t="str">
            <v>Presupuesto</v>
          </cell>
        </row>
        <row r="1039">
          <cell r="A1039" t="str">
            <v>AGRINALCAZAR</v>
          </cell>
          <cell r="B1039">
            <v>202505</v>
          </cell>
          <cell r="D1039" t="str">
            <v>Crédito Nacional</v>
          </cell>
          <cell r="G1039" t="str">
            <v>Presupuesto</v>
          </cell>
        </row>
        <row r="1040">
          <cell r="A1040" t="str">
            <v>AGRINALCAZAR</v>
          </cell>
          <cell r="B1040">
            <v>202505</v>
          </cell>
          <cell r="D1040" t="str">
            <v>Eventos</v>
          </cell>
          <cell r="G1040" t="str">
            <v>Presupuesto</v>
          </cell>
        </row>
        <row r="1041">
          <cell r="A1041" t="str">
            <v>AGRINALCAZAR</v>
          </cell>
          <cell r="B1041">
            <v>202505</v>
          </cell>
          <cell r="D1041" t="str">
            <v>Flotas</v>
          </cell>
          <cell r="G1041" t="str">
            <v>Presupuesto</v>
          </cell>
        </row>
        <row r="1042">
          <cell r="A1042" t="str">
            <v>AGRINALCAZAR</v>
          </cell>
          <cell r="B1042">
            <v>202505</v>
          </cell>
          <cell r="D1042" t="str">
            <v>Flotas</v>
          </cell>
          <cell r="G1042" t="str">
            <v>Real</v>
          </cell>
        </row>
        <row r="1043">
          <cell r="A1043" t="str">
            <v>AGRINALCAZAR</v>
          </cell>
          <cell r="B1043">
            <v>202505</v>
          </cell>
          <cell r="D1043" t="str">
            <v>Hogar</v>
          </cell>
          <cell r="G1043" t="str">
            <v>Presupuesto</v>
          </cell>
        </row>
        <row r="1044">
          <cell r="A1044" t="str">
            <v>AGRINALCAZAR</v>
          </cell>
          <cell r="B1044">
            <v>202505</v>
          </cell>
          <cell r="D1044" t="str">
            <v>Hogar</v>
          </cell>
          <cell r="G1044" t="str">
            <v>Real</v>
          </cell>
        </row>
        <row r="1045">
          <cell r="A1045" t="str">
            <v>AGRINALCAZAR</v>
          </cell>
          <cell r="B1045">
            <v>202505</v>
          </cell>
          <cell r="D1045" t="str">
            <v>Ingeniería</v>
          </cell>
          <cell r="G1045" t="str">
            <v>Presupuesto</v>
          </cell>
        </row>
        <row r="1046">
          <cell r="A1046" t="str">
            <v>AGRINALCAZAR</v>
          </cell>
          <cell r="B1046">
            <v>202505</v>
          </cell>
          <cell r="D1046" t="str">
            <v>Ingeniería</v>
          </cell>
          <cell r="G1046" t="str">
            <v>Real</v>
          </cell>
        </row>
        <row r="1047">
          <cell r="A1047" t="str">
            <v>AGRINALCAZAR</v>
          </cell>
          <cell r="B1047">
            <v>202505</v>
          </cell>
          <cell r="D1047" t="str">
            <v>Inmobiliario</v>
          </cell>
          <cell r="G1047" t="str">
            <v>Presupuesto</v>
          </cell>
        </row>
        <row r="1048">
          <cell r="A1048" t="str">
            <v>AGRINALCAZAR</v>
          </cell>
          <cell r="B1048">
            <v>202505</v>
          </cell>
          <cell r="D1048" t="str">
            <v>Líneas Financieras</v>
          </cell>
          <cell r="G1048" t="str">
            <v>Presupuesto</v>
          </cell>
        </row>
        <row r="1049">
          <cell r="A1049" t="str">
            <v>AGRINALCAZAR</v>
          </cell>
          <cell r="B1049">
            <v>202505</v>
          </cell>
          <cell r="D1049" t="str">
            <v>Líneas Financieras</v>
          </cell>
          <cell r="G1049" t="str">
            <v>Real</v>
          </cell>
        </row>
        <row r="1050">
          <cell r="A1050" t="str">
            <v>AGRINALCAZAR</v>
          </cell>
          <cell r="B1050">
            <v>202505</v>
          </cell>
          <cell r="D1050" t="str">
            <v>Náutica</v>
          </cell>
          <cell r="G1050" t="str">
            <v>Presupuesto</v>
          </cell>
        </row>
        <row r="1051">
          <cell r="A1051" t="str">
            <v>AGRINALCAZAR</v>
          </cell>
          <cell r="B1051">
            <v>202505</v>
          </cell>
          <cell r="D1051" t="str">
            <v>Particulares Resto</v>
          </cell>
          <cell r="G1051" t="str">
            <v>Presupuesto</v>
          </cell>
        </row>
        <row r="1052">
          <cell r="A1052" t="str">
            <v>AGRINALCAZAR</v>
          </cell>
          <cell r="B1052">
            <v>202505</v>
          </cell>
          <cell r="D1052" t="str">
            <v>Property</v>
          </cell>
          <cell r="G1052" t="str">
            <v>Presupuesto</v>
          </cell>
        </row>
        <row r="1053">
          <cell r="A1053" t="str">
            <v>AGRINALCAZAR</v>
          </cell>
          <cell r="B1053">
            <v>202505</v>
          </cell>
          <cell r="D1053" t="str">
            <v>Property</v>
          </cell>
          <cell r="G1053" t="str">
            <v>Real</v>
          </cell>
        </row>
        <row r="1054">
          <cell r="A1054" t="str">
            <v>AGRINALCAZAR</v>
          </cell>
          <cell r="B1054">
            <v>202505</v>
          </cell>
          <cell r="D1054" t="str">
            <v>RC</v>
          </cell>
          <cell r="G1054" t="str">
            <v>Presupuesto</v>
          </cell>
        </row>
        <row r="1055">
          <cell r="A1055" t="str">
            <v>AGRINALCAZAR</v>
          </cell>
          <cell r="B1055">
            <v>202505</v>
          </cell>
          <cell r="D1055" t="str">
            <v>RC</v>
          </cell>
          <cell r="G1055" t="str">
            <v>Real</v>
          </cell>
        </row>
        <row r="1056">
          <cell r="A1056" t="str">
            <v>AGRINALCAZAR</v>
          </cell>
          <cell r="B1056">
            <v>202505</v>
          </cell>
          <cell r="D1056" t="str">
            <v>Resto de lineas</v>
          </cell>
          <cell r="G1056" t="str">
            <v>Presupuesto</v>
          </cell>
        </row>
        <row r="1057">
          <cell r="A1057" t="str">
            <v>AGRINALCAZAR</v>
          </cell>
          <cell r="B1057">
            <v>202505</v>
          </cell>
          <cell r="D1057" t="str">
            <v>Resto de lineas</v>
          </cell>
          <cell r="G1057" t="str">
            <v>Real</v>
          </cell>
        </row>
        <row r="1058">
          <cell r="A1058" t="str">
            <v>AGRINALCAZAR</v>
          </cell>
          <cell r="B1058">
            <v>202505</v>
          </cell>
          <cell r="D1058" t="str">
            <v>Retirada</v>
          </cell>
          <cell r="G1058" t="str">
            <v>Presupuesto</v>
          </cell>
        </row>
        <row r="1059">
          <cell r="A1059" t="str">
            <v>AGRINALCAZAR</v>
          </cell>
          <cell r="B1059">
            <v>202505</v>
          </cell>
          <cell r="D1059" t="str">
            <v>Seguros Personales (No Vida) Colectivos</v>
          </cell>
          <cell r="G1059" t="str">
            <v>Presupuesto</v>
          </cell>
        </row>
        <row r="1060">
          <cell r="A1060" t="str">
            <v>AGRINALCAZAR</v>
          </cell>
          <cell r="B1060">
            <v>202505</v>
          </cell>
          <cell r="D1060" t="str">
            <v>Seguros Personales (No Vida) Colectivos</v>
          </cell>
          <cell r="G1060" t="str">
            <v>Real</v>
          </cell>
        </row>
        <row r="1061">
          <cell r="A1061" t="str">
            <v>AGRINALCAZAR</v>
          </cell>
          <cell r="B1061">
            <v>202505</v>
          </cell>
          <cell r="D1061" t="str">
            <v>Seguros Personales (No Vida) Particular</v>
          </cell>
          <cell r="G1061" t="str">
            <v>Presupuesto</v>
          </cell>
        </row>
        <row r="1062">
          <cell r="A1062" t="str">
            <v>AGRINALCAZAR</v>
          </cell>
          <cell r="B1062">
            <v>202505</v>
          </cell>
          <cell r="D1062" t="str">
            <v>Seguros Personales (No Vida) Particular</v>
          </cell>
          <cell r="G1062" t="str">
            <v>Real</v>
          </cell>
        </row>
        <row r="1063">
          <cell r="A1063" t="str">
            <v>AGRINALCAZAR</v>
          </cell>
          <cell r="B1063">
            <v>202505</v>
          </cell>
          <cell r="D1063" t="str">
            <v>Transporte</v>
          </cell>
          <cell r="G1063" t="str">
            <v>Presupuesto</v>
          </cell>
        </row>
        <row r="1064">
          <cell r="A1064" t="str">
            <v>AGRINALCAZAR</v>
          </cell>
          <cell r="B1064">
            <v>202505</v>
          </cell>
          <cell r="D1064" t="str">
            <v>Transporte</v>
          </cell>
          <cell r="G1064" t="str">
            <v>Real</v>
          </cell>
        </row>
        <row r="1065">
          <cell r="A1065" t="str">
            <v>AGRINALCAZAR</v>
          </cell>
          <cell r="B1065">
            <v>202505</v>
          </cell>
          <cell r="D1065" t="str">
            <v>Venta Cruzada</v>
          </cell>
          <cell r="G1065" t="str">
            <v>Presupuesto</v>
          </cell>
        </row>
        <row r="1066">
          <cell r="A1066" t="str">
            <v>AGRINALCAZAR</v>
          </cell>
          <cell r="B1066">
            <v>202505</v>
          </cell>
          <cell r="D1066" t="str">
            <v>Vida Ahorro Colectivo</v>
          </cell>
          <cell r="G1066" t="str">
            <v>Presupuesto</v>
          </cell>
        </row>
        <row r="1067">
          <cell r="A1067" t="str">
            <v>AGRINALCAZAR</v>
          </cell>
          <cell r="B1067">
            <v>202505</v>
          </cell>
          <cell r="D1067" t="str">
            <v>Vida Ahorro Particular</v>
          </cell>
          <cell r="G1067" t="str">
            <v>Presupuesto</v>
          </cell>
        </row>
        <row r="1068">
          <cell r="A1068" t="str">
            <v>AGRINALCAZAR</v>
          </cell>
          <cell r="B1068">
            <v>202505</v>
          </cell>
          <cell r="D1068" t="str">
            <v>Vida Ahorro Particular</v>
          </cell>
          <cell r="G1068" t="str">
            <v>Real</v>
          </cell>
        </row>
        <row r="1069">
          <cell r="A1069" t="str">
            <v>AGRINALCAZAR</v>
          </cell>
          <cell r="B1069">
            <v>202505</v>
          </cell>
          <cell r="D1069" t="str">
            <v>Vida Ganado</v>
          </cell>
          <cell r="G1069" t="str">
            <v>Presupuesto</v>
          </cell>
        </row>
        <row r="1070">
          <cell r="A1070" t="str">
            <v>AGRINALCAZAR</v>
          </cell>
          <cell r="B1070">
            <v>202505</v>
          </cell>
          <cell r="D1070" t="str">
            <v>Vida Riesgo Colectivo</v>
          </cell>
          <cell r="G1070" t="str">
            <v>Presupuesto</v>
          </cell>
        </row>
        <row r="1071">
          <cell r="A1071" t="str">
            <v>AGRINALCAZAR</v>
          </cell>
          <cell r="B1071">
            <v>202505</v>
          </cell>
          <cell r="D1071" t="str">
            <v>Vida Riesgo Particular</v>
          </cell>
          <cell r="G1071" t="str">
            <v>Presupuesto</v>
          </cell>
        </row>
        <row r="1072">
          <cell r="A1072" t="str">
            <v>AGRINALCAZAR</v>
          </cell>
          <cell r="B1072">
            <v>202505</v>
          </cell>
          <cell r="D1072" t="str">
            <v>Vida Riesgo Particular</v>
          </cell>
          <cell r="G1072" t="str">
            <v>Real</v>
          </cell>
        </row>
        <row r="1073">
          <cell r="A1073" t="str">
            <v>AGRINALCAZAR</v>
          </cell>
          <cell r="B1073">
            <v>202506</v>
          </cell>
          <cell r="D1073" t="str">
            <v>--</v>
          </cell>
          <cell r="G1073" t="str">
            <v>Presupuesto</v>
          </cell>
        </row>
        <row r="1074">
          <cell r="A1074" t="str">
            <v>AGRINALCAZAR</v>
          </cell>
          <cell r="B1074">
            <v>202506</v>
          </cell>
          <cell r="D1074" t="str">
            <v>--</v>
          </cell>
          <cell r="G1074" t="str">
            <v>Real</v>
          </cell>
        </row>
        <row r="1075">
          <cell r="A1075" t="str">
            <v>AGRINALCAZAR</v>
          </cell>
          <cell r="B1075">
            <v>202506</v>
          </cell>
          <cell r="D1075" t="str">
            <v>Arte</v>
          </cell>
          <cell r="G1075" t="str">
            <v>Presupuesto</v>
          </cell>
        </row>
        <row r="1076">
          <cell r="A1076" t="str">
            <v>AGRINALCAZAR</v>
          </cell>
          <cell r="B1076">
            <v>202506</v>
          </cell>
          <cell r="D1076" t="str">
            <v>Autos</v>
          </cell>
          <cell r="G1076" t="str">
            <v>Presupuesto</v>
          </cell>
        </row>
        <row r="1077">
          <cell r="A1077" t="str">
            <v>AGRINALCAZAR</v>
          </cell>
          <cell r="B1077">
            <v>202506</v>
          </cell>
          <cell r="D1077" t="str">
            <v>Autos</v>
          </cell>
          <cell r="G1077" t="str">
            <v>Real</v>
          </cell>
        </row>
        <row r="1078">
          <cell r="A1078" t="str">
            <v>AGRINALCAZAR</v>
          </cell>
          <cell r="B1078">
            <v>202506</v>
          </cell>
          <cell r="D1078" t="str">
            <v>B2B2C</v>
          </cell>
          <cell r="G1078" t="str">
            <v>Presupuesto</v>
          </cell>
        </row>
        <row r="1079">
          <cell r="A1079" t="str">
            <v>AGRINALCAZAR</v>
          </cell>
          <cell r="B1079">
            <v>202506</v>
          </cell>
          <cell r="D1079" t="str">
            <v>Caución</v>
          </cell>
          <cell r="G1079" t="str">
            <v>Presupuesto</v>
          </cell>
        </row>
        <row r="1080">
          <cell r="A1080" t="str">
            <v>AGRINALCAZAR</v>
          </cell>
          <cell r="B1080">
            <v>202506</v>
          </cell>
          <cell r="D1080" t="str">
            <v>Crédito Nacional</v>
          </cell>
          <cell r="G1080" t="str">
            <v>Real</v>
          </cell>
        </row>
        <row r="1081">
          <cell r="A1081" t="str">
            <v>AGRINALCAZAR</v>
          </cell>
          <cell r="B1081">
            <v>202506</v>
          </cell>
          <cell r="D1081" t="str">
            <v>Crédito Internacional</v>
          </cell>
          <cell r="G1081" t="str">
            <v>Presupuesto</v>
          </cell>
        </row>
        <row r="1082">
          <cell r="A1082" t="str">
            <v>AGRINALCAZAR</v>
          </cell>
          <cell r="B1082">
            <v>202506</v>
          </cell>
          <cell r="D1082" t="str">
            <v>Crédito Nacional</v>
          </cell>
          <cell r="G1082" t="str">
            <v>Presupuesto</v>
          </cell>
        </row>
        <row r="1083">
          <cell r="A1083" t="str">
            <v>AGRINALCAZAR</v>
          </cell>
          <cell r="B1083">
            <v>202506</v>
          </cell>
          <cell r="D1083" t="str">
            <v>Eventos</v>
          </cell>
          <cell r="G1083" t="str">
            <v>Presupuesto</v>
          </cell>
        </row>
        <row r="1084">
          <cell r="A1084" t="str">
            <v>AGRINALCAZAR</v>
          </cell>
          <cell r="B1084">
            <v>202506</v>
          </cell>
          <cell r="D1084" t="str">
            <v>Flotas</v>
          </cell>
          <cell r="G1084" t="str">
            <v>Presupuesto</v>
          </cell>
        </row>
        <row r="1085">
          <cell r="A1085" t="str">
            <v>AGRINALCAZAR</v>
          </cell>
          <cell r="B1085">
            <v>202506</v>
          </cell>
          <cell r="D1085" t="str">
            <v>Flotas</v>
          </cell>
          <cell r="G1085" t="str">
            <v>Real</v>
          </cell>
        </row>
        <row r="1086">
          <cell r="A1086" t="str">
            <v>AGRINALCAZAR</v>
          </cell>
          <cell r="B1086">
            <v>202506</v>
          </cell>
          <cell r="D1086" t="str">
            <v>Hogar</v>
          </cell>
          <cell r="G1086" t="str">
            <v>Presupuesto</v>
          </cell>
        </row>
        <row r="1087">
          <cell r="A1087" t="str">
            <v>AGRINALCAZAR</v>
          </cell>
          <cell r="B1087">
            <v>202506</v>
          </cell>
          <cell r="D1087" t="str">
            <v>Hogar</v>
          </cell>
          <cell r="G1087" t="str">
            <v>Real</v>
          </cell>
        </row>
        <row r="1088">
          <cell r="A1088" t="str">
            <v>AGRINALCAZAR</v>
          </cell>
          <cell r="B1088">
            <v>202506</v>
          </cell>
          <cell r="D1088" t="str">
            <v>Ingeniería</v>
          </cell>
          <cell r="G1088" t="str">
            <v>Presupuesto</v>
          </cell>
        </row>
        <row r="1089">
          <cell r="A1089" t="str">
            <v>AGRINALCAZAR</v>
          </cell>
          <cell r="B1089">
            <v>202506</v>
          </cell>
          <cell r="D1089" t="str">
            <v>Ingeniería</v>
          </cell>
          <cell r="G1089" t="str">
            <v>Real</v>
          </cell>
        </row>
        <row r="1090">
          <cell r="A1090" t="str">
            <v>AGRINALCAZAR</v>
          </cell>
          <cell r="B1090">
            <v>202506</v>
          </cell>
          <cell r="D1090" t="str">
            <v>Inmobiliario</v>
          </cell>
          <cell r="G1090" t="str">
            <v>Presupuesto</v>
          </cell>
        </row>
        <row r="1091">
          <cell r="A1091" t="str">
            <v>AGRINALCAZAR</v>
          </cell>
          <cell r="B1091">
            <v>202506</v>
          </cell>
          <cell r="D1091" t="str">
            <v>Inmobiliario</v>
          </cell>
          <cell r="G1091" t="str">
            <v>Real</v>
          </cell>
        </row>
        <row r="1092">
          <cell r="A1092" t="str">
            <v>AGRINALCAZAR</v>
          </cell>
          <cell r="B1092">
            <v>202506</v>
          </cell>
          <cell r="D1092" t="str">
            <v>Líneas Financieras</v>
          </cell>
          <cell r="G1092" t="str">
            <v>Presupuesto</v>
          </cell>
        </row>
        <row r="1093">
          <cell r="A1093" t="str">
            <v>AGRINALCAZAR</v>
          </cell>
          <cell r="B1093">
            <v>202506</v>
          </cell>
          <cell r="D1093" t="str">
            <v>Líneas Financieras</v>
          </cell>
          <cell r="G1093" t="str">
            <v>Real</v>
          </cell>
        </row>
        <row r="1094">
          <cell r="A1094" t="str">
            <v>AGRINALCAZAR</v>
          </cell>
          <cell r="B1094">
            <v>202506</v>
          </cell>
          <cell r="D1094" t="str">
            <v>Náutica</v>
          </cell>
          <cell r="G1094" t="str">
            <v>Presupuesto</v>
          </cell>
        </row>
        <row r="1095">
          <cell r="A1095" t="str">
            <v>AGRINALCAZAR</v>
          </cell>
          <cell r="B1095">
            <v>202506</v>
          </cell>
          <cell r="D1095" t="str">
            <v>Náutica</v>
          </cell>
          <cell r="G1095" t="str">
            <v>Real</v>
          </cell>
        </row>
        <row r="1096">
          <cell r="A1096" t="str">
            <v>AGRINALCAZAR</v>
          </cell>
          <cell r="B1096">
            <v>202506</v>
          </cell>
          <cell r="D1096" t="str">
            <v>Particulares Resto</v>
          </cell>
          <cell r="G1096" t="str">
            <v>Presupuesto</v>
          </cell>
        </row>
        <row r="1097">
          <cell r="A1097" t="str">
            <v>AGRINALCAZAR</v>
          </cell>
          <cell r="B1097">
            <v>202506</v>
          </cell>
          <cell r="D1097" t="str">
            <v>Particulares Resto</v>
          </cell>
          <cell r="G1097" t="str">
            <v>Real</v>
          </cell>
        </row>
        <row r="1098">
          <cell r="A1098" t="str">
            <v>AGRINALCAZAR</v>
          </cell>
          <cell r="B1098">
            <v>202506</v>
          </cell>
          <cell r="D1098" t="str">
            <v>Property</v>
          </cell>
          <cell r="G1098" t="str">
            <v>Presupuesto</v>
          </cell>
        </row>
        <row r="1099">
          <cell r="A1099" t="str">
            <v>AGRINALCAZAR</v>
          </cell>
          <cell r="B1099">
            <v>202506</v>
          </cell>
          <cell r="D1099" t="str">
            <v>Property</v>
          </cell>
          <cell r="G1099" t="str">
            <v>Real</v>
          </cell>
        </row>
        <row r="1100">
          <cell r="A1100" t="str">
            <v>AGRINALCAZAR</v>
          </cell>
          <cell r="B1100">
            <v>202506</v>
          </cell>
          <cell r="D1100" t="str">
            <v>RC</v>
          </cell>
          <cell r="G1100" t="str">
            <v>Presupuesto</v>
          </cell>
        </row>
        <row r="1101">
          <cell r="A1101" t="str">
            <v>AGRINALCAZAR</v>
          </cell>
          <cell r="B1101">
            <v>202506</v>
          </cell>
          <cell r="D1101" t="str">
            <v>RC</v>
          </cell>
          <cell r="G1101" t="str">
            <v>Real</v>
          </cell>
        </row>
        <row r="1102">
          <cell r="A1102" t="str">
            <v>AGRINALCAZAR</v>
          </cell>
          <cell r="B1102">
            <v>202506</v>
          </cell>
          <cell r="D1102" t="str">
            <v>Resto de lineas</v>
          </cell>
          <cell r="G1102" t="str">
            <v>Presupuesto</v>
          </cell>
        </row>
        <row r="1103">
          <cell r="A1103" t="str">
            <v>AGRINALCAZAR</v>
          </cell>
          <cell r="B1103">
            <v>202506</v>
          </cell>
          <cell r="D1103" t="str">
            <v>Resto de lineas</v>
          </cell>
          <cell r="G1103" t="str">
            <v>Real</v>
          </cell>
        </row>
        <row r="1104">
          <cell r="A1104" t="str">
            <v>AGRINALCAZAR</v>
          </cell>
          <cell r="B1104">
            <v>202506</v>
          </cell>
          <cell r="D1104" t="str">
            <v>Retirada</v>
          </cell>
          <cell r="G1104" t="str">
            <v>Presupuesto</v>
          </cell>
        </row>
        <row r="1105">
          <cell r="A1105" t="str">
            <v>AGRINALCAZAR</v>
          </cell>
          <cell r="B1105">
            <v>202506</v>
          </cell>
          <cell r="D1105" t="str">
            <v>Retirada</v>
          </cell>
          <cell r="G1105" t="str">
            <v>Real</v>
          </cell>
        </row>
        <row r="1106">
          <cell r="A1106" t="str">
            <v>AGRINALCAZAR</v>
          </cell>
          <cell r="B1106">
            <v>202506</v>
          </cell>
          <cell r="D1106" t="str">
            <v>Seguros Personales (No Vida) Colectivos</v>
          </cell>
          <cell r="G1106" t="str">
            <v>Presupuesto</v>
          </cell>
        </row>
        <row r="1107">
          <cell r="A1107" t="str">
            <v>AGRINALCAZAR</v>
          </cell>
          <cell r="B1107">
            <v>202506</v>
          </cell>
          <cell r="D1107" t="str">
            <v>Seguros Personales (No Vida) Colectivos</v>
          </cell>
          <cell r="G1107" t="str">
            <v>Real</v>
          </cell>
        </row>
        <row r="1108">
          <cell r="A1108" t="str">
            <v>AGRINALCAZAR</v>
          </cell>
          <cell r="B1108">
            <v>202506</v>
          </cell>
          <cell r="D1108" t="str">
            <v>Seguros Personales (No Vida) Particular</v>
          </cell>
          <cell r="G1108" t="str">
            <v>Presupuesto</v>
          </cell>
        </row>
        <row r="1109">
          <cell r="A1109" t="str">
            <v>AGRINALCAZAR</v>
          </cell>
          <cell r="B1109">
            <v>202506</v>
          </cell>
          <cell r="D1109" t="str">
            <v>Seguros Personales (No Vida) Particular</v>
          </cell>
          <cell r="G1109" t="str">
            <v>Real</v>
          </cell>
        </row>
        <row r="1110">
          <cell r="A1110" t="str">
            <v>AGRINALCAZAR</v>
          </cell>
          <cell r="B1110">
            <v>202506</v>
          </cell>
          <cell r="D1110" t="str">
            <v>Transporte</v>
          </cell>
          <cell r="G1110" t="str">
            <v>Presupuesto</v>
          </cell>
        </row>
        <row r="1111">
          <cell r="A1111" t="str">
            <v>AGRINALCAZAR</v>
          </cell>
          <cell r="B1111">
            <v>202506</v>
          </cell>
          <cell r="D1111" t="str">
            <v>Transporte</v>
          </cell>
          <cell r="G1111" t="str">
            <v>Real</v>
          </cell>
        </row>
        <row r="1112">
          <cell r="A1112" t="str">
            <v>AGRINALCAZAR</v>
          </cell>
          <cell r="B1112">
            <v>202506</v>
          </cell>
          <cell r="D1112" t="str">
            <v>Venta Cruzada</v>
          </cell>
          <cell r="G1112" t="str">
            <v>Presupuesto</v>
          </cell>
        </row>
        <row r="1113">
          <cell r="A1113" t="str">
            <v>AGRINALCAZAR</v>
          </cell>
          <cell r="B1113">
            <v>202506</v>
          </cell>
          <cell r="D1113" t="str">
            <v>Vida Ahorro Colectivo</v>
          </cell>
          <cell r="G1113" t="str">
            <v>Presupuesto</v>
          </cell>
        </row>
        <row r="1114">
          <cell r="A1114" t="str">
            <v>AGRINALCAZAR</v>
          </cell>
          <cell r="B1114">
            <v>202506</v>
          </cell>
          <cell r="D1114" t="str">
            <v>Vida Ahorro Particular</v>
          </cell>
          <cell r="G1114" t="str">
            <v>Presupuesto</v>
          </cell>
        </row>
        <row r="1115">
          <cell r="A1115" t="str">
            <v>AGRINALCAZAR</v>
          </cell>
          <cell r="B1115">
            <v>202506</v>
          </cell>
          <cell r="D1115" t="str">
            <v>Vida Ahorro Particular</v>
          </cell>
          <cell r="G1115" t="str">
            <v>Real</v>
          </cell>
        </row>
        <row r="1116">
          <cell r="A1116" t="str">
            <v>AGRINALCAZAR</v>
          </cell>
          <cell r="B1116">
            <v>202506</v>
          </cell>
          <cell r="D1116" t="str">
            <v>Vida Ganado</v>
          </cell>
          <cell r="G1116" t="str">
            <v>Presupuesto</v>
          </cell>
        </row>
        <row r="1117">
          <cell r="A1117" t="str">
            <v>AGRINALCAZAR</v>
          </cell>
          <cell r="B1117">
            <v>202506</v>
          </cell>
          <cell r="D1117" t="str">
            <v>Vida Riesgo Colectivo</v>
          </cell>
          <cell r="G1117" t="str">
            <v>Presupuesto</v>
          </cell>
        </row>
        <row r="1118">
          <cell r="A1118" t="str">
            <v>AGRINALCAZAR</v>
          </cell>
          <cell r="B1118">
            <v>202506</v>
          </cell>
          <cell r="D1118" t="str">
            <v>Vida Riesgo Colectivo</v>
          </cell>
          <cell r="G1118" t="str">
            <v>Real</v>
          </cell>
        </row>
        <row r="1119">
          <cell r="A1119" t="str">
            <v>AGRINALCAZAR</v>
          </cell>
          <cell r="B1119">
            <v>202506</v>
          </cell>
          <cell r="D1119" t="str">
            <v>Vida Riesgo Particular</v>
          </cell>
          <cell r="G1119" t="str">
            <v>Presupuesto</v>
          </cell>
        </row>
        <row r="1120">
          <cell r="A1120" t="str">
            <v>AGRINALCAZAR</v>
          </cell>
          <cell r="B1120">
            <v>202506</v>
          </cell>
          <cell r="D1120" t="str">
            <v>Vida Riesgo Particular</v>
          </cell>
          <cell r="G1120" t="str">
            <v>Real</v>
          </cell>
        </row>
        <row r="1121">
          <cell r="A1121" t="str">
            <v>AGRINALCAZAR</v>
          </cell>
          <cell r="B1121">
            <v>202507</v>
          </cell>
          <cell r="D1121" t="str">
            <v>--</v>
          </cell>
          <cell r="G1121" t="str">
            <v>Presupuesto</v>
          </cell>
        </row>
        <row r="1122">
          <cell r="A1122" t="str">
            <v>AGRINALCAZAR</v>
          </cell>
          <cell r="B1122">
            <v>202507</v>
          </cell>
          <cell r="D1122" t="str">
            <v>--</v>
          </cell>
          <cell r="G1122" t="str">
            <v>Real</v>
          </cell>
        </row>
        <row r="1123">
          <cell r="A1123" t="str">
            <v>AGRINALCAZAR</v>
          </cell>
          <cell r="B1123">
            <v>202507</v>
          </cell>
          <cell r="D1123" t="str">
            <v>Resto de Lineas</v>
          </cell>
          <cell r="G1123" t="str">
            <v>Real</v>
          </cell>
        </row>
        <row r="1124">
          <cell r="A1124" t="str">
            <v>AGRINALCAZAR</v>
          </cell>
          <cell r="B1124">
            <v>202507</v>
          </cell>
          <cell r="D1124" t="str">
            <v>Arte</v>
          </cell>
          <cell r="G1124" t="str">
            <v>Presupuesto</v>
          </cell>
        </row>
        <row r="1125">
          <cell r="A1125" t="str">
            <v>AGRINALCAZAR</v>
          </cell>
          <cell r="B1125">
            <v>202507</v>
          </cell>
          <cell r="D1125" t="str">
            <v>Autos</v>
          </cell>
          <cell r="G1125" t="str">
            <v>Presupuesto</v>
          </cell>
        </row>
        <row r="1126">
          <cell r="A1126" t="str">
            <v>AGRINALCAZAR</v>
          </cell>
          <cell r="B1126">
            <v>202507</v>
          </cell>
          <cell r="D1126" t="str">
            <v>Autos</v>
          </cell>
          <cell r="G1126" t="str">
            <v>Real</v>
          </cell>
        </row>
        <row r="1127">
          <cell r="A1127" t="str">
            <v>AGRINALCAZAR</v>
          </cell>
          <cell r="B1127">
            <v>202507</v>
          </cell>
          <cell r="D1127" t="str">
            <v>B2B2C</v>
          </cell>
          <cell r="G1127" t="str">
            <v>Presupuesto</v>
          </cell>
        </row>
        <row r="1128">
          <cell r="A1128" t="str">
            <v>AGRINALCAZAR</v>
          </cell>
          <cell r="B1128">
            <v>202507</v>
          </cell>
          <cell r="D1128" t="str">
            <v>Caución</v>
          </cell>
          <cell r="G1128" t="str">
            <v>Presupuesto</v>
          </cell>
        </row>
        <row r="1129">
          <cell r="A1129" t="str">
            <v>AGRINALCAZAR</v>
          </cell>
          <cell r="B1129">
            <v>202507</v>
          </cell>
          <cell r="D1129" t="str">
            <v>Crédito Internacional</v>
          </cell>
          <cell r="G1129" t="str">
            <v>Presupuesto</v>
          </cell>
        </row>
        <row r="1130">
          <cell r="A1130" t="str">
            <v>AGRINALCAZAR</v>
          </cell>
          <cell r="B1130">
            <v>202507</v>
          </cell>
          <cell r="D1130" t="str">
            <v>Crédito Nacional</v>
          </cell>
          <cell r="G1130" t="str">
            <v>Presupuesto</v>
          </cell>
        </row>
        <row r="1131">
          <cell r="A1131" t="str">
            <v>AGRINALCAZAR</v>
          </cell>
          <cell r="B1131">
            <v>202507</v>
          </cell>
          <cell r="D1131" t="str">
            <v>Eventos</v>
          </cell>
          <cell r="G1131" t="str">
            <v>Presupuesto</v>
          </cell>
        </row>
        <row r="1132">
          <cell r="A1132" t="str">
            <v>AGRINALCAZAR</v>
          </cell>
          <cell r="B1132">
            <v>202507</v>
          </cell>
          <cell r="D1132" t="str">
            <v>Flotas</v>
          </cell>
          <cell r="G1132" t="str">
            <v>Presupuesto</v>
          </cell>
        </row>
        <row r="1133">
          <cell r="A1133" t="str">
            <v>AGRINALCAZAR</v>
          </cell>
          <cell r="B1133">
            <v>202507</v>
          </cell>
          <cell r="D1133" t="str">
            <v>Flotas</v>
          </cell>
          <cell r="G1133" t="str">
            <v>Real</v>
          </cell>
        </row>
        <row r="1134">
          <cell r="A1134" t="str">
            <v>AGRINALCAZAR</v>
          </cell>
          <cell r="B1134">
            <v>202507</v>
          </cell>
          <cell r="D1134" t="str">
            <v>Hogar</v>
          </cell>
          <cell r="G1134" t="str">
            <v>Presupuesto</v>
          </cell>
        </row>
        <row r="1135">
          <cell r="A1135" t="str">
            <v>AGRINALCAZAR</v>
          </cell>
          <cell r="B1135">
            <v>202507</v>
          </cell>
          <cell r="D1135" t="str">
            <v>Hogar</v>
          </cell>
          <cell r="G1135" t="str">
            <v>Real</v>
          </cell>
        </row>
        <row r="1136">
          <cell r="A1136" t="str">
            <v>AGRINALCAZAR</v>
          </cell>
          <cell r="B1136">
            <v>202507</v>
          </cell>
          <cell r="D1136" t="str">
            <v>Ingeniería</v>
          </cell>
          <cell r="G1136" t="str">
            <v>Presupuesto</v>
          </cell>
        </row>
        <row r="1137">
          <cell r="A1137" t="str">
            <v>AGRINALCAZAR</v>
          </cell>
          <cell r="B1137">
            <v>202507</v>
          </cell>
          <cell r="D1137" t="str">
            <v>Ingeniería</v>
          </cell>
          <cell r="G1137" t="str">
            <v>Real</v>
          </cell>
        </row>
        <row r="1138">
          <cell r="A1138" t="str">
            <v>AGRINALCAZAR</v>
          </cell>
          <cell r="B1138">
            <v>202507</v>
          </cell>
          <cell r="D1138" t="str">
            <v>Inmobiliario</v>
          </cell>
          <cell r="G1138" t="str">
            <v>Presupuesto</v>
          </cell>
        </row>
        <row r="1139">
          <cell r="A1139" t="str">
            <v>AGRINALCAZAR</v>
          </cell>
          <cell r="B1139">
            <v>202507</v>
          </cell>
          <cell r="D1139" t="str">
            <v>Líneas Financieras</v>
          </cell>
          <cell r="G1139" t="str">
            <v>Presupuesto</v>
          </cell>
        </row>
        <row r="1140">
          <cell r="A1140" t="str">
            <v>AGRINALCAZAR</v>
          </cell>
          <cell r="B1140">
            <v>202507</v>
          </cell>
          <cell r="D1140" t="str">
            <v>Líneas Financieras</v>
          </cell>
          <cell r="G1140" t="str">
            <v>Real</v>
          </cell>
        </row>
        <row r="1141">
          <cell r="A1141" t="str">
            <v>AGRINALCAZAR</v>
          </cell>
          <cell r="B1141">
            <v>202507</v>
          </cell>
          <cell r="D1141" t="str">
            <v>Náutica</v>
          </cell>
          <cell r="G1141" t="str">
            <v>Presupuesto</v>
          </cell>
        </row>
        <row r="1142">
          <cell r="A1142" t="str">
            <v>AGRINALCAZAR</v>
          </cell>
          <cell r="B1142">
            <v>202507</v>
          </cell>
          <cell r="D1142" t="str">
            <v>Náutica</v>
          </cell>
          <cell r="G1142" t="str">
            <v>Real</v>
          </cell>
        </row>
        <row r="1143">
          <cell r="A1143" t="str">
            <v>AGRINALCAZAR</v>
          </cell>
          <cell r="B1143">
            <v>202507</v>
          </cell>
          <cell r="D1143" t="str">
            <v>Particulares Resto</v>
          </cell>
          <cell r="G1143" t="str">
            <v>Presupuesto</v>
          </cell>
        </row>
        <row r="1144">
          <cell r="A1144" t="str">
            <v>AGRINALCAZAR</v>
          </cell>
          <cell r="B1144">
            <v>202507</v>
          </cell>
          <cell r="D1144" t="str">
            <v>Property</v>
          </cell>
          <cell r="G1144" t="str">
            <v>Presupuesto</v>
          </cell>
        </row>
        <row r="1145">
          <cell r="A1145" t="str">
            <v>AGRINALCAZAR</v>
          </cell>
          <cell r="B1145">
            <v>202507</v>
          </cell>
          <cell r="D1145" t="str">
            <v>Property</v>
          </cell>
          <cell r="G1145" t="str">
            <v>Real</v>
          </cell>
        </row>
        <row r="1146">
          <cell r="A1146" t="str">
            <v>AGRINALCAZAR</v>
          </cell>
          <cell r="B1146">
            <v>202507</v>
          </cell>
          <cell r="D1146" t="str">
            <v>RC</v>
          </cell>
          <cell r="G1146" t="str">
            <v>Presupuesto</v>
          </cell>
        </row>
        <row r="1147">
          <cell r="A1147" t="str">
            <v>AGRINALCAZAR</v>
          </cell>
          <cell r="B1147">
            <v>202507</v>
          </cell>
          <cell r="D1147" t="str">
            <v>RC</v>
          </cell>
          <cell r="G1147" t="str">
            <v>Real</v>
          </cell>
        </row>
        <row r="1148">
          <cell r="A1148" t="str">
            <v>AGRINALCAZAR</v>
          </cell>
          <cell r="B1148">
            <v>202507</v>
          </cell>
          <cell r="D1148" t="str">
            <v>Resto de lineas</v>
          </cell>
          <cell r="G1148" t="str">
            <v>Presupuesto</v>
          </cell>
        </row>
        <row r="1149">
          <cell r="A1149" t="str">
            <v>AGRINALCAZAR</v>
          </cell>
          <cell r="B1149">
            <v>202507</v>
          </cell>
          <cell r="D1149" t="str">
            <v>Resto de lineas</v>
          </cell>
          <cell r="G1149" t="str">
            <v>Real</v>
          </cell>
        </row>
        <row r="1150">
          <cell r="A1150" t="str">
            <v>AGRINALCAZAR</v>
          </cell>
          <cell r="B1150">
            <v>202507</v>
          </cell>
          <cell r="D1150" t="str">
            <v>Retirada</v>
          </cell>
          <cell r="G1150" t="str">
            <v>Presupuesto</v>
          </cell>
        </row>
        <row r="1151">
          <cell r="A1151" t="str">
            <v>AGRINALCAZAR</v>
          </cell>
          <cell r="B1151">
            <v>202507</v>
          </cell>
          <cell r="D1151" t="str">
            <v>Seguros Personales (No Vida) Colectivos</v>
          </cell>
          <cell r="G1151" t="str">
            <v>Presupuesto</v>
          </cell>
        </row>
        <row r="1152">
          <cell r="A1152" t="str">
            <v>AGRINALCAZAR</v>
          </cell>
          <cell r="B1152">
            <v>202507</v>
          </cell>
          <cell r="D1152" t="str">
            <v>Seguros Personales (No Vida) Colectivos</v>
          </cell>
          <cell r="G1152" t="str">
            <v>Real</v>
          </cell>
        </row>
        <row r="1153">
          <cell r="A1153" t="str">
            <v>AGRINALCAZAR</v>
          </cell>
          <cell r="B1153">
            <v>202507</v>
          </cell>
          <cell r="D1153" t="str">
            <v>Seguros Personales (No Vida) Particular</v>
          </cell>
          <cell r="G1153" t="str">
            <v>Presupuesto</v>
          </cell>
        </row>
        <row r="1154">
          <cell r="A1154" t="str">
            <v>AGRINALCAZAR</v>
          </cell>
          <cell r="B1154">
            <v>202507</v>
          </cell>
          <cell r="D1154" t="str">
            <v>Seguros Personales (No Vida) Particular</v>
          </cell>
          <cell r="G1154" t="str">
            <v>Real</v>
          </cell>
        </row>
        <row r="1155">
          <cell r="A1155" t="str">
            <v>AGRINALCAZAR</v>
          </cell>
          <cell r="B1155">
            <v>202507</v>
          </cell>
          <cell r="D1155" t="str">
            <v>Transporte</v>
          </cell>
          <cell r="G1155" t="str">
            <v>Presupuesto</v>
          </cell>
        </row>
        <row r="1156">
          <cell r="A1156" t="str">
            <v>AGRINALCAZAR</v>
          </cell>
          <cell r="B1156">
            <v>202507</v>
          </cell>
          <cell r="D1156" t="str">
            <v>Transporte</v>
          </cell>
          <cell r="G1156" t="str">
            <v>Real</v>
          </cell>
        </row>
        <row r="1157">
          <cell r="A1157" t="str">
            <v>AGRINALCAZAR</v>
          </cell>
          <cell r="B1157">
            <v>202507</v>
          </cell>
          <cell r="D1157" t="str">
            <v>Venta Cruzada</v>
          </cell>
          <cell r="G1157" t="str">
            <v>Presupuesto</v>
          </cell>
        </row>
        <row r="1158">
          <cell r="A1158" t="str">
            <v>AGRINALCAZAR</v>
          </cell>
          <cell r="B1158">
            <v>202507</v>
          </cell>
          <cell r="D1158" t="str">
            <v>Vida Ahorro Colectivo</v>
          </cell>
          <cell r="G1158" t="str">
            <v>Presupuesto</v>
          </cell>
        </row>
        <row r="1159">
          <cell r="A1159" t="str">
            <v>AGRINALCAZAR</v>
          </cell>
          <cell r="B1159">
            <v>202507</v>
          </cell>
          <cell r="D1159" t="str">
            <v>Vida Ahorro Particular</v>
          </cell>
          <cell r="G1159" t="str">
            <v>Presupuesto</v>
          </cell>
        </row>
        <row r="1160">
          <cell r="A1160" t="str">
            <v>AGRINALCAZAR</v>
          </cell>
          <cell r="B1160">
            <v>202507</v>
          </cell>
          <cell r="D1160" t="str">
            <v>Vida Ahorro Particular</v>
          </cell>
          <cell r="G1160" t="str">
            <v>Real</v>
          </cell>
        </row>
        <row r="1161">
          <cell r="A1161" t="str">
            <v>AGRINALCAZAR</v>
          </cell>
          <cell r="B1161">
            <v>202507</v>
          </cell>
          <cell r="D1161" t="str">
            <v>Vida Ganado</v>
          </cell>
          <cell r="G1161" t="str">
            <v>Presupuesto</v>
          </cell>
        </row>
        <row r="1162">
          <cell r="A1162" t="str">
            <v>AGRINALCAZAR</v>
          </cell>
          <cell r="B1162">
            <v>202507</v>
          </cell>
          <cell r="D1162" t="str">
            <v>Vida Riesgo Colectivo</v>
          </cell>
          <cell r="G1162" t="str">
            <v>Presupuesto</v>
          </cell>
        </row>
        <row r="1163">
          <cell r="A1163" t="str">
            <v>AGRINALCAZAR</v>
          </cell>
          <cell r="B1163">
            <v>202507</v>
          </cell>
          <cell r="D1163" t="str">
            <v>Vida Riesgo Particular</v>
          </cell>
          <cell r="G1163" t="str">
            <v>Presupuesto</v>
          </cell>
        </row>
        <row r="1164">
          <cell r="A1164" t="str">
            <v>AGRINALCAZAR</v>
          </cell>
          <cell r="B1164">
            <v>202507</v>
          </cell>
          <cell r="D1164" t="str">
            <v>Vida Riesgo Particular</v>
          </cell>
          <cell r="G1164" t="str">
            <v>Real</v>
          </cell>
        </row>
        <row r="1165">
          <cell r="A1165" t="str">
            <v>AGRINALCAZAR</v>
          </cell>
          <cell r="B1165">
            <v>202508</v>
          </cell>
          <cell r="D1165" t="str">
            <v>--</v>
          </cell>
          <cell r="G1165" t="str">
            <v>Presupuesto</v>
          </cell>
        </row>
        <row r="1166">
          <cell r="A1166" t="str">
            <v>AGRINALCAZAR</v>
          </cell>
          <cell r="B1166">
            <v>202508</v>
          </cell>
          <cell r="D1166" t="str">
            <v>--</v>
          </cell>
          <cell r="G1166" t="str">
            <v>Real</v>
          </cell>
        </row>
        <row r="1167">
          <cell r="A1167" t="str">
            <v>AGRINALCAZAR</v>
          </cell>
          <cell r="B1167">
            <v>202508</v>
          </cell>
          <cell r="D1167" t="str">
            <v>Resto de Lineas</v>
          </cell>
          <cell r="G1167" t="str">
            <v>Real</v>
          </cell>
        </row>
        <row r="1168">
          <cell r="A1168" t="str">
            <v>AGRINALCAZAR</v>
          </cell>
          <cell r="B1168">
            <v>202508</v>
          </cell>
          <cell r="D1168" t="str">
            <v>Arte</v>
          </cell>
          <cell r="G1168" t="str">
            <v>Presupuesto</v>
          </cell>
        </row>
        <row r="1169">
          <cell r="A1169" t="str">
            <v>AGRINALCAZAR</v>
          </cell>
          <cell r="B1169">
            <v>202508</v>
          </cell>
          <cell r="D1169" t="str">
            <v>Autos</v>
          </cell>
          <cell r="G1169" t="str">
            <v>Presupuesto</v>
          </cell>
        </row>
        <row r="1170">
          <cell r="A1170" t="str">
            <v>AGRINALCAZAR</v>
          </cell>
          <cell r="B1170">
            <v>202508</v>
          </cell>
          <cell r="D1170" t="str">
            <v>Autos</v>
          </cell>
          <cell r="G1170" t="str">
            <v>Real</v>
          </cell>
        </row>
        <row r="1171">
          <cell r="A1171" t="str">
            <v>AGRINALCAZAR</v>
          </cell>
          <cell r="B1171">
            <v>202508</v>
          </cell>
          <cell r="D1171" t="str">
            <v>B2B2C</v>
          </cell>
          <cell r="G1171" t="str">
            <v>Presupuesto</v>
          </cell>
        </row>
        <row r="1172">
          <cell r="A1172" t="str">
            <v>AGRINALCAZAR</v>
          </cell>
          <cell r="B1172">
            <v>202508</v>
          </cell>
          <cell r="D1172" t="str">
            <v>Caución</v>
          </cell>
          <cell r="G1172" t="str">
            <v>Presupuesto</v>
          </cell>
        </row>
        <row r="1173">
          <cell r="A1173" t="str">
            <v>AGRINALCAZAR</v>
          </cell>
          <cell r="B1173">
            <v>202508</v>
          </cell>
          <cell r="D1173" t="str">
            <v>Crédito Internacional</v>
          </cell>
          <cell r="G1173" t="str">
            <v>Presupuesto</v>
          </cell>
        </row>
        <row r="1174">
          <cell r="A1174" t="str">
            <v>AGRINALCAZAR</v>
          </cell>
          <cell r="B1174">
            <v>202508</v>
          </cell>
          <cell r="D1174" t="str">
            <v>Crédito Nacional</v>
          </cell>
          <cell r="G1174" t="str">
            <v>Presupuesto</v>
          </cell>
        </row>
        <row r="1175">
          <cell r="A1175" t="str">
            <v>AGRINALCAZAR</v>
          </cell>
          <cell r="B1175">
            <v>202508</v>
          </cell>
          <cell r="D1175" t="str">
            <v>Eventos</v>
          </cell>
          <cell r="G1175" t="str">
            <v>Presupuesto</v>
          </cell>
        </row>
        <row r="1176">
          <cell r="A1176" t="str">
            <v>AGRINALCAZAR</v>
          </cell>
          <cell r="B1176">
            <v>202508</v>
          </cell>
          <cell r="D1176" t="str">
            <v>Flotas</v>
          </cell>
          <cell r="G1176" t="str">
            <v>Presupuesto</v>
          </cell>
        </row>
        <row r="1177">
          <cell r="A1177" t="str">
            <v>AGRINALCAZAR</v>
          </cell>
          <cell r="B1177">
            <v>202508</v>
          </cell>
          <cell r="D1177" t="str">
            <v>Flotas</v>
          </cell>
          <cell r="G1177" t="str">
            <v>Real</v>
          </cell>
        </row>
        <row r="1178">
          <cell r="A1178" t="str">
            <v>AGRINALCAZAR</v>
          </cell>
          <cell r="B1178">
            <v>202508</v>
          </cell>
          <cell r="D1178" t="str">
            <v>Hogar</v>
          </cell>
          <cell r="G1178" t="str">
            <v>Presupuesto</v>
          </cell>
        </row>
        <row r="1179">
          <cell r="A1179" t="str">
            <v>AGRINALCAZAR</v>
          </cell>
          <cell r="B1179">
            <v>202508</v>
          </cell>
          <cell r="D1179" t="str">
            <v>Hogar</v>
          </cell>
          <cell r="G1179" t="str">
            <v>Real</v>
          </cell>
        </row>
        <row r="1180">
          <cell r="A1180" t="str">
            <v>AGRINALCAZAR</v>
          </cell>
          <cell r="B1180">
            <v>202508</v>
          </cell>
          <cell r="D1180" t="str">
            <v>Ingeniería</v>
          </cell>
          <cell r="G1180" t="str">
            <v>Presupuesto</v>
          </cell>
        </row>
        <row r="1181">
          <cell r="A1181" t="str">
            <v>AGRINALCAZAR</v>
          </cell>
          <cell r="B1181">
            <v>202508</v>
          </cell>
          <cell r="D1181" t="str">
            <v>Ingeniería</v>
          </cell>
          <cell r="G1181" t="str">
            <v>Real</v>
          </cell>
        </row>
        <row r="1182">
          <cell r="A1182" t="str">
            <v>AGRINALCAZAR</v>
          </cell>
          <cell r="B1182">
            <v>202508</v>
          </cell>
          <cell r="D1182" t="str">
            <v>Inmobiliario</v>
          </cell>
          <cell r="G1182" t="str">
            <v>Presupuesto</v>
          </cell>
        </row>
        <row r="1183">
          <cell r="A1183" t="str">
            <v>AGRINALCAZAR</v>
          </cell>
          <cell r="B1183">
            <v>202508</v>
          </cell>
          <cell r="D1183" t="str">
            <v>Líneas Financieras</v>
          </cell>
          <cell r="G1183" t="str">
            <v>Presupuesto</v>
          </cell>
        </row>
        <row r="1184">
          <cell r="A1184" t="str">
            <v>AGRINALCAZAR</v>
          </cell>
          <cell r="B1184">
            <v>202508</v>
          </cell>
          <cell r="D1184" t="str">
            <v>Líneas Financieras</v>
          </cell>
          <cell r="G1184" t="str">
            <v>Real</v>
          </cell>
        </row>
        <row r="1185">
          <cell r="A1185" t="str">
            <v>AGRINALCAZAR</v>
          </cell>
          <cell r="B1185">
            <v>202508</v>
          </cell>
          <cell r="D1185" t="str">
            <v>Náutica</v>
          </cell>
          <cell r="G1185" t="str">
            <v>Presupuesto</v>
          </cell>
        </row>
        <row r="1186">
          <cell r="A1186" t="str">
            <v>AGRINALCAZAR</v>
          </cell>
          <cell r="B1186">
            <v>202508</v>
          </cell>
          <cell r="D1186" t="str">
            <v>Náutica</v>
          </cell>
          <cell r="G1186" t="str">
            <v>Real</v>
          </cell>
        </row>
        <row r="1187">
          <cell r="A1187" t="str">
            <v>AGRINALCAZAR</v>
          </cell>
          <cell r="B1187">
            <v>202508</v>
          </cell>
          <cell r="D1187" t="str">
            <v>Particulares Resto</v>
          </cell>
          <cell r="G1187" t="str">
            <v>Presupuesto</v>
          </cell>
        </row>
        <row r="1188">
          <cell r="A1188" t="str">
            <v>AGRINALCAZAR</v>
          </cell>
          <cell r="B1188">
            <v>202508</v>
          </cell>
          <cell r="D1188" t="str">
            <v>Property</v>
          </cell>
          <cell r="G1188" t="str">
            <v>Presupuesto</v>
          </cell>
        </row>
        <row r="1189">
          <cell r="A1189" t="str">
            <v>AGRINALCAZAR</v>
          </cell>
          <cell r="B1189">
            <v>202508</v>
          </cell>
          <cell r="D1189" t="str">
            <v>Property</v>
          </cell>
          <cell r="G1189" t="str">
            <v>Real</v>
          </cell>
        </row>
        <row r="1190">
          <cell r="A1190" t="str">
            <v>AGRINALCAZAR</v>
          </cell>
          <cell r="B1190">
            <v>202508</v>
          </cell>
          <cell r="D1190" t="str">
            <v>RC</v>
          </cell>
          <cell r="G1190" t="str">
            <v>Presupuesto</v>
          </cell>
        </row>
        <row r="1191">
          <cell r="A1191" t="str">
            <v>AGRINALCAZAR</v>
          </cell>
          <cell r="B1191">
            <v>202508</v>
          </cell>
          <cell r="D1191" t="str">
            <v>RC</v>
          </cell>
          <cell r="G1191" t="str">
            <v>Real</v>
          </cell>
        </row>
        <row r="1192">
          <cell r="A1192" t="str">
            <v>AGRINALCAZAR</v>
          </cell>
          <cell r="B1192">
            <v>202508</v>
          </cell>
          <cell r="D1192" t="str">
            <v>Resto de lineas</v>
          </cell>
          <cell r="G1192" t="str">
            <v>Presupuesto</v>
          </cell>
        </row>
        <row r="1193">
          <cell r="A1193" t="str">
            <v>AGRINALCAZAR</v>
          </cell>
          <cell r="B1193">
            <v>202508</v>
          </cell>
          <cell r="D1193" t="str">
            <v>Resto de lineas</v>
          </cell>
          <cell r="G1193" t="str">
            <v>Real</v>
          </cell>
        </row>
        <row r="1194">
          <cell r="A1194" t="str">
            <v>AGRINALCAZAR</v>
          </cell>
          <cell r="B1194">
            <v>202508</v>
          </cell>
          <cell r="D1194" t="str">
            <v>Retirada</v>
          </cell>
          <cell r="G1194" t="str">
            <v>Presupuesto</v>
          </cell>
        </row>
        <row r="1195">
          <cell r="A1195" t="str">
            <v>AGRINALCAZAR</v>
          </cell>
          <cell r="B1195">
            <v>202508</v>
          </cell>
          <cell r="D1195" t="str">
            <v>Seguros Personales (No Vida) Colectivos</v>
          </cell>
          <cell r="G1195" t="str">
            <v>Presupuesto</v>
          </cell>
        </row>
        <row r="1196">
          <cell r="A1196" t="str">
            <v>AGRINALCAZAR</v>
          </cell>
          <cell r="B1196">
            <v>202508</v>
          </cell>
          <cell r="D1196" t="str">
            <v>Seguros Personales (No Vida) Colectivos</v>
          </cell>
          <cell r="G1196" t="str">
            <v>Real</v>
          </cell>
        </row>
        <row r="1197">
          <cell r="A1197" t="str">
            <v>AGRINALCAZAR</v>
          </cell>
          <cell r="B1197">
            <v>202508</v>
          </cell>
          <cell r="D1197" t="str">
            <v>Seguros Personales (No Vida) Particular</v>
          </cell>
          <cell r="G1197" t="str">
            <v>Presupuesto</v>
          </cell>
        </row>
        <row r="1198">
          <cell r="A1198" t="str">
            <v>AGRINALCAZAR</v>
          </cell>
          <cell r="B1198">
            <v>202508</v>
          </cell>
          <cell r="D1198" t="str">
            <v>Seguros Personales (No Vida) Particular</v>
          </cell>
          <cell r="G1198" t="str">
            <v>Real</v>
          </cell>
        </row>
        <row r="1199">
          <cell r="A1199" t="str">
            <v>AGRINALCAZAR</v>
          </cell>
          <cell r="B1199">
            <v>202508</v>
          </cell>
          <cell r="D1199" t="str">
            <v>Transporte</v>
          </cell>
          <cell r="G1199" t="str">
            <v>Presupuesto</v>
          </cell>
        </row>
        <row r="1200">
          <cell r="A1200" t="str">
            <v>AGRINALCAZAR</v>
          </cell>
          <cell r="B1200">
            <v>202508</v>
          </cell>
          <cell r="D1200" t="str">
            <v>Transporte</v>
          </cell>
          <cell r="G1200" t="str">
            <v>Real</v>
          </cell>
        </row>
        <row r="1201">
          <cell r="A1201" t="str">
            <v>AGRINALCAZAR</v>
          </cell>
          <cell r="B1201">
            <v>202508</v>
          </cell>
          <cell r="D1201" t="str">
            <v>Venta Cruzada</v>
          </cell>
          <cell r="G1201" t="str">
            <v>Presupuesto</v>
          </cell>
        </row>
        <row r="1202">
          <cell r="A1202" t="str">
            <v>AGRINALCAZAR</v>
          </cell>
          <cell r="B1202">
            <v>202508</v>
          </cell>
          <cell r="D1202" t="str">
            <v>Vida Ahorro Colectivo</v>
          </cell>
          <cell r="G1202" t="str">
            <v>Presupuesto</v>
          </cell>
        </row>
        <row r="1203">
          <cell r="A1203" t="str">
            <v>AGRINALCAZAR</v>
          </cell>
          <cell r="B1203">
            <v>202508</v>
          </cell>
          <cell r="D1203" t="str">
            <v>Vida Ahorro Particular</v>
          </cell>
          <cell r="G1203" t="str">
            <v>Presupuesto</v>
          </cell>
        </row>
        <row r="1204">
          <cell r="A1204" t="str">
            <v>AGRINALCAZAR</v>
          </cell>
          <cell r="B1204">
            <v>202508</v>
          </cell>
          <cell r="D1204" t="str">
            <v>Vida Ahorro Particular</v>
          </cell>
          <cell r="G1204" t="str">
            <v>Real</v>
          </cell>
        </row>
        <row r="1205">
          <cell r="A1205" t="str">
            <v>AGRINALCAZAR</v>
          </cell>
          <cell r="B1205">
            <v>202508</v>
          </cell>
          <cell r="D1205" t="str">
            <v>Vida Ganado</v>
          </cell>
          <cell r="G1205" t="str">
            <v>Presupuesto</v>
          </cell>
        </row>
        <row r="1206">
          <cell r="A1206" t="str">
            <v>AGRINALCAZAR</v>
          </cell>
          <cell r="B1206">
            <v>202508</v>
          </cell>
          <cell r="D1206" t="str">
            <v>Vida Riesgo Colectivo</v>
          </cell>
          <cell r="G1206" t="str">
            <v>Presupuesto</v>
          </cell>
        </row>
        <row r="1207">
          <cell r="A1207" t="str">
            <v>AGRINALCAZAR</v>
          </cell>
          <cell r="B1207">
            <v>202508</v>
          </cell>
          <cell r="D1207" t="str">
            <v>Vida Riesgo Particular</v>
          </cell>
          <cell r="G1207" t="str">
            <v>Presupuesto</v>
          </cell>
        </row>
        <row r="1208">
          <cell r="A1208" t="str">
            <v>AGRINALCAZAR</v>
          </cell>
          <cell r="B1208">
            <v>202508</v>
          </cell>
          <cell r="D1208" t="str">
            <v>Vida Riesgo Particular</v>
          </cell>
          <cell r="G1208" t="str">
            <v>Real</v>
          </cell>
        </row>
        <row r="1209">
          <cell r="A1209" t="str">
            <v>AGRINALCAZAR</v>
          </cell>
          <cell r="B1209">
            <v>202509</v>
          </cell>
          <cell r="D1209" t="str">
            <v>--</v>
          </cell>
          <cell r="G1209" t="str">
            <v>Presupuesto</v>
          </cell>
        </row>
        <row r="1210">
          <cell r="A1210" t="str">
            <v>AGRINALCAZAR</v>
          </cell>
          <cell r="B1210">
            <v>202509</v>
          </cell>
          <cell r="D1210" t="str">
            <v>Resto de Lineas</v>
          </cell>
          <cell r="G1210" t="str">
            <v>Real</v>
          </cell>
        </row>
        <row r="1211">
          <cell r="A1211" t="str">
            <v>AGRINALCAZAR</v>
          </cell>
          <cell r="B1211">
            <v>202509</v>
          </cell>
          <cell r="D1211" t="str">
            <v>Arte</v>
          </cell>
          <cell r="G1211" t="str">
            <v>Presupuesto</v>
          </cell>
        </row>
        <row r="1212">
          <cell r="A1212" t="str">
            <v>AGRINALCAZAR</v>
          </cell>
          <cell r="B1212">
            <v>202509</v>
          </cell>
          <cell r="D1212" t="str">
            <v>Autos</v>
          </cell>
          <cell r="G1212" t="str">
            <v>Presupuesto</v>
          </cell>
        </row>
        <row r="1213">
          <cell r="A1213" t="str">
            <v>AGRINALCAZAR</v>
          </cell>
          <cell r="B1213">
            <v>202509</v>
          </cell>
          <cell r="D1213" t="str">
            <v>Autos</v>
          </cell>
          <cell r="G1213" t="str">
            <v>Real</v>
          </cell>
        </row>
        <row r="1214">
          <cell r="A1214" t="str">
            <v>AGRINALCAZAR</v>
          </cell>
          <cell r="B1214">
            <v>202509</v>
          </cell>
          <cell r="D1214" t="str">
            <v>B2B2C</v>
          </cell>
          <cell r="G1214" t="str">
            <v>Presupuesto</v>
          </cell>
        </row>
        <row r="1215">
          <cell r="A1215" t="str">
            <v>AGRINALCAZAR</v>
          </cell>
          <cell r="B1215">
            <v>202509</v>
          </cell>
          <cell r="D1215" t="str">
            <v>Caución</v>
          </cell>
          <cell r="G1215" t="str">
            <v>Presupuesto</v>
          </cell>
        </row>
        <row r="1216">
          <cell r="A1216" t="str">
            <v>AGRINALCAZAR</v>
          </cell>
          <cell r="B1216">
            <v>202509</v>
          </cell>
          <cell r="D1216" t="str">
            <v>Crédito Internacional</v>
          </cell>
          <cell r="G1216" t="str">
            <v>Presupuesto</v>
          </cell>
        </row>
        <row r="1217">
          <cell r="A1217" t="str">
            <v>AGRINALCAZAR</v>
          </cell>
          <cell r="B1217">
            <v>202509</v>
          </cell>
          <cell r="D1217" t="str">
            <v>Crédito Nacional</v>
          </cell>
          <cell r="G1217" t="str">
            <v>Presupuesto</v>
          </cell>
        </row>
        <row r="1218">
          <cell r="A1218" t="str">
            <v>AGRINALCAZAR</v>
          </cell>
          <cell r="B1218">
            <v>202509</v>
          </cell>
          <cell r="D1218" t="str">
            <v>Eventos</v>
          </cell>
          <cell r="G1218" t="str">
            <v>Presupuesto</v>
          </cell>
        </row>
        <row r="1219">
          <cell r="A1219" t="str">
            <v>AGRINALCAZAR</v>
          </cell>
          <cell r="B1219">
            <v>202509</v>
          </cell>
          <cell r="D1219" t="str">
            <v>Flotas</v>
          </cell>
          <cell r="G1219" t="str">
            <v>Presupuesto</v>
          </cell>
        </row>
        <row r="1220">
          <cell r="A1220" t="str">
            <v>AGRINALCAZAR</v>
          </cell>
          <cell r="B1220">
            <v>202509</v>
          </cell>
          <cell r="D1220" t="str">
            <v>Flotas</v>
          </cell>
          <cell r="G1220" t="str">
            <v>Real</v>
          </cell>
        </row>
        <row r="1221">
          <cell r="A1221" t="str">
            <v>AGRINALCAZAR</v>
          </cell>
          <cell r="B1221">
            <v>202509</v>
          </cell>
          <cell r="D1221" t="str">
            <v>Hogar</v>
          </cell>
          <cell r="G1221" t="str">
            <v>Presupuesto</v>
          </cell>
        </row>
        <row r="1222">
          <cell r="A1222" t="str">
            <v>AGRINALCAZAR</v>
          </cell>
          <cell r="B1222">
            <v>202509</v>
          </cell>
          <cell r="D1222" t="str">
            <v>Hogar</v>
          </cell>
          <cell r="G1222" t="str">
            <v>Real</v>
          </cell>
        </row>
        <row r="1223">
          <cell r="A1223" t="str">
            <v>AGRINALCAZAR</v>
          </cell>
          <cell r="B1223">
            <v>202509</v>
          </cell>
          <cell r="D1223" t="str">
            <v>Ingeniería</v>
          </cell>
          <cell r="G1223" t="str">
            <v>Presupuesto</v>
          </cell>
        </row>
        <row r="1224">
          <cell r="A1224" t="str">
            <v>AGRINALCAZAR</v>
          </cell>
          <cell r="B1224">
            <v>202509</v>
          </cell>
          <cell r="D1224" t="str">
            <v>Ingeniería</v>
          </cell>
          <cell r="G1224" t="str">
            <v>Real</v>
          </cell>
        </row>
        <row r="1225">
          <cell r="A1225" t="str">
            <v>AGRINALCAZAR</v>
          </cell>
          <cell r="B1225">
            <v>202509</v>
          </cell>
          <cell r="D1225" t="str">
            <v>Inmobiliario</v>
          </cell>
          <cell r="G1225" t="str">
            <v>Presupuesto</v>
          </cell>
        </row>
        <row r="1226">
          <cell r="A1226" t="str">
            <v>AGRINALCAZAR</v>
          </cell>
          <cell r="B1226">
            <v>202509</v>
          </cell>
          <cell r="D1226" t="str">
            <v>Líneas Financieras</v>
          </cell>
          <cell r="G1226" t="str">
            <v>Presupuesto</v>
          </cell>
        </row>
        <row r="1227">
          <cell r="A1227" t="str">
            <v>AGRINALCAZAR</v>
          </cell>
          <cell r="B1227">
            <v>202509</v>
          </cell>
          <cell r="D1227" t="str">
            <v>Líneas Financieras</v>
          </cell>
          <cell r="G1227" t="str">
            <v>Real</v>
          </cell>
        </row>
        <row r="1228">
          <cell r="A1228" t="str">
            <v>AGRINALCAZAR</v>
          </cell>
          <cell r="B1228">
            <v>202509</v>
          </cell>
          <cell r="D1228" t="str">
            <v>Náutica</v>
          </cell>
          <cell r="G1228" t="str">
            <v>Presupuesto</v>
          </cell>
        </row>
        <row r="1229">
          <cell r="A1229" t="str">
            <v>AGRINALCAZAR</v>
          </cell>
          <cell r="B1229">
            <v>202509</v>
          </cell>
          <cell r="D1229" t="str">
            <v>Náutica</v>
          </cell>
          <cell r="G1229" t="str">
            <v>Real</v>
          </cell>
        </row>
        <row r="1230">
          <cell r="A1230" t="str">
            <v>AGRINALCAZAR</v>
          </cell>
          <cell r="B1230">
            <v>202509</v>
          </cell>
          <cell r="D1230" t="str">
            <v>Particulares Resto</v>
          </cell>
          <cell r="G1230" t="str">
            <v>Presupuesto</v>
          </cell>
        </row>
        <row r="1231">
          <cell r="A1231" t="str">
            <v>AGRINALCAZAR</v>
          </cell>
          <cell r="B1231">
            <v>202509</v>
          </cell>
          <cell r="D1231" t="str">
            <v>Property</v>
          </cell>
          <cell r="G1231" t="str">
            <v>Presupuesto</v>
          </cell>
        </row>
        <row r="1232">
          <cell r="A1232" t="str">
            <v>AGRINALCAZAR</v>
          </cell>
          <cell r="B1232">
            <v>202509</v>
          </cell>
          <cell r="D1232" t="str">
            <v>Property</v>
          </cell>
          <cell r="G1232" t="str">
            <v>Real</v>
          </cell>
        </row>
        <row r="1233">
          <cell r="A1233" t="str">
            <v>AGRINALCAZAR</v>
          </cell>
          <cell r="B1233">
            <v>202509</v>
          </cell>
          <cell r="D1233" t="str">
            <v>RC</v>
          </cell>
          <cell r="G1233" t="str">
            <v>Presupuesto</v>
          </cell>
        </row>
        <row r="1234">
          <cell r="A1234" t="str">
            <v>AGRINALCAZAR</v>
          </cell>
          <cell r="B1234">
            <v>202509</v>
          </cell>
          <cell r="D1234" t="str">
            <v>RC</v>
          </cell>
          <cell r="G1234" t="str">
            <v>Real</v>
          </cell>
        </row>
        <row r="1235">
          <cell r="A1235" t="str">
            <v>AGRINALCAZAR</v>
          </cell>
          <cell r="B1235">
            <v>202509</v>
          </cell>
          <cell r="D1235" t="str">
            <v>Resto de lineas</v>
          </cell>
          <cell r="G1235" t="str">
            <v>Presupuesto</v>
          </cell>
        </row>
        <row r="1236">
          <cell r="A1236" t="str">
            <v>AGRINALCAZAR</v>
          </cell>
          <cell r="B1236">
            <v>202509</v>
          </cell>
          <cell r="D1236" t="str">
            <v>Resto de lineas</v>
          </cell>
          <cell r="G1236" t="str">
            <v>Real</v>
          </cell>
        </row>
        <row r="1237">
          <cell r="A1237" t="str">
            <v>AGRINALCAZAR</v>
          </cell>
          <cell r="B1237">
            <v>202509</v>
          </cell>
          <cell r="D1237" t="str">
            <v>Retirada</v>
          </cell>
          <cell r="G1237" t="str">
            <v>Presupuesto</v>
          </cell>
        </row>
        <row r="1238">
          <cell r="A1238" t="str">
            <v>AGRINALCAZAR</v>
          </cell>
          <cell r="B1238">
            <v>202509</v>
          </cell>
          <cell r="D1238" t="str">
            <v>Seguros Personales (No Vida) Colectivos</v>
          </cell>
          <cell r="G1238" t="str">
            <v>Presupuesto</v>
          </cell>
        </row>
        <row r="1239">
          <cell r="A1239" t="str">
            <v>AGRINALCAZAR</v>
          </cell>
          <cell r="B1239">
            <v>202509</v>
          </cell>
          <cell r="D1239" t="str">
            <v>Seguros Personales (No Vida) Colectivos</v>
          </cell>
          <cell r="G1239" t="str">
            <v>Real</v>
          </cell>
        </row>
        <row r="1240">
          <cell r="A1240" t="str">
            <v>AGRINALCAZAR</v>
          </cell>
          <cell r="B1240">
            <v>202509</v>
          </cell>
          <cell r="D1240" t="str">
            <v>Seguros Personales (No Vida) Particular</v>
          </cell>
          <cell r="G1240" t="str">
            <v>Presupuesto</v>
          </cell>
        </row>
        <row r="1241">
          <cell r="A1241" t="str">
            <v>AGRINALCAZAR</v>
          </cell>
          <cell r="B1241">
            <v>202509</v>
          </cell>
          <cell r="D1241" t="str">
            <v>Seguros Personales (No Vida) Particular</v>
          </cell>
          <cell r="G1241" t="str">
            <v>Real</v>
          </cell>
        </row>
        <row r="1242">
          <cell r="A1242" t="str">
            <v>AGRINALCAZAR</v>
          </cell>
          <cell r="B1242">
            <v>202509</v>
          </cell>
          <cell r="D1242" t="str">
            <v>Transporte</v>
          </cell>
          <cell r="G1242" t="str">
            <v>Presupuesto</v>
          </cell>
        </row>
        <row r="1243">
          <cell r="A1243" t="str">
            <v>AGRINALCAZAR</v>
          </cell>
          <cell r="B1243">
            <v>202509</v>
          </cell>
          <cell r="D1243" t="str">
            <v>Transporte</v>
          </cell>
          <cell r="G1243" t="str">
            <v>Real</v>
          </cell>
        </row>
        <row r="1244">
          <cell r="A1244" t="str">
            <v>AGRINALCAZAR</v>
          </cell>
          <cell r="B1244">
            <v>202509</v>
          </cell>
          <cell r="D1244" t="str">
            <v>Venta Cruzada</v>
          </cell>
          <cell r="G1244" t="str">
            <v>Presupuesto</v>
          </cell>
        </row>
        <row r="1245">
          <cell r="A1245" t="str">
            <v>AGRINALCAZAR</v>
          </cell>
          <cell r="B1245">
            <v>202509</v>
          </cell>
          <cell r="D1245" t="str">
            <v>Vida Ahorro Colectivo</v>
          </cell>
          <cell r="G1245" t="str">
            <v>Presupuesto</v>
          </cell>
        </row>
        <row r="1246">
          <cell r="A1246" t="str">
            <v>AGRINALCAZAR</v>
          </cell>
          <cell r="B1246">
            <v>202509</v>
          </cell>
          <cell r="D1246" t="str">
            <v>Vida Ahorro Particular</v>
          </cell>
          <cell r="G1246" t="str">
            <v>Presupuesto</v>
          </cell>
        </row>
        <row r="1247">
          <cell r="A1247" t="str">
            <v>AGRINALCAZAR</v>
          </cell>
          <cell r="B1247">
            <v>202509</v>
          </cell>
          <cell r="D1247" t="str">
            <v>Vida Ahorro Particular</v>
          </cell>
          <cell r="G1247" t="str">
            <v>Real</v>
          </cell>
        </row>
        <row r="1248">
          <cell r="A1248" t="str">
            <v>AGRINALCAZAR</v>
          </cell>
          <cell r="B1248">
            <v>202509</v>
          </cell>
          <cell r="D1248" t="str">
            <v>Vida Ganado</v>
          </cell>
          <cell r="G1248" t="str">
            <v>Presupuesto</v>
          </cell>
        </row>
        <row r="1249">
          <cell r="A1249" t="str">
            <v>AGRINALCAZAR</v>
          </cell>
          <cell r="B1249">
            <v>202509</v>
          </cell>
          <cell r="D1249" t="str">
            <v>Vida Riesgo Colectivo</v>
          </cell>
          <cell r="G1249" t="str">
            <v>Presupuesto</v>
          </cell>
        </row>
        <row r="1250">
          <cell r="A1250" t="str">
            <v>AGRINALCAZAR</v>
          </cell>
          <cell r="B1250">
            <v>202509</v>
          </cell>
          <cell r="D1250" t="str">
            <v>Vida Riesgo Particular</v>
          </cell>
          <cell r="G1250" t="str">
            <v>Presupuesto</v>
          </cell>
        </row>
        <row r="1251">
          <cell r="A1251" t="str">
            <v>AGRINALCAZAR</v>
          </cell>
          <cell r="B1251">
            <v>202509</v>
          </cell>
          <cell r="D1251" t="str">
            <v>Vida Riesgo Particular</v>
          </cell>
          <cell r="G1251" t="str">
            <v>Real</v>
          </cell>
        </row>
        <row r="1252">
          <cell r="A1252" t="str">
            <v>AGRINALCAZAR</v>
          </cell>
          <cell r="B1252">
            <v>202510</v>
          </cell>
          <cell r="D1252" t="str">
            <v>--</v>
          </cell>
          <cell r="G1252" t="str">
            <v>Presupuesto</v>
          </cell>
        </row>
        <row r="1253">
          <cell r="A1253" t="str">
            <v>AGRINALCAZAR</v>
          </cell>
          <cell r="B1253">
            <v>202510</v>
          </cell>
          <cell r="D1253" t="str">
            <v>--</v>
          </cell>
          <cell r="G1253" t="str">
            <v>Real</v>
          </cell>
        </row>
        <row r="1254">
          <cell r="A1254" t="str">
            <v>AGRINALCAZAR</v>
          </cell>
          <cell r="B1254">
            <v>202510</v>
          </cell>
          <cell r="D1254" t="str">
            <v>Resto de Lineas</v>
          </cell>
          <cell r="G1254" t="str">
            <v>Real</v>
          </cell>
        </row>
        <row r="1255">
          <cell r="A1255" t="str">
            <v>AGRINALCAZAR</v>
          </cell>
          <cell r="B1255">
            <v>202510</v>
          </cell>
          <cell r="D1255" t="str">
            <v>Arte</v>
          </cell>
          <cell r="G1255" t="str">
            <v>Presupuesto</v>
          </cell>
        </row>
        <row r="1256">
          <cell r="A1256" t="str">
            <v>AGRINALCAZAR</v>
          </cell>
          <cell r="B1256">
            <v>202510</v>
          </cell>
          <cell r="D1256" t="str">
            <v>Autos</v>
          </cell>
          <cell r="G1256" t="str">
            <v>Presupuesto</v>
          </cell>
        </row>
        <row r="1257">
          <cell r="A1257" t="str">
            <v>AGRINALCAZAR</v>
          </cell>
          <cell r="B1257">
            <v>202510</v>
          </cell>
          <cell r="D1257" t="str">
            <v>Autos</v>
          </cell>
          <cell r="G1257" t="str">
            <v>Real</v>
          </cell>
        </row>
        <row r="1258">
          <cell r="A1258" t="str">
            <v>AGRINALCAZAR</v>
          </cell>
          <cell r="B1258">
            <v>202510</v>
          </cell>
          <cell r="D1258" t="str">
            <v>B2B2C</v>
          </cell>
          <cell r="G1258" t="str">
            <v>Presupuesto</v>
          </cell>
        </row>
        <row r="1259">
          <cell r="A1259" t="str">
            <v>AGRINALCAZAR</v>
          </cell>
          <cell r="B1259">
            <v>202510</v>
          </cell>
          <cell r="D1259" t="str">
            <v>Caución</v>
          </cell>
          <cell r="G1259" t="str">
            <v>Presupuesto</v>
          </cell>
        </row>
        <row r="1260">
          <cell r="A1260" t="str">
            <v>AGRINALCAZAR</v>
          </cell>
          <cell r="B1260">
            <v>202510</v>
          </cell>
          <cell r="D1260" t="str">
            <v>Crédito Internacional</v>
          </cell>
          <cell r="G1260" t="str">
            <v>Presupuesto</v>
          </cell>
        </row>
        <row r="1261">
          <cell r="A1261" t="str">
            <v>AGRINALCAZAR</v>
          </cell>
          <cell r="B1261">
            <v>202510</v>
          </cell>
          <cell r="D1261" t="str">
            <v>Crédito Nacional</v>
          </cell>
          <cell r="G1261" t="str">
            <v>Presupuesto</v>
          </cell>
        </row>
        <row r="1262">
          <cell r="A1262" t="str">
            <v>AGRINALCAZAR</v>
          </cell>
          <cell r="B1262">
            <v>202510</v>
          </cell>
          <cell r="D1262" t="str">
            <v>Eventos</v>
          </cell>
          <cell r="G1262" t="str">
            <v>Presupuesto</v>
          </cell>
        </row>
        <row r="1263">
          <cell r="A1263" t="str">
            <v>AGRINALCAZAR</v>
          </cell>
          <cell r="B1263">
            <v>202510</v>
          </cell>
          <cell r="D1263" t="str">
            <v>Flotas</v>
          </cell>
          <cell r="G1263" t="str">
            <v>Presupuesto</v>
          </cell>
        </row>
        <row r="1264">
          <cell r="A1264" t="str">
            <v>AGRINALCAZAR</v>
          </cell>
          <cell r="B1264">
            <v>202510</v>
          </cell>
          <cell r="D1264" t="str">
            <v>Flotas</v>
          </cell>
          <cell r="G1264" t="str">
            <v>Real</v>
          </cell>
        </row>
        <row r="1265">
          <cell r="A1265" t="str">
            <v>AGRINALCAZAR</v>
          </cell>
          <cell r="B1265">
            <v>202510</v>
          </cell>
          <cell r="D1265" t="str">
            <v>Hogar</v>
          </cell>
          <cell r="G1265" t="str">
            <v>Presupuesto</v>
          </cell>
        </row>
        <row r="1266">
          <cell r="A1266" t="str">
            <v>AGRINALCAZAR</v>
          </cell>
          <cell r="B1266">
            <v>202510</v>
          </cell>
          <cell r="D1266" t="str">
            <v>Hogar</v>
          </cell>
          <cell r="G1266" t="str">
            <v>Real</v>
          </cell>
        </row>
        <row r="1267">
          <cell r="A1267" t="str">
            <v>AGRINALCAZAR</v>
          </cell>
          <cell r="B1267">
            <v>202510</v>
          </cell>
          <cell r="D1267" t="str">
            <v>Ingeniería</v>
          </cell>
          <cell r="G1267" t="str">
            <v>Presupuesto</v>
          </cell>
        </row>
        <row r="1268">
          <cell r="A1268" t="str">
            <v>AGRINALCAZAR</v>
          </cell>
          <cell r="B1268">
            <v>202510</v>
          </cell>
          <cell r="D1268" t="str">
            <v>Ingeniería</v>
          </cell>
          <cell r="G1268" t="str">
            <v>Real</v>
          </cell>
        </row>
        <row r="1269">
          <cell r="A1269" t="str">
            <v>AGRINALCAZAR</v>
          </cell>
          <cell r="B1269">
            <v>202510</v>
          </cell>
          <cell r="D1269" t="str">
            <v>Inmobiliario</v>
          </cell>
          <cell r="G1269" t="str">
            <v>Presupuesto</v>
          </cell>
        </row>
        <row r="1270">
          <cell r="A1270" t="str">
            <v>AGRINALCAZAR</v>
          </cell>
          <cell r="B1270">
            <v>202510</v>
          </cell>
          <cell r="D1270" t="str">
            <v>Líneas Financieras</v>
          </cell>
          <cell r="G1270" t="str">
            <v>Presupuesto</v>
          </cell>
        </row>
        <row r="1271">
          <cell r="A1271" t="str">
            <v>AGRINALCAZAR</v>
          </cell>
          <cell r="B1271">
            <v>202510</v>
          </cell>
          <cell r="D1271" t="str">
            <v>Líneas Financieras</v>
          </cell>
          <cell r="G1271" t="str">
            <v>Real</v>
          </cell>
        </row>
        <row r="1272">
          <cell r="A1272" t="str">
            <v>AGRINALCAZAR</v>
          </cell>
          <cell r="B1272">
            <v>202510</v>
          </cell>
          <cell r="D1272" t="str">
            <v>Náutica</v>
          </cell>
          <cell r="G1272" t="str">
            <v>Presupuesto</v>
          </cell>
        </row>
        <row r="1273">
          <cell r="A1273" t="str">
            <v>AGRINALCAZAR</v>
          </cell>
          <cell r="B1273">
            <v>202510</v>
          </cell>
          <cell r="D1273" t="str">
            <v>Náutica</v>
          </cell>
          <cell r="G1273" t="str">
            <v>Real</v>
          </cell>
        </row>
        <row r="1274">
          <cell r="A1274" t="str">
            <v>AGRINALCAZAR</v>
          </cell>
          <cell r="B1274">
            <v>202510</v>
          </cell>
          <cell r="D1274" t="str">
            <v>Particulares Resto</v>
          </cell>
          <cell r="G1274" t="str">
            <v>Presupuesto</v>
          </cell>
        </row>
        <row r="1275">
          <cell r="A1275" t="str">
            <v>AGRINALCAZAR</v>
          </cell>
          <cell r="B1275">
            <v>202510</v>
          </cell>
          <cell r="D1275" t="str">
            <v>Property</v>
          </cell>
          <cell r="G1275" t="str">
            <v>Presupuesto</v>
          </cell>
        </row>
        <row r="1276">
          <cell r="A1276" t="str">
            <v>AGRINALCAZAR</v>
          </cell>
          <cell r="B1276">
            <v>202510</v>
          </cell>
          <cell r="D1276" t="str">
            <v>Property</v>
          </cell>
          <cell r="G1276" t="str">
            <v>Real</v>
          </cell>
        </row>
        <row r="1277">
          <cell r="A1277" t="str">
            <v>AGRINALCAZAR</v>
          </cell>
          <cell r="B1277">
            <v>202510</v>
          </cell>
          <cell r="D1277" t="str">
            <v>RC</v>
          </cell>
          <cell r="G1277" t="str">
            <v>Presupuesto</v>
          </cell>
        </row>
        <row r="1278">
          <cell r="A1278" t="str">
            <v>AGRINALCAZAR</v>
          </cell>
          <cell r="B1278">
            <v>202510</v>
          </cell>
          <cell r="D1278" t="str">
            <v>RC</v>
          </cell>
          <cell r="G1278" t="str">
            <v>Real</v>
          </cell>
        </row>
        <row r="1279">
          <cell r="A1279" t="str">
            <v>AGRINALCAZAR</v>
          </cell>
          <cell r="B1279">
            <v>202510</v>
          </cell>
          <cell r="D1279" t="str">
            <v>Resto de lineas</v>
          </cell>
          <cell r="G1279" t="str">
            <v>Presupuesto</v>
          </cell>
        </row>
        <row r="1280">
          <cell r="A1280" t="str">
            <v>AGRINALCAZAR</v>
          </cell>
          <cell r="B1280">
            <v>202510</v>
          </cell>
          <cell r="D1280" t="str">
            <v>Resto de lineas</v>
          </cell>
          <cell r="G1280" t="str">
            <v>Real</v>
          </cell>
        </row>
        <row r="1281">
          <cell r="A1281" t="str">
            <v>AGRINALCAZAR</v>
          </cell>
          <cell r="B1281">
            <v>202510</v>
          </cell>
          <cell r="D1281" t="str">
            <v>Retirada</v>
          </cell>
          <cell r="G1281" t="str">
            <v>Presupuesto</v>
          </cell>
        </row>
        <row r="1282">
          <cell r="A1282" t="str">
            <v>AGRINALCAZAR</v>
          </cell>
          <cell r="B1282">
            <v>202510</v>
          </cell>
          <cell r="D1282" t="str">
            <v>Seguros Personales (No Vida) Colectivos</v>
          </cell>
          <cell r="G1282" t="str">
            <v>Presupuesto</v>
          </cell>
        </row>
        <row r="1283">
          <cell r="A1283" t="str">
            <v>AGRINALCAZAR</v>
          </cell>
          <cell r="B1283">
            <v>202510</v>
          </cell>
          <cell r="D1283" t="str">
            <v>Seguros Personales (No Vida) Colectivos</v>
          </cell>
          <cell r="G1283" t="str">
            <v>Real</v>
          </cell>
        </row>
        <row r="1284">
          <cell r="A1284" t="str">
            <v>AGRINALCAZAR</v>
          </cell>
          <cell r="B1284">
            <v>202510</v>
          </cell>
          <cell r="D1284" t="str">
            <v>Seguros Personales (No Vida) Particular</v>
          </cell>
          <cell r="G1284" t="str">
            <v>Presupuesto</v>
          </cell>
        </row>
        <row r="1285">
          <cell r="A1285" t="str">
            <v>AGRINALCAZAR</v>
          </cell>
          <cell r="B1285">
            <v>202510</v>
          </cell>
          <cell r="D1285" t="str">
            <v>Seguros Personales (No Vida) Particular</v>
          </cell>
          <cell r="G1285" t="str">
            <v>Real</v>
          </cell>
        </row>
        <row r="1286">
          <cell r="A1286" t="str">
            <v>AGRINALCAZAR</v>
          </cell>
          <cell r="B1286">
            <v>202510</v>
          </cell>
          <cell r="D1286" t="str">
            <v>Transporte</v>
          </cell>
          <cell r="G1286" t="str">
            <v>Presupuesto</v>
          </cell>
        </row>
        <row r="1287">
          <cell r="A1287" t="str">
            <v>AGRINALCAZAR</v>
          </cell>
          <cell r="B1287">
            <v>202510</v>
          </cell>
          <cell r="D1287" t="str">
            <v>Transporte</v>
          </cell>
          <cell r="G1287" t="str">
            <v>Real</v>
          </cell>
        </row>
        <row r="1288">
          <cell r="A1288" t="str">
            <v>AGRINALCAZAR</v>
          </cell>
          <cell r="B1288">
            <v>202510</v>
          </cell>
          <cell r="D1288" t="str">
            <v>Venta Cruzada</v>
          </cell>
          <cell r="G1288" t="str">
            <v>Presupuesto</v>
          </cell>
        </row>
        <row r="1289">
          <cell r="A1289" t="str">
            <v>AGRINALCAZAR</v>
          </cell>
          <cell r="B1289">
            <v>202510</v>
          </cell>
          <cell r="D1289" t="str">
            <v>Vida Ahorro Colectivo</v>
          </cell>
          <cell r="G1289" t="str">
            <v>Presupuesto</v>
          </cell>
        </row>
        <row r="1290">
          <cell r="A1290" t="str">
            <v>AGRINALCAZAR</v>
          </cell>
          <cell r="B1290">
            <v>202510</v>
          </cell>
          <cell r="D1290" t="str">
            <v>Vida Ahorro Particular</v>
          </cell>
          <cell r="G1290" t="str">
            <v>Presupuesto</v>
          </cell>
        </row>
        <row r="1291">
          <cell r="A1291" t="str">
            <v>AGRINALCAZAR</v>
          </cell>
          <cell r="B1291">
            <v>202510</v>
          </cell>
          <cell r="D1291" t="str">
            <v>Vida Ahorro Particular</v>
          </cell>
          <cell r="G1291" t="str">
            <v>Real</v>
          </cell>
        </row>
        <row r="1292">
          <cell r="A1292" t="str">
            <v>AGRINALCAZAR</v>
          </cell>
          <cell r="B1292">
            <v>202510</v>
          </cell>
          <cell r="D1292" t="str">
            <v>Vida Ganado</v>
          </cell>
          <cell r="G1292" t="str">
            <v>Presupuesto</v>
          </cell>
        </row>
        <row r="1293">
          <cell r="A1293" t="str">
            <v>AGRINALCAZAR</v>
          </cell>
          <cell r="B1293">
            <v>202510</v>
          </cell>
          <cell r="D1293" t="str">
            <v>Vida Riesgo Colectivo</v>
          </cell>
          <cell r="G1293" t="str">
            <v>Presupuesto</v>
          </cell>
        </row>
        <row r="1294">
          <cell r="A1294" t="str">
            <v>AGRINALCAZAR</v>
          </cell>
          <cell r="B1294">
            <v>202510</v>
          </cell>
          <cell r="D1294" t="str">
            <v>Vida Riesgo Particular</v>
          </cell>
          <cell r="G1294" t="str">
            <v>Presupuesto</v>
          </cell>
        </row>
        <row r="1295">
          <cell r="A1295" t="str">
            <v>AGRINALCAZAR</v>
          </cell>
          <cell r="B1295">
            <v>202510</v>
          </cell>
          <cell r="D1295" t="str">
            <v>Vida Riesgo Particular</v>
          </cell>
          <cell r="G1295" t="str">
            <v>Real</v>
          </cell>
        </row>
        <row r="1296">
          <cell r="A1296" t="str">
            <v>AGRINALCAZAR</v>
          </cell>
          <cell r="B1296">
            <v>202511</v>
          </cell>
          <cell r="D1296" t="str">
            <v>--</v>
          </cell>
          <cell r="G1296" t="str">
            <v>Presupuesto</v>
          </cell>
        </row>
        <row r="1297">
          <cell r="A1297" t="str">
            <v>AGRINALCAZAR</v>
          </cell>
          <cell r="B1297">
            <v>202511</v>
          </cell>
          <cell r="D1297" t="str">
            <v>--</v>
          </cell>
          <cell r="G1297" t="str">
            <v>Real</v>
          </cell>
        </row>
        <row r="1298">
          <cell r="A1298" t="str">
            <v>AGRINALCAZAR</v>
          </cell>
          <cell r="B1298">
            <v>202511</v>
          </cell>
          <cell r="D1298" t="str">
            <v>Arte</v>
          </cell>
          <cell r="G1298" t="str">
            <v>Presupuesto</v>
          </cell>
        </row>
        <row r="1299">
          <cell r="A1299" t="str">
            <v>AGRINALCAZAR</v>
          </cell>
          <cell r="B1299">
            <v>202511</v>
          </cell>
          <cell r="D1299" t="str">
            <v>Autos</v>
          </cell>
          <cell r="G1299" t="str">
            <v>Presupuesto</v>
          </cell>
        </row>
        <row r="1300">
          <cell r="A1300" t="str">
            <v>AGRINALCAZAR</v>
          </cell>
          <cell r="B1300">
            <v>202511</v>
          </cell>
          <cell r="D1300" t="str">
            <v>Autos</v>
          </cell>
          <cell r="G1300" t="str">
            <v>Real</v>
          </cell>
        </row>
        <row r="1301">
          <cell r="A1301" t="str">
            <v>AGRINALCAZAR</v>
          </cell>
          <cell r="B1301">
            <v>202511</v>
          </cell>
          <cell r="D1301" t="str">
            <v>B2B2C</v>
          </cell>
          <cell r="G1301" t="str">
            <v>Presupuesto</v>
          </cell>
        </row>
        <row r="1302">
          <cell r="A1302" t="str">
            <v>AGRINALCAZAR</v>
          </cell>
          <cell r="B1302">
            <v>202511</v>
          </cell>
          <cell r="D1302" t="str">
            <v>Caución</v>
          </cell>
          <cell r="G1302" t="str">
            <v>Presupuesto</v>
          </cell>
        </row>
        <row r="1303">
          <cell r="A1303" t="str">
            <v>AGRINALCAZAR</v>
          </cell>
          <cell r="B1303">
            <v>202511</v>
          </cell>
          <cell r="D1303" t="str">
            <v>Crédito Internacional</v>
          </cell>
          <cell r="G1303" t="str">
            <v>Presupuesto</v>
          </cell>
        </row>
        <row r="1304">
          <cell r="A1304" t="str">
            <v>AGRINALCAZAR</v>
          </cell>
          <cell r="B1304">
            <v>202511</v>
          </cell>
          <cell r="D1304" t="str">
            <v>Crédito Nacional</v>
          </cell>
          <cell r="G1304" t="str">
            <v>Presupuesto</v>
          </cell>
        </row>
        <row r="1305">
          <cell r="A1305" t="str">
            <v>AGRINALCAZAR</v>
          </cell>
          <cell r="B1305">
            <v>202511</v>
          </cell>
          <cell r="D1305" t="str">
            <v>Eventos</v>
          </cell>
          <cell r="G1305" t="str">
            <v>Presupuesto</v>
          </cell>
        </row>
        <row r="1306">
          <cell r="A1306" t="str">
            <v>AGRINALCAZAR</v>
          </cell>
          <cell r="B1306">
            <v>202511</v>
          </cell>
          <cell r="D1306" t="str">
            <v>Flotas</v>
          </cell>
          <cell r="G1306" t="str">
            <v>Presupuesto</v>
          </cell>
        </row>
        <row r="1307">
          <cell r="A1307" t="str">
            <v>AGRINALCAZAR</v>
          </cell>
          <cell r="B1307">
            <v>202511</v>
          </cell>
          <cell r="D1307" t="str">
            <v>Flotas</v>
          </cell>
          <cell r="G1307" t="str">
            <v>Real</v>
          </cell>
        </row>
        <row r="1308">
          <cell r="A1308" t="str">
            <v>AGRINALCAZAR</v>
          </cell>
          <cell r="B1308">
            <v>202511</v>
          </cell>
          <cell r="D1308" t="str">
            <v>Hogar</v>
          </cell>
          <cell r="G1308" t="str">
            <v>Presupuesto</v>
          </cell>
        </row>
        <row r="1309">
          <cell r="A1309" t="str">
            <v>AGRINALCAZAR</v>
          </cell>
          <cell r="B1309">
            <v>202511</v>
          </cell>
          <cell r="D1309" t="str">
            <v>Hogar</v>
          </cell>
          <cell r="G1309" t="str">
            <v>Real</v>
          </cell>
        </row>
        <row r="1310">
          <cell r="A1310" t="str">
            <v>AGRINALCAZAR</v>
          </cell>
          <cell r="B1310">
            <v>202511</v>
          </cell>
          <cell r="D1310" t="str">
            <v>Ingeniería</v>
          </cell>
          <cell r="G1310" t="str">
            <v>Presupuesto</v>
          </cell>
        </row>
        <row r="1311">
          <cell r="A1311" t="str">
            <v>AGRINALCAZAR</v>
          </cell>
          <cell r="B1311">
            <v>202511</v>
          </cell>
          <cell r="D1311" t="str">
            <v>Ingeniería</v>
          </cell>
          <cell r="G1311" t="str">
            <v>Real</v>
          </cell>
        </row>
        <row r="1312">
          <cell r="A1312" t="str">
            <v>AGRINALCAZAR</v>
          </cell>
          <cell r="B1312">
            <v>202511</v>
          </cell>
          <cell r="D1312" t="str">
            <v>Inmobiliario</v>
          </cell>
          <cell r="G1312" t="str">
            <v>Presupuesto</v>
          </cell>
        </row>
        <row r="1313">
          <cell r="A1313" t="str">
            <v>AGRINALCAZAR</v>
          </cell>
          <cell r="B1313">
            <v>202511</v>
          </cell>
          <cell r="D1313" t="str">
            <v>Líneas Financieras</v>
          </cell>
          <cell r="G1313" t="str">
            <v>Presupuesto</v>
          </cell>
        </row>
        <row r="1314">
          <cell r="A1314" t="str">
            <v>AGRINALCAZAR</v>
          </cell>
          <cell r="B1314">
            <v>202511</v>
          </cell>
          <cell r="D1314" t="str">
            <v>Líneas Financieras</v>
          </cell>
          <cell r="G1314" t="str">
            <v>Real</v>
          </cell>
        </row>
        <row r="1315">
          <cell r="A1315" t="str">
            <v>AGRINALCAZAR</v>
          </cell>
          <cell r="B1315">
            <v>202511</v>
          </cell>
          <cell r="D1315" t="str">
            <v>Náutica</v>
          </cell>
          <cell r="G1315" t="str">
            <v>Presupuesto</v>
          </cell>
        </row>
        <row r="1316">
          <cell r="A1316" t="str">
            <v>AGRINALCAZAR</v>
          </cell>
          <cell r="B1316">
            <v>202511</v>
          </cell>
          <cell r="D1316" t="str">
            <v>Náutica</v>
          </cell>
          <cell r="G1316" t="str">
            <v>Real</v>
          </cell>
        </row>
        <row r="1317">
          <cell r="A1317" t="str">
            <v>AGRINALCAZAR</v>
          </cell>
          <cell r="B1317">
            <v>202511</v>
          </cell>
          <cell r="D1317" t="str">
            <v>Particulares Resto</v>
          </cell>
          <cell r="G1317" t="str">
            <v>Presupuesto</v>
          </cell>
        </row>
        <row r="1318">
          <cell r="A1318" t="str">
            <v>AGRINALCAZAR</v>
          </cell>
          <cell r="B1318">
            <v>202511</v>
          </cell>
          <cell r="D1318" t="str">
            <v>Property</v>
          </cell>
          <cell r="G1318" t="str">
            <v>Presupuesto</v>
          </cell>
        </row>
        <row r="1319">
          <cell r="A1319" t="str">
            <v>AGRINALCAZAR</v>
          </cell>
          <cell r="B1319">
            <v>202511</v>
          </cell>
          <cell r="D1319" t="str">
            <v>Property</v>
          </cell>
          <cell r="G1319" t="str">
            <v>Real</v>
          </cell>
        </row>
        <row r="1320">
          <cell r="A1320" t="str">
            <v>AGRINALCAZAR</v>
          </cell>
          <cell r="B1320">
            <v>202511</v>
          </cell>
          <cell r="D1320" t="str">
            <v>RC</v>
          </cell>
          <cell r="G1320" t="str">
            <v>Presupuesto</v>
          </cell>
        </row>
        <row r="1321">
          <cell r="A1321" t="str">
            <v>AGRINALCAZAR</v>
          </cell>
          <cell r="B1321">
            <v>202511</v>
          </cell>
          <cell r="D1321" t="str">
            <v>RC</v>
          </cell>
          <cell r="G1321" t="str">
            <v>Real</v>
          </cell>
        </row>
        <row r="1322">
          <cell r="A1322" t="str">
            <v>AGRINALCAZAR</v>
          </cell>
          <cell r="B1322">
            <v>202511</v>
          </cell>
          <cell r="D1322" t="str">
            <v>Resto de lineas</v>
          </cell>
          <cell r="G1322" t="str">
            <v>Presupuesto</v>
          </cell>
        </row>
        <row r="1323">
          <cell r="A1323" t="str">
            <v>AGRINALCAZAR</v>
          </cell>
          <cell r="B1323">
            <v>202511</v>
          </cell>
          <cell r="D1323" t="str">
            <v>Resto de lineas</v>
          </cell>
          <cell r="G1323" t="str">
            <v>Real</v>
          </cell>
        </row>
        <row r="1324">
          <cell r="A1324" t="str">
            <v>AGRINALCAZAR</v>
          </cell>
          <cell r="B1324">
            <v>202511</v>
          </cell>
          <cell r="D1324" t="str">
            <v>Retirada</v>
          </cell>
          <cell r="G1324" t="str">
            <v>Presupuesto</v>
          </cell>
        </row>
        <row r="1325">
          <cell r="A1325" t="str">
            <v>AGRINALCAZAR</v>
          </cell>
          <cell r="B1325">
            <v>202511</v>
          </cell>
          <cell r="D1325" t="str">
            <v>Seguros Personales (No Vida) Colectivos</v>
          </cell>
          <cell r="G1325" t="str">
            <v>Presupuesto</v>
          </cell>
        </row>
        <row r="1326">
          <cell r="A1326" t="str">
            <v>AGRINALCAZAR</v>
          </cell>
          <cell r="B1326">
            <v>202511</v>
          </cell>
          <cell r="D1326" t="str">
            <v>Seguros Personales (No Vida) Colectivos</v>
          </cell>
          <cell r="G1326" t="str">
            <v>Real</v>
          </cell>
        </row>
        <row r="1327">
          <cell r="A1327" t="str">
            <v>AGRINALCAZAR</v>
          </cell>
          <cell r="B1327">
            <v>202511</v>
          </cell>
          <cell r="D1327" t="str">
            <v>Seguros Personales (No Vida) Particular</v>
          </cell>
          <cell r="G1327" t="str">
            <v>Presupuesto</v>
          </cell>
        </row>
        <row r="1328">
          <cell r="A1328" t="str">
            <v>AGRINALCAZAR</v>
          </cell>
          <cell r="B1328">
            <v>202511</v>
          </cell>
          <cell r="D1328" t="str">
            <v>Seguros Personales (No Vida) Particular</v>
          </cell>
          <cell r="G1328" t="str">
            <v>Real</v>
          </cell>
        </row>
        <row r="1329">
          <cell r="A1329" t="str">
            <v>AGRINALCAZAR</v>
          </cell>
          <cell r="B1329">
            <v>202511</v>
          </cell>
          <cell r="D1329" t="str">
            <v>Transporte</v>
          </cell>
          <cell r="G1329" t="str">
            <v>Presupuesto</v>
          </cell>
        </row>
        <row r="1330">
          <cell r="A1330" t="str">
            <v>AGRINALCAZAR</v>
          </cell>
          <cell r="B1330">
            <v>202511</v>
          </cell>
          <cell r="D1330" t="str">
            <v>Transporte</v>
          </cell>
          <cell r="G1330" t="str">
            <v>Real</v>
          </cell>
        </row>
        <row r="1331">
          <cell r="A1331" t="str">
            <v>AGRINALCAZAR</v>
          </cell>
          <cell r="B1331">
            <v>202511</v>
          </cell>
          <cell r="D1331" t="str">
            <v>Venta Cruzada</v>
          </cell>
          <cell r="G1331" t="str">
            <v>Presupuesto</v>
          </cell>
        </row>
        <row r="1332">
          <cell r="A1332" t="str">
            <v>AGRINALCAZAR</v>
          </cell>
          <cell r="B1332">
            <v>202511</v>
          </cell>
          <cell r="D1332" t="str">
            <v>Vida Ahorro Colectivo</v>
          </cell>
          <cell r="G1332" t="str">
            <v>Presupuesto</v>
          </cell>
        </row>
        <row r="1333">
          <cell r="A1333" t="str">
            <v>AGRINALCAZAR</v>
          </cell>
          <cell r="B1333">
            <v>202511</v>
          </cell>
          <cell r="D1333" t="str">
            <v>Vida Ahorro Particular</v>
          </cell>
          <cell r="G1333" t="str">
            <v>Presupuesto</v>
          </cell>
        </row>
        <row r="1334">
          <cell r="A1334" t="str">
            <v>AGRINALCAZAR</v>
          </cell>
          <cell r="B1334">
            <v>202511</v>
          </cell>
          <cell r="D1334" t="str">
            <v>Vida Ahorro Particular</v>
          </cell>
          <cell r="G1334" t="str">
            <v>Real</v>
          </cell>
        </row>
        <row r="1335">
          <cell r="A1335" t="str">
            <v>AGRINALCAZAR</v>
          </cell>
          <cell r="B1335">
            <v>202511</v>
          </cell>
          <cell r="D1335" t="str">
            <v>Vida Ganado</v>
          </cell>
          <cell r="G1335" t="str">
            <v>Presupuesto</v>
          </cell>
        </row>
        <row r="1336">
          <cell r="A1336" t="str">
            <v>AGRINALCAZAR</v>
          </cell>
          <cell r="B1336">
            <v>202511</v>
          </cell>
          <cell r="D1336" t="str">
            <v>Vida Riesgo Colectivo</v>
          </cell>
          <cell r="G1336" t="str">
            <v>Presupuesto</v>
          </cell>
        </row>
        <row r="1337">
          <cell r="A1337" t="str">
            <v>AGRINALCAZAR</v>
          </cell>
          <cell r="B1337">
            <v>202511</v>
          </cell>
          <cell r="D1337" t="str">
            <v>Vida Riesgo Particular</v>
          </cell>
          <cell r="G1337" t="str">
            <v>Presupuesto</v>
          </cell>
        </row>
        <row r="1338">
          <cell r="A1338" t="str">
            <v>AGRINALCAZAR</v>
          </cell>
          <cell r="B1338">
            <v>202511</v>
          </cell>
          <cell r="D1338" t="str">
            <v>Vida Riesgo Particular</v>
          </cell>
          <cell r="G1338" t="str">
            <v>Real</v>
          </cell>
        </row>
        <row r="1339">
          <cell r="A1339" t="str">
            <v>AGRINALCAZAR</v>
          </cell>
          <cell r="B1339">
            <v>202512</v>
          </cell>
          <cell r="D1339" t="str">
            <v>--</v>
          </cell>
          <cell r="G1339" t="str">
            <v>Presupuesto</v>
          </cell>
        </row>
        <row r="1340">
          <cell r="A1340" t="str">
            <v>AGRINALCAZAR</v>
          </cell>
          <cell r="B1340">
            <v>202512</v>
          </cell>
          <cell r="D1340" t="str">
            <v>--</v>
          </cell>
          <cell r="G1340" t="str">
            <v>Real</v>
          </cell>
        </row>
        <row r="1341">
          <cell r="A1341" t="str">
            <v>AGRINALCAZAR</v>
          </cell>
          <cell r="B1341">
            <v>202512</v>
          </cell>
          <cell r="D1341" t="str">
            <v>Resto de Lineas</v>
          </cell>
          <cell r="G1341" t="str">
            <v>Real</v>
          </cell>
        </row>
        <row r="1342">
          <cell r="A1342" t="str">
            <v>AGRINALCAZAR</v>
          </cell>
          <cell r="B1342">
            <v>202512</v>
          </cell>
          <cell r="D1342" t="str">
            <v>Arte</v>
          </cell>
          <cell r="G1342" t="str">
            <v>Presupuesto</v>
          </cell>
        </row>
        <row r="1343">
          <cell r="A1343" t="str">
            <v>AGRINALCAZAR</v>
          </cell>
          <cell r="B1343">
            <v>202512</v>
          </cell>
          <cell r="D1343" t="str">
            <v>Autos</v>
          </cell>
          <cell r="G1343" t="str">
            <v>Presupuesto</v>
          </cell>
        </row>
        <row r="1344">
          <cell r="A1344" t="str">
            <v>AGRINALCAZAR</v>
          </cell>
          <cell r="B1344">
            <v>202512</v>
          </cell>
          <cell r="D1344" t="str">
            <v>Autos</v>
          </cell>
          <cell r="G1344" t="str">
            <v>Real</v>
          </cell>
        </row>
        <row r="1345">
          <cell r="A1345" t="str">
            <v>AGRINALCAZAR</v>
          </cell>
          <cell r="B1345">
            <v>202512</v>
          </cell>
          <cell r="D1345" t="str">
            <v>B2B2C</v>
          </cell>
          <cell r="G1345" t="str">
            <v>Presupuesto</v>
          </cell>
        </row>
        <row r="1346">
          <cell r="A1346" t="str">
            <v>AGRINALCAZAR</v>
          </cell>
          <cell r="B1346">
            <v>202512</v>
          </cell>
          <cell r="D1346" t="str">
            <v>Caución</v>
          </cell>
          <cell r="G1346" t="str">
            <v>Presupuesto</v>
          </cell>
        </row>
        <row r="1347">
          <cell r="A1347" t="str">
            <v>AGRINALCAZAR</v>
          </cell>
          <cell r="B1347">
            <v>202512</v>
          </cell>
          <cell r="D1347" t="str">
            <v>Crédito Internacional</v>
          </cell>
          <cell r="G1347" t="str">
            <v>Presupuesto</v>
          </cell>
        </row>
        <row r="1348">
          <cell r="A1348" t="str">
            <v>AGRINALCAZAR</v>
          </cell>
          <cell r="B1348">
            <v>202512</v>
          </cell>
          <cell r="D1348" t="str">
            <v>Crédito Nacional</v>
          </cell>
          <cell r="G1348" t="str">
            <v>Presupuesto</v>
          </cell>
        </row>
        <row r="1349">
          <cell r="A1349" t="str">
            <v>AGRINALCAZAR</v>
          </cell>
          <cell r="B1349">
            <v>202512</v>
          </cell>
          <cell r="D1349" t="str">
            <v>Eventos</v>
          </cell>
          <cell r="G1349" t="str">
            <v>Presupuesto</v>
          </cell>
        </row>
        <row r="1350">
          <cell r="A1350" t="str">
            <v>AGRINALCAZAR</v>
          </cell>
          <cell r="B1350">
            <v>202512</v>
          </cell>
          <cell r="D1350" t="str">
            <v>Flotas</v>
          </cell>
          <cell r="G1350" t="str">
            <v>Presupuesto</v>
          </cell>
        </row>
        <row r="1351">
          <cell r="A1351" t="str">
            <v>AGRINALCAZAR</v>
          </cell>
          <cell r="B1351">
            <v>202512</v>
          </cell>
          <cell r="D1351" t="str">
            <v>Flotas</v>
          </cell>
          <cell r="G1351" t="str">
            <v>Real</v>
          </cell>
        </row>
        <row r="1352">
          <cell r="A1352" t="str">
            <v>AGRINALCAZAR</v>
          </cell>
          <cell r="B1352">
            <v>202512</v>
          </cell>
          <cell r="D1352" t="str">
            <v>Hogar</v>
          </cell>
          <cell r="G1352" t="str">
            <v>Presupuesto</v>
          </cell>
        </row>
        <row r="1353">
          <cell r="A1353" t="str">
            <v>AGRINALCAZAR</v>
          </cell>
          <cell r="B1353">
            <v>202512</v>
          </cell>
          <cell r="D1353" t="str">
            <v>Hogar</v>
          </cell>
          <cell r="G1353" t="str">
            <v>Real</v>
          </cell>
        </row>
        <row r="1354">
          <cell r="A1354" t="str">
            <v>AGRINALCAZAR</v>
          </cell>
          <cell r="B1354">
            <v>202512</v>
          </cell>
          <cell r="D1354" t="str">
            <v>Ingeniería</v>
          </cell>
          <cell r="G1354" t="str">
            <v>Presupuesto</v>
          </cell>
        </row>
        <row r="1355">
          <cell r="A1355" t="str">
            <v>AGRINALCAZAR</v>
          </cell>
          <cell r="B1355">
            <v>202512</v>
          </cell>
          <cell r="D1355" t="str">
            <v>Ingeniería</v>
          </cell>
          <cell r="G1355" t="str">
            <v>Real</v>
          </cell>
        </row>
        <row r="1356">
          <cell r="A1356" t="str">
            <v>AGRINALCAZAR</v>
          </cell>
          <cell r="B1356">
            <v>202512</v>
          </cell>
          <cell r="D1356" t="str">
            <v>Inmobiliario</v>
          </cell>
          <cell r="G1356" t="str">
            <v>Presupuesto</v>
          </cell>
        </row>
        <row r="1357">
          <cell r="A1357" t="str">
            <v>AGRINALCAZAR</v>
          </cell>
          <cell r="B1357">
            <v>202512</v>
          </cell>
          <cell r="D1357" t="str">
            <v>Líneas Financieras</v>
          </cell>
          <cell r="G1357" t="str">
            <v>Presupuesto</v>
          </cell>
        </row>
        <row r="1358">
          <cell r="A1358" t="str">
            <v>AGRINALCAZAR</v>
          </cell>
          <cell r="B1358">
            <v>202512</v>
          </cell>
          <cell r="D1358" t="str">
            <v>Líneas Financieras</v>
          </cell>
          <cell r="G1358" t="str">
            <v>Real</v>
          </cell>
        </row>
        <row r="1359">
          <cell r="A1359" t="str">
            <v>AGRINALCAZAR</v>
          </cell>
          <cell r="B1359">
            <v>202512</v>
          </cell>
          <cell r="D1359" t="str">
            <v>Náutica</v>
          </cell>
          <cell r="G1359" t="str">
            <v>Presupuesto</v>
          </cell>
        </row>
        <row r="1360">
          <cell r="A1360" t="str">
            <v>AGRINALCAZAR</v>
          </cell>
          <cell r="B1360">
            <v>202512</v>
          </cell>
          <cell r="D1360" t="str">
            <v>Náutica</v>
          </cell>
          <cell r="G1360" t="str">
            <v>Real</v>
          </cell>
        </row>
        <row r="1361">
          <cell r="A1361" t="str">
            <v>AGRINALCAZAR</v>
          </cell>
          <cell r="B1361">
            <v>202512</v>
          </cell>
          <cell r="D1361" t="str">
            <v>Particulares Resto</v>
          </cell>
          <cell r="G1361" t="str">
            <v>Presupuesto</v>
          </cell>
        </row>
        <row r="1362">
          <cell r="A1362" t="str">
            <v>AGRINALCAZAR</v>
          </cell>
          <cell r="B1362">
            <v>202512</v>
          </cell>
          <cell r="D1362" t="str">
            <v>Property</v>
          </cell>
          <cell r="G1362" t="str">
            <v>Presupuesto</v>
          </cell>
        </row>
        <row r="1363">
          <cell r="A1363" t="str">
            <v>AGRINALCAZAR</v>
          </cell>
          <cell r="B1363">
            <v>202512</v>
          </cell>
          <cell r="D1363" t="str">
            <v>Property</v>
          </cell>
          <cell r="G1363" t="str">
            <v>Real</v>
          </cell>
        </row>
        <row r="1364">
          <cell r="A1364" t="str">
            <v>AGRINALCAZAR</v>
          </cell>
          <cell r="B1364">
            <v>202512</v>
          </cell>
          <cell r="D1364" t="str">
            <v>RC</v>
          </cell>
          <cell r="G1364" t="str">
            <v>Presupuesto</v>
          </cell>
        </row>
        <row r="1365">
          <cell r="A1365" t="str">
            <v>AGRINALCAZAR</v>
          </cell>
          <cell r="B1365">
            <v>202512</v>
          </cell>
          <cell r="D1365" t="str">
            <v>RC</v>
          </cell>
          <cell r="G1365" t="str">
            <v>Real</v>
          </cell>
        </row>
        <row r="1366">
          <cell r="A1366" t="str">
            <v>AGRINALCAZAR</v>
          </cell>
          <cell r="B1366">
            <v>202512</v>
          </cell>
          <cell r="D1366" t="str">
            <v>Resto de lineas</v>
          </cell>
          <cell r="G1366" t="str">
            <v>Presupuesto</v>
          </cell>
        </row>
        <row r="1367">
          <cell r="A1367" t="str">
            <v>AGRINALCAZAR</v>
          </cell>
          <cell r="B1367">
            <v>202512</v>
          </cell>
          <cell r="D1367" t="str">
            <v>Resto de lineas</v>
          </cell>
          <cell r="G1367" t="str">
            <v>Real</v>
          </cell>
        </row>
        <row r="1368">
          <cell r="A1368" t="str">
            <v>AGRINALCAZAR</v>
          </cell>
          <cell r="B1368">
            <v>202512</v>
          </cell>
          <cell r="D1368" t="str">
            <v>Retirada</v>
          </cell>
          <cell r="G1368" t="str">
            <v>Presupuesto</v>
          </cell>
        </row>
        <row r="1369">
          <cell r="A1369" t="str">
            <v>AGRINALCAZAR</v>
          </cell>
          <cell r="B1369">
            <v>202512</v>
          </cell>
          <cell r="D1369" t="str">
            <v>Seguros Personales (No Vida) Colectivos</v>
          </cell>
          <cell r="G1369" t="str">
            <v>Presupuesto</v>
          </cell>
        </row>
        <row r="1370">
          <cell r="A1370" t="str">
            <v>AGRINALCAZAR</v>
          </cell>
          <cell r="B1370">
            <v>202512</v>
          </cell>
          <cell r="D1370" t="str">
            <v>Seguros Personales (No Vida) Colectivos</v>
          </cell>
          <cell r="G1370" t="str">
            <v>Real</v>
          </cell>
        </row>
        <row r="1371">
          <cell r="A1371" t="str">
            <v>AGRINALCAZAR</v>
          </cell>
          <cell r="B1371">
            <v>202512</v>
          </cell>
          <cell r="D1371" t="str">
            <v>Seguros Personales (No Vida) Particular</v>
          </cell>
          <cell r="G1371" t="str">
            <v>Presupuesto</v>
          </cell>
        </row>
        <row r="1372">
          <cell r="A1372" t="str">
            <v>AGRINALCAZAR</v>
          </cell>
          <cell r="B1372">
            <v>202512</v>
          </cell>
          <cell r="D1372" t="str">
            <v>Seguros Personales (No Vida) Particular</v>
          </cell>
          <cell r="G1372" t="str">
            <v>Real</v>
          </cell>
        </row>
        <row r="1373">
          <cell r="A1373" t="str">
            <v>AGRINALCAZAR</v>
          </cell>
          <cell r="B1373">
            <v>202512</v>
          </cell>
          <cell r="D1373" t="str">
            <v>Transporte</v>
          </cell>
          <cell r="G1373" t="str">
            <v>Presupuesto</v>
          </cell>
        </row>
        <row r="1374">
          <cell r="A1374" t="str">
            <v>AGRINALCAZAR</v>
          </cell>
          <cell r="B1374">
            <v>202512</v>
          </cell>
          <cell r="D1374" t="str">
            <v>Transporte</v>
          </cell>
          <cell r="G1374" t="str">
            <v>Real</v>
          </cell>
        </row>
        <row r="1375">
          <cell r="A1375" t="str">
            <v>AGRINALCAZAR</v>
          </cell>
          <cell r="B1375">
            <v>202512</v>
          </cell>
          <cell r="D1375" t="str">
            <v>Venta Cruzada</v>
          </cell>
          <cell r="G1375" t="str">
            <v>Presupuesto</v>
          </cell>
        </row>
        <row r="1376">
          <cell r="A1376" t="str">
            <v>AGRINALCAZAR</v>
          </cell>
          <cell r="B1376">
            <v>202512</v>
          </cell>
          <cell r="D1376" t="str">
            <v>Vida Ahorro Colectivo</v>
          </cell>
          <cell r="G1376" t="str">
            <v>Presupuesto</v>
          </cell>
        </row>
        <row r="1377">
          <cell r="A1377" t="str">
            <v>AGRINALCAZAR</v>
          </cell>
          <cell r="B1377">
            <v>202512</v>
          </cell>
          <cell r="D1377" t="str">
            <v>Vida Ahorro Particular</v>
          </cell>
          <cell r="G1377" t="str">
            <v>Presupuesto</v>
          </cell>
        </row>
        <row r="1378">
          <cell r="A1378" t="str">
            <v>AGRINALCAZAR</v>
          </cell>
          <cell r="B1378">
            <v>202512</v>
          </cell>
          <cell r="D1378" t="str">
            <v>Vida Ahorro Particular</v>
          </cell>
          <cell r="G1378" t="str">
            <v>Real</v>
          </cell>
        </row>
        <row r="1379">
          <cell r="A1379" t="str">
            <v>AGRINALCAZAR</v>
          </cell>
          <cell r="B1379">
            <v>202512</v>
          </cell>
          <cell r="D1379" t="str">
            <v>Vida Ganado</v>
          </cell>
          <cell r="G1379" t="str">
            <v>Presupuesto</v>
          </cell>
        </row>
        <row r="1380">
          <cell r="A1380" t="str">
            <v>AGRINALCAZAR</v>
          </cell>
          <cell r="B1380">
            <v>202512</v>
          </cell>
          <cell r="D1380" t="str">
            <v>Vida Riesgo Colectivo</v>
          </cell>
          <cell r="G1380" t="str">
            <v>Presupuesto</v>
          </cell>
        </row>
        <row r="1381">
          <cell r="A1381" t="str">
            <v>AGRINALCAZAR</v>
          </cell>
          <cell r="B1381">
            <v>202512</v>
          </cell>
          <cell r="D1381" t="str">
            <v>Vida Riesgo Particular</v>
          </cell>
          <cell r="G1381" t="str">
            <v>Presupuesto</v>
          </cell>
        </row>
        <row r="1382">
          <cell r="A1382" t="str">
            <v>AGRINALCAZAR</v>
          </cell>
          <cell r="B1382">
            <v>202512</v>
          </cell>
          <cell r="D1382" t="str">
            <v>Vida Riesgo Particular</v>
          </cell>
          <cell r="G1382" t="str">
            <v>Real</v>
          </cell>
        </row>
        <row r="1383">
          <cell r="A1383" t="str">
            <v>ARAYTOR</v>
          </cell>
          <cell r="B1383">
            <v>202401</v>
          </cell>
          <cell r="D1383" t="str">
            <v>--</v>
          </cell>
          <cell r="G1383" t="str">
            <v>Real</v>
          </cell>
        </row>
        <row r="1384">
          <cell r="A1384" t="str">
            <v>ARAYTOR</v>
          </cell>
          <cell r="B1384">
            <v>202401</v>
          </cell>
          <cell r="D1384" t="str">
            <v>Arte</v>
          </cell>
          <cell r="G1384" t="str">
            <v>Real</v>
          </cell>
        </row>
        <row r="1385">
          <cell r="A1385" t="str">
            <v>ARAYTOR</v>
          </cell>
          <cell r="B1385">
            <v>202401</v>
          </cell>
          <cell r="D1385" t="str">
            <v>Autos</v>
          </cell>
          <cell r="G1385" t="str">
            <v>Real</v>
          </cell>
        </row>
        <row r="1386">
          <cell r="A1386" t="str">
            <v>ARAYTOR</v>
          </cell>
          <cell r="B1386">
            <v>202401</v>
          </cell>
          <cell r="D1386" t="str">
            <v>Caución</v>
          </cell>
          <cell r="G1386" t="str">
            <v>Real</v>
          </cell>
        </row>
        <row r="1387">
          <cell r="A1387" t="str">
            <v>ARAYTOR</v>
          </cell>
          <cell r="B1387">
            <v>202401</v>
          </cell>
          <cell r="D1387" t="str">
            <v>Eventos</v>
          </cell>
          <cell r="G1387" t="str">
            <v>Real</v>
          </cell>
        </row>
        <row r="1388">
          <cell r="A1388" t="str">
            <v>ARAYTOR</v>
          </cell>
          <cell r="B1388">
            <v>202401</v>
          </cell>
          <cell r="D1388" t="str">
            <v>Flotas</v>
          </cell>
          <cell r="G1388" t="str">
            <v>Real</v>
          </cell>
        </row>
        <row r="1389">
          <cell r="A1389" t="str">
            <v>ARAYTOR</v>
          </cell>
          <cell r="B1389">
            <v>202401</v>
          </cell>
          <cell r="D1389" t="str">
            <v>Hogar</v>
          </cell>
          <cell r="G1389" t="str">
            <v>Real</v>
          </cell>
        </row>
        <row r="1390">
          <cell r="A1390" t="str">
            <v>ARAYTOR</v>
          </cell>
          <cell r="B1390">
            <v>202401</v>
          </cell>
          <cell r="D1390" t="str">
            <v>Ingeniería</v>
          </cell>
          <cell r="G1390" t="str">
            <v>Real</v>
          </cell>
        </row>
        <row r="1391">
          <cell r="A1391" t="str">
            <v>ARAYTOR</v>
          </cell>
          <cell r="B1391">
            <v>202401</v>
          </cell>
          <cell r="D1391" t="str">
            <v>Líneas Financieras</v>
          </cell>
          <cell r="G1391" t="str">
            <v>Real</v>
          </cell>
        </row>
        <row r="1392">
          <cell r="A1392" t="str">
            <v>ARAYTOR</v>
          </cell>
          <cell r="B1392">
            <v>202401</v>
          </cell>
          <cell r="D1392" t="str">
            <v>Náutica</v>
          </cell>
          <cell r="G1392" t="str">
            <v>Real</v>
          </cell>
        </row>
        <row r="1393">
          <cell r="A1393" t="str">
            <v>ARAYTOR</v>
          </cell>
          <cell r="B1393">
            <v>202401</v>
          </cell>
          <cell r="D1393" t="str">
            <v>Particulares Resto</v>
          </cell>
          <cell r="G1393" t="str">
            <v>Real</v>
          </cell>
        </row>
        <row r="1394">
          <cell r="A1394" t="str">
            <v>ARAYTOR</v>
          </cell>
          <cell r="B1394">
            <v>202401</v>
          </cell>
          <cell r="D1394" t="str">
            <v>Property</v>
          </cell>
          <cell r="G1394" t="str">
            <v>Real</v>
          </cell>
        </row>
        <row r="1395">
          <cell r="A1395" t="str">
            <v>ARAYTOR</v>
          </cell>
          <cell r="B1395">
            <v>202401</v>
          </cell>
          <cell r="D1395" t="str">
            <v>RC</v>
          </cell>
          <cell r="G1395" t="str">
            <v>Real</v>
          </cell>
        </row>
        <row r="1396">
          <cell r="A1396" t="str">
            <v>ARAYTOR</v>
          </cell>
          <cell r="B1396">
            <v>202401</v>
          </cell>
          <cell r="D1396" t="str">
            <v>Seguros Personales (No Vida) Colectivos</v>
          </cell>
          <cell r="G1396" t="str">
            <v>Real</v>
          </cell>
        </row>
        <row r="1397">
          <cell r="A1397" t="str">
            <v>ARAYTOR</v>
          </cell>
          <cell r="B1397">
            <v>202401</v>
          </cell>
          <cell r="D1397" t="str">
            <v>Seguros Personales (No Vida) Particular</v>
          </cell>
          <cell r="G1397" t="str">
            <v>Real</v>
          </cell>
        </row>
        <row r="1398">
          <cell r="A1398" t="str">
            <v>ARAYTOR</v>
          </cell>
          <cell r="B1398">
            <v>202401</v>
          </cell>
          <cell r="D1398" t="str">
            <v>Transporte</v>
          </cell>
          <cell r="G1398" t="str">
            <v>Real</v>
          </cell>
        </row>
        <row r="1399">
          <cell r="A1399" t="str">
            <v>ARAYTOR</v>
          </cell>
          <cell r="B1399">
            <v>202401</v>
          </cell>
          <cell r="D1399" t="str">
            <v>Vida Ahorro Particular</v>
          </cell>
          <cell r="G1399" t="str">
            <v>Real</v>
          </cell>
        </row>
        <row r="1400">
          <cell r="A1400" t="str">
            <v>ARAYTOR</v>
          </cell>
          <cell r="B1400">
            <v>202401</v>
          </cell>
          <cell r="D1400" t="str">
            <v>Vida Riesgo Colectivo</v>
          </cell>
          <cell r="G1400" t="str">
            <v>Real</v>
          </cell>
        </row>
        <row r="1401">
          <cell r="A1401" t="str">
            <v>ARAYTOR</v>
          </cell>
          <cell r="B1401">
            <v>202401</v>
          </cell>
          <cell r="D1401" t="str">
            <v>Vida Riesgo Particular</v>
          </cell>
          <cell r="G1401" t="str">
            <v>Real</v>
          </cell>
        </row>
        <row r="1402">
          <cell r="A1402" t="str">
            <v>ARAYTOR</v>
          </cell>
          <cell r="B1402">
            <v>202402</v>
          </cell>
          <cell r="D1402" t="str">
            <v>--</v>
          </cell>
          <cell r="G1402" t="str">
            <v>Real</v>
          </cell>
        </row>
        <row r="1403">
          <cell r="A1403" t="str">
            <v>ARAYTOR</v>
          </cell>
          <cell r="B1403">
            <v>202402</v>
          </cell>
          <cell r="D1403" t="str">
            <v>Arte</v>
          </cell>
          <cell r="G1403" t="str">
            <v>Real</v>
          </cell>
        </row>
        <row r="1404">
          <cell r="A1404" t="str">
            <v>ARAYTOR</v>
          </cell>
          <cell r="B1404">
            <v>202402</v>
          </cell>
          <cell r="D1404" t="str">
            <v>Autos</v>
          </cell>
          <cell r="G1404" t="str">
            <v>Real</v>
          </cell>
        </row>
        <row r="1405">
          <cell r="A1405" t="str">
            <v>ARAYTOR</v>
          </cell>
          <cell r="B1405">
            <v>202402</v>
          </cell>
          <cell r="D1405" t="str">
            <v>Eventos</v>
          </cell>
          <cell r="G1405" t="str">
            <v>Real</v>
          </cell>
        </row>
        <row r="1406">
          <cell r="A1406" t="str">
            <v>ARAYTOR</v>
          </cell>
          <cell r="B1406">
            <v>202402</v>
          </cell>
          <cell r="D1406" t="str">
            <v>Flotas</v>
          </cell>
          <cell r="G1406" t="str">
            <v>Real</v>
          </cell>
        </row>
        <row r="1407">
          <cell r="A1407" t="str">
            <v>ARAYTOR</v>
          </cell>
          <cell r="B1407">
            <v>202402</v>
          </cell>
          <cell r="D1407" t="str">
            <v>Hogar</v>
          </cell>
          <cell r="G1407" t="str">
            <v>Real</v>
          </cell>
        </row>
        <row r="1408">
          <cell r="A1408" t="str">
            <v>ARAYTOR</v>
          </cell>
          <cell r="B1408">
            <v>202402</v>
          </cell>
          <cell r="D1408" t="str">
            <v>Ingeniería</v>
          </cell>
          <cell r="G1408" t="str">
            <v>Real</v>
          </cell>
        </row>
        <row r="1409">
          <cell r="A1409" t="str">
            <v>ARAYTOR</v>
          </cell>
          <cell r="B1409">
            <v>202402</v>
          </cell>
          <cell r="D1409" t="str">
            <v>Náutica</v>
          </cell>
          <cell r="G1409" t="str">
            <v>Real</v>
          </cell>
        </row>
        <row r="1410">
          <cell r="A1410" t="str">
            <v>ARAYTOR</v>
          </cell>
          <cell r="B1410">
            <v>202402</v>
          </cell>
          <cell r="D1410" t="str">
            <v>Particulares Resto</v>
          </cell>
          <cell r="G1410" t="str">
            <v>Real</v>
          </cell>
        </row>
        <row r="1411">
          <cell r="A1411" t="str">
            <v>ARAYTOR</v>
          </cell>
          <cell r="B1411">
            <v>202402</v>
          </cell>
          <cell r="D1411" t="str">
            <v>Property</v>
          </cell>
          <cell r="G1411" t="str">
            <v>Real</v>
          </cell>
        </row>
        <row r="1412">
          <cell r="A1412" t="str">
            <v>ARAYTOR</v>
          </cell>
          <cell r="B1412">
            <v>202402</v>
          </cell>
          <cell r="D1412" t="str">
            <v>RC</v>
          </cell>
          <cell r="G1412" t="str">
            <v>Real</v>
          </cell>
        </row>
        <row r="1413">
          <cell r="A1413" t="str">
            <v>ARAYTOR</v>
          </cell>
          <cell r="B1413">
            <v>202402</v>
          </cell>
          <cell r="D1413" t="str">
            <v>Seguros Personales (No Vida) Colectivos</v>
          </cell>
          <cell r="G1413" t="str">
            <v>Real</v>
          </cell>
        </row>
        <row r="1414">
          <cell r="A1414" t="str">
            <v>ARAYTOR</v>
          </cell>
          <cell r="B1414">
            <v>202402</v>
          </cell>
          <cell r="D1414" t="str">
            <v>Seguros Personales (No Vida) Particular</v>
          </cell>
          <cell r="G1414" t="str">
            <v>Real</v>
          </cell>
        </row>
        <row r="1415">
          <cell r="A1415" t="str">
            <v>ARAYTOR</v>
          </cell>
          <cell r="B1415">
            <v>202402</v>
          </cell>
          <cell r="D1415" t="str">
            <v>Transporte</v>
          </cell>
          <cell r="G1415" t="str">
            <v>Real</v>
          </cell>
        </row>
        <row r="1416">
          <cell r="A1416" t="str">
            <v>ARAYTOR</v>
          </cell>
          <cell r="B1416">
            <v>202402</v>
          </cell>
          <cell r="D1416" t="str">
            <v>Vida Ahorro Particular</v>
          </cell>
          <cell r="G1416" t="str">
            <v>Real</v>
          </cell>
        </row>
        <row r="1417">
          <cell r="A1417" t="str">
            <v>ARAYTOR</v>
          </cell>
          <cell r="B1417">
            <v>202402</v>
          </cell>
          <cell r="D1417" t="str">
            <v>Vida Riesgo Particular</v>
          </cell>
          <cell r="G1417" t="str">
            <v>Real</v>
          </cell>
        </row>
        <row r="1418">
          <cell r="A1418" t="str">
            <v>ARAYTOR</v>
          </cell>
          <cell r="B1418">
            <v>202403</v>
          </cell>
          <cell r="D1418" t="str">
            <v>--</v>
          </cell>
          <cell r="G1418" t="str">
            <v>Real</v>
          </cell>
        </row>
        <row r="1419">
          <cell r="A1419" t="str">
            <v>ARAYTOR</v>
          </cell>
          <cell r="B1419">
            <v>202403</v>
          </cell>
          <cell r="D1419" t="str">
            <v>Arte</v>
          </cell>
          <cell r="G1419" t="str">
            <v>Real</v>
          </cell>
        </row>
        <row r="1420">
          <cell r="A1420" t="str">
            <v>ARAYTOR</v>
          </cell>
          <cell r="B1420">
            <v>202403</v>
          </cell>
          <cell r="D1420" t="str">
            <v>Autos</v>
          </cell>
          <cell r="G1420" t="str">
            <v>Real</v>
          </cell>
        </row>
        <row r="1421">
          <cell r="A1421" t="str">
            <v>ARAYTOR</v>
          </cell>
          <cell r="B1421">
            <v>202403</v>
          </cell>
          <cell r="D1421" t="str">
            <v>Eventos</v>
          </cell>
          <cell r="G1421" t="str">
            <v>Real</v>
          </cell>
        </row>
        <row r="1422">
          <cell r="A1422" t="str">
            <v>ARAYTOR</v>
          </cell>
          <cell r="B1422">
            <v>202403</v>
          </cell>
          <cell r="D1422" t="str">
            <v>Flotas</v>
          </cell>
          <cell r="G1422" t="str">
            <v>Real</v>
          </cell>
        </row>
        <row r="1423">
          <cell r="A1423" t="str">
            <v>ARAYTOR</v>
          </cell>
          <cell r="B1423">
            <v>202403</v>
          </cell>
          <cell r="D1423" t="str">
            <v>Hogar</v>
          </cell>
          <cell r="G1423" t="str">
            <v>Real</v>
          </cell>
        </row>
        <row r="1424">
          <cell r="A1424" t="str">
            <v>ARAYTOR</v>
          </cell>
          <cell r="B1424">
            <v>202403</v>
          </cell>
          <cell r="D1424" t="str">
            <v>Ingeniería</v>
          </cell>
          <cell r="G1424" t="str">
            <v>Real</v>
          </cell>
        </row>
        <row r="1425">
          <cell r="A1425" t="str">
            <v>ARAYTOR</v>
          </cell>
          <cell r="B1425">
            <v>202403</v>
          </cell>
          <cell r="D1425" t="str">
            <v>Líneas Financieras</v>
          </cell>
          <cell r="G1425" t="str">
            <v>Real</v>
          </cell>
        </row>
        <row r="1426">
          <cell r="A1426" t="str">
            <v>ARAYTOR</v>
          </cell>
          <cell r="B1426">
            <v>202403</v>
          </cell>
          <cell r="D1426" t="str">
            <v>Náutica</v>
          </cell>
          <cell r="G1426" t="str">
            <v>Real</v>
          </cell>
        </row>
        <row r="1427">
          <cell r="A1427" t="str">
            <v>ARAYTOR</v>
          </cell>
          <cell r="B1427">
            <v>202403</v>
          </cell>
          <cell r="D1427" t="str">
            <v>Particulares Resto</v>
          </cell>
          <cell r="G1427" t="str">
            <v>Real</v>
          </cell>
        </row>
        <row r="1428">
          <cell r="A1428" t="str">
            <v>ARAYTOR</v>
          </cell>
          <cell r="B1428">
            <v>202403</v>
          </cell>
          <cell r="D1428" t="str">
            <v>Property</v>
          </cell>
          <cell r="G1428" t="str">
            <v>Real</v>
          </cell>
        </row>
        <row r="1429">
          <cell r="A1429" t="str">
            <v>ARAYTOR</v>
          </cell>
          <cell r="B1429">
            <v>202403</v>
          </cell>
          <cell r="D1429" t="str">
            <v>RC</v>
          </cell>
          <cell r="G1429" t="str">
            <v>Real</v>
          </cell>
        </row>
        <row r="1430">
          <cell r="A1430" t="str">
            <v>ARAYTOR</v>
          </cell>
          <cell r="B1430">
            <v>202403</v>
          </cell>
          <cell r="D1430" t="str">
            <v>Seguros Personales (No Vida) Colectivos</v>
          </cell>
          <cell r="G1430" t="str">
            <v>Real</v>
          </cell>
        </row>
        <row r="1431">
          <cell r="A1431" t="str">
            <v>ARAYTOR</v>
          </cell>
          <cell r="B1431">
            <v>202403</v>
          </cell>
          <cell r="D1431" t="str">
            <v>Seguros Personales (No Vida) Particular</v>
          </cell>
          <cell r="G1431" t="str">
            <v>Real</v>
          </cell>
        </row>
        <row r="1432">
          <cell r="A1432" t="str">
            <v>ARAYTOR</v>
          </cell>
          <cell r="B1432">
            <v>202403</v>
          </cell>
          <cell r="D1432" t="str">
            <v>Transporte</v>
          </cell>
          <cell r="G1432" t="str">
            <v>Real</v>
          </cell>
        </row>
        <row r="1433">
          <cell r="A1433" t="str">
            <v>ARAYTOR</v>
          </cell>
          <cell r="B1433">
            <v>202403</v>
          </cell>
          <cell r="D1433" t="str">
            <v>Vida Ahorro Particular</v>
          </cell>
          <cell r="G1433" t="str">
            <v>Real</v>
          </cell>
        </row>
        <row r="1434">
          <cell r="A1434" t="str">
            <v>ARAYTOR</v>
          </cell>
          <cell r="B1434">
            <v>202403</v>
          </cell>
          <cell r="D1434" t="str">
            <v>Vida Riesgo Particular</v>
          </cell>
          <cell r="G1434" t="str">
            <v>Real</v>
          </cell>
        </row>
        <row r="1435">
          <cell r="A1435" t="str">
            <v>ARAYTOR</v>
          </cell>
          <cell r="B1435">
            <v>202404</v>
          </cell>
          <cell r="D1435" t="str">
            <v>--</v>
          </cell>
          <cell r="G1435" t="str">
            <v>Real</v>
          </cell>
        </row>
        <row r="1436">
          <cell r="A1436" t="str">
            <v>ARAYTOR</v>
          </cell>
          <cell r="B1436">
            <v>202404</v>
          </cell>
          <cell r="D1436" t="str">
            <v>Autos</v>
          </cell>
          <cell r="G1436" t="str">
            <v>Real</v>
          </cell>
        </row>
        <row r="1437">
          <cell r="A1437" t="str">
            <v>ARAYTOR</v>
          </cell>
          <cell r="B1437">
            <v>202404</v>
          </cell>
          <cell r="D1437" t="str">
            <v>Eventos</v>
          </cell>
          <cell r="G1437" t="str">
            <v>Real</v>
          </cell>
        </row>
        <row r="1438">
          <cell r="A1438" t="str">
            <v>ARAYTOR</v>
          </cell>
          <cell r="B1438">
            <v>202404</v>
          </cell>
          <cell r="D1438" t="str">
            <v>Flotas</v>
          </cell>
          <cell r="G1438" t="str">
            <v>Real</v>
          </cell>
        </row>
        <row r="1439">
          <cell r="A1439" t="str">
            <v>ARAYTOR</v>
          </cell>
          <cell r="B1439">
            <v>202404</v>
          </cell>
          <cell r="D1439" t="str">
            <v>Hogar</v>
          </cell>
          <cell r="G1439" t="str">
            <v>Real</v>
          </cell>
        </row>
        <row r="1440">
          <cell r="A1440" t="str">
            <v>ARAYTOR</v>
          </cell>
          <cell r="B1440">
            <v>202404</v>
          </cell>
          <cell r="D1440" t="str">
            <v>Ingeniería</v>
          </cell>
          <cell r="G1440" t="str">
            <v>Real</v>
          </cell>
        </row>
        <row r="1441">
          <cell r="A1441" t="str">
            <v>ARAYTOR</v>
          </cell>
          <cell r="B1441">
            <v>202404</v>
          </cell>
          <cell r="D1441" t="str">
            <v>Líneas Financieras</v>
          </cell>
          <cell r="G1441" t="str">
            <v>Real</v>
          </cell>
        </row>
        <row r="1442">
          <cell r="A1442" t="str">
            <v>ARAYTOR</v>
          </cell>
          <cell r="B1442">
            <v>202404</v>
          </cell>
          <cell r="D1442" t="str">
            <v>Náutica</v>
          </cell>
          <cell r="G1442" t="str">
            <v>Real</v>
          </cell>
        </row>
        <row r="1443">
          <cell r="A1443" t="str">
            <v>ARAYTOR</v>
          </cell>
          <cell r="B1443">
            <v>202404</v>
          </cell>
          <cell r="D1443" t="str">
            <v>Particulares Resto</v>
          </cell>
          <cell r="G1443" t="str">
            <v>Real</v>
          </cell>
        </row>
        <row r="1444">
          <cell r="A1444" t="str">
            <v>ARAYTOR</v>
          </cell>
          <cell r="B1444">
            <v>202404</v>
          </cell>
          <cell r="D1444" t="str">
            <v>Property</v>
          </cell>
          <cell r="G1444" t="str">
            <v>Real</v>
          </cell>
        </row>
        <row r="1445">
          <cell r="A1445" t="str">
            <v>ARAYTOR</v>
          </cell>
          <cell r="B1445">
            <v>202404</v>
          </cell>
          <cell r="D1445" t="str">
            <v>RC</v>
          </cell>
          <cell r="G1445" t="str">
            <v>Real</v>
          </cell>
        </row>
        <row r="1446">
          <cell r="A1446" t="str">
            <v>ARAYTOR</v>
          </cell>
          <cell r="B1446">
            <v>202404</v>
          </cell>
          <cell r="D1446" t="str">
            <v>Seguros Personales (No Vida) Colectivos</v>
          </cell>
          <cell r="G1446" t="str">
            <v>Real</v>
          </cell>
        </row>
        <row r="1447">
          <cell r="A1447" t="str">
            <v>ARAYTOR</v>
          </cell>
          <cell r="B1447">
            <v>202404</v>
          </cell>
          <cell r="D1447" t="str">
            <v>Seguros Personales (No Vida) Particular</v>
          </cell>
          <cell r="G1447" t="str">
            <v>Real</v>
          </cell>
        </row>
        <row r="1448">
          <cell r="A1448" t="str">
            <v>ARAYTOR</v>
          </cell>
          <cell r="B1448">
            <v>202404</v>
          </cell>
          <cell r="D1448" t="str">
            <v>Transporte</v>
          </cell>
          <cell r="G1448" t="str">
            <v>Real</v>
          </cell>
        </row>
        <row r="1449">
          <cell r="A1449" t="str">
            <v>ARAYTOR</v>
          </cell>
          <cell r="B1449">
            <v>202404</v>
          </cell>
          <cell r="D1449" t="str">
            <v>Vida Ahorro Particular</v>
          </cell>
          <cell r="G1449" t="str">
            <v>Real</v>
          </cell>
        </row>
        <row r="1450">
          <cell r="A1450" t="str">
            <v>ARAYTOR</v>
          </cell>
          <cell r="B1450">
            <v>202404</v>
          </cell>
          <cell r="D1450" t="str">
            <v>Vida Riesgo Particular</v>
          </cell>
          <cell r="G1450" t="str">
            <v>Real</v>
          </cell>
        </row>
        <row r="1451">
          <cell r="A1451" t="str">
            <v>ARAYTOR</v>
          </cell>
          <cell r="B1451">
            <v>202405</v>
          </cell>
          <cell r="D1451" t="str">
            <v>--</v>
          </cell>
          <cell r="G1451" t="str">
            <v>Real</v>
          </cell>
        </row>
        <row r="1452">
          <cell r="A1452" t="str">
            <v>ARAYTOR</v>
          </cell>
          <cell r="B1452">
            <v>202405</v>
          </cell>
          <cell r="D1452" t="str">
            <v>Autos</v>
          </cell>
          <cell r="G1452" t="str">
            <v>Real</v>
          </cell>
        </row>
        <row r="1453">
          <cell r="A1453" t="str">
            <v>ARAYTOR</v>
          </cell>
          <cell r="B1453">
            <v>202405</v>
          </cell>
          <cell r="D1453" t="str">
            <v>Eventos</v>
          </cell>
          <cell r="G1453" t="str">
            <v>Real</v>
          </cell>
        </row>
        <row r="1454">
          <cell r="A1454" t="str">
            <v>ARAYTOR</v>
          </cell>
          <cell r="B1454">
            <v>202405</v>
          </cell>
          <cell r="D1454" t="str">
            <v>Flotas</v>
          </cell>
          <cell r="G1454" t="str">
            <v>Real</v>
          </cell>
        </row>
        <row r="1455">
          <cell r="A1455" t="str">
            <v>ARAYTOR</v>
          </cell>
          <cell r="B1455">
            <v>202405</v>
          </cell>
          <cell r="D1455" t="str">
            <v>Hogar</v>
          </cell>
          <cell r="G1455" t="str">
            <v>Real</v>
          </cell>
        </row>
        <row r="1456">
          <cell r="A1456" t="str">
            <v>ARAYTOR</v>
          </cell>
          <cell r="B1456">
            <v>202405</v>
          </cell>
          <cell r="D1456" t="str">
            <v>Ingeniería</v>
          </cell>
          <cell r="G1456" t="str">
            <v>Real</v>
          </cell>
        </row>
        <row r="1457">
          <cell r="A1457" t="str">
            <v>ARAYTOR</v>
          </cell>
          <cell r="B1457">
            <v>202405</v>
          </cell>
          <cell r="D1457" t="str">
            <v>Líneas Financieras</v>
          </cell>
          <cell r="G1457" t="str">
            <v>Real</v>
          </cell>
        </row>
        <row r="1458">
          <cell r="A1458" t="str">
            <v>ARAYTOR</v>
          </cell>
          <cell r="B1458">
            <v>202405</v>
          </cell>
          <cell r="D1458" t="str">
            <v>Náutica</v>
          </cell>
          <cell r="G1458" t="str">
            <v>Real</v>
          </cell>
        </row>
        <row r="1459">
          <cell r="A1459" t="str">
            <v>ARAYTOR</v>
          </cell>
          <cell r="B1459">
            <v>202405</v>
          </cell>
          <cell r="D1459" t="str">
            <v>Particulares Resto</v>
          </cell>
          <cell r="G1459" t="str">
            <v>Real</v>
          </cell>
        </row>
        <row r="1460">
          <cell r="A1460" t="str">
            <v>ARAYTOR</v>
          </cell>
          <cell r="B1460">
            <v>202405</v>
          </cell>
          <cell r="D1460" t="str">
            <v>Property</v>
          </cell>
          <cell r="G1460" t="str">
            <v>Real</v>
          </cell>
        </row>
        <row r="1461">
          <cell r="A1461" t="str">
            <v>ARAYTOR</v>
          </cell>
          <cell r="B1461">
            <v>202405</v>
          </cell>
          <cell r="D1461" t="str">
            <v>RC</v>
          </cell>
          <cell r="G1461" t="str">
            <v>Real</v>
          </cell>
        </row>
        <row r="1462">
          <cell r="A1462" t="str">
            <v>ARAYTOR</v>
          </cell>
          <cell r="B1462">
            <v>202405</v>
          </cell>
          <cell r="D1462" t="str">
            <v>Seguros Personales (No Vida) Colectivos</v>
          </cell>
          <cell r="G1462" t="str">
            <v>Real</v>
          </cell>
        </row>
        <row r="1463">
          <cell r="A1463" t="str">
            <v>ARAYTOR</v>
          </cell>
          <cell r="B1463">
            <v>202405</v>
          </cell>
          <cell r="D1463" t="str">
            <v>Seguros Personales (No Vida) Particular</v>
          </cell>
          <cell r="G1463" t="str">
            <v>Real</v>
          </cell>
        </row>
        <row r="1464">
          <cell r="A1464" t="str">
            <v>ARAYTOR</v>
          </cell>
          <cell r="B1464">
            <v>202405</v>
          </cell>
          <cell r="D1464" t="str">
            <v>Transporte</v>
          </cell>
          <cell r="G1464" t="str">
            <v>Real</v>
          </cell>
        </row>
        <row r="1465">
          <cell r="A1465" t="str">
            <v>ARAYTOR</v>
          </cell>
          <cell r="B1465">
            <v>202405</v>
          </cell>
          <cell r="D1465" t="str">
            <v>Vida Ahorro Particular</v>
          </cell>
          <cell r="G1465" t="str">
            <v>Real</v>
          </cell>
        </row>
        <row r="1466">
          <cell r="A1466" t="str">
            <v>ARAYTOR</v>
          </cell>
          <cell r="B1466">
            <v>202405</v>
          </cell>
          <cell r="D1466" t="str">
            <v>Vida Riesgo Particular</v>
          </cell>
          <cell r="G1466" t="str">
            <v>Real</v>
          </cell>
        </row>
        <row r="1467">
          <cell r="A1467" t="str">
            <v>ARAYTOR</v>
          </cell>
          <cell r="B1467">
            <v>202406</v>
          </cell>
          <cell r="D1467" t="str">
            <v>--</v>
          </cell>
          <cell r="G1467" t="str">
            <v>Real</v>
          </cell>
        </row>
        <row r="1468">
          <cell r="A1468" t="str">
            <v>ARAYTOR</v>
          </cell>
          <cell r="B1468">
            <v>202406</v>
          </cell>
          <cell r="D1468" t="str">
            <v>Autos</v>
          </cell>
          <cell r="G1468" t="str">
            <v>Real</v>
          </cell>
        </row>
        <row r="1469">
          <cell r="A1469" t="str">
            <v>ARAYTOR</v>
          </cell>
          <cell r="B1469">
            <v>202406</v>
          </cell>
          <cell r="D1469" t="str">
            <v>Caución</v>
          </cell>
          <cell r="G1469" t="str">
            <v>Real</v>
          </cell>
        </row>
        <row r="1470">
          <cell r="A1470" t="str">
            <v>ARAYTOR</v>
          </cell>
          <cell r="B1470">
            <v>202406</v>
          </cell>
          <cell r="D1470" t="str">
            <v>Eventos</v>
          </cell>
          <cell r="G1470" t="str">
            <v>Real</v>
          </cell>
        </row>
        <row r="1471">
          <cell r="A1471" t="str">
            <v>ARAYTOR</v>
          </cell>
          <cell r="B1471">
            <v>202406</v>
          </cell>
          <cell r="D1471" t="str">
            <v>Flotas</v>
          </cell>
          <cell r="G1471" t="str">
            <v>Real</v>
          </cell>
        </row>
        <row r="1472">
          <cell r="A1472" t="str">
            <v>ARAYTOR</v>
          </cell>
          <cell r="B1472">
            <v>202406</v>
          </cell>
          <cell r="D1472" t="str">
            <v>Hogar</v>
          </cell>
          <cell r="G1472" t="str">
            <v>Real</v>
          </cell>
        </row>
        <row r="1473">
          <cell r="A1473" t="str">
            <v>ARAYTOR</v>
          </cell>
          <cell r="B1473">
            <v>202406</v>
          </cell>
          <cell r="D1473" t="str">
            <v>Ingeniería</v>
          </cell>
          <cell r="G1473" t="str">
            <v>Real</v>
          </cell>
        </row>
        <row r="1474">
          <cell r="A1474" t="str">
            <v>ARAYTOR</v>
          </cell>
          <cell r="B1474">
            <v>202406</v>
          </cell>
          <cell r="D1474" t="str">
            <v>Líneas Financieras</v>
          </cell>
          <cell r="G1474" t="str">
            <v>Real</v>
          </cell>
        </row>
        <row r="1475">
          <cell r="A1475" t="str">
            <v>ARAYTOR</v>
          </cell>
          <cell r="B1475">
            <v>202406</v>
          </cell>
          <cell r="D1475" t="str">
            <v>Náutica</v>
          </cell>
          <cell r="G1475" t="str">
            <v>Real</v>
          </cell>
        </row>
        <row r="1476">
          <cell r="A1476" t="str">
            <v>ARAYTOR</v>
          </cell>
          <cell r="B1476">
            <v>202406</v>
          </cell>
          <cell r="D1476" t="str">
            <v>Particulares Resto</v>
          </cell>
          <cell r="G1476" t="str">
            <v>Real</v>
          </cell>
        </row>
        <row r="1477">
          <cell r="A1477" t="str">
            <v>ARAYTOR</v>
          </cell>
          <cell r="B1477">
            <v>202406</v>
          </cell>
          <cell r="D1477" t="str">
            <v>Property</v>
          </cell>
          <cell r="G1477" t="str">
            <v>Real</v>
          </cell>
        </row>
        <row r="1478">
          <cell r="A1478" t="str">
            <v>ARAYTOR</v>
          </cell>
          <cell r="B1478">
            <v>202406</v>
          </cell>
          <cell r="D1478" t="str">
            <v>RC</v>
          </cell>
          <cell r="G1478" t="str">
            <v>Real</v>
          </cell>
        </row>
        <row r="1479">
          <cell r="A1479" t="str">
            <v>ARAYTOR</v>
          </cell>
          <cell r="B1479">
            <v>202406</v>
          </cell>
          <cell r="D1479" t="str">
            <v>Seguros Personales (No Vida) Colectivos</v>
          </cell>
          <cell r="G1479" t="str">
            <v>Real</v>
          </cell>
        </row>
        <row r="1480">
          <cell r="A1480" t="str">
            <v>ARAYTOR</v>
          </cell>
          <cell r="B1480">
            <v>202406</v>
          </cell>
          <cell r="D1480" t="str">
            <v>Seguros Personales (No Vida) Particular</v>
          </cell>
          <cell r="G1480" t="str">
            <v>Real</v>
          </cell>
        </row>
        <row r="1481">
          <cell r="A1481" t="str">
            <v>ARAYTOR</v>
          </cell>
          <cell r="B1481">
            <v>202406</v>
          </cell>
          <cell r="D1481" t="str">
            <v>Transporte</v>
          </cell>
          <cell r="G1481" t="str">
            <v>Real</v>
          </cell>
        </row>
        <row r="1482">
          <cell r="A1482" t="str">
            <v>ARAYTOR</v>
          </cell>
          <cell r="B1482">
            <v>202406</v>
          </cell>
          <cell r="D1482" t="str">
            <v>Vida Ahorro Particular</v>
          </cell>
          <cell r="G1482" t="str">
            <v>Real</v>
          </cell>
        </row>
        <row r="1483">
          <cell r="A1483" t="str">
            <v>ARAYTOR</v>
          </cell>
          <cell r="B1483">
            <v>202406</v>
          </cell>
          <cell r="D1483" t="str">
            <v>Vida Riesgo Colectivo</v>
          </cell>
          <cell r="G1483" t="str">
            <v>Real</v>
          </cell>
        </row>
        <row r="1484">
          <cell r="A1484" t="str">
            <v>ARAYTOR</v>
          </cell>
          <cell r="B1484">
            <v>202406</v>
          </cell>
          <cell r="D1484" t="str">
            <v>Vida Riesgo Particular</v>
          </cell>
          <cell r="G1484" t="str">
            <v>Real</v>
          </cell>
        </row>
        <row r="1485">
          <cell r="A1485" t="str">
            <v>ARAYTOR</v>
          </cell>
          <cell r="B1485">
            <v>202407</v>
          </cell>
          <cell r="D1485" t="str">
            <v>--</v>
          </cell>
          <cell r="G1485" t="str">
            <v>Real</v>
          </cell>
        </row>
        <row r="1486">
          <cell r="A1486" t="str">
            <v>ARAYTOR</v>
          </cell>
          <cell r="B1486">
            <v>202407</v>
          </cell>
          <cell r="D1486" t="str">
            <v>Arte</v>
          </cell>
          <cell r="G1486" t="str">
            <v>Real</v>
          </cell>
        </row>
        <row r="1487">
          <cell r="A1487" t="str">
            <v>ARAYTOR</v>
          </cell>
          <cell r="B1487">
            <v>202407</v>
          </cell>
          <cell r="D1487" t="str">
            <v>Autos</v>
          </cell>
          <cell r="G1487" t="str">
            <v>Real</v>
          </cell>
        </row>
        <row r="1488">
          <cell r="A1488" t="str">
            <v>ARAYTOR</v>
          </cell>
          <cell r="B1488">
            <v>202407</v>
          </cell>
          <cell r="D1488" t="str">
            <v>Eventos</v>
          </cell>
          <cell r="G1488" t="str">
            <v>Real</v>
          </cell>
        </row>
        <row r="1489">
          <cell r="A1489" t="str">
            <v>ARAYTOR</v>
          </cell>
          <cell r="B1489">
            <v>202407</v>
          </cell>
          <cell r="D1489" t="str">
            <v>Flotas</v>
          </cell>
          <cell r="G1489" t="str">
            <v>Real</v>
          </cell>
        </row>
        <row r="1490">
          <cell r="A1490" t="str">
            <v>ARAYTOR</v>
          </cell>
          <cell r="B1490">
            <v>202407</v>
          </cell>
          <cell r="D1490" t="str">
            <v>Hogar</v>
          </cell>
          <cell r="G1490" t="str">
            <v>Real</v>
          </cell>
        </row>
        <row r="1491">
          <cell r="A1491" t="str">
            <v>ARAYTOR</v>
          </cell>
          <cell r="B1491">
            <v>202407</v>
          </cell>
          <cell r="D1491" t="str">
            <v>Ingeniería</v>
          </cell>
          <cell r="G1491" t="str">
            <v>Real</v>
          </cell>
        </row>
        <row r="1492">
          <cell r="A1492" t="str">
            <v>ARAYTOR</v>
          </cell>
          <cell r="B1492">
            <v>202407</v>
          </cell>
          <cell r="D1492" t="str">
            <v>Líneas Financieras</v>
          </cell>
          <cell r="G1492" t="str">
            <v>Real</v>
          </cell>
        </row>
        <row r="1493">
          <cell r="A1493" t="str">
            <v>ARAYTOR</v>
          </cell>
          <cell r="B1493">
            <v>202407</v>
          </cell>
          <cell r="D1493" t="str">
            <v>Náutica</v>
          </cell>
          <cell r="G1493" t="str">
            <v>Real</v>
          </cell>
        </row>
        <row r="1494">
          <cell r="A1494" t="str">
            <v>ARAYTOR</v>
          </cell>
          <cell r="B1494">
            <v>202407</v>
          </cell>
          <cell r="D1494" t="str">
            <v>Particulares Resto</v>
          </cell>
          <cell r="G1494" t="str">
            <v>Real</v>
          </cell>
        </row>
        <row r="1495">
          <cell r="A1495" t="str">
            <v>ARAYTOR</v>
          </cell>
          <cell r="B1495">
            <v>202407</v>
          </cell>
          <cell r="D1495" t="str">
            <v>Property</v>
          </cell>
          <cell r="G1495" t="str">
            <v>Real</v>
          </cell>
        </row>
        <row r="1496">
          <cell r="A1496" t="str">
            <v>ARAYTOR</v>
          </cell>
          <cell r="B1496">
            <v>202407</v>
          </cell>
          <cell r="D1496" t="str">
            <v>RC</v>
          </cell>
          <cell r="G1496" t="str">
            <v>Real</v>
          </cell>
        </row>
        <row r="1497">
          <cell r="A1497" t="str">
            <v>ARAYTOR</v>
          </cell>
          <cell r="B1497">
            <v>202407</v>
          </cell>
          <cell r="D1497" t="str">
            <v>Seguros Personales (No Vida) Colectivos</v>
          </cell>
          <cell r="G1497" t="str">
            <v>Real</v>
          </cell>
        </row>
        <row r="1498">
          <cell r="A1498" t="str">
            <v>ARAYTOR</v>
          </cell>
          <cell r="B1498">
            <v>202407</v>
          </cell>
          <cell r="D1498" t="str">
            <v>Seguros Personales (No Vida) Particular</v>
          </cell>
          <cell r="G1498" t="str">
            <v>Real</v>
          </cell>
        </row>
        <row r="1499">
          <cell r="A1499" t="str">
            <v>ARAYTOR</v>
          </cell>
          <cell r="B1499">
            <v>202407</v>
          </cell>
          <cell r="D1499" t="str">
            <v>Transporte</v>
          </cell>
          <cell r="G1499" t="str">
            <v>Real</v>
          </cell>
        </row>
        <row r="1500">
          <cell r="A1500" t="str">
            <v>ARAYTOR</v>
          </cell>
          <cell r="B1500">
            <v>202407</v>
          </cell>
          <cell r="D1500" t="str">
            <v>Vida Ahorro Particular</v>
          </cell>
          <cell r="G1500" t="str">
            <v>Real</v>
          </cell>
        </row>
        <row r="1501">
          <cell r="A1501" t="str">
            <v>ARAYTOR</v>
          </cell>
          <cell r="B1501">
            <v>202407</v>
          </cell>
          <cell r="D1501" t="str">
            <v>Vida Riesgo Colectivo</v>
          </cell>
          <cell r="G1501" t="str">
            <v>Real</v>
          </cell>
        </row>
        <row r="1502">
          <cell r="A1502" t="str">
            <v>ARAYTOR</v>
          </cell>
          <cell r="B1502">
            <v>202407</v>
          </cell>
          <cell r="D1502" t="str">
            <v>Vida Riesgo Particular</v>
          </cell>
          <cell r="G1502" t="str">
            <v>Real</v>
          </cell>
        </row>
        <row r="1503">
          <cell r="A1503" t="str">
            <v>ARAYTOR</v>
          </cell>
          <cell r="B1503">
            <v>202408</v>
          </cell>
          <cell r="D1503" t="str">
            <v>--</v>
          </cell>
          <cell r="G1503" t="str">
            <v>Real</v>
          </cell>
        </row>
        <row r="1504">
          <cell r="A1504" t="str">
            <v>ARAYTOR</v>
          </cell>
          <cell r="B1504">
            <v>202408</v>
          </cell>
          <cell r="D1504" t="str">
            <v>Arte</v>
          </cell>
          <cell r="G1504" t="str">
            <v>Real</v>
          </cell>
        </row>
        <row r="1505">
          <cell r="A1505" t="str">
            <v>ARAYTOR</v>
          </cell>
          <cell r="B1505">
            <v>202408</v>
          </cell>
          <cell r="D1505" t="str">
            <v>Autos</v>
          </cell>
          <cell r="G1505" t="str">
            <v>Real</v>
          </cell>
        </row>
        <row r="1506">
          <cell r="A1506" t="str">
            <v>ARAYTOR</v>
          </cell>
          <cell r="B1506">
            <v>202408</v>
          </cell>
          <cell r="D1506" t="str">
            <v>Eventos</v>
          </cell>
          <cell r="G1506" t="str">
            <v>Real</v>
          </cell>
        </row>
        <row r="1507">
          <cell r="A1507" t="str">
            <v>ARAYTOR</v>
          </cell>
          <cell r="B1507">
            <v>202408</v>
          </cell>
          <cell r="D1507" t="str">
            <v>Flotas</v>
          </cell>
          <cell r="G1507" t="str">
            <v>Real</v>
          </cell>
        </row>
        <row r="1508">
          <cell r="A1508" t="str">
            <v>ARAYTOR</v>
          </cell>
          <cell r="B1508">
            <v>202408</v>
          </cell>
          <cell r="D1508" t="str">
            <v>Hogar</v>
          </cell>
          <cell r="G1508" t="str">
            <v>Real</v>
          </cell>
        </row>
        <row r="1509">
          <cell r="A1509" t="str">
            <v>ARAYTOR</v>
          </cell>
          <cell r="B1509">
            <v>202408</v>
          </cell>
          <cell r="D1509" t="str">
            <v>Ingeniería</v>
          </cell>
          <cell r="G1509" t="str">
            <v>Real</v>
          </cell>
        </row>
        <row r="1510">
          <cell r="A1510" t="str">
            <v>ARAYTOR</v>
          </cell>
          <cell r="B1510">
            <v>202408</v>
          </cell>
          <cell r="D1510" t="str">
            <v>Líneas Financieras</v>
          </cell>
          <cell r="G1510" t="str">
            <v>Real</v>
          </cell>
        </row>
        <row r="1511">
          <cell r="A1511" t="str">
            <v>ARAYTOR</v>
          </cell>
          <cell r="B1511">
            <v>202408</v>
          </cell>
          <cell r="D1511" t="str">
            <v>Náutica</v>
          </cell>
          <cell r="G1511" t="str">
            <v>Real</v>
          </cell>
        </row>
        <row r="1512">
          <cell r="A1512" t="str">
            <v>ARAYTOR</v>
          </cell>
          <cell r="B1512">
            <v>202408</v>
          </cell>
          <cell r="D1512" t="str">
            <v>Particulares Resto</v>
          </cell>
          <cell r="G1512" t="str">
            <v>Real</v>
          </cell>
        </row>
        <row r="1513">
          <cell r="A1513" t="str">
            <v>ARAYTOR</v>
          </cell>
          <cell r="B1513">
            <v>202408</v>
          </cell>
          <cell r="D1513" t="str">
            <v>Property</v>
          </cell>
          <cell r="G1513" t="str">
            <v>Real</v>
          </cell>
        </row>
        <row r="1514">
          <cell r="A1514" t="str">
            <v>ARAYTOR</v>
          </cell>
          <cell r="B1514">
            <v>202408</v>
          </cell>
          <cell r="D1514" t="str">
            <v>RC</v>
          </cell>
          <cell r="G1514" t="str">
            <v>Real</v>
          </cell>
        </row>
        <row r="1515">
          <cell r="A1515" t="str">
            <v>ARAYTOR</v>
          </cell>
          <cell r="B1515">
            <v>202408</v>
          </cell>
          <cell r="D1515" t="str">
            <v>Seguros Personales (No Vida) Colectivos</v>
          </cell>
          <cell r="G1515" t="str">
            <v>Real</v>
          </cell>
        </row>
        <row r="1516">
          <cell r="A1516" t="str">
            <v>ARAYTOR</v>
          </cell>
          <cell r="B1516">
            <v>202408</v>
          </cell>
          <cell r="D1516" t="str">
            <v>Seguros Personales (No Vida) Particular</v>
          </cell>
          <cell r="G1516" t="str">
            <v>Real</v>
          </cell>
        </row>
        <row r="1517">
          <cell r="A1517" t="str">
            <v>ARAYTOR</v>
          </cell>
          <cell r="B1517">
            <v>202408</v>
          </cell>
          <cell r="D1517" t="str">
            <v>Transporte</v>
          </cell>
          <cell r="G1517" t="str">
            <v>Real</v>
          </cell>
        </row>
        <row r="1518">
          <cell r="A1518" t="str">
            <v>ARAYTOR</v>
          </cell>
          <cell r="B1518">
            <v>202408</v>
          </cell>
          <cell r="D1518" t="str">
            <v>Vida Ahorro Particular</v>
          </cell>
          <cell r="G1518" t="str">
            <v>Real</v>
          </cell>
        </row>
        <row r="1519">
          <cell r="A1519" t="str">
            <v>ARAYTOR</v>
          </cell>
          <cell r="B1519">
            <v>202408</v>
          </cell>
          <cell r="D1519" t="str">
            <v>Vida Riesgo Colectivo</v>
          </cell>
          <cell r="G1519" t="str">
            <v>Real</v>
          </cell>
        </row>
        <row r="1520">
          <cell r="A1520" t="str">
            <v>ARAYTOR</v>
          </cell>
          <cell r="B1520">
            <v>202408</v>
          </cell>
          <cell r="D1520" t="str">
            <v>Vida Riesgo Particular</v>
          </cell>
          <cell r="G1520" t="str">
            <v>Real</v>
          </cell>
        </row>
        <row r="1521">
          <cell r="A1521" t="str">
            <v>ARAYTOR</v>
          </cell>
          <cell r="B1521">
            <v>202409</v>
          </cell>
          <cell r="D1521" t="str">
            <v>--</v>
          </cell>
          <cell r="G1521" t="str">
            <v>Real</v>
          </cell>
        </row>
        <row r="1522">
          <cell r="A1522" t="str">
            <v>ARAYTOR</v>
          </cell>
          <cell r="B1522">
            <v>202409</v>
          </cell>
          <cell r="D1522" t="str">
            <v>Autos</v>
          </cell>
          <cell r="G1522" t="str">
            <v>Real</v>
          </cell>
        </row>
        <row r="1523">
          <cell r="A1523" t="str">
            <v>ARAYTOR</v>
          </cell>
          <cell r="B1523">
            <v>202409</v>
          </cell>
          <cell r="D1523" t="str">
            <v>Caución</v>
          </cell>
          <cell r="G1523" t="str">
            <v>Real</v>
          </cell>
        </row>
        <row r="1524">
          <cell r="A1524" t="str">
            <v>ARAYTOR</v>
          </cell>
          <cell r="B1524">
            <v>202409</v>
          </cell>
          <cell r="D1524" t="str">
            <v>Eventos</v>
          </cell>
          <cell r="G1524" t="str">
            <v>Real</v>
          </cell>
        </row>
        <row r="1525">
          <cell r="A1525" t="str">
            <v>ARAYTOR</v>
          </cell>
          <cell r="B1525">
            <v>202409</v>
          </cell>
          <cell r="D1525" t="str">
            <v>Flotas</v>
          </cell>
          <cell r="G1525" t="str">
            <v>Real</v>
          </cell>
        </row>
        <row r="1526">
          <cell r="A1526" t="str">
            <v>ARAYTOR</v>
          </cell>
          <cell r="B1526">
            <v>202409</v>
          </cell>
          <cell r="D1526" t="str">
            <v>Hogar</v>
          </cell>
          <cell r="G1526" t="str">
            <v>Real</v>
          </cell>
        </row>
        <row r="1527">
          <cell r="A1527" t="str">
            <v>ARAYTOR</v>
          </cell>
          <cell r="B1527">
            <v>202409</v>
          </cell>
          <cell r="D1527" t="str">
            <v>Ingeniería</v>
          </cell>
          <cell r="G1527" t="str">
            <v>Real</v>
          </cell>
        </row>
        <row r="1528">
          <cell r="A1528" t="str">
            <v>ARAYTOR</v>
          </cell>
          <cell r="B1528">
            <v>202409</v>
          </cell>
          <cell r="D1528" t="str">
            <v>Líneas Financieras</v>
          </cell>
          <cell r="G1528" t="str">
            <v>Real</v>
          </cell>
        </row>
        <row r="1529">
          <cell r="A1529" t="str">
            <v>ARAYTOR</v>
          </cell>
          <cell r="B1529">
            <v>202409</v>
          </cell>
          <cell r="D1529" t="str">
            <v>Náutica</v>
          </cell>
          <cell r="G1529" t="str">
            <v>Real</v>
          </cell>
        </row>
        <row r="1530">
          <cell r="A1530" t="str">
            <v>ARAYTOR</v>
          </cell>
          <cell r="B1530">
            <v>202409</v>
          </cell>
          <cell r="D1530" t="str">
            <v>Particulares Resto</v>
          </cell>
          <cell r="G1530" t="str">
            <v>Real</v>
          </cell>
        </row>
        <row r="1531">
          <cell r="A1531" t="str">
            <v>ARAYTOR</v>
          </cell>
          <cell r="B1531">
            <v>202409</v>
          </cell>
          <cell r="D1531" t="str">
            <v>Property</v>
          </cell>
          <cell r="G1531" t="str">
            <v>Real</v>
          </cell>
        </row>
        <row r="1532">
          <cell r="A1532" t="str">
            <v>ARAYTOR</v>
          </cell>
          <cell r="B1532">
            <v>202409</v>
          </cell>
          <cell r="D1532" t="str">
            <v>RC</v>
          </cell>
          <cell r="G1532" t="str">
            <v>Real</v>
          </cell>
        </row>
        <row r="1533">
          <cell r="A1533" t="str">
            <v>ARAYTOR</v>
          </cell>
          <cell r="B1533">
            <v>202409</v>
          </cell>
          <cell r="D1533" t="str">
            <v>Seguros Personales (No Vida) Colectivos</v>
          </cell>
          <cell r="G1533" t="str">
            <v>Real</v>
          </cell>
        </row>
        <row r="1534">
          <cell r="A1534" t="str">
            <v>ARAYTOR</v>
          </cell>
          <cell r="B1534">
            <v>202409</v>
          </cell>
          <cell r="D1534" t="str">
            <v>Seguros Personales (No Vida) Particular</v>
          </cell>
          <cell r="G1534" t="str">
            <v>Real</v>
          </cell>
        </row>
        <row r="1535">
          <cell r="A1535" t="str">
            <v>ARAYTOR</v>
          </cell>
          <cell r="B1535">
            <v>202409</v>
          </cell>
          <cell r="D1535" t="str">
            <v>Transporte</v>
          </cell>
          <cell r="G1535" t="str">
            <v>Real</v>
          </cell>
        </row>
        <row r="1536">
          <cell r="A1536" t="str">
            <v>ARAYTOR</v>
          </cell>
          <cell r="B1536">
            <v>202409</v>
          </cell>
          <cell r="D1536" t="str">
            <v>Vida Ahorro Particular</v>
          </cell>
          <cell r="G1536" t="str">
            <v>Real</v>
          </cell>
        </row>
        <row r="1537">
          <cell r="A1537" t="str">
            <v>ARAYTOR</v>
          </cell>
          <cell r="B1537">
            <v>202409</v>
          </cell>
          <cell r="D1537" t="str">
            <v>Vida Riesgo Particular</v>
          </cell>
          <cell r="G1537" t="str">
            <v>Real</v>
          </cell>
        </row>
        <row r="1538">
          <cell r="A1538" t="str">
            <v>ARAYTOR</v>
          </cell>
          <cell r="B1538">
            <v>202410</v>
          </cell>
          <cell r="D1538" t="str">
            <v>--</v>
          </cell>
          <cell r="G1538" t="str">
            <v>Real</v>
          </cell>
        </row>
        <row r="1539">
          <cell r="A1539" t="str">
            <v>ARAYTOR</v>
          </cell>
          <cell r="B1539">
            <v>202410</v>
          </cell>
          <cell r="D1539" t="str">
            <v>Autos</v>
          </cell>
          <cell r="G1539" t="str">
            <v>Real</v>
          </cell>
        </row>
        <row r="1540">
          <cell r="A1540" t="str">
            <v>ARAYTOR</v>
          </cell>
          <cell r="B1540">
            <v>202410</v>
          </cell>
          <cell r="D1540" t="str">
            <v>Eventos</v>
          </cell>
          <cell r="G1540" t="str">
            <v>Real</v>
          </cell>
        </row>
        <row r="1541">
          <cell r="A1541" t="str">
            <v>ARAYTOR</v>
          </cell>
          <cell r="B1541">
            <v>202410</v>
          </cell>
          <cell r="D1541" t="str">
            <v>Flotas</v>
          </cell>
          <cell r="G1541" t="str">
            <v>Real</v>
          </cell>
        </row>
        <row r="1542">
          <cell r="A1542" t="str">
            <v>ARAYTOR</v>
          </cell>
          <cell r="B1542">
            <v>202410</v>
          </cell>
          <cell r="D1542" t="str">
            <v>Hogar</v>
          </cell>
          <cell r="G1542" t="str">
            <v>Real</v>
          </cell>
        </row>
        <row r="1543">
          <cell r="A1543" t="str">
            <v>ARAYTOR</v>
          </cell>
          <cell r="B1543">
            <v>202410</v>
          </cell>
          <cell r="D1543" t="str">
            <v>Ingeniería</v>
          </cell>
          <cell r="G1543" t="str">
            <v>Real</v>
          </cell>
        </row>
        <row r="1544">
          <cell r="A1544" t="str">
            <v>ARAYTOR</v>
          </cell>
          <cell r="B1544">
            <v>202410</v>
          </cell>
          <cell r="D1544" t="str">
            <v>Líneas Financieras</v>
          </cell>
          <cell r="G1544" t="str">
            <v>Real</v>
          </cell>
        </row>
        <row r="1545">
          <cell r="A1545" t="str">
            <v>ARAYTOR</v>
          </cell>
          <cell r="B1545">
            <v>202410</v>
          </cell>
          <cell r="D1545" t="str">
            <v>Náutica</v>
          </cell>
          <cell r="G1545" t="str">
            <v>Real</v>
          </cell>
        </row>
        <row r="1546">
          <cell r="A1546" t="str">
            <v>ARAYTOR</v>
          </cell>
          <cell r="B1546">
            <v>202410</v>
          </cell>
          <cell r="D1546" t="str">
            <v>Particulares Resto</v>
          </cell>
          <cell r="G1546" t="str">
            <v>Real</v>
          </cell>
        </row>
        <row r="1547">
          <cell r="A1547" t="str">
            <v>ARAYTOR</v>
          </cell>
          <cell r="B1547">
            <v>202410</v>
          </cell>
          <cell r="D1547" t="str">
            <v>Property</v>
          </cell>
          <cell r="G1547" t="str">
            <v>Real</v>
          </cell>
        </row>
        <row r="1548">
          <cell r="A1548" t="str">
            <v>ARAYTOR</v>
          </cell>
          <cell r="B1548">
            <v>202410</v>
          </cell>
          <cell r="D1548" t="str">
            <v>RC</v>
          </cell>
          <cell r="G1548" t="str">
            <v>Real</v>
          </cell>
        </row>
        <row r="1549">
          <cell r="A1549" t="str">
            <v>ARAYTOR</v>
          </cell>
          <cell r="B1549">
            <v>202410</v>
          </cell>
          <cell r="D1549" t="str">
            <v>Seguros Personales (No Vida) Colectivos</v>
          </cell>
          <cell r="G1549" t="str">
            <v>Real</v>
          </cell>
        </row>
        <row r="1550">
          <cell r="A1550" t="str">
            <v>ARAYTOR</v>
          </cell>
          <cell r="B1550">
            <v>202410</v>
          </cell>
          <cell r="D1550" t="str">
            <v>Seguros Personales (No Vida) Particular</v>
          </cell>
          <cell r="G1550" t="str">
            <v>Real</v>
          </cell>
        </row>
        <row r="1551">
          <cell r="A1551" t="str">
            <v>ARAYTOR</v>
          </cell>
          <cell r="B1551">
            <v>202410</v>
          </cell>
          <cell r="D1551" t="str">
            <v>Transporte</v>
          </cell>
          <cell r="G1551" t="str">
            <v>Real</v>
          </cell>
        </row>
        <row r="1552">
          <cell r="A1552" t="str">
            <v>ARAYTOR</v>
          </cell>
          <cell r="B1552">
            <v>202410</v>
          </cell>
          <cell r="D1552" t="str">
            <v>Vida Ahorro Particular</v>
          </cell>
          <cell r="G1552" t="str">
            <v>Real</v>
          </cell>
        </row>
        <row r="1553">
          <cell r="A1553" t="str">
            <v>ARAYTOR</v>
          </cell>
          <cell r="B1553">
            <v>202410</v>
          </cell>
          <cell r="D1553" t="str">
            <v>Vida Riesgo Particular</v>
          </cell>
          <cell r="G1553" t="str">
            <v>Real</v>
          </cell>
        </row>
        <row r="1554">
          <cell r="A1554" t="str">
            <v>ARAYTOR</v>
          </cell>
          <cell r="B1554">
            <v>202411</v>
          </cell>
          <cell r="D1554" t="str">
            <v>--</v>
          </cell>
          <cell r="G1554" t="str">
            <v>Real</v>
          </cell>
        </row>
        <row r="1555">
          <cell r="A1555" t="str">
            <v>ARAYTOR</v>
          </cell>
          <cell r="B1555">
            <v>202411</v>
          </cell>
          <cell r="D1555" t="str">
            <v>Autos</v>
          </cell>
          <cell r="G1555" t="str">
            <v>Real</v>
          </cell>
        </row>
        <row r="1556">
          <cell r="A1556" t="str">
            <v>ARAYTOR</v>
          </cell>
          <cell r="B1556">
            <v>202411</v>
          </cell>
          <cell r="D1556" t="str">
            <v>Eventos</v>
          </cell>
          <cell r="G1556" t="str">
            <v>Real</v>
          </cell>
        </row>
        <row r="1557">
          <cell r="A1557" t="str">
            <v>ARAYTOR</v>
          </cell>
          <cell r="B1557">
            <v>202411</v>
          </cell>
          <cell r="D1557" t="str">
            <v>Flotas</v>
          </cell>
          <cell r="G1557" t="str">
            <v>Real</v>
          </cell>
        </row>
        <row r="1558">
          <cell r="A1558" t="str">
            <v>ARAYTOR</v>
          </cell>
          <cell r="B1558">
            <v>202411</v>
          </cell>
          <cell r="D1558" t="str">
            <v>Hogar</v>
          </cell>
          <cell r="G1558" t="str">
            <v>Real</v>
          </cell>
        </row>
        <row r="1559">
          <cell r="A1559" t="str">
            <v>ARAYTOR</v>
          </cell>
          <cell r="B1559">
            <v>202411</v>
          </cell>
          <cell r="D1559" t="str">
            <v>Ingeniería</v>
          </cell>
          <cell r="G1559" t="str">
            <v>Real</v>
          </cell>
        </row>
        <row r="1560">
          <cell r="A1560" t="str">
            <v>ARAYTOR</v>
          </cell>
          <cell r="B1560">
            <v>202411</v>
          </cell>
          <cell r="D1560" t="str">
            <v>Líneas Financieras</v>
          </cell>
          <cell r="G1560" t="str">
            <v>Real</v>
          </cell>
        </row>
        <row r="1561">
          <cell r="A1561" t="str">
            <v>ARAYTOR</v>
          </cell>
          <cell r="B1561">
            <v>202411</v>
          </cell>
          <cell r="D1561" t="str">
            <v>Particulares Resto</v>
          </cell>
          <cell r="G1561" t="str">
            <v>Real</v>
          </cell>
        </row>
        <row r="1562">
          <cell r="A1562" t="str">
            <v>ARAYTOR</v>
          </cell>
          <cell r="B1562">
            <v>202411</v>
          </cell>
          <cell r="D1562" t="str">
            <v>Property</v>
          </cell>
          <cell r="G1562" t="str">
            <v>Real</v>
          </cell>
        </row>
        <row r="1563">
          <cell r="A1563" t="str">
            <v>ARAYTOR</v>
          </cell>
          <cell r="B1563">
            <v>202411</v>
          </cell>
          <cell r="D1563" t="str">
            <v>RC</v>
          </cell>
          <cell r="G1563" t="str">
            <v>Real</v>
          </cell>
        </row>
        <row r="1564">
          <cell r="A1564" t="str">
            <v>ARAYTOR</v>
          </cell>
          <cell r="B1564">
            <v>202411</v>
          </cell>
          <cell r="D1564" t="str">
            <v>Seguros Personales (No Vida) Colectivos</v>
          </cell>
          <cell r="G1564" t="str">
            <v>Real</v>
          </cell>
        </row>
        <row r="1565">
          <cell r="A1565" t="str">
            <v>ARAYTOR</v>
          </cell>
          <cell r="B1565">
            <v>202411</v>
          </cell>
          <cell r="D1565" t="str">
            <v>Seguros Personales (No Vida) Particular</v>
          </cell>
          <cell r="G1565" t="str">
            <v>Real</v>
          </cell>
        </row>
        <row r="1566">
          <cell r="A1566" t="str">
            <v>ARAYTOR</v>
          </cell>
          <cell r="B1566">
            <v>202411</v>
          </cell>
          <cell r="D1566" t="str">
            <v>Transporte</v>
          </cell>
          <cell r="G1566" t="str">
            <v>Real</v>
          </cell>
        </row>
        <row r="1567">
          <cell r="A1567" t="str">
            <v>ARAYTOR</v>
          </cell>
          <cell r="B1567">
            <v>202411</v>
          </cell>
          <cell r="D1567" t="str">
            <v>Vida Ahorro Particular</v>
          </cell>
          <cell r="G1567" t="str">
            <v>Real</v>
          </cell>
        </row>
        <row r="1568">
          <cell r="A1568" t="str">
            <v>ARAYTOR</v>
          </cell>
          <cell r="B1568">
            <v>202411</v>
          </cell>
          <cell r="D1568" t="str">
            <v>Vida Riesgo Colectivo</v>
          </cell>
          <cell r="G1568" t="str">
            <v>Real</v>
          </cell>
        </row>
        <row r="1569">
          <cell r="A1569" t="str">
            <v>ARAYTOR</v>
          </cell>
          <cell r="B1569">
            <v>202411</v>
          </cell>
          <cell r="D1569" t="str">
            <v>Vida Riesgo Particular</v>
          </cell>
          <cell r="G1569" t="str">
            <v>Real</v>
          </cell>
        </row>
        <row r="1570">
          <cell r="A1570" t="str">
            <v>ARAYTOR</v>
          </cell>
          <cell r="B1570">
            <v>202412</v>
          </cell>
          <cell r="D1570" t="str">
            <v>--</v>
          </cell>
          <cell r="G1570" t="str">
            <v>Real</v>
          </cell>
        </row>
        <row r="1571">
          <cell r="A1571" t="str">
            <v>ARAYTOR</v>
          </cell>
          <cell r="B1571">
            <v>202412</v>
          </cell>
          <cell r="D1571" t="str">
            <v>Arte</v>
          </cell>
          <cell r="G1571" t="str">
            <v>Real</v>
          </cell>
        </row>
        <row r="1572">
          <cell r="A1572" t="str">
            <v>ARAYTOR</v>
          </cell>
          <cell r="B1572">
            <v>202412</v>
          </cell>
          <cell r="D1572" t="str">
            <v>Autos</v>
          </cell>
          <cell r="G1572" t="str">
            <v>Real</v>
          </cell>
        </row>
        <row r="1573">
          <cell r="A1573" t="str">
            <v>ARAYTOR</v>
          </cell>
          <cell r="B1573">
            <v>202412</v>
          </cell>
          <cell r="D1573" t="str">
            <v>Eventos</v>
          </cell>
          <cell r="G1573" t="str">
            <v>Real</v>
          </cell>
        </row>
        <row r="1574">
          <cell r="A1574" t="str">
            <v>ARAYTOR</v>
          </cell>
          <cell r="B1574">
            <v>202412</v>
          </cell>
          <cell r="D1574" t="str">
            <v>Flotas</v>
          </cell>
          <cell r="G1574" t="str">
            <v>Real</v>
          </cell>
        </row>
        <row r="1575">
          <cell r="A1575" t="str">
            <v>ARAYTOR</v>
          </cell>
          <cell r="B1575">
            <v>202412</v>
          </cell>
          <cell r="D1575" t="str">
            <v>Hogar</v>
          </cell>
          <cell r="G1575" t="str">
            <v>Real</v>
          </cell>
        </row>
        <row r="1576">
          <cell r="A1576" t="str">
            <v>ARAYTOR</v>
          </cell>
          <cell r="B1576">
            <v>202412</v>
          </cell>
          <cell r="D1576" t="str">
            <v>Ingeniería</v>
          </cell>
          <cell r="G1576" t="str">
            <v>Real</v>
          </cell>
        </row>
        <row r="1577">
          <cell r="A1577" t="str">
            <v>ARAYTOR</v>
          </cell>
          <cell r="B1577">
            <v>202412</v>
          </cell>
          <cell r="D1577" t="str">
            <v>Líneas Financieras</v>
          </cell>
          <cell r="G1577" t="str">
            <v>Real</v>
          </cell>
        </row>
        <row r="1578">
          <cell r="A1578" t="str">
            <v>ARAYTOR</v>
          </cell>
          <cell r="B1578">
            <v>202412</v>
          </cell>
          <cell r="D1578" t="str">
            <v>Particulares Resto</v>
          </cell>
          <cell r="G1578" t="str">
            <v>Real</v>
          </cell>
        </row>
        <row r="1579">
          <cell r="A1579" t="str">
            <v>ARAYTOR</v>
          </cell>
          <cell r="B1579">
            <v>202412</v>
          </cell>
          <cell r="D1579" t="str">
            <v>Property</v>
          </cell>
          <cell r="G1579" t="str">
            <v>Real</v>
          </cell>
        </row>
        <row r="1580">
          <cell r="A1580" t="str">
            <v>ARAYTOR</v>
          </cell>
          <cell r="B1580">
            <v>202412</v>
          </cell>
          <cell r="D1580" t="str">
            <v>RC</v>
          </cell>
          <cell r="G1580" t="str">
            <v>Real</v>
          </cell>
        </row>
        <row r="1581">
          <cell r="A1581" t="str">
            <v>ARAYTOR</v>
          </cell>
          <cell r="B1581">
            <v>202412</v>
          </cell>
          <cell r="D1581" t="str">
            <v>Seguros Personales (No Vida) Colectivos</v>
          </cell>
          <cell r="G1581" t="str">
            <v>Real</v>
          </cell>
        </row>
        <row r="1582">
          <cell r="A1582" t="str">
            <v>ARAYTOR</v>
          </cell>
          <cell r="B1582">
            <v>202412</v>
          </cell>
          <cell r="D1582" t="str">
            <v>Seguros Personales (No Vida) Particular</v>
          </cell>
          <cell r="G1582" t="str">
            <v>Real</v>
          </cell>
        </row>
        <row r="1583">
          <cell r="A1583" t="str">
            <v>ARAYTOR</v>
          </cell>
          <cell r="B1583">
            <v>202412</v>
          </cell>
          <cell r="D1583" t="str">
            <v>Transporte</v>
          </cell>
          <cell r="G1583" t="str">
            <v>Real</v>
          </cell>
        </row>
        <row r="1584">
          <cell r="A1584" t="str">
            <v>ARAYTOR</v>
          </cell>
          <cell r="B1584">
            <v>202412</v>
          </cell>
          <cell r="D1584" t="str">
            <v>Vida Ahorro Particular</v>
          </cell>
          <cell r="G1584" t="str">
            <v>Real</v>
          </cell>
        </row>
        <row r="1585">
          <cell r="A1585" t="str">
            <v>ARAYTOR</v>
          </cell>
          <cell r="B1585">
            <v>202412</v>
          </cell>
          <cell r="D1585" t="str">
            <v>Vida Riesgo Particular</v>
          </cell>
          <cell r="G1585" t="str">
            <v>Real</v>
          </cell>
        </row>
        <row r="1586">
          <cell r="A1586" t="str">
            <v>ARAYTOR</v>
          </cell>
          <cell r="B1586">
            <v>202501</v>
          </cell>
          <cell r="D1586" t="str">
            <v>--</v>
          </cell>
          <cell r="G1586" t="str">
            <v>Presupuesto</v>
          </cell>
        </row>
        <row r="1587">
          <cell r="A1587" t="str">
            <v>ARAYTOR</v>
          </cell>
          <cell r="B1587">
            <v>202501</v>
          </cell>
          <cell r="D1587" t="str">
            <v>--</v>
          </cell>
          <cell r="G1587" t="str">
            <v>Real</v>
          </cell>
        </row>
        <row r="1588">
          <cell r="A1588" t="str">
            <v>ARAYTOR</v>
          </cell>
          <cell r="B1588">
            <v>202501</v>
          </cell>
          <cell r="D1588" t="str">
            <v>Arte</v>
          </cell>
          <cell r="G1588" t="str">
            <v>Presupuesto</v>
          </cell>
        </row>
        <row r="1589">
          <cell r="A1589" t="str">
            <v>ARAYTOR</v>
          </cell>
          <cell r="B1589">
            <v>202501</v>
          </cell>
          <cell r="D1589" t="str">
            <v>Arte</v>
          </cell>
          <cell r="G1589" t="str">
            <v>Real</v>
          </cell>
        </row>
        <row r="1590">
          <cell r="A1590" t="str">
            <v>ARAYTOR</v>
          </cell>
          <cell r="B1590">
            <v>202501</v>
          </cell>
          <cell r="D1590" t="str">
            <v>Autos</v>
          </cell>
          <cell r="G1590" t="str">
            <v>Presupuesto</v>
          </cell>
        </row>
        <row r="1591">
          <cell r="A1591" t="str">
            <v>ARAYTOR</v>
          </cell>
          <cell r="B1591">
            <v>202501</v>
          </cell>
          <cell r="D1591" t="str">
            <v>Autos</v>
          </cell>
          <cell r="G1591" t="str">
            <v>Real</v>
          </cell>
        </row>
        <row r="1592">
          <cell r="A1592" t="str">
            <v>ARAYTOR</v>
          </cell>
          <cell r="B1592">
            <v>202501</v>
          </cell>
          <cell r="D1592" t="str">
            <v>B2B2C</v>
          </cell>
          <cell r="G1592" t="str">
            <v>Presupuesto</v>
          </cell>
        </row>
        <row r="1593">
          <cell r="A1593" t="str">
            <v>ARAYTOR</v>
          </cell>
          <cell r="B1593">
            <v>202501</v>
          </cell>
          <cell r="D1593" t="str">
            <v>Caución</v>
          </cell>
          <cell r="G1593" t="str">
            <v>Presupuesto</v>
          </cell>
        </row>
        <row r="1594">
          <cell r="A1594" t="str">
            <v>ARAYTOR</v>
          </cell>
          <cell r="B1594">
            <v>202501</v>
          </cell>
          <cell r="D1594" t="str">
            <v>Caución</v>
          </cell>
          <cell r="G1594" t="str">
            <v>Real</v>
          </cell>
        </row>
        <row r="1595">
          <cell r="A1595" t="str">
            <v>ARAYTOR</v>
          </cell>
          <cell r="B1595">
            <v>202501</v>
          </cell>
          <cell r="D1595" t="str">
            <v>Crédito Internacional</v>
          </cell>
          <cell r="G1595" t="str">
            <v>Presupuesto</v>
          </cell>
        </row>
        <row r="1596">
          <cell r="A1596" t="str">
            <v>ARAYTOR</v>
          </cell>
          <cell r="B1596">
            <v>202501</v>
          </cell>
          <cell r="D1596" t="str">
            <v>Crédito Nacional</v>
          </cell>
          <cell r="G1596" t="str">
            <v>Presupuesto</v>
          </cell>
        </row>
        <row r="1597">
          <cell r="A1597" t="str">
            <v>ARAYTOR</v>
          </cell>
          <cell r="B1597">
            <v>202501</v>
          </cell>
          <cell r="D1597" t="str">
            <v>Eventos</v>
          </cell>
          <cell r="G1597" t="str">
            <v>Presupuesto</v>
          </cell>
        </row>
        <row r="1598">
          <cell r="A1598" t="str">
            <v>ARAYTOR</v>
          </cell>
          <cell r="B1598">
            <v>202501</v>
          </cell>
          <cell r="D1598" t="str">
            <v>Eventos</v>
          </cell>
          <cell r="G1598" t="str">
            <v>Real</v>
          </cell>
        </row>
        <row r="1599">
          <cell r="A1599" t="str">
            <v>ARAYTOR</v>
          </cell>
          <cell r="B1599">
            <v>202501</v>
          </cell>
          <cell r="D1599" t="str">
            <v>Flotas</v>
          </cell>
          <cell r="G1599" t="str">
            <v>Presupuesto</v>
          </cell>
        </row>
        <row r="1600">
          <cell r="A1600" t="str">
            <v>ARAYTOR</v>
          </cell>
          <cell r="B1600">
            <v>202501</v>
          </cell>
          <cell r="D1600" t="str">
            <v>Flotas</v>
          </cell>
          <cell r="G1600" t="str">
            <v>Real</v>
          </cell>
        </row>
        <row r="1601">
          <cell r="A1601" t="str">
            <v>ARAYTOR</v>
          </cell>
          <cell r="B1601">
            <v>202501</v>
          </cell>
          <cell r="D1601" t="str">
            <v>Hogar</v>
          </cell>
          <cell r="G1601" t="str">
            <v>Presupuesto</v>
          </cell>
        </row>
        <row r="1602">
          <cell r="A1602" t="str">
            <v>ARAYTOR</v>
          </cell>
          <cell r="B1602">
            <v>202501</v>
          </cell>
          <cell r="D1602" t="str">
            <v>Hogar</v>
          </cell>
          <cell r="G1602" t="str">
            <v>Real</v>
          </cell>
        </row>
        <row r="1603">
          <cell r="A1603" t="str">
            <v>ARAYTOR</v>
          </cell>
          <cell r="B1603">
            <v>202501</v>
          </cell>
          <cell r="D1603" t="str">
            <v>Ingeniería</v>
          </cell>
          <cell r="G1603" t="str">
            <v>Presupuesto</v>
          </cell>
        </row>
        <row r="1604">
          <cell r="A1604" t="str">
            <v>ARAYTOR</v>
          </cell>
          <cell r="B1604">
            <v>202501</v>
          </cell>
          <cell r="D1604" t="str">
            <v>Ingeniería</v>
          </cell>
          <cell r="G1604" t="str">
            <v>Real</v>
          </cell>
        </row>
        <row r="1605">
          <cell r="A1605" t="str">
            <v>ARAYTOR</v>
          </cell>
          <cell r="B1605">
            <v>202501</v>
          </cell>
          <cell r="D1605" t="str">
            <v>Inmobiliario</v>
          </cell>
          <cell r="G1605" t="str">
            <v>Presupuesto</v>
          </cell>
        </row>
        <row r="1606">
          <cell r="A1606" t="str">
            <v>ARAYTOR</v>
          </cell>
          <cell r="B1606">
            <v>202501</v>
          </cell>
          <cell r="D1606" t="str">
            <v>Líneas Financieras</v>
          </cell>
          <cell r="G1606" t="str">
            <v>Presupuesto</v>
          </cell>
        </row>
        <row r="1607">
          <cell r="A1607" t="str">
            <v>ARAYTOR</v>
          </cell>
          <cell r="B1607">
            <v>202501</v>
          </cell>
          <cell r="D1607" t="str">
            <v>Líneas Financieras</v>
          </cell>
          <cell r="G1607" t="str">
            <v>Real</v>
          </cell>
        </row>
        <row r="1608">
          <cell r="A1608" t="str">
            <v>ARAYTOR</v>
          </cell>
          <cell r="B1608">
            <v>202501</v>
          </cell>
          <cell r="D1608" t="str">
            <v>Náutica</v>
          </cell>
          <cell r="G1608" t="str">
            <v>Presupuesto</v>
          </cell>
        </row>
        <row r="1609">
          <cell r="A1609" t="str">
            <v>ARAYTOR</v>
          </cell>
          <cell r="B1609">
            <v>202501</v>
          </cell>
          <cell r="D1609" t="str">
            <v>Náutica</v>
          </cell>
          <cell r="G1609" t="str">
            <v>Real</v>
          </cell>
        </row>
        <row r="1610">
          <cell r="A1610" t="str">
            <v>ARAYTOR</v>
          </cell>
          <cell r="B1610">
            <v>202501</v>
          </cell>
          <cell r="D1610" t="str">
            <v>Particulares Resto</v>
          </cell>
          <cell r="G1610" t="str">
            <v>Presupuesto</v>
          </cell>
        </row>
        <row r="1611">
          <cell r="A1611" t="str">
            <v>ARAYTOR</v>
          </cell>
          <cell r="B1611">
            <v>202501</v>
          </cell>
          <cell r="D1611" t="str">
            <v>Particulares Resto</v>
          </cell>
          <cell r="G1611" t="str">
            <v>Real</v>
          </cell>
        </row>
        <row r="1612">
          <cell r="A1612" t="str">
            <v>ARAYTOR</v>
          </cell>
          <cell r="B1612">
            <v>202501</v>
          </cell>
          <cell r="D1612" t="str">
            <v>Property</v>
          </cell>
          <cell r="G1612" t="str">
            <v>Presupuesto</v>
          </cell>
        </row>
        <row r="1613">
          <cell r="A1613" t="str">
            <v>ARAYTOR</v>
          </cell>
          <cell r="B1613">
            <v>202501</v>
          </cell>
          <cell r="D1613" t="str">
            <v>Property</v>
          </cell>
          <cell r="G1613" t="str">
            <v>Real</v>
          </cell>
        </row>
        <row r="1614">
          <cell r="A1614" t="str">
            <v>ARAYTOR</v>
          </cell>
          <cell r="B1614">
            <v>202501</v>
          </cell>
          <cell r="D1614" t="str">
            <v>RC</v>
          </cell>
          <cell r="G1614" t="str">
            <v>Presupuesto</v>
          </cell>
        </row>
        <row r="1615">
          <cell r="A1615" t="str">
            <v>ARAYTOR</v>
          </cell>
          <cell r="B1615">
            <v>202501</v>
          </cell>
          <cell r="D1615" t="str">
            <v>RC</v>
          </cell>
          <cell r="G1615" t="str">
            <v>Real</v>
          </cell>
        </row>
        <row r="1616">
          <cell r="A1616" t="str">
            <v>ARAYTOR</v>
          </cell>
          <cell r="B1616">
            <v>202501</v>
          </cell>
          <cell r="D1616" t="str">
            <v>Resto de lineas</v>
          </cell>
          <cell r="G1616" t="str">
            <v>Presupuesto</v>
          </cell>
        </row>
        <row r="1617">
          <cell r="A1617" t="str">
            <v>ARAYTOR</v>
          </cell>
          <cell r="B1617">
            <v>202501</v>
          </cell>
          <cell r="D1617" t="str">
            <v>Retirada</v>
          </cell>
          <cell r="G1617" t="str">
            <v>Presupuesto</v>
          </cell>
        </row>
        <row r="1618">
          <cell r="A1618" t="str">
            <v>ARAYTOR</v>
          </cell>
          <cell r="B1618">
            <v>202501</v>
          </cell>
          <cell r="D1618" t="str">
            <v>Seguros Personales (No Vida) Colectivos</v>
          </cell>
          <cell r="G1618" t="str">
            <v>Presupuesto</v>
          </cell>
        </row>
        <row r="1619">
          <cell r="A1619" t="str">
            <v>ARAYTOR</v>
          </cell>
          <cell r="B1619">
            <v>202501</v>
          </cell>
          <cell r="D1619" t="str">
            <v>Seguros Personales (No Vida) Colectivos</v>
          </cell>
          <cell r="G1619" t="str">
            <v>Real</v>
          </cell>
        </row>
        <row r="1620">
          <cell r="A1620" t="str">
            <v>ARAYTOR</v>
          </cell>
          <cell r="B1620">
            <v>202501</v>
          </cell>
          <cell r="D1620" t="str">
            <v>Seguros Personales (No Vida) Particular</v>
          </cell>
          <cell r="G1620" t="str">
            <v>Presupuesto</v>
          </cell>
        </row>
        <row r="1621">
          <cell r="A1621" t="str">
            <v>ARAYTOR</v>
          </cell>
          <cell r="B1621">
            <v>202501</v>
          </cell>
          <cell r="D1621" t="str">
            <v>Seguros Personales (No Vida) Particular</v>
          </cell>
          <cell r="G1621" t="str">
            <v>Real</v>
          </cell>
        </row>
        <row r="1622">
          <cell r="A1622" t="str">
            <v>ARAYTOR</v>
          </cell>
          <cell r="B1622">
            <v>202501</v>
          </cell>
          <cell r="D1622" t="str">
            <v>Transporte</v>
          </cell>
          <cell r="G1622" t="str">
            <v>Presupuesto</v>
          </cell>
        </row>
        <row r="1623">
          <cell r="A1623" t="str">
            <v>ARAYTOR</v>
          </cell>
          <cell r="B1623">
            <v>202501</v>
          </cell>
          <cell r="D1623" t="str">
            <v>Transporte</v>
          </cell>
          <cell r="G1623" t="str">
            <v>Real</v>
          </cell>
        </row>
        <row r="1624">
          <cell r="A1624" t="str">
            <v>ARAYTOR</v>
          </cell>
          <cell r="B1624">
            <v>202501</v>
          </cell>
          <cell r="D1624" t="str">
            <v>Venta Cruzada</v>
          </cell>
          <cell r="G1624" t="str">
            <v>Presupuesto</v>
          </cell>
        </row>
        <row r="1625">
          <cell r="A1625" t="str">
            <v>ARAYTOR</v>
          </cell>
          <cell r="B1625">
            <v>202501</v>
          </cell>
          <cell r="D1625" t="str">
            <v>Vida Ahorro Colectivo</v>
          </cell>
          <cell r="G1625" t="str">
            <v>Presupuesto</v>
          </cell>
        </row>
        <row r="1626">
          <cell r="A1626" t="str">
            <v>ARAYTOR</v>
          </cell>
          <cell r="B1626">
            <v>202501</v>
          </cell>
          <cell r="D1626" t="str">
            <v>Vida Ahorro Particular</v>
          </cell>
          <cell r="G1626" t="str">
            <v>Presupuesto</v>
          </cell>
        </row>
        <row r="1627">
          <cell r="A1627" t="str">
            <v>ARAYTOR</v>
          </cell>
          <cell r="B1627">
            <v>202501</v>
          </cell>
          <cell r="D1627" t="str">
            <v>Vida Ahorro Particular</v>
          </cell>
          <cell r="G1627" t="str">
            <v>Real</v>
          </cell>
        </row>
        <row r="1628">
          <cell r="A1628" t="str">
            <v>ARAYTOR</v>
          </cell>
          <cell r="B1628">
            <v>202501</v>
          </cell>
          <cell r="D1628" t="str">
            <v>Vida Ganado</v>
          </cell>
          <cell r="G1628" t="str">
            <v>Presupuesto</v>
          </cell>
        </row>
        <row r="1629">
          <cell r="A1629" t="str">
            <v>ARAYTOR</v>
          </cell>
          <cell r="B1629">
            <v>202501</v>
          </cell>
          <cell r="D1629" t="str">
            <v>Vida Riesgo Colectivo</v>
          </cell>
          <cell r="G1629" t="str">
            <v>Presupuesto</v>
          </cell>
        </row>
        <row r="1630">
          <cell r="A1630" t="str">
            <v>ARAYTOR</v>
          </cell>
          <cell r="B1630">
            <v>202501</v>
          </cell>
          <cell r="D1630" t="str">
            <v>Vida Riesgo Colectivo</v>
          </cell>
          <cell r="G1630" t="str">
            <v>Real</v>
          </cell>
        </row>
        <row r="1631">
          <cell r="A1631" t="str">
            <v>ARAYTOR</v>
          </cell>
          <cell r="B1631">
            <v>202501</v>
          </cell>
          <cell r="D1631" t="str">
            <v>Vida Riesgo Particular</v>
          </cell>
          <cell r="G1631" t="str">
            <v>Presupuesto</v>
          </cell>
        </row>
        <row r="1632">
          <cell r="A1632" t="str">
            <v>ARAYTOR</v>
          </cell>
          <cell r="B1632">
            <v>202501</v>
          </cell>
          <cell r="D1632" t="str">
            <v>Vida Riesgo Particular</v>
          </cell>
          <cell r="G1632" t="str">
            <v>Real</v>
          </cell>
        </row>
        <row r="1633">
          <cell r="A1633" t="str">
            <v>ARAYTOR</v>
          </cell>
          <cell r="B1633">
            <v>202502</v>
          </cell>
          <cell r="D1633" t="str">
            <v>--</v>
          </cell>
          <cell r="G1633" t="str">
            <v>Presupuesto</v>
          </cell>
        </row>
        <row r="1634">
          <cell r="A1634" t="str">
            <v>ARAYTOR</v>
          </cell>
          <cell r="B1634">
            <v>202502</v>
          </cell>
          <cell r="D1634" t="str">
            <v>--</v>
          </cell>
          <cell r="G1634" t="str">
            <v>Real</v>
          </cell>
        </row>
        <row r="1635">
          <cell r="A1635" t="str">
            <v>ARAYTOR</v>
          </cell>
          <cell r="B1635">
            <v>202502</v>
          </cell>
          <cell r="D1635" t="str">
            <v>Arte</v>
          </cell>
          <cell r="G1635" t="str">
            <v>Presupuesto</v>
          </cell>
        </row>
        <row r="1636">
          <cell r="A1636" t="str">
            <v>ARAYTOR</v>
          </cell>
          <cell r="B1636">
            <v>202502</v>
          </cell>
          <cell r="D1636" t="str">
            <v>Arte</v>
          </cell>
          <cell r="G1636" t="str">
            <v>Real</v>
          </cell>
        </row>
        <row r="1637">
          <cell r="A1637" t="str">
            <v>ARAYTOR</v>
          </cell>
          <cell r="B1637">
            <v>202502</v>
          </cell>
          <cell r="D1637" t="str">
            <v>Autos</v>
          </cell>
          <cell r="G1637" t="str">
            <v>Presupuesto</v>
          </cell>
        </row>
        <row r="1638">
          <cell r="A1638" t="str">
            <v>ARAYTOR</v>
          </cell>
          <cell r="B1638">
            <v>202502</v>
          </cell>
          <cell r="D1638" t="str">
            <v>Autos</v>
          </cell>
          <cell r="G1638" t="str">
            <v>Real</v>
          </cell>
        </row>
        <row r="1639">
          <cell r="A1639" t="str">
            <v>ARAYTOR</v>
          </cell>
          <cell r="B1639">
            <v>202502</v>
          </cell>
          <cell r="D1639" t="str">
            <v>B2B2C</v>
          </cell>
          <cell r="G1639" t="str">
            <v>Presupuesto</v>
          </cell>
        </row>
        <row r="1640">
          <cell r="A1640" t="str">
            <v>ARAYTOR</v>
          </cell>
          <cell r="B1640">
            <v>202502</v>
          </cell>
          <cell r="D1640" t="str">
            <v>Caución</v>
          </cell>
          <cell r="G1640" t="str">
            <v>Presupuesto</v>
          </cell>
        </row>
        <row r="1641">
          <cell r="A1641" t="str">
            <v>ARAYTOR</v>
          </cell>
          <cell r="B1641">
            <v>202502</v>
          </cell>
          <cell r="D1641" t="str">
            <v>Caución</v>
          </cell>
          <cell r="G1641" t="str">
            <v>Real</v>
          </cell>
        </row>
        <row r="1642">
          <cell r="A1642" t="str">
            <v>ARAYTOR</v>
          </cell>
          <cell r="B1642">
            <v>202502</v>
          </cell>
          <cell r="D1642" t="str">
            <v>Crédito Internacional</v>
          </cell>
          <cell r="G1642" t="str">
            <v>Presupuesto</v>
          </cell>
        </row>
        <row r="1643">
          <cell r="A1643" t="str">
            <v>ARAYTOR</v>
          </cell>
          <cell r="B1643">
            <v>202502</v>
          </cell>
          <cell r="D1643" t="str">
            <v>Crédito Nacional</v>
          </cell>
          <cell r="G1643" t="str">
            <v>Presupuesto</v>
          </cell>
        </row>
        <row r="1644">
          <cell r="A1644" t="str">
            <v>ARAYTOR</v>
          </cell>
          <cell r="B1644">
            <v>202502</v>
          </cell>
          <cell r="D1644" t="str">
            <v>Eventos</v>
          </cell>
          <cell r="G1644" t="str">
            <v>Presupuesto</v>
          </cell>
        </row>
        <row r="1645">
          <cell r="A1645" t="str">
            <v>ARAYTOR</v>
          </cell>
          <cell r="B1645">
            <v>202502</v>
          </cell>
          <cell r="D1645" t="str">
            <v>Eventos</v>
          </cell>
          <cell r="G1645" t="str">
            <v>Real</v>
          </cell>
        </row>
        <row r="1646">
          <cell r="A1646" t="str">
            <v>ARAYTOR</v>
          </cell>
          <cell r="B1646">
            <v>202502</v>
          </cell>
          <cell r="D1646" t="str">
            <v>Flotas</v>
          </cell>
          <cell r="G1646" t="str">
            <v>Presupuesto</v>
          </cell>
        </row>
        <row r="1647">
          <cell r="A1647" t="str">
            <v>ARAYTOR</v>
          </cell>
          <cell r="B1647">
            <v>202502</v>
          </cell>
          <cell r="D1647" t="str">
            <v>Flotas</v>
          </cell>
          <cell r="G1647" t="str">
            <v>Real</v>
          </cell>
        </row>
        <row r="1648">
          <cell r="A1648" t="str">
            <v>ARAYTOR</v>
          </cell>
          <cell r="B1648">
            <v>202502</v>
          </cell>
          <cell r="D1648" t="str">
            <v>Hogar</v>
          </cell>
          <cell r="G1648" t="str">
            <v>Presupuesto</v>
          </cell>
        </row>
        <row r="1649">
          <cell r="A1649" t="str">
            <v>ARAYTOR</v>
          </cell>
          <cell r="B1649">
            <v>202502</v>
          </cell>
          <cell r="D1649" t="str">
            <v>Hogar</v>
          </cell>
          <cell r="G1649" t="str">
            <v>Real</v>
          </cell>
        </row>
        <row r="1650">
          <cell r="A1650" t="str">
            <v>ARAYTOR</v>
          </cell>
          <cell r="B1650">
            <v>202502</v>
          </cell>
          <cell r="D1650" t="str">
            <v>Ingeniería</v>
          </cell>
          <cell r="G1650" t="str">
            <v>Presupuesto</v>
          </cell>
        </row>
        <row r="1651">
          <cell r="A1651" t="str">
            <v>ARAYTOR</v>
          </cell>
          <cell r="B1651">
            <v>202502</v>
          </cell>
          <cell r="D1651" t="str">
            <v>Ingeniería</v>
          </cell>
          <cell r="G1651" t="str">
            <v>Real</v>
          </cell>
        </row>
        <row r="1652">
          <cell r="A1652" t="str">
            <v>ARAYTOR</v>
          </cell>
          <cell r="B1652">
            <v>202502</v>
          </cell>
          <cell r="D1652" t="str">
            <v>Inmobiliario</v>
          </cell>
          <cell r="G1652" t="str">
            <v>Presupuesto</v>
          </cell>
        </row>
        <row r="1653">
          <cell r="A1653" t="str">
            <v>ARAYTOR</v>
          </cell>
          <cell r="B1653">
            <v>202502</v>
          </cell>
          <cell r="D1653" t="str">
            <v>Líneas Financieras</v>
          </cell>
          <cell r="G1653" t="str">
            <v>Presupuesto</v>
          </cell>
        </row>
        <row r="1654">
          <cell r="A1654" t="str">
            <v>ARAYTOR</v>
          </cell>
          <cell r="B1654">
            <v>202502</v>
          </cell>
          <cell r="D1654" t="str">
            <v>Líneas Financieras</v>
          </cell>
          <cell r="G1654" t="str">
            <v>Real</v>
          </cell>
        </row>
        <row r="1655">
          <cell r="A1655" t="str">
            <v>ARAYTOR</v>
          </cell>
          <cell r="B1655">
            <v>202502</v>
          </cell>
          <cell r="D1655" t="str">
            <v>Náutica</v>
          </cell>
          <cell r="G1655" t="str">
            <v>Presupuesto</v>
          </cell>
        </row>
        <row r="1656">
          <cell r="A1656" t="str">
            <v>ARAYTOR</v>
          </cell>
          <cell r="B1656">
            <v>202502</v>
          </cell>
          <cell r="D1656" t="str">
            <v>Náutica</v>
          </cell>
          <cell r="G1656" t="str">
            <v>Real</v>
          </cell>
        </row>
        <row r="1657">
          <cell r="A1657" t="str">
            <v>ARAYTOR</v>
          </cell>
          <cell r="B1657">
            <v>202502</v>
          </cell>
          <cell r="D1657" t="str">
            <v>Particulares Resto</v>
          </cell>
          <cell r="G1657" t="str">
            <v>Presupuesto</v>
          </cell>
        </row>
        <row r="1658">
          <cell r="A1658" t="str">
            <v>ARAYTOR</v>
          </cell>
          <cell r="B1658">
            <v>202502</v>
          </cell>
          <cell r="D1658" t="str">
            <v>Particulares Resto</v>
          </cell>
          <cell r="G1658" t="str">
            <v>Real</v>
          </cell>
        </row>
        <row r="1659">
          <cell r="A1659" t="str">
            <v>ARAYTOR</v>
          </cell>
          <cell r="B1659">
            <v>202502</v>
          </cell>
          <cell r="D1659" t="str">
            <v>Property</v>
          </cell>
          <cell r="G1659" t="str">
            <v>Presupuesto</v>
          </cell>
        </row>
        <row r="1660">
          <cell r="A1660" t="str">
            <v>ARAYTOR</v>
          </cell>
          <cell r="B1660">
            <v>202502</v>
          </cell>
          <cell r="D1660" t="str">
            <v>Property</v>
          </cell>
          <cell r="G1660" t="str">
            <v>Real</v>
          </cell>
        </row>
        <row r="1661">
          <cell r="A1661" t="str">
            <v>ARAYTOR</v>
          </cell>
          <cell r="B1661">
            <v>202502</v>
          </cell>
          <cell r="D1661" t="str">
            <v>RC</v>
          </cell>
          <cell r="G1661" t="str">
            <v>Presupuesto</v>
          </cell>
        </row>
        <row r="1662">
          <cell r="A1662" t="str">
            <v>ARAYTOR</v>
          </cell>
          <cell r="B1662">
            <v>202502</v>
          </cell>
          <cell r="D1662" t="str">
            <v>RC</v>
          </cell>
          <cell r="G1662" t="str">
            <v>Real</v>
          </cell>
        </row>
        <row r="1663">
          <cell r="A1663" t="str">
            <v>ARAYTOR</v>
          </cell>
          <cell r="B1663">
            <v>202502</v>
          </cell>
          <cell r="D1663" t="str">
            <v>Resto de lineas</v>
          </cell>
          <cell r="G1663" t="str">
            <v>Presupuesto</v>
          </cell>
        </row>
        <row r="1664">
          <cell r="A1664" t="str">
            <v>ARAYTOR</v>
          </cell>
          <cell r="B1664">
            <v>202502</v>
          </cell>
          <cell r="D1664" t="str">
            <v>Retirada</v>
          </cell>
          <cell r="G1664" t="str">
            <v>Presupuesto</v>
          </cell>
        </row>
        <row r="1665">
          <cell r="A1665" t="str">
            <v>ARAYTOR</v>
          </cell>
          <cell r="B1665">
            <v>202502</v>
          </cell>
          <cell r="D1665" t="str">
            <v>Seguros Personales (No Vida) Colectivos</v>
          </cell>
          <cell r="G1665" t="str">
            <v>Presupuesto</v>
          </cell>
        </row>
        <row r="1666">
          <cell r="A1666" t="str">
            <v>ARAYTOR</v>
          </cell>
          <cell r="B1666">
            <v>202502</v>
          </cell>
          <cell r="D1666" t="str">
            <v>Seguros Personales (No Vida) Colectivos</v>
          </cell>
          <cell r="G1666" t="str">
            <v>Real</v>
          </cell>
        </row>
        <row r="1667">
          <cell r="A1667" t="str">
            <v>ARAYTOR</v>
          </cell>
          <cell r="B1667">
            <v>202502</v>
          </cell>
          <cell r="D1667" t="str">
            <v>Seguros Personales (No Vida) Particular</v>
          </cell>
          <cell r="G1667" t="str">
            <v>Presupuesto</v>
          </cell>
        </row>
        <row r="1668">
          <cell r="A1668" t="str">
            <v>ARAYTOR</v>
          </cell>
          <cell r="B1668">
            <v>202502</v>
          </cell>
          <cell r="D1668" t="str">
            <v>Seguros Personales (No Vida) Particular</v>
          </cell>
          <cell r="G1668" t="str">
            <v>Real</v>
          </cell>
        </row>
        <row r="1669">
          <cell r="A1669" t="str">
            <v>ARAYTOR</v>
          </cell>
          <cell r="B1669">
            <v>202502</v>
          </cell>
          <cell r="D1669" t="str">
            <v>Transporte</v>
          </cell>
          <cell r="G1669" t="str">
            <v>Presupuesto</v>
          </cell>
        </row>
        <row r="1670">
          <cell r="A1670" t="str">
            <v>ARAYTOR</v>
          </cell>
          <cell r="B1670">
            <v>202502</v>
          </cell>
          <cell r="D1670" t="str">
            <v>Transporte</v>
          </cell>
          <cell r="G1670" t="str">
            <v>Real</v>
          </cell>
        </row>
        <row r="1671">
          <cell r="A1671" t="str">
            <v>ARAYTOR</v>
          </cell>
          <cell r="B1671">
            <v>202502</v>
          </cell>
          <cell r="D1671" t="str">
            <v>Venta Cruzada</v>
          </cell>
          <cell r="G1671" t="str">
            <v>Presupuesto</v>
          </cell>
        </row>
        <row r="1672">
          <cell r="A1672" t="str">
            <v>ARAYTOR</v>
          </cell>
          <cell r="B1672">
            <v>202502</v>
          </cell>
          <cell r="D1672" t="str">
            <v>Vida Ahorro Colectivo</v>
          </cell>
          <cell r="G1672" t="str">
            <v>Presupuesto</v>
          </cell>
        </row>
        <row r="1673">
          <cell r="A1673" t="str">
            <v>ARAYTOR</v>
          </cell>
          <cell r="B1673">
            <v>202502</v>
          </cell>
          <cell r="D1673" t="str">
            <v>Vida Ahorro Particular</v>
          </cell>
          <cell r="G1673" t="str">
            <v>Presupuesto</v>
          </cell>
        </row>
        <row r="1674">
          <cell r="A1674" t="str">
            <v>ARAYTOR</v>
          </cell>
          <cell r="B1674">
            <v>202502</v>
          </cell>
          <cell r="D1674" t="str">
            <v>Vida Ahorro Particular</v>
          </cell>
          <cell r="G1674" t="str">
            <v>Real</v>
          </cell>
        </row>
        <row r="1675">
          <cell r="A1675" t="str">
            <v>ARAYTOR</v>
          </cell>
          <cell r="B1675">
            <v>202502</v>
          </cell>
          <cell r="D1675" t="str">
            <v>Vida Ganado</v>
          </cell>
          <cell r="G1675" t="str">
            <v>Presupuesto</v>
          </cell>
        </row>
        <row r="1676">
          <cell r="A1676" t="str">
            <v>ARAYTOR</v>
          </cell>
          <cell r="B1676">
            <v>202502</v>
          </cell>
          <cell r="D1676" t="str">
            <v>Vida Riesgo Colectivo</v>
          </cell>
          <cell r="G1676" t="str">
            <v>Presupuesto</v>
          </cell>
        </row>
        <row r="1677">
          <cell r="A1677" t="str">
            <v>ARAYTOR</v>
          </cell>
          <cell r="B1677">
            <v>202502</v>
          </cell>
          <cell r="D1677" t="str">
            <v>Vida Riesgo Colectivo</v>
          </cell>
          <cell r="G1677" t="str">
            <v>Real</v>
          </cell>
        </row>
        <row r="1678">
          <cell r="A1678" t="str">
            <v>ARAYTOR</v>
          </cell>
          <cell r="B1678">
            <v>202502</v>
          </cell>
          <cell r="D1678" t="str">
            <v>Vida Riesgo Particular</v>
          </cell>
          <cell r="G1678" t="str">
            <v>Presupuesto</v>
          </cell>
        </row>
        <row r="1679">
          <cell r="A1679" t="str">
            <v>ARAYTOR</v>
          </cell>
          <cell r="B1679">
            <v>202502</v>
          </cell>
          <cell r="D1679" t="str">
            <v>Vida Riesgo Particular</v>
          </cell>
          <cell r="G1679" t="str">
            <v>Real</v>
          </cell>
        </row>
        <row r="1680">
          <cell r="A1680" t="str">
            <v>ARAYTOR</v>
          </cell>
          <cell r="B1680">
            <v>202503</v>
          </cell>
          <cell r="D1680" t="str">
            <v>--</v>
          </cell>
          <cell r="G1680" t="str">
            <v>Presupuesto</v>
          </cell>
        </row>
        <row r="1681">
          <cell r="A1681" t="str">
            <v>ARAYTOR</v>
          </cell>
          <cell r="B1681">
            <v>202503</v>
          </cell>
          <cell r="D1681" t="str">
            <v>--</v>
          </cell>
          <cell r="G1681" t="str">
            <v>Real</v>
          </cell>
        </row>
        <row r="1682">
          <cell r="A1682" t="str">
            <v>ARAYTOR</v>
          </cell>
          <cell r="B1682">
            <v>202503</v>
          </cell>
          <cell r="D1682" t="str">
            <v>Arte</v>
          </cell>
          <cell r="G1682" t="str">
            <v>Presupuesto</v>
          </cell>
        </row>
        <row r="1683">
          <cell r="A1683" t="str">
            <v>ARAYTOR</v>
          </cell>
          <cell r="B1683">
            <v>202503</v>
          </cell>
          <cell r="D1683" t="str">
            <v>Arte</v>
          </cell>
          <cell r="G1683" t="str">
            <v>Real</v>
          </cell>
        </row>
        <row r="1684">
          <cell r="A1684" t="str">
            <v>ARAYTOR</v>
          </cell>
          <cell r="B1684">
            <v>202503</v>
          </cell>
          <cell r="D1684" t="str">
            <v>Autos</v>
          </cell>
          <cell r="G1684" t="str">
            <v>Presupuesto</v>
          </cell>
        </row>
        <row r="1685">
          <cell r="A1685" t="str">
            <v>ARAYTOR</v>
          </cell>
          <cell r="B1685">
            <v>202503</v>
          </cell>
          <cell r="D1685" t="str">
            <v>Autos</v>
          </cell>
          <cell r="G1685" t="str">
            <v>Real</v>
          </cell>
        </row>
        <row r="1686">
          <cell r="A1686" t="str">
            <v>ARAYTOR</v>
          </cell>
          <cell r="B1686">
            <v>202503</v>
          </cell>
          <cell r="D1686" t="str">
            <v>B2B2C</v>
          </cell>
          <cell r="G1686" t="str">
            <v>Presupuesto</v>
          </cell>
        </row>
        <row r="1687">
          <cell r="A1687" t="str">
            <v>ARAYTOR</v>
          </cell>
          <cell r="B1687">
            <v>202503</v>
          </cell>
          <cell r="D1687" t="str">
            <v>Caución</v>
          </cell>
          <cell r="G1687" t="str">
            <v>Presupuesto</v>
          </cell>
        </row>
        <row r="1688">
          <cell r="A1688" t="str">
            <v>ARAYTOR</v>
          </cell>
          <cell r="B1688">
            <v>202503</v>
          </cell>
          <cell r="D1688" t="str">
            <v>Caución</v>
          </cell>
          <cell r="G1688" t="str">
            <v>Real</v>
          </cell>
        </row>
        <row r="1689">
          <cell r="A1689" t="str">
            <v>ARAYTOR</v>
          </cell>
          <cell r="B1689">
            <v>202503</v>
          </cell>
          <cell r="D1689" t="str">
            <v>Crédito Internacional</v>
          </cell>
          <cell r="G1689" t="str">
            <v>Presupuesto</v>
          </cell>
        </row>
        <row r="1690">
          <cell r="A1690" t="str">
            <v>ARAYTOR</v>
          </cell>
          <cell r="B1690">
            <v>202503</v>
          </cell>
          <cell r="D1690" t="str">
            <v>Crédito Nacional</v>
          </cell>
          <cell r="G1690" t="str">
            <v>Presupuesto</v>
          </cell>
        </row>
        <row r="1691">
          <cell r="A1691" t="str">
            <v>ARAYTOR</v>
          </cell>
          <cell r="B1691">
            <v>202503</v>
          </cell>
          <cell r="D1691" t="str">
            <v>Eventos</v>
          </cell>
          <cell r="G1691" t="str">
            <v>Presupuesto</v>
          </cell>
        </row>
        <row r="1692">
          <cell r="A1692" t="str">
            <v>ARAYTOR</v>
          </cell>
          <cell r="B1692">
            <v>202503</v>
          </cell>
          <cell r="D1692" t="str">
            <v>Eventos</v>
          </cell>
          <cell r="G1692" t="str">
            <v>Real</v>
          </cell>
        </row>
        <row r="1693">
          <cell r="A1693" t="str">
            <v>ARAYTOR</v>
          </cell>
          <cell r="B1693">
            <v>202503</v>
          </cell>
          <cell r="D1693" t="str">
            <v>Flotas</v>
          </cell>
          <cell r="G1693" t="str">
            <v>Presupuesto</v>
          </cell>
        </row>
        <row r="1694">
          <cell r="A1694" t="str">
            <v>ARAYTOR</v>
          </cell>
          <cell r="B1694">
            <v>202503</v>
          </cell>
          <cell r="D1694" t="str">
            <v>Flotas</v>
          </cell>
          <cell r="G1694" t="str">
            <v>Real</v>
          </cell>
        </row>
        <row r="1695">
          <cell r="A1695" t="str">
            <v>ARAYTOR</v>
          </cell>
          <cell r="B1695">
            <v>202503</v>
          </cell>
          <cell r="D1695" t="str">
            <v>Hogar</v>
          </cell>
          <cell r="G1695" t="str">
            <v>Presupuesto</v>
          </cell>
        </row>
        <row r="1696">
          <cell r="A1696" t="str">
            <v>ARAYTOR</v>
          </cell>
          <cell r="B1696">
            <v>202503</v>
          </cell>
          <cell r="D1696" t="str">
            <v>Hogar</v>
          </cell>
          <cell r="G1696" t="str">
            <v>Real</v>
          </cell>
        </row>
        <row r="1697">
          <cell r="A1697" t="str">
            <v>ARAYTOR</v>
          </cell>
          <cell r="B1697">
            <v>202503</v>
          </cell>
          <cell r="D1697" t="str">
            <v>Ingeniería</v>
          </cell>
          <cell r="G1697" t="str">
            <v>Presupuesto</v>
          </cell>
        </row>
        <row r="1698">
          <cell r="A1698" t="str">
            <v>ARAYTOR</v>
          </cell>
          <cell r="B1698">
            <v>202503</v>
          </cell>
          <cell r="D1698" t="str">
            <v>Ingeniería</v>
          </cell>
          <cell r="G1698" t="str">
            <v>Real</v>
          </cell>
        </row>
        <row r="1699">
          <cell r="A1699" t="str">
            <v>ARAYTOR</v>
          </cell>
          <cell r="B1699">
            <v>202503</v>
          </cell>
          <cell r="D1699" t="str">
            <v>Inmobiliario</v>
          </cell>
          <cell r="G1699" t="str">
            <v>Presupuesto</v>
          </cell>
        </row>
        <row r="1700">
          <cell r="A1700" t="str">
            <v>ARAYTOR</v>
          </cell>
          <cell r="B1700">
            <v>202503</v>
          </cell>
          <cell r="D1700" t="str">
            <v>Líneas Financieras</v>
          </cell>
          <cell r="G1700" t="str">
            <v>Presupuesto</v>
          </cell>
        </row>
        <row r="1701">
          <cell r="A1701" t="str">
            <v>ARAYTOR</v>
          </cell>
          <cell r="B1701">
            <v>202503</v>
          </cell>
          <cell r="D1701" t="str">
            <v>Líneas Financieras</v>
          </cell>
          <cell r="G1701" t="str">
            <v>Real</v>
          </cell>
        </row>
        <row r="1702">
          <cell r="A1702" t="str">
            <v>ARAYTOR</v>
          </cell>
          <cell r="B1702">
            <v>202503</v>
          </cell>
          <cell r="D1702" t="str">
            <v>Náutica</v>
          </cell>
          <cell r="G1702" t="str">
            <v>Presupuesto</v>
          </cell>
        </row>
        <row r="1703">
          <cell r="A1703" t="str">
            <v>ARAYTOR</v>
          </cell>
          <cell r="B1703">
            <v>202503</v>
          </cell>
          <cell r="D1703" t="str">
            <v>Náutica</v>
          </cell>
          <cell r="G1703" t="str">
            <v>Real</v>
          </cell>
        </row>
        <row r="1704">
          <cell r="A1704" t="str">
            <v>ARAYTOR</v>
          </cell>
          <cell r="B1704">
            <v>202503</v>
          </cell>
          <cell r="D1704" t="str">
            <v>Particulares Resto</v>
          </cell>
          <cell r="G1704" t="str">
            <v>Presupuesto</v>
          </cell>
        </row>
        <row r="1705">
          <cell r="A1705" t="str">
            <v>ARAYTOR</v>
          </cell>
          <cell r="B1705">
            <v>202503</v>
          </cell>
          <cell r="D1705" t="str">
            <v>Particulares Resto</v>
          </cell>
          <cell r="G1705" t="str">
            <v>Real</v>
          </cell>
        </row>
        <row r="1706">
          <cell r="A1706" t="str">
            <v>ARAYTOR</v>
          </cell>
          <cell r="B1706">
            <v>202503</v>
          </cell>
          <cell r="D1706" t="str">
            <v>Property</v>
          </cell>
          <cell r="G1706" t="str">
            <v>Presupuesto</v>
          </cell>
        </row>
        <row r="1707">
          <cell r="A1707" t="str">
            <v>ARAYTOR</v>
          </cell>
          <cell r="B1707">
            <v>202503</v>
          </cell>
          <cell r="D1707" t="str">
            <v>Property</v>
          </cell>
          <cell r="G1707" t="str">
            <v>Real</v>
          </cell>
        </row>
        <row r="1708">
          <cell r="A1708" t="str">
            <v>ARAYTOR</v>
          </cell>
          <cell r="B1708">
            <v>202503</v>
          </cell>
          <cell r="D1708" t="str">
            <v>RC</v>
          </cell>
          <cell r="G1708" t="str">
            <v>Presupuesto</v>
          </cell>
        </row>
        <row r="1709">
          <cell r="A1709" t="str">
            <v>ARAYTOR</v>
          </cell>
          <cell r="B1709">
            <v>202503</v>
          </cell>
          <cell r="D1709" t="str">
            <v>RC</v>
          </cell>
          <cell r="G1709" t="str">
            <v>Real</v>
          </cell>
        </row>
        <row r="1710">
          <cell r="A1710" t="str">
            <v>ARAYTOR</v>
          </cell>
          <cell r="B1710">
            <v>202503</v>
          </cell>
          <cell r="D1710" t="str">
            <v>Resto de lineas</v>
          </cell>
          <cell r="G1710" t="str">
            <v>Presupuesto</v>
          </cell>
        </row>
        <row r="1711">
          <cell r="A1711" t="str">
            <v>ARAYTOR</v>
          </cell>
          <cell r="B1711">
            <v>202503</v>
          </cell>
          <cell r="D1711" t="str">
            <v>Retirada</v>
          </cell>
          <cell r="G1711" t="str">
            <v>Presupuesto</v>
          </cell>
        </row>
        <row r="1712">
          <cell r="A1712" t="str">
            <v>ARAYTOR</v>
          </cell>
          <cell r="B1712">
            <v>202503</v>
          </cell>
          <cell r="D1712" t="str">
            <v>Seguros Personales (No Vida) Colectivos</v>
          </cell>
          <cell r="G1712" t="str">
            <v>Presupuesto</v>
          </cell>
        </row>
        <row r="1713">
          <cell r="A1713" t="str">
            <v>ARAYTOR</v>
          </cell>
          <cell r="B1713">
            <v>202503</v>
          </cell>
          <cell r="D1713" t="str">
            <v>Seguros Personales (No Vida) Colectivos</v>
          </cell>
          <cell r="G1713" t="str">
            <v>Real</v>
          </cell>
        </row>
        <row r="1714">
          <cell r="A1714" t="str">
            <v>ARAYTOR</v>
          </cell>
          <cell r="B1714">
            <v>202503</v>
          </cell>
          <cell r="D1714" t="str">
            <v>Seguros Personales (No Vida) Particular</v>
          </cell>
          <cell r="G1714" t="str">
            <v>Presupuesto</v>
          </cell>
        </row>
        <row r="1715">
          <cell r="A1715" t="str">
            <v>ARAYTOR</v>
          </cell>
          <cell r="B1715">
            <v>202503</v>
          </cell>
          <cell r="D1715" t="str">
            <v>Seguros Personales (No Vida) Particular</v>
          </cell>
          <cell r="G1715" t="str">
            <v>Real</v>
          </cell>
        </row>
        <row r="1716">
          <cell r="A1716" t="str">
            <v>ARAYTOR</v>
          </cell>
          <cell r="B1716">
            <v>202503</v>
          </cell>
          <cell r="D1716" t="str">
            <v>Transporte</v>
          </cell>
          <cell r="G1716" t="str">
            <v>Presupuesto</v>
          </cell>
        </row>
        <row r="1717">
          <cell r="A1717" t="str">
            <v>ARAYTOR</v>
          </cell>
          <cell r="B1717">
            <v>202503</v>
          </cell>
          <cell r="D1717" t="str">
            <v>Transporte</v>
          </cell>
          <cell r="G1717" t="str">
            <v>Real</v>
          </cell>
        </row>
        <row r="1718">
          <cell r="A1718" t="str">
            <v>ARAYTOR</v>
          </cell>
          <cell r="B1718">
            <v>202503</v>
          </cell>
          <cell r="D1718" t="str">
            <v>Venta Cruzada</v>
          </cell>
          <cell r="G1718" t="str">
            <v>Presupuesto</v>
          </cell>
        </row>
        <row r="1719">
          <cell r="A1719" t="str">
            <v>ARAYTOR</v>
          </cell>
          <cell r="B1719">
            <v>202503</v>
          </cell>
          <cell r="D1719" t="str">
            <v>Vida Ahorro Colectivo</v>
          </cell>
          <cell r="G1719" t="str">
            <v>Presupuesto</v>
          </cell>
        </row>
        <row r="1720">
          <cell r="A1720" t="str">
            <v>ARAYTOR</v>
          </cell>
          <cell r="B1720">
            <v>202503</v>
          </cell>
          <cell r="D1720" t="str">
            <v>Vida Ahorro Particular</v>
          </cell>
          <cell r="G1720" t="str">
            <v>Presupuesto</v>
          </cell>
        </row>
        <row r="1721">
          <cell r="A1721" t="str">
            <v>ARAYTOR</v>
          </cell>
          <cell r="B1721">
            <v>202503</v>
          </cell>
          <cell r="D1721" t="str">
            <v>Vida Ahorro Particular</v>
          </cell>
          <cell r="G1721" t="str">
            <v>Real</v>
          </cell>
        </row>
        <row r="1722">
          <cell r="A1722" t="str">
            <v>ARAYTOR</v>
          </cell>
          <cell r="B1722">
            <v>202503</v>
          </cell>
          <cell r="D1722" t="str">
            <v>Vida Ganado</v>
          </cell>
          <cell r="G1722" t="str">
            <v>Presupuesto</v>
          </cell>
        </row>
        <row r="1723">
          <cell r="A1723" t="str">
            <v>ARAYTOR</v>
          </cell>
          <cell r="B1723">
            <v>202503</v>
          </cell>
          <cell r="D1723" t="str">
            <v>Vida Riesgo Colectivo</v>
          </cell>
          <cell r="G1723" t="str">
            <v>Presupuesto</v>
          </cell>
        </row>
        <row r="1724">
          <cell r="A1724" t="str">
            <v>ARAYTOR</v>
          </cell>
          <cell r="B1724">
            <v>202503</v>
          </cell>
          <cell r="D1724" t="str">
            <v>Vida Riesgo Colectivo</v>
          </cell>
          <cell r="G1724" t="str">
            <v>Real</v>
          </cell>
        </row>
        <row r="1725">
          <cell r="A1725" t="str">
            <v>ARAYTOR</v>
          </cell>
          <cell r="B1725">
            <v>202503</v>
          </cell>
          <cell r="D1725" t="str">
            <v>Vida Riesgo Particular</v>
          </cell>
          <cell r="G1725" t="str">
            <v>Presupuesto</v>
          </cell>
        </row>
        <row r="1726">
          <cell r="A1726" t="str">
            <v>ARAYTOR</v>
          </cell>
          <cell r="B1726">
            <v>202503</v>
          </cell>
          <cell r="D1726" t="str">
            <v>Vida Riesgo Particular</v>
          </cell>
          <cell r="G1726" t="str">
            <v>Real</v>
          </cell>
        </row>
        <row r="1727">
          <cell r="A1727" t="str">
            <v>ARAYTOR</v>
          </cell>
          <cell r="B1727">
            <v>202504</v>
          </cell>
          <cell r="D1727" t="str">
            <v>--</v>
          </cell>
          <cell r="G1727" t="str">
            <v>Presupuesto</v>
          </cell>
        </row>
        <row r="1728">
          <cell r="A1728" t="str">
            <v>ARAYTOR</v>
          </cell>
          <cell r="B1728">
            <v>202504</v>
          </cell>
          <cell r="D1728" t="str">
            <v>--</v>
          </cell>
          <cell r="G1728" t="str">
            <v>Real</v>
          </cell>
        </row>
        <row r="1729">
          <cell r="A1729" t="str">
            <v>ARAYTOR</v>
          </cell>
          <cell r="B1729">
            <v>202504</v>
          </cell>
          <cell r="D1729" t="str">
            <v>Arte</v>
          </cell>
          <cell r="G1729" t="str">
            <v>Presupuesto</v>
          </cell>
        </row>
        <row r="1730">
          <cell r="A1730" t="str">
            <v>ARAYTOR</v>
          </cell>
          <cell r="B1730">
            <v>202504</v>
          </cell>
          <cell r="D1730" t="str">
            <v>Arte</v>
          </cell>
          <cell r="G1730" t="str">
            <v>Real</v>
          </cell>
        </row>
        <row r="1731">
          <cell r="A1731" t="str">
            <v>ARAYTOR</v>
          </cell>
          <cell r="B1731">
            <v>202504</v>
          </cell>
          <cell r="D1731" t="str">
            <v>Autos</v>
          </cell>
          <cell r="G1731" t="str">
            <v>Presupuesto</v>
          </cell>
        </row>
        <row r="1732">
          <cell r="A1732" t="str">
            <v>ARAYTOR</v>
          </cell>
          <cell r="B1732">
            <v>202504</v>
          </cell>
          <cell r="D1732" t="str">
            <v>Autos</v>
          </cell>
          <cell r="G1732" t="str">
            <v>Real</v>
          </cell>
        </row>
        <row r="1733">
          <cell r="A1733" t="str">
            <v>ARAYTOR</v>
          </cell>
          <cell r="B1733">
            <v>202504</v>
          </cell>
          <cell r="D1733" t="str">
            <v>B2B2C</v>
          </cell>
          <cell r="G1733" t="str">
            <v>Presupuesto</v>
          </cell>
        </row>
        <row r="1734">
          <cell r="A1734" t="str">
            <v>ARAYTOR</v>
          </cell>
          <cell r="B1734">
            <v>202504</v>
          </cell>
          <cell r="D1734" t="str">
            <v>Caución</v>
          </cell>
          <cell r="G1734" t="str">
            <v>Presupuesto</v>
          </cell>
        </row>
        <row r="1735">
          <cell r="A1735" t="str">
            <v>ARAYTOR</v>
          </cell>
          <cell r="B1735">
            <v>202504</v>
          </cell>
          <cell r="D1735" t="str">
            <v>Caución</v>
          </cell>
          <cell r="G1735" t="str">
            <v>Real</v>
          </cell>
        </row>
        <row r="1736">
          <cell r="A1736" t="str">
            <v>ARAYTOR</v>
          </cell>
          <cell r="B1736">
            <v>202504</v>
          </cell>
          <cell r="D1736" t="str">
            <v>Crédito Internacional</v>
          </cell>
          <cell r="G1736" t="str">
            <v>Presupuesto</v>
          </cell>
        </row>
        <row r="1737">
          <cell r="A1737" t="str">
            <v>ARAYTOR</v>
          </cell>
          <cell r="B1737">
            <v>202504</v>
          </cell>
          <cell r="D1737" t="str">
            <v>Crédito Nacional</v>
          </cell>
          <cell r="G1737" t="str">
            <v>Presupuesto</v>
          </cell>
        </row>
        <row r="1738">
          <cell r="A1738" t="str">
            <v>ARAYTOR</v>
          </cell>
          <cell r="B1738">
            <v>202504</v>
          </cell>
          <cell r="D1738" t="str">
            <v>Eventos</v>
          </cell>
          <cell r="G1738" t="str">
            <v>Presupuesto</v>
          </cell>
        </row>
        <row r="1739">
          <cell r="A1739" t="str">
            <v>ARAYTOR</v>
          </cell>
          <cell r="B1739">
            <v>202504</v>
          </cell>
          <cell r="D1739" t="str">
            <v>Eventos</v>
          </cell>
          <cell r="G1739" t="str">
            <v>Real</v>
          </cell>
        </row>
        <row r="1740">
          <cell r="A1740" t="str">
            <v>ARAYTOR</v>
          </cell>
          <cell r="B1740">
            <v>202504</v>
          </cell>
          <cell r="D1740" t="str">
            <v>Flotas</v>
          </cell>
          <cell r="G1740" t="str">
            <v>Presupuesto</v>
          </cell>
        </row>
        <row r="1741">
          <cell r="A1741" t="str">
            <v>ARAYTOR</v>
          </cell>
          <cell r="B1741">
            <v>202504</v>
          </cell>
          <cell r="D1741" t="str">
            <v>Flotas</v>
          </cell>
          <cell r="G1741" t="str">
            <v>Real</v>
          </cell>
        </row>
        <row r="1742">
          <cell r="A1742" t="str">
            <v>ARAYTOR</v>
          </cell>
          <cell r="B1742">
            <v>202504</v>
          </cell>
          <cell r="D1742" t="str">
            <v>Hogar</v>
          </cell>
          <cell r="G1742" t="str">
            <v>Presupuesto</v>
          </cell>
        </row>
        <row r="1743">
          <cell r="A1743" t="str">
            <v>ARAYTOR</v>
          </cell>
          <cell r="B1743">
            <v>202504</v>
          </cell>
          <cell r="D1743" t="str">
            <v>Hogar</v>
          </cell>
          <cell r="G1743" t="str">
            <v>Real</v>
          </cell>
        </row>
        <row r="1744">
          <cell r="A1744" t="str">
            <v>ARAYTOR</v>
          </cell>
          <cell r="B1744">
            <v>202504</v>
          </cell>
          <cell r="D1744" t="str">
            <v>Ingeniería</v>
          </cell>
          <cell r="G1744" t="str">
            <v>Presupuesto</v>
          </cell>
        </row>
        <row r="1745">
          <cell r="A1745" t="str">
            <v>ARAYTOR</v>
          </cell>
          <cell r="B1745">
            <v>202504</v>
          </cell>
          <cell r="D1745" t="str">
            <v>Ingeniería</v>
          </cell>
          <cell r="G1745" t="str">
            <v>Real</v>
          </cell>
        </row>
        <row r="1746">
          <cell r="A1746" t="str">
            <v>ARAYTOR</v>
          </cell>
          <cell r="B1746">
            <v>202504</v>
          </cell>
          <cell r="D1746" t="str">
            <v>Inmobiliario</v>
          </cell>
          <cell r="G1746" t="str">
            <v>Presupuesto</v>
          </cell>
        </row>
        <row r="1747">
          <cell r="A1747" t="str">
            <v>ARAYTOR</v>
          </cell>
          <cell r="B1747">
            <v>202504</v>
          </cell>
          <cell r="D1747" t="str">
            <v>Líneas Financieras</v>
          </cell>
          <cell r="G1747" t="str">
            <v>Presupuesto</v>
          </cell>
        </row>
        <row r="1748">
          <cell r="A1748" t="str">
            <v>ARAYTOR</v>
          </cell>
          <cell r="B1748">
            <v>202504</v>
          </cell>
          <cell r="D1748" t="str">
            <v>Líneas Financieras</v>
          </cell>
          <cell r="G1748" t="str">
            <v>Real</v>
          </cell>
        </row>
        <row r="1749">
          <cell r="A1749" t="str">
            <v>ARAYTOR</v>
          </cell>
          <cell r="B1749">
            <v>202504</v>
          </cell>
          <cell r="D1749" t="str">
            <v>Náutica</v>
          </cell>
          <cell r="G1749" t="str">
            <v>Presupuesto</v>
          </cell>
        </row>
        <row r="1750">
          <cell r="A1750" t="str">
            <v>ARAYTOR</v>
          </cell>
          <cell r="B1750">
            <v>202504</v>
          </cell>
          <cell r="D1750" t="str">
            <v>Náutica</v>
          </cell>
          <cell r="G1750" t="str">
            <v>Real</v>
          </cell>
        </row>
        <row r="1751">
          <cell r="A1751" t="str">
            <v>ARAYTOR</v>
          </cell>
          <cell r="B1751">
            <v>202504</v>
          </cell>
          <cell r="D1751" t="str">
            <v>Particulares Resto</v>
          </cell>
          <cell r="G1751" t="str">
            <v>Presupuesto</v>
          </cell>
        </row>
        <row r="1752">
          <cell r="A1752" t="str">
            <v>ARAYTOR</v>
          </cell>
          <cell r="B1752">
            <v>202504</v>
          </cell>
          <cell r="D1752" t="str">
            <v>Particulares Resto</v>
          </cell>
          <cell r="G1752" t="str">
            <v>Real</v>
          </cell>
        </row>
        <row r="1753">
          <cell r="A1753" t="str">
            <v>ARAYTOR</v>
          </cell>
          <cell r="B1753">
            <v>202504</v>
          </cell>
          <cell r="D1753" t="str">
            <v>Property</v>
          </cell>
          <cell r="G1753" t="str">
            <v>Presupuesto</v>
          </cell>
        </row>
        <row r="1754">
          <cell r="A1754" t="str">
            <v>ARAYTOR</v>
          </cell>
          <cell r="B1754">
            <v>202504</v>
          </cell>
          <cell r="D1754" t="str">
            <v>Property</v>
          </cell>
          <cell r="G1754" t="str">
            <v>Real</v>
          </cell>
        </row>
        <row r="1755">
          <cell r="A1755" t="str">
            <v>ARAYTOR</v>
          </cell>
          <cell r="B1755">
            <v>202504</v>
          </cell>
          <cell r="D1755" t="str">
            <v>RC</v>
          </cell>
          <cell r="G1755" t="str">
            <v>Presupuesto</v>
          </cell>
        </row>
        <row r="1756">
          <cell r="A1756" t="str">
            <v>ARAYTOR</v>
          </cell>
          <cell r="B1756">
            <v>202504</v>
          </cell>
          <cell r="D1756" t="str">
            <v>RC</v>
          </cell>
          <cell r="G1756" t="str">
            <v>Real</v>
          </cell>
        </row>
        <row r="1757">
          <cell r="A1757" t="str">
            <v>ARAYTOR</v>
          </cell>
          <cell r="B1757">
            <v>202504</v>
          </cell>
          <cell r="D1757" t="str">
            <v>Resto de lineas</v>
          </cell>
          <cell r="G1757" t="str">
            <v>Presupuesto</v>
          </cell>
        </row>
        <row r="1758">
          <cell r="A1758" t="str">
            <v>ARAYTOR</v>
          </cell>
          <cell r="B1758">
            <v>202504</v>
          </cell>
          <cell r="D1758" t="str">
            <v>Retirada</v>
          </cell>
          <cell r="G1758" t="str">
            <v>Presupuesto</v>
          </cell>
        </row>
        <row r="1759">
          <cell r="A1759" t="str">
            <v>ARAYTOR</v>
          </cell>
          <cell r="B1759">
            <v>202504</v>
          </cell>
          <cell r="D1759" t="str">
            <v>Seguros Personales (No Vida) Colectivos</v>
          </cell>
          <cell r="G1759" t="str">
            <v>Presupuesto</v>
          </cell>
        </row>
        <row r="1760">
          <cell r="A1760" t="str">
            <v>ARAYTOR</v>
          </cell>
          <cell r="B1760">
            <v>202504</v>
          </cell>
          <cell r="D1760" t="str">
            <v>Seguros Personales (No Vida) Colectivos</v>
          </cell>
          <cell r="G1760" t="str">
            <v>Real</v>
          </cell>
        </row>
        <row r="1761">
          <cell r="A1761" t="str">
            <v>ARAYTOR</v>
          </cell>
          <cell r="B1761">
            <v>202504</v>
          </cell>
          <cell r="D1761" t="str">
            <v>Seguros Personales (No Vida) Particular</v>
          </cell>
          <cell r="G1761" t="str">
            <v>Presupuesto</v>
          </cell>
        </row>
        <row r="1762">
          <cell r="A1762" t="str">
            <v>ARAYTOR</v>
          </cell>
          <cell r="B1762">
            <v>202504</v>
          </cell>
          <cell r="D1762" t="str">
            <v>Seguros Personales (No Vida) Particular</v>
          </cell>
          <cell r="G1762" t="str">
            <v>Real</v>
          </cell>
        </row>
        <row r="1763">
          <cell r="A1763" t="str">
            <v>ARAYTOR</v>
          </cell>
          <cell r="B1763">
            <v>202504</v>
          </cell>
          <cell r="D1763" t="str">
            <v>Transporte</v>
          </cell>
          <cell r="G1763" t="str">
            <v>Presupuesto</v>
          </cell>
        </row>
        <row r="1764">
          <cell r="A1764" t="str">
            <v>ARAYTOR</v>
          </cell>
          <cell r="B1764">
            <v>202504</v>
          </cell>
          <cell r="D1764" t="str">
            <v>Transporte</v>
          </cell>
          <cell r="G1764" t="str">
            <v>Real</v>
          </cell>
        </row>
        <row r="1765">
          <cell r="A1765" t="str">
            <v>ARAYTOR</v>
          </cell>
          <cell r="B1765">
            <v>202504</v>
          </cell>
          <cell r="D1765" t="str">
            <v>Venta Cruzada</v>
          </cell>
          <cell r="G1765" t="str">
            <v>Presupuesto</v>
          </cell>
        </row>
        <row r="1766">
          <cell r="A1766" t="str">
            <v>ARAYTOR</v>
          </cell>
          <cell r="B1766">
            <v>202504</v>
          </cell>
          <cell r="D1766" t="str">
            <v>Vida Ahorro Colectivo</v>
          </cell>
          <cell r="G1766" t="str">
            <v>Presupuesto</v>
          </cell>
        </row>
        <row r="1767">
          <cell r="A1767" t="str">
            <v>ARAYTOR</v>
          </cell>
          <cell r="B1767">
            <v>202504</v>
          </cell>
          <cell r="D1767" t="str">
            <v>Vida Ahorro Particular</v>
          </cell>
          <cell r="G1767" t="str">
            <v>Presupuesto</v>
          </cell>
        </row>
        <row r="1768">
          <cell r="A1768" t="str">
            <v>ARAYTOR</v>
          </cell>
          <cell r="B1768">
            <v>202504</v>
          </cell>
          <cell r="D1768" t="str">
            <v>Vida Ahorro Particular</v>
          </cell>
          <cell r="G1768" t="str">
            <v>Real</v>
          </cell>
        </row>
        <row r="1769">
          <cell r="A1769" t="str">
            <v>ARAYTOR</v>
          </cell>
          <cell r="B1769">
            <v>202504</v>
          </cell>
          <cell r="D1769" t="str">
            <v>Vida Ganado</v>
          </cell>
          <cell r="G1769" t="str">
            <v>Presupuesto</v>
          </cell>
        </row>
        <row r="1770">
          <cell r="A1770" t="str">
            <v>ARAYTOR</v>
          </cell>
          <cell r="B1770">
            <v>202504</v>
          </cell>
          <cell r="D1770" t="str">
            <v>Vida Riesgo Colectivo</v>
          </cell>
          <cell r="G1770" t="str">
            <v>Presupuesto</v>
          </cell>
        </row>
        <row r="1771">
          <cell r="A1771" t="str">
            <v>ARAYTOR</v>
          </cell>
          <cell r="B1771">
            <v>202504</v>
          </cell>
          <cell r="D1771" t="str">
            <v>Vida Riesgo Colectivo</v>
          </cell>
          <cell r="G1771" t="str">
            <v>Real</v>
          </cell>
        </row>
        <row r="1772">
          <cell r="A1772" t="str">
            <v>ARAYTOR</v>
          </cell>
          <cell r="B1772">
            <v>202504</v>
          </cell>
          <cell r="D1772" t="str">
            <v>Vida Riesgo Particular</v>
          </cell>
          <cell r="G1772" t="str">
            <v>Presupuesto</v>
          </cell>
        </row>
        <row r="1773">
          <cell r="A1773" t="str">
            <v>ARAYTOR</v>
          </cell>
          <cell r="B1773">
            <v>202504</v>
          </cell>
          <cell r="D1773" t="str">
            <v>Vida Riesgo Particular</v>
          </cell>
          <cell r="G1773" t="str">
            <v>Real</v>
          </cell>
        </row>
        <row r="1774">
          <cell r="A1774" t="str">
            <v>ARAYTOR</v>
          </cell>
          <cell r="B1774">
            <v>202505</v>
          </cell>
          <cell r="D1774" t="str">
            <v>--</v>
          </cell>
          <cell r="G1774" t="str">
            <v>Presupuesto</v>
          </cell>
        </row>
        <row r="1775">
          <cell r="A1775" t="str">
            <v>ARAYTOR</v>
          </cell>
          <cell r="B1775">
            <v>202505</v>
          </cell>
          <cell r="D1775" t="str">
            <v>--</v>
          </cell>
          <cell r="G1775" t="str">
            <v>Real</v>
          </cell>
        </row>
        <row r="1776">
          <cell r="A1776" t="str">
            <v>ARAYTOR</v>
          </cell>
          <cell r="B1776">
            <v>202505</v>
          </cell>
          <cell r="D1776" t="str">
            <v>Arte</v>
          </cell>
          <cell r="G1776" t="str">
            <v>Presupuesto</v>
          </cell>
        </row>
        <row r="1777">
          <cell r="A1777" t="str">
            <v>ARAYTOR</v>
          </cell>
          <cell r="B1777">
            <v>202505</v>
          </cell>
          <cell r="D1777" t="str">
            <v>Arte</v>
          </cell>
          <cell r="G1777" t="str">
            <v>Real</v>
          </cell>
        </row>
        <row r="1778">
          <cell r="A1778" t="str">
            <v>ARAYTOR</v>
          </cell>
          <cell r="B1778">
            <v>202505</v>
          </cell>
          <cell r="D1778" t="str">
            <v>Autos</v>
          </cell>
          <cell r="G1778" t="str">
            <v>Presupuesto</v>
          </cell>
        </row>
        <row r="1779">
          <cell r="A1779" t="str">
            <v>ARAYTOR</v>
          </cell>
          <cell r="B1779">
            <v>202505</v>
          </cell>
          <cell r="D1779" t="str">
            <v>Autos</v>
          </cell>
          <cell r="G1779" t="str">
            <v>Real</v>
          </cell>
        </row>
        <row r="1780">
          <cell r="A1780" t="str">
            <v>ARAYTOR</v>
          </cell>
          <cell r="B1780">
            <v>202505</v>
          </cell>
          <cell r="D1780" t="str">
            <v>B2B2C</v>
          </cell>
          <cell r="G1780" t="str">
            <v>Presupuesto</v>
          </cell>
        </row>
        <row r="1781">
          <cell r="A1781" t="str">
            <v>ARAYTOR</v>
          </cell>
          <cell r="B1781">
            <v>202505</v>
          </cell>
          <cell r="D1781" t="str">
            <v>Caución</v>
          </cell>
          <cell r="G1781" t="str">
            <v>Presupuesto</v>
          </cell>
        </row>
        <row r="1782">
          <cell r="A1782" t="str">
            <v>ARAYTOR</v>
          </cell>
          <cell r="B1782">
            <v>202505</v>
          </cell>
          <cell r="D1782" t="str">
            <v>Caución</v>
          </cell>
          <cell r="G1782" t="str">
            <v>Real</v>
          </cell>
        </row>
        <row r="1783">
          <cell r="A1783" t="str">
            <v>ARAYTOR</v>
          </cell>
          <cell r="B1783">
            <v>202505</v>
          </cell>
          <cell r="D1783" t="str">
            <v>Crédito Internacional</v>
          </cell>
          <cell r="G1783" t="str">
            <v>Presupuesto</v>
          </cell>
        </row>
        <row r="1784">
          <cell r="A1784" t="str">
            <v>ARAYTOR</v>
          </cell>
          <cell r="B1784">
            <v>202505</v>
          </cell>
          <cell r="D1784" t="str">
            <v>Crédito Nacional</v>
          </cell>
          <cell r="G1784" t="str">
            <v>Presupuesto</v>
          </cell>
        </row>
        <row r="1785">
          <cell r="A1785" t="str">
            <v>ARAYTOR</v>
          </cell>
          <cell r="B1785">
            <v>202505</v>
          </cell>
          <cell r="D1785" t="str">
            <v>Eventos</v>
          </cell>
          <cell r="G1785" t="str">
            <v>Presupuesto</v>
          </cell>
        </row>
        <row r="1786">
          <cell r="A1786" t="str">
            <v>ARAYTOR</v>
          </cell>
          <cell r="B1786">
            <v>202505</v>
          </cell>
          <cell r="D1786" t="str">
            <v>Eventos</v>
          </cell>
          <cell r="G1786" t="str">
            <v>Real</v>
          </cell>
        </row>
        <row r="1787">
          <cell r="A1787" t="str">
            <v>ARAYTOR</v>
          </cell>
          <cell r="B1787">
            <v>202505</v>
          </cell>
          <cell r="D1787" t="str">
            <v>Flotas</v>
          </cell>
          <cell r="G1787" t="str">
            <v>Presupuesto</v>
          </cell>
        </row>
        <row r="1788">
          <cell r="A1788" t="str">
            <v>ARAYTOR</v>
          </cell>
          <cell r="B1788">
            <v>202505</v>
          </cell>
          <cell r="D1788" t="str">
            <v>Flotas</v>
          </cell>
          <cell r="G1788" t="str">
            <v>Real</v>
          </cell>
        </row>
        <row r="1789">
          <cell r="A1789" t="str">
            <v>ARAYTOR</v>
          </cell>
          <cell r="B1789">
            <v>202505</v>
          </cell>
          <cell r="D1789" t="str">
            <v>Hogar</v>
          </cell>
          <cell r="G1789" t="str">
            <v>Presupuesto</v>
          </cell>
        </row>
        <row r="1790">
          <cell r="A1790" t="str">
            <v>ARAYTOR</v>
          </cell>
          <cell r="B1790">
            <v>202505</v>
          </cell>
          <cell r="D1790" t="str">
            <v>Hogar</v>
          </cell>
          <cell r="G1790" t="str">
            <v>Real</v>
          </cell>
        </row>
        <row r="1791">
          <cell r="A1791" t="str">
            <v>ARAYTOR</v>
          </cell>
          <cell r="B1791">
            <v>202505</v>
          </cell>
          <cell r="D1791" t="str">
            <v>Ingeniería</v>
          </cell>
          <cell r="G1791" t="str">
            <v>Presupuesto</v>
          </cell>
        </row>
        <row r="1792">
          <cell r="A1792" t="str">
            <v>ARAYTOR</v>
          </cell>
          <cell r="B1792">
            <v>202505</v>
          </cell>
          <cell r="D1792" t="str">
            <v>Ingeniería</v>
          </cell>
          <cell r="G1792" t="str">
            <v>Real</v>
          </cell>
        </row>
        <row r="1793">
          <cell r="A1793" t="str">
            <v>ARAYTOR</v>
          </cell>
          <cell r="B1793">
            <v>202505</v>
          </cell>
          <cell r="D1793" t="str">
            <v>Inmobiliario</v>
          </cell>
          <cell r="G1793" t="str">
            <v>Presupuesto</v>
          </cell>
        </row>
        <row r="1794">
          <cell r="A1794" t="str">
            <v>ARAYTOR</v>
          </cell>
          <cell r="B1794">
            <v>202505</v>
          </cell>
          <cell r="D1794" t="str">
            <v>Líneas Financieras</v>
          </cell>
          <cell r="G1794" t="str">
            <v>Presupuesto</v>
          </cell>
        </row>
        <row r="1795">
          <cell r="A1795" t="str">
            <v>ARAYTOR</v>
          </cell>
          <cell r="B1795">
            <v>202505</v>
          </cell>
          <cell r="D1795" t="str">
            <v>Líneas Financieras</v>
          </cell>
          <cell r="G1795" t="str">
            <v>Real</v>
          </cell>
        </row>
        <row r="1796">
          <cell r="A1796" t="str">
            <v>ARAYTOR</v>
          </cell>
          <cell r="B1796">
            <v>202505</v>
          </cell>
          <cell r="D1796" t="str">
            <v>Náutica</v>
          </cell>
          <cell r="G1796" t="str">
            <v>Presupuesto</v>
          </cell>
        </row>
        <row r="1797">
          <cell r="A1797" t="str">
            <v>ARAYTOR</v>
          </cell>
          <cell r="B1797">
            <v>202505</v>
          </cell>
          <cell r="D1797" t="str">
            <v>Náutica</v>
          </cell>
          <cell r="G1797" t="str">
            <v>Real</v>
          </cell>
        </row>
        <row r="1798">
          <cell r="A1798" t="str">
            <v>ARAYTOR</v>
          </cell>
          <cell r="B1798">
            <v>202505</v>
          </cell>
          <cell r="D1798" t="str">
            <v>Particulares Resto</v>
          </cell>
          <cell r="G1798" t="str">
            <v>Presupuesto</v>
          </cell>
        </row>
        <row r="1799">
          <cell r="A1799" t="str">
            <v>ARAYTOR</v>
          </cell>
          <cell r="B1799">
            <v>202505</v>
          </cell>
          <cell r="D1799" t="str">
            <v>Particulares Resto</v>
          </cell>
          <cell r="G1799" t="str">
            <v>Real</v>
          </cell>
        </row>
        <row r="1800">
          <cell r="A1800" t="str">
            <v>ARAYTOR</v>
          </cell>
          <cell r="B1800">
            <v>202505</v>
          </cell>
          <cell r="D1800" t="str">
            <v>Property</v>
          </cell>
          <cell r="G1800" t="str">
            <v>Presupuesto</v>
          </cell>
        </row>
        <row r="1801">
          <cell r="A1801" t="str">
            <v>ARAYTOR</v>
          </cell>
          <cell r="B1801">
            <v>202505</v>
          </cell>
          <cell r="D1801" t="str">
            <v>Property</v>
          </cell>
          <cell r="G1801" t="str">
            <v>Real</v>
          </cell>
        </row>
        <row r="1802">
          <cell r="A1802" t="str">
            <v>ARAYTOR</v>
          </cell>
          <cell r="B1802">
            <v>202505</v>
          </cell>
          <cell r="D1802" t="str">
            <v>RC</v>
          </cell>
          <cell r="G1802" t="str">
            <v>Presupuesto</v>
          </cell>
        </row>
        <row r="1803">
          <cell r="A1803" t="str">
            <v>ARAYTOR</v>
          </cell>
          <cell r="B1803">
            <v>202505</v>
          </cell>
          <cell r="D1803" t="str">
            <v>RC</v>
          </cell>
          <cell r="G1803" t="str">
            <v>Real</v>
          </cell>
        </row>
        <row r="1804">
          <cell r="A1804" t="str">
            <v>ARAYTOR</v>
          </cell>
          <cell r="B1804">
            <v>202505</v>
          </cell>
          <cell r="D1804" t="str">
            <v>Resto de lineas</v>
          </cell>
          <cell r="G1804" t="str">
            <v>Presupuesto</v>
          </cell>
        </row>
        <row r="1805">
          <cell r="A1805" t="str">
            <v>ARAYTOR</v>
          </cell>
          <cell r="B1805">
            <v>202505</v>
          </cell>
          <cell r="D1805" t="str">
            <v>Retirada</v>
          </cell>
          <cell r="G1805" t="str">
            <v>Presupuesto</v>
          </cell>
        </row>
        <row r="1806">
          <cell r="A1806" t="str">
            <v>ARAYTOR</v>
          </cell>
          <cell r="B1806">
            <v>202505</v>
          </cell>
          <cell r="D1806" t="str">
            <v>Seguros Personales (No Vida) Colectivos</v>
          </cell>
          <cell r="G1806" t="str">
            <v>Presupuesto</v>
          </cell>
        </row>
        <row r="1807">
          <cell r="A1807" t="str">
            <v>ARAYTOR</v>
          </cell>
          <cell r="B1807">
            <v>202505</v>
          </cell>
          <cell r="D1807" t="str">
            <v>Seguros Personales (No Vida) Colectivos</v>
          </cell>
          <cell r="G1807" t="str">
            <v>Real</v>
          </cell>
        </row>
        <row r="1808">
          <cell r="A1808" t="str">
            <v>ARAYTOR</v>
          </cell>
          <cell r="B1808">
            <v>202505</v>
          </cell>
          <cell r="D1808" t="str">
            <v>Seguros Personales (No Vida) Particular</v>
          </cell>
          <cell r="G1808" t="str">
            <v>Presupuesto</v>
          </cell>
        </row>
        <row r="1809">
          <cell r="A1809" t="str">
            <v>ARAYTOR</v>
          </cell>
          <cell r="B1809">
            <v>202505</v>
          </cell>
          <cell r="D1809" t="str">
            <v>Seguros Personales (No Vida) Particular</v>
          </cell>
          <cell r="G1809" t="str">
            <v>Real</v>
          </cell>
        </row>
        <row r="1810">
          <cell r="A1810" t="str">
            <v>ARAYTOR</v>
          </cell>
          <cell r="B1810">
            <v>202505</v>
          </cell>
          <cell r="D1810" t="str">
            <v>Transporte</v>
          </cell>
          <cell r="G1810" t="str">
            <v>Presupuesto</v>
          </cell>
        </row>
        <row r="1811">
          <cell r="A1811" t="str">
            <v>ARAYTOR</v>
          </cell>
          <cell r="B1811">
            <v>202505</v>
          </cell>
          <cell r="D1811" t="str">
            <v>Transporte</v>
          </cell>
          <cell r="G1811" t="str">
            <v>Real</v>
          </cell>
        </row>
        <row r="1812">
          <cell r="A1812" t="str">
            <v>ARAYTOR</v>
          </cell>
          <cell r="B1812">
            <v>202505</v>
          </cell>
          <cell r="D1812" t="str">
            <v>Venta Cruzada</v>
          </cell>
          <cell r="G1812" t="str">
            <v>Presupuesto</v>
          </cell>
        </row>
        <row r="1813">
          <cell r="A1813" t="str">
            <v>ARAYTOR</v>
          </cell>
          <cell r="B1813">
            <v>202505</v>
          </cell>
          <cell r="D1813" t="str">
            <v>Vida Ahorro Colectivo</v>
          </cell>
          <cell r="G1813" t="str">
            <v>Presupuesto</v>
          </cell>
        </row>
        <row r="1814">
          <cell r="A1814" t="str">
            <v>ARAYTOR</v>
          </cell>
          <cell r="B1814">
            <v>202505</v>
          </cell>
          <cell r="D1814" t="str">
            <v>Vida Ahorro Particular</v>
          </cell>
          <cell r="G1814" t="str">
            <v>Presupuesto</v>
          </cell>
        </row>
        <row r="1815">
          <cell r="A1815" t="str">
            <v>ARAYTOR</v>
          </cell>
          <cell r="B1815">
            <v>202505</v>
          </cell>
          <cell r="D1815" t="str">
            <v>Vida Ahorro Particular</v>
          </cell>
          <cell r="G1815" t="str">
            <v>Real</v>
          </cell>
        </row>
        <row r="1816">
          <cell r="A1816" t="str">
            <v>ARAYTOR</v>
          </cell>
          <cell r="B1816">
            <v>202505</v>
          </cell>
          <cell r="D1816" t="str">
            <v>Vida Ganado</v>
          </cell>
          <cell r="G1816" t="str">
            <v>Presupuesto</v>
          </cell>
        </row>
        <row r="1817">
          <cell r="A1817" t="str">
            <v>ARAYTOR</v>
          </cell>
          <cell r="B1817">
            <v>202505</v>
          </cell>
          <cell r="D1817" t="str">
            <v>Vida Riesgo Colectivo</v>
          </cell>
          <cell r="G1817" t="str">
            <v>Presupuesto</v>
          </cell>
        </row>
        <row r="1818">
          <cell r="A1818" t="str">
            <v>ARAYTOR</v>
          </cell>
          <cell r="B1818">
            <v>202505</v>
          </cell>
          <cell r="D1818" t="str">
            <v>Vida Riesgo Colectivo</v>
          </cell>
          <cell r="G1818" t="str">
            <v>Real</v>
          </cell>
        </row>
        <row r="1819">
          <cell r="A1819" t="str">
            <v>ARAYTOR</v>
          </cell>
          <cell r="B1819">
            <v>202505</v>
          </cell>
          <cell r="D1819" t="str">
            <v>Vida Riesgo Particular</v>
          </cell>
          <cell r="G1819" t="str">
            <v>Presupuesto</v>
          </cell>
        </row>
        <row r="1820">
          <cell r="A1820" t="str">
            <v>ARAYTOR</v>
          </cell>
          <cell r="B1820">
            <v>202505</v>
          </cell>
          <cell r="D1820" t="str">
            <v>Vida Riesgo Particular</v>
          </cell>
          <cell r="G1820" t="str">
            <v>Real</v>
          </cell>
        </row>
        <row r="1821">
          <cell r="A1821" t="str">
            <v>ARAYTOR</v>
          </cell>
          <cell r="B1821">
            <v>202506</v>
          </cell>
          <cell r="D1821" t="str">
            <v>--</v>
          </cell>
          <cell r="G1821" t="str">
            <v>Presupuesto</v>
          </cell>
        </row>
        <row r="1822">
          <cell r="A1822" t="str">
            <v>ARAYTOR</v>
          </cell>
          <cell r="B1822">
            <v>202506</v>
          </cell>
          <cell r="D1822" t="str">
            <v>--</v>
          </cell>
          <cell r="G1822" t="str">
            <v>Real</v>
          </cell>
        </row>
        <row r="1823">
          <cell r="A1823" t="str">
            <v>ARAYTOR</v>
          </cell>
          <cell r="B1823">
            <v>202506</v>
          </cell>
          <cell r="D1823" t="str">
            <v>Arte</v>
          </cell>
          <cell r="G1823" t="str">
            <v>Presupuesto</v>
          </cell>
        </row>
        <row r="1824">
          <cell r="A1824" t="str">
            <v>ARAYTOR</v>
          </cell>
          <cell r="B1824">
            <v>202506</v>
          </cell>
          <cell r="D1824" t="str">
            <v>Arte</v>
          </cell>
          <cell r="G1824" t="str">
            <v>Real</v>
          </cell>
        </row>
        <row r="1825">
          <cell r="A1825" t="str">
            <v>ARAYTOR</v>
          </cell>
          <cell r="B1825">
            <v>202506</v>
          </cell>
          <cell r="D1825" t="str">
            <v>Autos</v>
          </cell>
          <cell r="G1825" t="str">
            <v>Presupuesto</v>
          </cell>
        </row>
        <row r="1826">
          <cell r="A1826" t="str">
            <v>ARAYTOR</v>
          </cell>
          <cell r="B1826">
            <v>202506</v>
          </cell>
          <cell r="D1826" t="str">
            <v>Autos</v>
          </cell>
          <cell r="G1826" t="str">
            <v>Real</v>
          </cell>
        </row>
        <row r="1827">
          <cell r="A1827" t="str">
            <v>ARAYTOR</v>
          </cell>
          <cell r="B1827">
            <v>202506</v>
          </cell>
          <cell r="D1827" t="str">
            <v>B2B2C</v>
          </cell>
          <cell r="G1827" t="str">
            <v>Presupuesto</v>
          </cell>
        </row>
        <row r="1828">
          <cell r="A1828" t="str">
            <v>ARAYTOR</v>
          </cell>
          <cell r="B1828">
            <v>202506</v>
          </cell>
          <cell r="D1828" t="str">
            <v>Caución</v>
          </cell>
          <cell r="G1828" t="str">
            <v>Presupuesto</v>
          </cell>
        </row>
        <row r="1829">
          <cell r="A1829" t="str">
            <v>ARAYTOR</v>
          </cell>
          <cell r="B1829">
            <v>202506</v>
          </cell>
          <cell r="D1829" t="str">
            <v>Caución</v>
          </cell>
          <cell r="G1829" t="str">
            <v>Real</v>
          </cell>
        </row>
        <row r="1830">
          <cell r="A1830" t="str">
            <v>ARAYTOR</v>
          </cell>
          <cell r="B1830">
            <v>202506</v>
          </cell>
          <cell r="D1830" t="str">
            <v>Crédito Internacional</v>
          </cell>
          <cell r="G1830" t="str">
            <v>Presupuesto</v>
          </cell>
        </row>
        <row r="1831">
          <cell r="A1831" t="str">
            <v>ARAYTOR</v>
          </cell>
          <cell r="B1831">
            <v>202506</v>
          </cell>
          <cell r="D1831" t="str">
            <v>Crédito Nacional</v>
          </cell>
          <cell r="G1831" t="str">
            <v>Presupuesto</v>
          </cell>
        </row>
        <row r="1832">
          <cell r="A1832" t="str">
            <v>ARAYTOR</v>
          </cell>
          <cell r="B1832">
            <v>202506</v>
          </cell>
          <cell r="D1832" t="str">
            <v>Eventos</v>
          </cell>
          <cell r="G1832" t="str">
            <v>Presupuesto</v>
          </cell>
        </row>
        <row r="1833">
          <cell r="A1833" t="str">
            <v>ARAYTOR</v>
          </cell>
          <cell r="B1833">
            <v>202506</v>
          </cell>
          <cell r="D1833" t="str">
            <v>Eventos</v>
          </cell>
          <cell r="G1833" t="str">
            <v>Real</v>
          </cell>
        </row>
        <row r="1834">
          <cell r="A1834" t="str">
            <v>ARAYTOR</v>
          </cell>
          <cell r="B1834">
            <v>202506</v>
          </cell>
          <cell r="D1834" t="str">
            <v>Flotas</v>
          </cell>
          <cell r="G1834" t="str">
            <v>Presupuesto</v>
          </cell>
        </row>
        <row r="1835">
          <cell r="A1835" t="str">
            <v>ARAYTOR</v>
          </cell>
          <cell r="B1835">
            <v>202506</v>
          </cell>
          <cell r="D1835" t="str">
            <v>Flotas</v>
          </cell>
          <cell r="G1835" t="str">
            <v>Real</v>
          </cell>
        </row>
        <row r="1836">
          <cell r="A1836" t="str">
            <v>ARAYTOR</v>
          </cell>
          <cell r="B1836">
            <v>202506</v>
          </cell>
          <cell r="D1836" t="str">
            <v>Hogar</v>
          </cell>
          <cell r="G1836" t="str">
            <v>Presupuesto</v>
          </cell>
        </row>
        <row r="1837">
          <cell r="A1837" t="str">
            <v>ARAYTOR</v>
          </cell>
          <cell r="B1837">
            <v>202506</v>
          </cell>
          <cell r="D1837" t="str">
            <v>Hogar</v>
          </cell>
          <cell r="G1837" t="str">
            <v>Real</v>
          </cell>
        </row>
        <row r="1838">
          <cell r="A1838" t="str">
            <v>ARAYTOR</v>
          </cell>
          <cell r="B1838">
            <v>202506</v>
          </cell>
          <cell r="D1838" t="str">
            <v>Ingeniería</v>
          </cell>
          <cell r="G1838" t="str">
            <v>Presupuesto</v>
          </cell>
        </row>
        <row r="1839">
          <cell r="A1839" t="str">
            <v>ARAYTOR</v>
          </cell>
          <cell r="B1839">
            <v>202506</v>
          </cell>
          <cell r="D1839" t="str">
            <v>Ingeniería</v>
          </cell>
          <cell r="G1839" t="str">
            <v>Real</v>
          </cell>
        </row>
        <row r="1840">
          <cell r="A1840" t="str">
            <v>ARAYTOR</v>
          </cell>
          <cell r="B1840">
            <v>202506</v>
          </cell>
          <cell r="D1840" t="str">
            <v>Inmobiliario</v>
          </cell>
          <cell r="G1840" t="str">
            <v>Presupuesto</v>
          </cell>
        </row>
        <row r="1841">
          <cell r="A1841" t="str">
            <v>ARAYTOR</v>
          </cell>
          <cell r="B1841">
            <v>202506</v>
          </cell>
          <cell r="D1841" t="str">
            <v>Líneas Financieras</v>
          </cell>
          <cell r="G1841" t="str">
            <v>Presupuesto</v>
          </cell>
        </row>
        <row r="1842">
          <cell r="A1842" t="str">
            <v>ARAYTOR</v>
          </cell>
          <cell r="B1842">
            <v>202506</v>
          </cell>
          <cell r="D1842" t="str">
            <v>Líneas Financieras</v>
          </cell>
          <cell r="G1842" t="str">
            <v>Real</v>
          </cell>
        </row>
        <row r="1843">
          <cell r="A1843" t="str">
            <v>ARAYTOR</v>
          </cell>
          <cell r="B1843">
            <v>202506</v>
          </cell>
          <cell r="D1843" t="str">
            <v>Náutica</v>
          </cell>
          <cell r="G1843" t="str">
            <v>Presupuesto</v>
          </cell>
        </row>
        <row r="1844">
          <cell r="A1844" t="str">
            <v>ARAYTOR</v>
          </cell>
          <cell r="B1844">
            <v>202506</v>
          </cell>
          <cell r="D1844" t="str">
            <v>Náutica</v>
          </cell>
          <cell r="G1844" t="str">
            <v>Real</v>
          </cell>
        </row>
        <row r="1845">
          <cell r="A1845" t="str">
            <v>ARAYTOR</v>
          </cell>
          <cell r="B1845">
            <v>202506</v>
          </cell>
          <cell r="D1845" t="str">
            <v>Particulares Resto</v>
          </cell>
          <cell r="G1845" t="str">
            <v>Presupuesto</v>
          </cell>
        </row>
        <row r="1846">
          <cell r="A1846" t="str">
            <v>ARAYTOR</v>
          </cell>
          <cell r="B1846">
            <v>202506</v>
          </cell>
          <cell r="D1846" t="str">
            <v>Particulares Resto</v>
          </cell>
          <cell r="G1846" t="str">
            <v>Real</v>
          </cell>
        </row>
        <row r="1847">
          <cell r="A1847" t="str">
            <v>ARAYTOR</v>
          </cell>
          <cell r="B1847">
            <v>202506</v>
          </cell>
          <cell r="D1847" t="str">
            <v>Property</v>
          </cell>
          <cell r="G1847" t="str">
            <v>Presupuesto</v>
          </cell>
        </row>
        <row r="1848">
          <cell r="A1848" t="str">
            <v>ARAYTOR</v>
          </cell>
          <cell r="B1848">
            <v>202506</v>
          </cell>
          <cell r="D1848" t="str">
            <v>Property</v>
          </cell>
          <cell r="G1848" t="str">
            <v>Real</v>
          </cell>
        </row>
        <row r="1849">
          <cell r="A1849" t="str">
            <v>ARAYTOR</v>
          </cell>
          <cell r="B1849">
            <v>202506</v>
          </cell>
          <cell r="D1849" t="str">
            <v>RC</v>
          </cell>
          <cell r="G1849" t="str">
            <v>Presupuesto</v>
          </cell>
        </row>
        <row r="1850">
          <cell r="A1850" t="str">
            <v>ARAYTOR</v>
          </cell>
          <cell r="B1850">
            <v>202506</v>
          </cell>
          <cell r="D1850" t="str">
            <v>RC</v>
          </cell>
          <cell r="G1850" t="str">
            <v>Real</v>
          </cell>
        </row>
        <row r="1851">
          <cell r="A1851" t="str">
            <v>ARAYTOR</v>
          </cell>
          <cell r="B1851">
            <v>202506</v>
          </cell>
          <cell r="D1851" t="str">
            <v>Resto de lineas</v>
          </cell>
          <cell r="G1851" t="str">
            <v>Presupuesto</v>
          </cell>
        </row>
        <row r="1852">
          <cell r="A1852" t="str">
            <v>ARAYTOR</v>
          </cell>
          <cell r="B1852">
            <v>202506</v>
          </cell>
          <cell r="D1852" t="str">
            <v>Retirada</v>
          </cell>
          <cell r="G1852" t="str">
            <v>Presupuesto</v>
          </cell>
        </row>
        <row r="1853">
          <cell r="A1853" t="str">
            <v>ARAYTOR</v>
          </cell>
          <cell r="B1853">
            <v>202506</v>
          </cell>
          <cell r="D1853" t="str">
            <v>Seguros Personales (No Vida) Colectivos</v>
          </cell>
          <cell r="G1853" t="str">
            <v>Presupuesto</v>
          </cell>
        </row>
        <row r="1854">
          <cell r="A1854" t="str">
            <v>ARAYTOR</v>
          </cell>
          <cell r="B1854">
            <v>202506</v>
          </cell>
          <cell r="D1854" t="str">
            <v>Seguros Personales (No Vida) Colectivos</v>
          </cell>
          <cell r="G1854" t="str">
            <v>Real</v>
          </cell>
        </row>
        <row r="1855">
          <cell r="A1855" t="str">
            <v>ARAYTOR</v>
          </cell>
          <cell r="B1855">
            <v>202506</v>
          </cell>
          <cell r="D1855" t="str">
            <v>Seguros Personales (No Vida) Particular</v>
          </cell>
          <cell r="G1855" t="str">
            <v>Presupuesto</v>
          </cell>
        </row>
        <row r="1856">
          <cell r="A1856" t="str">
            <v>ARAYTOR</v>
          </cell>
          <cell r="B1856">
            <v>202506</v>
          </cell>
          <cell r="D1856" t="str">
            <v>Seguros Personales (No Vida) Particular</v>
          </cell>
          <cell r="G1856" t="str">
            <v>Real</v>
          </cell>
        </row>
        <row r="1857">
          <cell r="A1857" t="str">
            <v>ARAYTOR</v>
          </cell>
          <cell r="B1857">
            <v>202506</v>
          </cell>
          <cell r="D1857" t="str">
            <v>Transporte</v>
          </cell>
          <cell r="G1857" t="str">
            <v>Presupuesto</v>
          </cell>
        </row>
        <row r="1858">
          <cell r="A1858" t="str">
            <v>ARAYTOR</v>
          </cell>
          <cell r="B1858">
            <v>202506</v>
          </cell>
          <cell r="D1858" t="str">
            <v>Transporte</v>
          </cell>
          <cell r="G1858" t="str">
            <v>Real</v>
          </cell>
        </row>
        <row r="1859">
          <cell r="A1859" t="str">
            <v>ARAYTOR</v>
          </cell>
          <cell r="B1859">
            <v>202506</v>
          </cell>
          <cell r="D1859" t="str">
            <v>Venta Cruzada</v>
          </cell>
          <cell r="G1859" t="str">
            <v>Presupuesto</v>
          </cell>
        </row>
        <row r="1860">
          <cell r="A1860" t="str">
            <v>ARAYTOR</v>
          </cell>
          <cell r="B1860">
            <v>202506</v>
          </cell>
          <cell r="D1860" t="str">
            <v>Vida Ahorro Colectivo</v>
          </cell>
          <cell r="G1860" t="str">
            <v>Presupuesto</v>
          </cell>
        </row>
        <row r="1861">
          <cell r="A1861" t="str">
            <v>ARAYTOR</v>
          </cell>
          <cell r="B1861">
            <v>202506</v>
          </cell>
          <cell r="D1861" t="str">
            <v>Vida Ahorro Particular</v>
          </cell>
          <cell r="G1861" t="str">
            <v>Presupuesto</v>
          </cell>
        </row>
        <row r="1862">
          <cell r="A1862" t="str">
            <v>ARAYTOR</v>
          </cell>
          <cell r="B1862">
            <v>202506</v>
          </cell>
          <cell r="D1862" t="str">
            <v>Vida Ahorro Particular</v>
          </cell>
          <cell r="G1862" t="str">
            <v>Real</v>
          </cell>
        </row>
        <row r="1863">
          <cell r="A1863" t="str">
            <v>ARAYTOR</v>
          </cell>
          <cell r="B1863">
            <v>202506</v>
          </cell>
          <cell r="D1863" t="str">
            <v>Vida Ganado</v>
          </cell>
          <cell r="G1863" t="str">
            <v>Presupuesto</v>
          </cell>
        </row>
        <row r="1864">
          <cell r="A1864" t="str">
            <v>ARAYTOR</v>
          </cell>
          <cell r="B1864">
            <v>202506</v>
          </cell>
          <cell r="D1864" t="str">
            <v>Vida Riesgo Colectivo</v>
          </cell>
          <cell r="G1864" t="str">
            <v>Presupuesto</v>
          </cell>
        </row>
        <row r="1865">
          <cell r="A1865" t="str">
            <v>ARAYTOR</v>
          </cell>
          <cell r="B1865">
            <v>202506</v>
          </cell>
          <cell r="D1865" t="str">
            <v>Vida Riesgo Colectivo</v>
          </cell>
          <cell r="G1865" t="str">
            <v>Real</v>
          </cell>
        </row>
        <row r="1866">
          <cell r="A1866" t="str">
            <v>ARAYTOR</v>
          </cell>
          <cell r="B1866">
            <v>202506</v>
          </cell>
          <cell r="D1866" t="str">
            <v>Vida Riesgo Particular</v>
          </cell>
          <cell r="G1866" t="str">
            <v>Presupuesto</v>
          </cell>
        </row>
        <row r="1867">
          <cell r="A1867" t="str">
            <v>ARAYTOR</v>
          </cell>
          <cell r="B1867">
            <v>202506</v>
          </cell>
          <cell r="D1867" t="str">
            <v>Vida Riesgo Particular</v>
          </cell>
          <cell r="G1867" t="str">
            <v>Real</v>
          </cell>
        </row>
        <row r="1868">
          <cell r="A1868" t="str">
            <v>ARAYTOR</v>
          </cell>
          <cell r="B1868">
            <v>202507</v>
          </cell>
          <cell r="D1868" t="str">
            <v>--</v>
          </cell>
          <cell r="G1868" t="str">
            <v>Presupuesto</v>
          </cell>
        </row>
        <row r="1869">
          <cell r="A1869" t="str">
            <v>ARAYTOR</v>
          </cell>
          <cell r="B1869">
            <v>202507</v>
          </cell>
          <cell r="D1869" t="str">
            <v>--</v>
          </cell>
          <cell r="G1869" t="str">
            <v>Real</v>
          </cell>
        </row>
        <row r="1870">
          <cell r="A1870" t="str">
            <v>ARAYTOR</v>
          </cell>
          <cell r="B1870">
            <v>202507</v>
          </cell>
          <cell r="D1870" t="str">
            <v>Arte</v>
          </cell>
          <cell r="G1870" t="str">
            <v>Presupuesto</v>
          </cell>
        </row>
        <row r="1871">
          <cell r="A1871" t="str">
            <v>ARAYTOR</v>
          </cell>
          <cell r="B1871">
            <v>202507</v>
          </cell>
          <cell r="D1871" t="str">
            <v>Arte</v>
          </cell>
          <cell r="G1871" t="str">
            <v>Real</v>
          </cell>
        </row>
        <row r="1872">
          <cell r="A1872" t="str">
            <v>ARAYTOR</v>
          </cell>
          <cell r="B1872">
            <v>202507</v>
          </cell>
          <cell r="D1872" t="str">
            <v>Autos</v>
          </cell>
          <cell r="G1872" t="str">
            <v>Presupuesto</v>
          </cell>
        </row>
        <row r="1873">
          <cell r="A1873" t="str">
            <v>ARAYTOR</v>
          </cell>
          <cell r="B1873">
            <v>202507</v>
          </cell>
          <cell r="D1873" t="str">
            <v>Autos</v>
          </cell>
          <cell r="G1873" t="str">
            <v>Real</v>
          </cell>
        </row>
        <row r="1874">
          <cell r="A1874" t="str">
            <v>ARAYTOR</v>
          </cell>
          <cell r="B1874">
            <v>202507</v>
          </cell>
          <cell r="D1874" t="str">
            <v>B2B2C</v>
          </cell>
          <cell r="G1874" t="str">
            <v>Presupuesto</v>
          </cell>
        </row>
        <row r="1875">
          <cell r="A1875" t="str">
            <v>ARAYTOR</v>
          </cell>
          <cell r="B1875">
            <v>202507</v>
          </cell>
          <cell r="D1875" t="str">
            <v>Caución</v>
          </cell>
          <cell r="G1875" t="str">
            <v>Presupuesto</v>
          </cell>
        </row>
        <row r="1876">
          <cell r="A1876" t="str">
            <v>ARAYTOR</v>
          </cell>
          <cell r="B1876">
            <v>202507</v>
          </cell>
          <cell r="D1876" t="str">
            <v>Crédito Internacional</v>
          </cell>
          <cell r="G1876" t="str">
            <v>Presupuesto</v>
          </cell>
        </row>
        <row r="1877">
          <cell r="A1877" t="str">
            <v>ARAYTOR</v>
          </cell>
          <cell r="B1877">
            <v>202507</v>
          </cell>
          <cell r="D1877" t="str">
            <v>Crédito Nacional</v>
          </cell>
          <cell r="G1877" t="str">
            <v>Presupuesto</v>
          </cell>
        </row>
        <row r="1878">
          <cell r="A1878" t="str">
            <v>ARAYTOR</v>
          </cell>
          <cell r="B1878">
            <v>202507</v>
          </cell>
          <cell r="D1878" t="str">
            <v>Eventos</v>
          </cell>
          <cell r="G1878" t="str">
            <v>Presupuesto</v>
          </cell>
        </row>
        <row r="1879">
          <cell r="A1879" t="str">
            <v>ARAYTOR</v>
          </cell>
          <cell r="B1879">
            <v>202507</v>
          </cell>
          <cell r="D1879" t="str">
            <v>Eventos</v>
          </cell>
          <cell r="G1879" t="str">
            <v>Real</v>
          </cell>
        </row>
        <row r="1880">
          <cell r="A1880" t="str">
            <v>ARAYTOR</v>
          </cell>
          <cell r="B1880">
            <v>202507</v>
          </cell>
          <cell r="D1880" t="str">
            <v>Flotas</v>
          </cell>
          <cell r="G1880" t="str">
            <v>Presupuesto</v>
          </cell>
        </row>
        <row r="1881">
          <cell r="A1881" t="str">
            <v>ARAYTOR</v>
          </cell>
          <cell r="B1881">
            <v>202507</v>
          </cell>
          <cell r="D1881" t="str">
            <v>Flotas</v>
          </cell>
          <cell r="G1881" t="str">
            <v>Real</v>
          </cell>
        </row>
        <row r="1882">
          <cell r="A1882" t="str">
            <v>ARAYTOR</v>
          </cell>
          <cell r="B1882">
            <v>202507</v>
          </cell>
          <cell r="D1882" t="str">
            <v>Hogar</v>
          </cell>
          <cell r="G1882" t="str">
            <v>Presupuesto</v>
          </cell>
        </row>
        <row r="1883">
          <cell r="A1883" t="str">
            <v>ARAYTOR</v>
          </cell>
          <cell r="B1883">
            <v>202507</v>
          </cell>
          <cell r="D1883" t="str">
            <v>Hogar</v>
          </cell>
          <cell r="G1883" t="str">
            <v>Real</v>
          </cell>
        </row>
        <row r="1884">
          <cell r="A1884" t="str">
            <v>ARAYTOR</v>
          </cell>
          <cell r="B1884">
            <v>202507</v>
          </cell>
          <cell r="D1884" t="str">
            <v>Ingeniería</v>
          </cell>
          <cell r="G1884" t="str">
            <v>Presupuesto</v>
          </cell>
        </row>
        <row r="1885">
          <cell r="A1885" t="str">
            <v>ARAYTOR</v>
          </cell>
          <cell r="B1885">
            <v>202507</v>
          </cell>
          <cell r="D1885" t="str">
            <v>Ingeniería</v>
          </cell>
          <cell r="G1885" t="str">
            <v>Real</v>
          </cell>
        </row>
        <row r="1886">
          <cell r="A1886" t="str">
            <v>ARAYTOR</v>
          </cell>
          <cell r="B1886">
            <v>202507</v>
          </cell>
          <cell r="D1886" t="str">
            <v>Inmobiliario</v>
          </cell>
          <cell r="G1886" t="str">
            <v>Presupuesto</v>
          </cell>
        </row>
        <row r="1887">
          <cell r="A1887" t="str">
            <v>ARAYTOR</v>
          </cell>
          <cell r="B1887">
            <v>202507</v>
          </cell>
          <cell r="D1887" t="str">
            <v>Líneas Financieras</v>
          </cell>
          <cell r="G1887" t="str">
            <v>Presupuesto</v>
          </cell>
        </row>
        <row r="1888">
          <cell r="A1888" t="str">
            <v>ARAYTOR</v>
          </cell>
          <cell r="B1888">
            <v>202507</v>
          </cell>
          <cell r="D1888" t="str">
            <v>Líneas Financieras</v>
          </cell>
          <cell r="G1888" t="str">
            <v>Real</v>
          </cell>
        </row>
        <row r="1889">
          <cell r="A1889" t="str">
            <v>ARAYTOR</v>
          </cell>
          <cell r="B1889">
            <v>202507</v>
          </cell>
          <cell r="D1889" t="str">
            <v>Náutica</v>
          </cell>
          <cell r="G1889" t="str">
            <v>Presupuesto</v>
          </cell>
        </row>
        <row r="1890">
          <cell r="A1890" t="str">
            <v>ARAYTOR</v>
          </cell>
          <cell r="B1890">
            <v>202507</v>
          </cell>
          <cell r="D1890" t="str">
            <v>Náutica</v>
          </cell>
          <cell r="G1890" t="str">
            <v>Real</v>
          </cell>
        </row>
        <row r="1891">
          <cell r="A1891" t="str">
            <v>ARAYTOR</v>
          </cell>
          <cell r="B1891">
            <v>202507</v>
          </cell>
          <cell r="D1891" t="str">
            <v>Particulares Resto</v>
          </cell>
          <cell r="G1891" t="str">
            <v>Presupuesto</v>
          </cell>
        </row>
        <row r="1892">
          <cell r="A1892" t="str">
            <v>ARAYTOR</v>
          </cell>
          <cell r="B1892">
            <v>202507</v>
          </cell>
          <cell r="D1892" t="str">
            <v>Particulares Resto</v>
          </cell>
          <cell r="G1892" t="str">
            <v>Real</v>
          </cell>
        </row>
        <row r="1893">
          <cell r="A1893" t="str">
            <v>ARAYTOR</v>
          </cell>
          <cell r="B1893">
            <v>202507</v>
          </cell>
          <cell r="D1893" t="str">
            <v>Property</v>
          </cell>
          <cell r="G1893" t="str">
            <v>Presupuesto</v>
          </cell>
        </row>
        <row r="1894">
          <cell r="A1894" t="str">
            <v>ARAYTOR</v>
          </cell>
          <cell r="B1894">
            <v>202507</v>
          </cell>
          <cell r="D1894" t="str">
            <v>Property</v>
          </cell>
          <cell r="G1894" t="str">
            <v>Real</v>
          </cell>
        </row>
        <row r="1895">
          <cell r="A1895" t="str">
            <v>ARAYTOR</v>
          </cell>
          <cell r="B1895">
            <v>202507</v>
          </cell>
          <cell r="D1895" t="str">
            <v>RC</v>
          </cell>
          <cell r="G1895" t="str">
            <v>Presupuesto</v>
          </cell>
        </row>
        <row r="1896">
          <cell r="A1896" t="str">
            <v>ARAYTOR</v>
          </cell>
          <cell r="B1896">
            <v>202507</v>
          </cell>
          <cell r="D1896" t="str">
            <v>RC</v>
          </cell>
          <cell r="G1896" t="str">
            <v>Real</v>
          </cell>
        </row>
        <row r="1897">
          <cell r="A1897" t="str">
            <v>ARAYTOR</v>
          </cell>
          <cell r="B1897">
            <v>202507</v>
          </cell>
          <cell r="D1897" t="str">
            <v>Resto de lineas</v>
          </cell>
          <cell r="G1897" t="str">
            <v>Presupuesto</v>
          </cell>
        </row>
        <row r="1898">
          <cell r="A1898" t="str">
            <v>ARAYTOR</v>
          </cell>
          <cell r="B1898">
            <v>202507</v>
          </cell>
          <cell r="D1898" t="str">
            <v>Retirada</v>
          </cell>
          <cell r="G1898" t="str">
            <v>Presupuesto</v>
          </cell>
        </row>
        <row r="1899">
          <cell r="A1899" t="str">
            <v>ARAYTOR</v>
          </cell>
          <cell r="B1899">
            <v>202507</v>
          </cell>
          <cell r="D1899" t="str">
            <v>Seguros Personales (No Vida) Colectivos</v>
          </cell>
          <cell r="G1899" t="str">
            <v>Presupuesto</v>
          </cell>
        </row>
        <row r="1900">
          <cell r="A1900" t="str">
            <v>ARAYTOR</v>
          </cell>
          <cell r="B1900">
            <v>202507</v>
          </cell>
          <cell r="D1900" t="str">
            <v>Seguros Personales (No Vida) Colectivos</v>
          </cell>
          <cell r="G1900" t="str">
            <v>Real</v>
          </cell>
        </row>
        <row r="1901">
          <cell r="A1901" t="str">
            <v>ARAYTOR</v>
          </cell>
          <cell r="B1901">
            <v>202507</v>
          </cell>
          <cell r="D1901" t="str">
            <v>Seguros Personales (No Vida) Particular</v>
          </cell>
          <cell r="G1901" t="str">
            <v>Presupuesto</v>
          </cell>
        </row>
        <row r="1902">
          <cell r="A1902" t="str">
            <v>ARAYTOR</v>
          </cell>
          <cell r="B1902">
            <v>202507</v>
          </cell>
          <cell r="D1902" t="str">
            <v>Seguros Personales (No Vida) Particular</v>
          </cell>
          <cell r="G1902" t="str">
            <v>Real</v>
          </cell>
        </row>
        <row r="1903">
          <cell r="A1903" t="str">
            <v>ARAYTOR</v>
          </cell>
          <cell r="B1903">
            <v>202507</v>
          </cell>
          <cell r="D1903" t="str">
            <v>Transporte</v>
          </cell>
          <cell r="G1903" t="str">
            <v>Presupuesto</v>
          </cell>
        </row>
        <row r="1904">
          <cell r="A1904" t="str">
            <v>ARAYTOR</v>
          </cell>
          <cell r="B1904">
            <v>202507</v>
          </cell>
          <cell r="D1904" t="str">
            <v>Transporte</v>
          </cell>
          <cell r="G1904" t="str">
            <v>Real</v>
          </cell>
        </row>
        <row r="1905">
          <cell r="A1905" t="str">
            <v>ARAYTOR</v>
          </cell>
          <cell r="B1905">
            <v>202507</v>
          </cell>
          <cell r="D1905" t="str">
            <v>Venta Cruzada</v>
          </cell>
          <cell r="G1905" t="str">
            <v>Presupuesto</v>
          </cell>
        </row>
        <row r="1906">
          <cell r="A1906" t="str">
            <v>ARAYTOR</v>
          </cell>
          <cell r="B1906">
            <v>202507</v>
          </cell>
          <cell r="D1906" t="str">
            <v>Vida Ahorro Colectivo</v>
          </cell>
          <cell r="G1906" t="str">
            <v>Presupuesto</v>
          </cell>
        </row>
        <row r="1907">
          <cell r="A1907" t="str">
            <v>ARAYTOR</v>
          </cell>
          <cell r="B1907">
            <v>202507</v>
          </cell>
          <cell r="D1907" t="str">
            <v>Vida Ahorro Particular</v>
          </cell>
          <cell r="G1907" t="str">
            <v>Presupuesto</v>
          </cell>
        </row>
        <row r="1908">
          <cell r="A1908" t="str">
            <v>ARAYTOR</v>
          </cell>
          <cell r="B1908">
            <v>202507</v>
          </cell>
          <cell r="D1908" t="str">
            <v>Vida Ahorro Particular</v>
          </cell>
          <cell r="G1908" t="str">
            <v>Real</v>
          </cell>
        </row>
        <row r="1909">
          <cell r="A1909" t="str">
            <v>ARAYTOR</v>
          </cell>
          <cell r="B1909">
            <v>202507</v>
          </cell>
          <cell r="D1909" t="str">
            <v>Vida Ganado</v>
          </cell>
          <cell r="G1909" t="str">
            <v>Presupuesto</v>
          </cell>
        </row>
        <row r="1910">
          <cell r="A1910" t="str">
            <v>ARAYTOR</v>
          </cell>
          <cell r="B1910">
            <v>202507</v>
          </cell>
          <cell r="D1910" t="str">
            <v>Vida Riesgo Colectivo</v>
          </cell>
          <cell r="G1910" t="str">
            <v>Presupuesto</v>
          </cell>
        </row>
        <row r="1911">
          <cell r="A1911" t="str">
            <v>ARAYTOR</v>
          </cell>
          <cell r="B1911">
            <v>202507</v>
          </cell>
          <cell r="D1911" t="str">
            <v>Vida Riesgo Colectivo</v>
          </cell>
          <cell r="G1911" t="str">
            <v>Real</v>
          </cell>
        </row>
        <row r="1912">
          <cell r="A1912" t="str">
            <v>ARAYTOR</v>
          </cell>
          <cell r="B1912">
            <v>202507</v>
          </cell>
          <cell r="D1912" t="str">
            <v>Vida Riesgo Particular</v>
          </cell>
          <cell r="G1912" t="str">
            <v>Presupuesto</v>
          </cell>
        </row>
        <row r="1913">
          <cell r="A1913" t="str">
            <v>ARAYTOR</v>
          </cell>
          <cell r="B1913">
            <v>202507</v>
          </cell>
          <cell r="D1913" t="str">
            <v>Vida Riesgo Particular</v>
          </cell>
          <cell r="G1913" t="str">
            <v>Real</v>
          </cell>
        </row>
        <row r="1914">
          <cell r="A1914" t="str">
            <v>ARAYTOR</v>
          </cell>
          <cell r="B1914">
            <v>202508</v>
          </cell>
          <cell r="D1914" t="str">
            <v>--</v>
          </cell>
          <cell r="G1914" t="str">
            <v>Presupuesto</v>
          </cell>
        </row>
        <row r="1915">
          <cell r="A1915" t="str">
            <v>ARAYTOR</v>
          </cell>
          <cell r="B1915">
            <v>202508</v>
          </cell>
          <cell r="D1915" t="str">
            <v>--</v>
          </cell>
          <cell r="G1915" t="str">
            <v>Real</v>
          </cell>
        </row>
        <row r="1916">
          <cell r="A1916" t="str">
            <v>ARAYTOR</v>
          </cell>
          <cell r="B1916">
            <v>202508</v>
          </cell>
          <cell r="D1916" t="str">
            <v>Arte</v>
          </cell>
          <cell r="G1916" t="str">
            <v>Presupuesto</v>
          </cell>
        </row>
        <row r="1917">
          <cell r="A1917" t="str">
            <v>ARAYTOR</v>
          </cell>
          <cell r="B1917">
            <v>202508</v>
          </cell>
          <cell r="D1917" t="str">
            <v>Arte</v>
          </cell>
          <cell r="G1917" t="str">
            <v>Real</v>
          </cell>
        </row>
        <row r="1918">
          <cell r="A1918" t="str">
            <v>ARAYTOR</v>
          </cell>
          <cell r="B1918">
            <v>202508</v>
          </cell>
          <cell r="D1918" t="str">
            <v>Autos</v>
          </cell>
          <cell r="G1918" t="str">
            <v>Presupuesto</v>
          </cell>
        </row>
        <row r="1919">
          <cell r="A1919" t="str">
            <v>ARAYTOR</v>
          </cell>
          <cell r="B1919">
            <v>202508</v>
          </cell>
          <cell r="D1919" t="str">
            <v>Autos</v>
          </cell>
          <cell r="G1919" t="str">
            <v>Real</v>
          </cell>
        </row>
        <row r="1920">
          <cell r="A1920" t="str">
            <v>ARAYTOR</v>
          </cell>
          <cell r="B1920">
            <v>202508</v>
          </cell>
          <cell r="D1920" t="str">
            <v>B2B2C</v>
          </cell>
          <cell r="G1920" t="str">
            <v>Presupuesto</v>
          </cell>
        </row>
        <row r="1921">
          <cell r="A1921" t="str">
            <v>ARAYTOR</v>
          </cell>
          <cell r="B1921">
            <v>202508</v>
          </cell>
          <cell r="D1921" t="str">
            <v>Caución</v>
          </cell>
          <cell r="G1921" t="str">
            <v>Presupuesto</v>
          </cell>
        </row>
        <row r="1922">
          <cell r="A1922" t="str">
            <v>ARAYTOR</v>
          </cell>
          <cell r="B1922">
            <v>202508</v>
          </cell>
          <cell r="D1922" t="str">
            <v>Crédito Internacional</v>
          </cell>
          <cell r="G1922" t="str">
            <v>Presupuesto</v>
          </cell>
        </row>
        <row r="1923">
          <cell r="A1923" t="str">
            <v>ARAYTOR</v>
          </cell>
          <cell r="B1923">
            <v>202508</v>
          </cell>
          <cell r="D1923" t="str">
            <v>Crédito Nacional</v>
          </cell>
          <cell r="G1923" t="str">
            <v>Presupuesto</v>
          </cell>
        </row>
        <row r="1924">
          <cell r="A1924" t="str">
            <v>ARAYTOR</v>
          </cell>
          <cell r="B1924">
            <v>202508</v>
          </cell>
          <cell r="D1924" t="str">
            <v>Eventos</v>
          </cell>
          <cell r="G1924" t="str">
            <v>Presupuesto</v>
          </cell>
        </row>
        <row r="1925">
          <cell r="A1925" t="str">
            <v>ARAYTOR</v>
          </cell>
          <cell r="B1925">
            <v>202508</v>
          </cell>
          <cell r="D1925" t="str">
            <v>Eventos</v>
          </cell>
          <cell r="G1925" t="str">
            <v>Real</v>
          </cell>
        </row>
        <row r="1926">
          <cell r="A1926" t="str">
            <v>ARAYTOR</v>
          </cell>
          <cell r="B1926">
            <v>202508</v>
          </cell>
          <cell r="D1926" t="str">
            <v>Flotas</v>
          </cell>
          <cell r="G1926" t="str">
            <v>Presupuesto</v>
          </cell>
        </row>
        <row r="1927">
          <cell r="A1927" t="str">
            <v>ARAYTOR</v>
          </cell>
          <cell r="B1927">
            <v>202508</v>
          </cell>
          <cell r="D1927" t="str">
            <v>Flotas</v>
          </cell>
          <cell r="G1927" t="str">
            <v>Real</v>
          </cell>
        </row>
        <row r="1928">
          <cell r="A1928" t="str">
            <v>ARAYTOR</v>
          </cell>
          <cell r="B1928">
            <v>202508</v>
          </cell>
          <cell r="D1928" t="str">
            <v>Hogar</v>
          </cell>
          <cell r="G1928" t="str">
            <v>Presupuesto</v>
          </cell>
        </row>
        <row r="1929">
          <cell r="A1929" t="str">
            <v>ARAYTOR</v>
          </cell>
          <cell r="B1929">
            <v>202508</v>
          </cell>
          <cell r="D1929" t="str">
            <v>Hogar</v>
          </cell>
          <cell r="G1929" t="str">
            <v>Real</v>
          </cell>
        </row>
        <row r="1930">
          <cell r="A1930" t="str">
            <v>ARAYTOR</v>
          </cell>
          <cell r="B1930">
            <v>202508</v>
          </cell>
          <cell r="D1930" t="str">
            <v>Ingeniería</v>
          </cell>
          <cell r="G1930" t="str">
            <v>Presupuesto</v>
          </cell>
        </row>
        <row r="1931">
          <cell r="A1931" t="str">
            <v>ARAYTOR</v>
          </cell>
          <cell r="B1931">
            <v>202508</v>
          </cell>
          <cell r="D1931" t="str">
            <v>Ingeniería</v>
          </cell>
          <cell r="G1931" t="str">
            <v>Real</v>
          </cell>
        </row>
        <row r="1932">
          <cell r="A1932" t="str">
            <v>ARAYTOR</v>
          </cell>
          <cell r="B1932">
            <v>202508</v>
          </cell>
          <cell r="D1932" t="str">
            <v>Inmobiliario</v>
          </cell>
          <cell r="G1932" t="str">
            <v>Presupuesto</v>
          </cell>
        </row>
        <row r="1933">
          <cell r="A1933" t="str">
            <v>ARAYTOR</v>
          </cell>
          <cell r="B1933">
            <v>202508</v>
          </cell>
          <cell r="D1933" t="str">
            <v>Líneas Financieras</v>
          </cell>
          <cell r="G1933" t="str">
            <v>Presupuesto</v>
          </cell>
        </row>
        <row r="1934">
          <cell r="A1934" t="str">
            <v>ARAYTOR</v>
          </cell>
          <cell r="B1934">
            <v>202508</v>
          </cell>
          <cell r="D1934" t="str">
            <v>Náutica</v>
          </cell>
          <cell r="G1934" t="str">
            <v>Presupuesto</v>
          </cell>
        </row>
        <row r="1935">
          <cell r="A1935" t="str">
            <v>ARAYTOR</v>
          </cell>
          <cell r="B1935">
            <v>202508</v>
          </cell>
          <cell r="D1935" t="str">
            <v>Náutica</v>
          </cell>
          <cell r="G1935" t="str">
            <v>Real</v>
          </cell>
        </row>
        <row r="1936">
          <cell r="A1936" t="str">
            <v>ARAYTOR</v>
          </cell>
          <cell r="B1936">
            <v>202508</v>
          </cell>
          <cell r="D1936" t="str">
            <v>Particulares Resto</v>
          </cell>
          <cell r="G1936" t="str">
            <v>Presupuesto</v>
          </cell>
        </row>
        <row r="1937">
          <cell r="A1937" t="str">
            <v>ARAYTOR</v>
          </cell>
          <cell r="B1937">
            <v>202508</v>
          </cell>
          <cell r="D1937" t="str">
            <v>Particulares Resto</v>
          </cell>
          <cell r="G1937" t="str">
            <v>Real</v>
          </cell>
        </row>
        <row r="1938">
          <cell r="A1938" t="str">
            <v>ARAYTOR</v>
          </cell>
          <cell r="B1938">
            <v>202508</v>
          </cell>
          <cell r="D1938" t="str">
            <v>Property</v>
          </cell>
          <cell r="G1938" t="str">
            <v>Presupuesto</v>
          </cell>
        </row>
        <row r="1939">
          <cell r="A1939" t="str">
            <v>ARAYTOR</v>
          </cell>
          <cell r="B1939">
            <v>202508</v>
          </cell>
          <cell r="D1939" t="str">
            <v>Property</v>
          </cell>
          <cell r="G1939" t="str">
            <v>Real</v>
          </cell>
        </row>
        <row r="1940">
          <cell r="A1940" t="str">
            <v>ARAYTOR</v>
          </cell>
          <cell r="B1940">
            <v>202508</v>
          </cell>
          <cell r="D1940" t="str">
            <v>RC</v>
          </cell>
          <cell r="G1940" t="str">
            <v>Presupuesto</v>
          </cell>
        </row>
        <row r="1941">
          <cell r="A1941" t="str">
            <v>ARAYTOR</v>
          </cell>
          <cell r="B1941">
            <v>202508</v>
          </cell>
          <cell r="D1941" t="str">
            <v>RC</v>
          </cell>
          <cell r="G1941" t="str">
            <v>Real</v>
          </cell>
        </row>
        <row r="1942">
          <cell r="A1942" t="str">
            <v>ARAYTOR</v>
          </cell>
          <cell r="B1942">
            <v>202508</v>
          </cell>
          <cell r="D1942" t="str">
            <v>Resto de lineas</v>
          </cell>
          <cell r="G1942" t="str">
            <v>Presupuesto</v>
          </cell>
        </row>
        <row r="1943">
          <cell r="A1943" t="str">
            <v>ARAYTOR</v>
          </cell>
          <cell r="B1943">
            <v>202508</v>
          </cell>
          <cell r="D1943" t="str">
            <v>Retirada</v>
          </cell>
          <cell r="G1943" t="str">
            <v>Presupuesto</v>
          </cell>
        </row>
        <row r="1944">
          <cell r="A1944" t="str">
            <v>ARAYTOR</v>
          </cell>
          <cell r="B1944">
            <v>202508</v>
          </cell>
          <cell r="D1944" t="str">
            <v>Seguros Personales (No Vida) Colectivos</v>
          </cell>
          <cell r="G1944" t="str">
            <v>Presupuesto</v>
          </cell>
        </row>
        <row r="1945">
          <cell r="A1945" t="str">
            <v>ARAYTOR</v>
          </cell>
          <cell r="B1945">
            <v>202508</v>
          </cell>
          <cell r="D1945" t="str">
            <v>Seguros Personales (No Vida) Colectivos</v>
          </cell>
          <cell r="G1945" t="str">
            <v>Real</v>
          </cell>
        </row>
        <row r="1946">
          <cell r="A1946" t="str">
            <v>ARAYTOR</v>
          </cell>
          <cell r="B1946">
            <v>202508</v>
          </cell>
          <cell r="D1946" t="str">
            <v>Seguros Personales (No Vida) Particular</v>
          </cell>
          <cell r="G1946" t="str">
            <v>Presupuesto</v>
          </cell>
        </row>
        <row r="1947">
          <cell r="A1947" t="str">
            <v>ARAYTOR</v>
          </cell>
          <cell r="B1947">
            <v>202508</v>
          </cell>
          <cell r="D1947" t="str">
            <v>Seguros Personales (No Vida) Particular</v>
          </cell>
          <cell r="G1947" t="str">
            <v>Real</v>
          </cell>
        </row>
        <row r="1948">
          <cell r="A1948" t="str">
            <v>ARAYTOR</v>
          </cell>
          <cell r="B1948">
            <v>202508</v>
          </cell>
          <cell r="D1948" t="str">
            <v>Transporte</v>
          </cell>
          <cell r="G1948" t="str">
            <v>Presupuesto</v>
          </cell>
        </row>
        <row r="1949">
          <cell r="A1949" t="str">
            <v>ARAYTOR</v>
          </cell>
          <cell r="B1949">
            <v>202508</v>
          </cell>
          <cell r="D1949" t="str">
            <v>Transporte</v>
          </cell>
          <cell r="G1949" t="str">
            <v>Real</v>
          </cell>
        </row>
        <row r="1950">
          <cell r="A1950" t="str">
            <v>ARAYTOR</v>
          </cell>
          <cell r="B1950">
            <v>202508</v>
          </cell>
          <cell r="D1950" t="str">
            <v>Venta Cruzada</v>
          </cell>
          <cell r="G1950" t="str">
            <v>Presupuesto</v>
          </cell>
        </row>
        <row r="1951">
          <cell r="A1951" t="str">
            <v>ARAYTOR</v>
          </cell>
          <cell r="B1951">
            <v>202508</v>
          </cell>
          <cell r="D1951" t="str">
            <v>Vida Ahorro Colectivo</v>
          </cell>
          <cell r="G1951" t="str">
            <v>Presupuesto</v>
          </cell>
        </row>
        <row r="1952">
          <cell r="A1952" t="str">
            <v>ARAYTOR</v>
          </cell>
          <cell r="B1952">
            <v>202508</v>
          </cell>
          <cell r="D1952" t="str">
            <v>Vida Ahorro Particular</v>
          </cell>
          <cell r="G1952" t="str">
            <v>Presupuesto</v>
          </cell>
        </row>
        <row r="1953">
          <cell r="A1953" t="str">
            <v>ARAYTOR</v>
          </cell>
          <cell r="B1953">
            <v>202508</v>
          </cell>
          <cell r="D1953" t="str">
            <v>Vida Ahorro Particular</v>
          </cell>
          <cell r="G1953" t="str">
            <v>Real</v>
          </cell>
        </row>
        <row r="1954">
          <cell r="A1954" t="str">
            <v>ARAYTOR</v>
          </cell>
          <cell r="B1954">
            <v>202508</v>
          </cell>
          <cell r="D1954" t="str">
            <v>Vida Ganado</v>
          </cell>
          <cell r="G1954" t="str">
            <v>Presupuesto</v>
          </cell>
        </row>
        <row r="1955">
          <cell r="A1955" t="str">
            <v>ARAYTOR</v>
          </cell>
          <cell r="B1955">
            <v>202508</v>
          </cell>
          <cell r="D1955" t="str">
            <v>Vida Riesgo Colectivo</v>
          </cell>
          <cell r="G1955" t="str">
            <v>Presupuesto</v>
          </cell>
        </row>
        <row r="1956">
          <cell r="A1956" t="str">
            <v>ARAYTOR</v>
          </cell>
          <cell r="B1956">
            <v>202508</v>
          </cell>
          <cell r="D1956" t="str">
            <v>Vida Riesgo Particular</v>
          </cell>
          <cell r="G1956" t="str">
            <v>Presupuesto</v>
          </cell>
        </row>
        <row r="1957">
          <cell r="A1957" t="str">
            <v>ARAYTOR</v>
          </cell>
          <cell r="B1957">
            <v>202508</v>
          </cell>
          <cell r="D1957" t="str">
            <v>Vida Riesgo Particular</v>
          </cell>
          <cell r="G1957" t="str">
            <v>Real</v>
          </cell>
        </row>
        <row r="1958">
          <cell r="A1958" t="str">
            <v>ARAYTOR</v>
          </cell>
          <cell r="B1958">
            <v>202509</v>
          </cell>
          <cell r="D1958" t="str">
            <v>--</v>
          </cell>
          <cell r="G1958" t="str">
            <v>Presupuesto</v>
          </cell>
        </row>
        <row r="1959">
          <cell r="A1959" t="str">
            <v>ARAYTOR</v>
          </cell>
          <cell r="B1959">
            <v>202509</v>
          </cell>
          <cell r="D1959" t="str">
            <v>--</v>
          </cell>
          <cell r="G1959" t="str">
            <v>Real</v>
          </cell>
        </row>
        <row r="1960">
          <cell r="A1960" t="str">
            <v>ARAYTOR</v>
          </cell>
          <cell r="B1960">
            <v>202509</v>
          </cell>
          <cell r="D1960" t="str">
            <v>Arte</v>
          </cell>
          <cell r="G1960" t="str">
            <v>Presupuesto</v>
          </cell>
        </row>
        <row r="1961">
          <cell r="A1961" t="str">
            <v>ARAYTOR</v>
          </cell>
          <cell r="B1961">
            <v>202509</v>
          </cell>
          <cell r="D1961" t="str">
            <v>Autos</v>
          </cell>
          <cell r="G1961" t="str">
            <v>Presupuesto</v>
          </cell>
        </row>
        <row r="1962">
          <cell r="A1962" t="str">
            <v>ARAYTOR</v>
          </cell>
          <cell r="B1962">
            <v>202509</v>
          </cell>
          <cell r="D1962" t="str">
            <v>Autos</v>
          </cell>
          <cell r="G1962" t="str">
            <v>Real</v>
          </cell>
        </row>
        <row r="1963">
          <cell r="A1963" t="str">
            <v>ARAYTOR</v>
          </cell>
          <cell r="B1963">
            <v>202509</v>
          </cell>
          <cell r="D1963" t="str">
            <v>B2B2C</v>
          </cell>
          <cell r="G1963" t="str">
            <v>Presupuesto</v>
          </cell>
        </row>
        <row r="1964">
          <cell r="A1964" t="str">
            <v>ARAYTOR</v>
          </cell>
          <cell r="B1964">
            <v>202509</v>
          </cell>
          <cell r="D1964" t="str">
            <v>Caución</v>
          </cell>
          <cell r="G1964" t="str">
            <v>Presupuesto</v>
          </cell>
        </row>
        <row r="1965">
          <cell r="A1965" t="str">
            <v>ARAYTOR</v>
          </cell>
          <cell r="B1965">
            <v>202509</v>
          </cell>
          <cell r="D1965" t="str">
            <v>Crédito Internacional</v>
          </cell>
          <cell r="G1965" t="str">
            <v>Presupuesto</v>
          </cell>
        </row>
        <row r="1966">
          <cell r="A1966" t="str">
            <v>ARAYTOR</v>
          </cell>
          <cell r="B1966">
            <v>202509</v>
          </cell>
          <cell r="D1966" t="str">
            <v>Crédito Nacional</v>
          </cell>
          <cell r="G1966" t="str">
            <v>Presupuesto</v>
          </cell>
        </row>
        <row r="1967">
          <cell r="A1967" t="str">
            <v>ARAYTOR</v>
          </cell>
          <cell r="B1967">
            <v>202509</v>
          </cell>
          <cell r="D1967" t="str">
            <v>Eventos</v>
          </cell>
          <cell r="G1967" t="str">
            <v>Presupuesto</v>
          </cell>
        </row>
        <row r="1968">
          <cell r="A1968" t="str">
            <v>ARAYTOR</v>
          </cell>
          <cell r="B1968">
            <v>202509</v>
          </cell>
          <cell r="D1968" t="str">
            <v>Eventos</v>
          </cell>
          <cell r="G1968" t="str">
            <v>Real</v>
          </cell>
        </row>
        <row r="1969">
          <cell r="A1969" t="str">
            <v>ARAYTOR</v>
          </cell>
          <cell r="B1969">
            <v>202509</v>
          </cell>
          <cell r="D1969" t="str">
            <v>Flotas</v>
          </cell>
          <cell r="G1969" t="str">
            <v>Presupuesto</v>
          </cell>
        </row>
        <row r="1970">
          <cell r="A1970" t="str">
            <v>ARAYTOR</v>
          </cell>
          <cell r="B1970">
            <v>202509</v>
          </cell>
          <cell r="D1970" t="str">
            <v>Flotas</v>
          </cell>
          <cell r="G1970" t="str">
            <v>Real</v>
          </cell>
        </row>
        <row r="1971">
          <cell r="A1971" t="str">
            <v>ARAYTOR</v>
          </cell>
          <cell r="B1971">
            <v>202509</v>
          </cell>
          <cell r="D1971" t="str">
            <v>Hogar</v>
          </cell>
          <cell r="G1971" t="str">
            <v>Presupuesto</v>
          </cell>
        </row>
        <row r="1972">
          <cell r="A1972" t="str">
            <v>ARAYTOR</v>
          </cell>
          <cell r="B1972">
            <v>202509</v>
          </cell>
          <cell r="D1972" t="str">
            <v>Hogar</v>
          </cell>
          <cell r="G1972" t="str">
            <v>Real</v>
          </cell>
        </row>
        <row r="1973">
          <cell r="A1973" t="str">
            <v>ARAYTOR</v>
          </cell>
          <cell r="B1973">
            <v>202509</v>
          </cell>
          <cell r="D1973" t="str">
            <v>Ingeniería</v>
          </cell>
          <cell r="G1973" t="str">
            <v>Presupuesto</v>
          </cell>
        </row>
        <row r="1974">
          <cell r="A1974" t="str">
            <v>ARAYTOR</v>
          </cell>
          <cell r="B1974">
            <v>202509</v>
          </cell>
          <cell r="D1974" t="str">
            <v>Ingeniería</v>
          </cell>
          <cell r="G1974" t="str">
            <v>Real</v>
          </cell>
        </row>
        <row r="1975">
          <cell r="A1975" t="str">
            <v>ARAYTOR</v>
          </cell>
          <cell r="B1975">
            <v>202509</v>
          </cell>
          <cell r="D1975" t="str">
            <v>Inmobiliario</v>
          </cell>
          <cell r="G1975" t="str">
            <v>Presupuesto</v>
          </cell>
        </row>
        <row r="1976">
          <cell r="A1976" t="str">
            <v>ARAYTOR</v>
          </cell>
          <cell r="B1976">
            <v>202509</v>
          </cell>
          <cell r="D1976" t="str">
            <v>Líneas Financieras</v>
          </cell>
          <cell r="G1976" t="str">
            <v>Presupuesto</v>
          </cell>
        </row>
        <row r="1977">
          <cell r="A1977" t="str">
            <v>ARAYTOR</v>
          </cell>
          <cell r="B1977">
            <v>202509</v>
          </cell>
          <cell r="D1977" t="str">
            <v>Líneas Financieras</v>
          </cell>
          <cell r="G1977" t="str">
            <v>Real</v>
          </cell>
        </row>
        <row r="1978">
          <cell r="A1978" t="str">
            <v>ARAYTOR</v>
          </cell>
          <cell r="B1978">
            <v>202509</v>
          </cell>
          <cell r="D1978" t="str">
            <v>Náutica</v>
          </cell>
          <cell r="G1978" t="str">
            <v>Presupuesto</v>
          </cell>
        </row>
        <row r="1979">
          <cell r="A1979" t="str">
            <v>ARAYTOR</v>
          </cell>
          <cell r="B1979">
            <v>202509</v>
          </cell>
          <cell r="D1979" t="str">
            <v>Náutica</v>
          </cell>
          <cell r="G1979" t="str">
            <v>Real</v>
          </cell>
        </row>
        <row r="1980">
          <cell r="A1980" t="str">
            <v>ARAYTOR</v>
          </cell>
          <cell r="B1980">
            <v>202509</v>
          </cell>
          <cell r="D1980" t="str">
            <v>Particulares Resto</v>
          </cell>
          <cell r="G1980" t="str">
            <v>Presupuesto</v>
          </cell>
        </row>
        <row r="1981">
          <cell r="A1981" t="str">
            <v>ARAYTOR</v>
          </cell>
          <cell r="B1981">
            <v>202509</v>
          </cell>
          <cell r="D1981" t="str">
            <v>Particulares Resto</v>
          </cell>
          <cell r="G1981" t="str">
            <v>Real</v>
          </cell>
        </row>
        <row r="1982">
          <cell r="A1982" t="str">
            <v>ARAYTOR</v>
          </cell>
          <cell r="B1982">
            <v>202509</v>
          </cell>
          <cell r="D1982" t="str">
            <v>Property</v>
          </cell>
          <cell r="G1982" t="str">
            <v>Presupuesto</v>
          </cell>
        </row>
        <row r="1983">
          <cell r="A1983" t="str">
            <v>ARAYTOR</v>
          </cell>
          <cell r="B1983">
            <v>202509</v>
          </cell>
          <cell r="D1983" t="str">
            <v>Property</v>
          </cell>
          <cell r="G1983" t="str">
            <v>Real</v>
          </cell>
        </row>
        <row r="1984">
          <cell r="A1984" t="str">
            <v>ARAYTOR</v>
          </cell>
          <cell r="B1984">
            <v>202509</v>
          </cell>
          <cell r="D1984" t="str">
            <v>RC</v>
          </cell>
          <cell r="G1984" t="str">
            <v>Presupuesto</v>
          </cell>
        </row>
        <row r="1985">
          <cell r="A1985" t="str">
            <v>ARAYTOR</v>
          </cell>
          <cell r="B1985">
            <v>202509</v>
          </cell>
          <cell r="D1985" t="str">
            <v>RC</v>
          </cell>
          <cell r="G1985" t="str">
            <v>Real</v>
          </cell>
        </row>
        <row r="1986">
          <cell r="A1986" t="str">
            <v>ARAYTOR</v>
          </cell>
          <cell r="B1986">
            <v>202509</v>
          </cell>
          <cell r="D1986" t="str">
            <v>Resto de lineas</v>
          </cell>
          <cell r="G1986" t="str">
            <v>Presupuesto</v>
          </cell>
        </row>
        <row r="1987">
          <cell r="A1987" t="str">
            <v>ARAYTOR</v>
          </cell>
          <cell r="B1987">
            <v>202509</v>
          </cell>
          <cell r="D1987" t="str">
            <v>Retirada</v>
          </cell>
          <cell r="G1987" t="str">
            <v>Presupuesto</v>
          </cell>
        </row>
        <row r="1988">
          <cell r="A1988" t="str">
            <v>ARAYTOR</v>
          </cell>
          <cell r="B1988">
            <v>202509</v>
          </cell>
          <cell r="D1988" t="str">
            <v>Seguros Personales (No Vida) Colectivos</v>
          </cell>
          <cell r="G1988" t="str">
            <v>Presupuesto</v>
          </cell>
        </row>
        <row r="1989">
          <cell r="A1989" t="str">
            <v>ARAYTOR</v>
          </cell>
          <cell r="B1989">
            <v>202509</v>
          </cell>
          <cell r="D1989" t="str">
            <v>Seguros Personales (No Vida) Colectivos</v>
          </cell>
          <cell r="G1989" t="str">
            <v>Real</v>
          </cell>
        </row>
        <row r="1990">
          <cell r="A1990" t="str">
            <v>ARAYTOR</v>
          </cell>
          <cell r="B1990">
            <v>202509</v>
          </cell>
          <cell r="D1990" t="str">
            <v>Seguros Personales (No Vida) Particular</v>
          </cell>
          <cell r="G1990" t="str">
            <v>Presupuesto</v>
          </cell>
        </row>
        <row r="1991">
          <cell r="A1991" t="str">
            <v>ARAYTOR</v>
          </cell>
          <cell r="B1991">
            <v>202509</v>
          </cell>
          <cell r="D1991" t="str">
            <v>Seguros Personales (No Vida) Particular</v>
          </cell>
          <cell r="G1991" t="str">
            <v>Real</v>
          </cell>
        </row>
        <row r="1992">
          <cell r="A1992" t="str">
            <v>ARAYTOR</v>
          </cell>
          <cell r="B1992">
            <v>202509</v>
          </cell>
          <cell r="D1992" t="str">
            <v>Transporte</v>
          </cell>
          <cell r="G1992" t="str">
            <v>Presupuesto</v>
          </cell>
        </row>
        <row r="1993">
          <cell r="A1993" t="str">
            <v>ARAYTOR</v>
          </cell>
          <cell r="B1993">
            <v>202509</v>
          </cell>
          <cell r="D1993" t="str">
            <v>Transporte</v>
          </cell>
          <cell r="G1993" t="str">
            <v>Real</v>
          </cell>
        </row>
        <row r="1994">
          <cell r="A1994" t="str">
            <v>ARAYTOR</v>
          </cell>
          <cell r="B1994">
            <v>202509</v>
          </cell>
          <cell r="D1994" t="str">
            <v>Venta Cruzada</v>
          </cell>
          <cell r="G1994" t="str">
            <v>Presupuesto</v>
          </cell>
        </row>
        <row r="1995">
          <cell r="A1995" t="str">
            <v>ARAYTOR</v>
          </cell>
          <cell r="B1995">
            <v>202509</v>
          </cell>
          <cell r="D1995" t="str">
            <v>Vida Ahorro Colectivo</v>
          </cell>
          <cell r="G1995" t="str">
            <v>Presupuesto</v>
          </cell>
        </row>
        <row r="1996">
          <cell r="A1996" t="str">
            <v>ARAYTOR</v>
          </cell>
          <cell r="B1996">
            <v>202509</v>
          </cell>
          <cell r="D1996" t="str">
            <v>Vida Ahorro Particular</v>
          </cell>
          <cell r="G1996" t="str">
            <v>Presupuesto</v>
          </cell>
        </row>
        <row r="1997">
          <cell r="A1997" t="str">
            <v>ARAYTOR</v>
          </cell>
          <cell r="B1997">
            <v>202509</v>
          </cell>
          <cell r="D1997" t="str">
            <v>Vida Ahorro Particular</v>
          </cell>
          <cell r="G1997" t="str">
            <v>Real</v>
          </cell>
        </row>
        <row r="1998">
          <cell r="A1998" t="str">
            <v>ARAYTOR</v>
          </cell>
          <cell r="B1998">
            <v>202509</v>
          </cell>
          <cell r="D1998" t="str">
            <v>Vida Ganado</v>
          </cell>
          <cell r="G1998" t="str">
            <v>Presupuesto</v>
          </cell>
        </row>
        <row r="1999">
          <cell r="A1999" t="str">
            <v>ARAYTOR</v>
          </cell>
          <cell r="B1999">
            <v>202509</v>
          </cell>
          <cell r="D1999" t="str">
            <v>Vida Riesgo Colectivo</v>
          </cell>
          <cell r="G1999" t="str">
            <v>Presupuesto</v>
          </cell>
        </row>
        <row r="2000">
          <cell r="A2000" t="str">
            <v>ARAYTOR</v>
          </cell>
          <cell r="B2000">
            <v>202509</v>
          </cell>
          <cell r="D2000" t="str">
            <v>Vida Riesgo Colectivo</v>
          </cell>
          <cell r="G2000" t="str">
            <v>Real</v>
          </cell>
        </row>
        <row r="2001">
          <cell r="A2001" t="str">
            <v>ARAYTOR</v>
          </cell>
          <cell r="B2001">
            <v>202509</v>
          </cell>
          <cell r="D2001" t="str">
            <v>Vida Riesgo Particular</v>
          </cell>
          <cell r="G2001" t="str">
            <v>Presupuesto</v>
          </cell>
        </row>
        <row r="2002">
          <cell r="A2002" t="str">
            <v>ARAYTOR</v>
          </cell>
          <cell r="B2002">
            <v>202509</v>
          </cell>
          <cell r="D2002" t="str">
            <v>Vida Riesgo Particular</v>
          </cell>
          <cell r="G2002" t="str">
            <v>Real</v>
          </cell>
        </row>
        <row r="2003">
          <cell r="A2003" t="str">
            <v>ARAYTOR</v>
          </cell>
          <cell r="B2003">
            <v>202510</v>
          </cell>
          <cell r="D2003" t="str">
            <v>--</v>
          </cell>
          <cell r="G2003" t="str">
            <v>Presupuesto</v>
          </cell>
        </row>
        <row r="2004">
          <cell r="A2004" t="str">
            <v>ARAYTOR</v>
          </cell>
          <cell r="B2004">
            <v>202510</v>
          </cell>
          <cell r="D2004" t="str">
            <v>--</v>
          </cell>
          <cell r="G2004" t="str">
            <v>Real</v>
          </cell>
        </row>
        <row r="2005">
          <cell r="A2005" t="str">
            <v>ARAYTOR</v>
          </cell>
          <cell r="B2005">
            <v>202510</v>
          </cell>
          <cell r="D2005" t="str">
            <v>Arte</v>
          </cell>
          <cell r="G2005" t="str">
            <v>Presupuesto</v>
          </cell>
        </row>
        <row r="2006">
          <cell r="A2006" t="str">
            <v>ARAYTOR</v>
          </cell>
          <cell r="B2006">
            <v>202510</v>
          </cell>
          <cell r="D2006" t="str">
            <v>Arte</v>
          </cell>
          <cell r="G2006" t="str">
            <v>Real</v>
          </cell>
        </row>
        <row r="2007">
          <cell r="A2007" t="str">
            <v>ARAYTOR</v>
          </cell>
          <cell r="B2007">
            <v>202510</v>
          </cell>
          <cell r="D2007" t="str">
            <v>Autos</v>
          </cell>
          <cell r="G2007" t="str">
            <v>Presupuesto</v>
          </cell>
        </row>
        <row r="2008">
          <cell r="A2008" t="str">
            <v>ARAYTOR</v>
          </cell>
          <cell r="B2008">
            <v>202510</v>
          </cell>
          <cell r="D2008" t="str">
            <v>Autos</v>
          </cell>
          <cell r="G2008" t="str">
            <v>Real</v>
          </cell>
        </row>
        <row r="2009">
          <cell r="A2009" t="str">
            <v>ARAYTOR</v>
          </cell>
          <cell r="B2009">
            <v>202510</v>
          </cell>
          <cell r="D2009" t="str">
            <v>B2B2C</v>
          </cell>
          <cell r="G2009" t="str">
            <v>Presupuesto</v>
          </cell>
        </row>
        <row r="2010">
          <cell r="A2010" t="str">
            <v>ARAYTOR</v>
          </cell>
          <cell r="B2010">
            <v>202510</v>
          </cell>
          <cell r="D2010" t="str">
            <v>Caución</v>
          </cell>
          <cell r="G2010" t="str">
            <v>Presupuesto</v>
          </cell>
        </row>
        <row r="2011">
          <cell r="A2011" t="str">
            <v>ARAYTOR</v>
          </cell>
          <cell r="B2011">
            <v>202510</v>
          </cell>
          <cell r="D2011" t="str">
            <v>Caución</v>
          </cell>
          <cell r="G2011" t="str">
            <v>Real</v>
          </cell>
        </row>
        <row r="2012">
          <cell r="A2012" t="str">
            <v>ARAYTOR</v>
          </cell>
          <cell r="B2012">
            <v>202510</v>
          </cell>
          <cell r="D2012" t="str">
            <v>Crédito Internacional</v>
          </cell>
          <cell r="G2012" t="str">
            <v>Presupuesto</v>
          </cell>
        </row>
        <row r="2013">
          <cell r="A2013" t="str">
            <v>ARAYTOR</v>
          </cell>
          <cell r="B2013">
            <v>202510</v>
          </cell>
          <cell r="D2013" t="str">
            <v>Crédito Nacional</v>
          </cell>
          <cell r="G2013" t="str">
            <v>Presupuesto</v>
          </cell>
        </row>
        <row r="2014">
          <cell r="A2014" t="str">
            <v>ARAYTOR</v>
          </cell>
          <cell r="B2014">
            <v>202510</v>
          </cell>
          <cell r="D2014" t="str">
            <v>Eventos</v>
          </cell>
          <cell r="G2014" t="str">
            <v>Presupuesto</v>
          </cell>
        </row>
        <row r="2015">
          <cell r="A2015" t="str">
            <v>ARAYTOR</v>
          </cell>
          <cell r="B2015">
            <v>202510</v>
          </cell>
          <cell r="D2015" t="str">
            <v>Eventos</v>
          </cell>
          <cell r="G2015" t="str">
            <v>Real</v>
          </cell>
        </row>
        <row r="2016">
          <cell r="A2016" t="str">
            <v>ARAYTOR</v>
          </cell>
          <cell r="B2016">
            <v>202510</v>
          </cell>
          <cell r="D2016" t="str">
            <v>Flotas</v>
          </cell>
          <cell r="G2016" t="str">
            <v>Presupuesto</v>
          </cell>
        </row>
        <row r="2017">
          <cell r="A2017" t="str">
            <v>ARAYTOR</v>
          </cell>
          <cell r="B2017">
            <v>202510</v>
          </cell>
          <cell r="D2017" t="str">
            <v>Flotas</v>
          </cell>
          <cell r="G2017" t="str">
            <v>Real</v>
          </cell>
        </row>
        <row r="2018">
          <cell r="A2018" t="str">
            <v>ARAYTOR</v>
          </cell>
          <cell r="B2018">
            <v>202510</v>
          </cell>
          <cell r="D2018" t="str">
            <v>Hogar</v>
          </cell>
          <cell r="G2018" t="str">
            <v>Presupuesto</v>
          </cell>
        </row>
        <row r="2019">
          <cell r="A2019" t="str">
            <v>ARAYTOR</v>
          </cell>
          <cell r="B2019">
            <v>202510</v>
          </cell>
          <cell r="D2019" t="str">
            <v>Hogar</v>
          </cell>
          <cell r="G2019" t="str">
            <v>Real</v>
          </cell>
        </row>
        <row r="2020">
          <cell r="A2020" t="str">
            <v>ARAYTOR</v>
          </cell>
          <cell r="B2020">
            <v>202510</v>
          </cell>
          <cell r="D2020" t="str">
            <v>Ingeniería</v>
          </cell>
          <cell r="G2020" t="str">
            <v>Presupuesto</v>
          </cell>
        </row>
        <row r="2021">
          <cell r="A2021" t="str">
            <v>ARAYTOR</v>
          </cell>
          <cell r="B2021">
            <v>202510</v>
          </cell>
          <cell r="D2021" t="str">
            <v>Ingeniería</v>
          </cell>
          <cell r="G2021" t="str">
            <v>Real</v>
          </cell>
        </row>
        <row r="2022">
          <cell r="A2022" t="str">
            <v>ARAYTOR</v>
          </cell>
          <cell r="B2022">
            <v>202510</v>
          </cell>
          <cell r="D2022" t="str">
            <v>Inmobiliario</v>
          </cell>
          <cell r="G2022" t="str">
            <v>Presupuesto</v>
          </cell>
        </row>
        <row r="2023">
          <cell r="A2023" t="str">
            <v>ARAYTOR</v>
          </cell>
          <cell r="B2023">
            <v>202510</v>
          </cell>
          <cell r="D2023" t="str">
            <v>Líneas Financieras</v>
          </cell>
          <cell r="G2023" t="str">
            <v>Presupuesto</v>
          </cell>
        </row>
        <row r="2024">
          <cell r="A2024" t="str">
            <v>ARAYTOR</v>
          </cell>
          <cell r="B2024">
            <v>202510</v>
          </cell>
          <cell r="D2024" t="str">
            <v>Líneas Financieras</v>
          </cell>
          <cell r="G2024" t="str">
            <v>Real</v>
          </cell>
        </row>
        <row r="2025">
          <cell r="A2025" t="str">
            <v>ARAYTOR</v>
          </cell>
          <cell r="B2025">
            <v>202510</v>
          </cell>
          <cell r="D2025" t="str">
            <v>Náutica</v>
          </cell>
          <cell r="G2025" t="str">
            <v>Presupuesto</v>
          </cell>
        </row>
        <row r="2026">
          <cell r="A2026" t="str">
            <v>ARAYTOR</v>
          </cell>
          <cell r="B2026">
            <v>202510</v>
          </cell>
          <cell r="D2026" t="str">
            <v>Náutica</v>
          </cell>
          <cell r="G2026" t="str">
            <v>Real</v>
          </cell>
        </row>
        <row r="2027">
          <cell r="A2027" t="str">
            <v>ARAYTOR</v>
          </cell>
          <cell r="B2027">
            <v>202510</v>
          </cell>
          <cell r="D2027" t="str">
            <v>Particulares Resto</v>
          </cell>
          <cell r="G2027" t="str">
            <v>Presupuesto</v>
          </cell>
        </row>
        <row r="2028">
          <cell r="A2028" t="str">
            <v>ARAYTOR</v>
          </cell>
          <cell r="B2028">
            <v>202510</v>
          </cell>
          <cell r="D2028" t="str">
            <v>Particulares Resto</v>
          </cell>
          <cell r="G2028" t="str">
            <v>Real</v>
          </cell>
        </row>
        <row r="2029">
          <cell r="A2029" t="str">
            <v>ARAYTOR</v>
          </cell>
          <cell r="B2029">
            <v>202510</v>
          </cell>
          <cell r="D2029" t="str">
            <v>Property</v>
          </cell>
          <cell r="G2029" t="str">
            <v>Presupuesto</v>
          </cell>
        </row>
        <row r="2030">
          <cell r="A2030" t="str">
            <v>ARAYTOR</v>
          </cell>
          <cell r="B2030">
            <v>202510</v>
          </cell>
          <cell r="D2030" t="str">
            <v>Property</v>
          </cell>
          <cell r="G2030" t="str">
            <v>Real</v>
          </cell>
        </row>
        <row r="2031">
          <cell r="A2031" t="str">
            <v>ARAYTOR</v>
          </cell>
          <cell r="B2031">
            <v>202510</v>
          </cell>
          <cell r="D2031" t="str">
            <v>RC</v>
          </cell>
          <cell r="G2031" t="str">
            <v>Presupuesto</v>
          </cell>
        </row>
        <row r="2032">
          <cell r="A2032" t="str">
            <v>ARAYTOR</v>
          </cell>
          <cell r="B2032">
            <v>202510</v>
          </cell>
          <cell r="D2032" t="str">
            <v>RC</v>
          </cell>
          <cell r="G2032" t="str">
            <v>Real</v>
          </cell>
        </row>
        <row r="2033">
          <cell r="A2033" t="str">
            <v>ARAYTOR</v>
          </cell>
          <cell r="B2033">
            <v>202510</v>
          </cell>
          <cell r="D2033" t="str">
            <v>Resto de lineas</v>
          </cell>
          <cell r="G2033" t="str">
            <v>Presupuesto</v>
          </cell>
        </row>
        <row r="2034">
          <cell r="A2034" t="str">
            <v>ARAYTOR</v>
          </cell>
          <cell r="B2034">
            <v>202510</v>
          </cell>
          <cell r="D2034" t="str">
            <v>Retirada</v>
          </cell>
          <cell r="G2034" t="str">
            <v>Presupuesto</v>
          </cell>
        </row>
        <row r="2035">
          <cell r="A2035" t="str">
            <v>ARAYTOR</v>
          </cell>
          <cell r="B2035">
            <v>202510</v>
          </cell>
          <cell r="D2035" t="str">
            <v>Seguros Personales (No Vida) Colectivos</v>
          </cell>
          <cell r="G2035" t="str">
            <v>Presupuesto</v>
          </cell>
        </row>
        <row r="2036">
          <cell r="A2036" t="str">
            <v>ARAYTOR</v>
          </cell>
          <cell r="B2036">
            <v>202510</v>
          </cell>
          <cell r="D2036" t="str">
            <v>Seguros Personales (No Vida) Colectivos</v>
          </cell>
          <cell r="G2036" t="str">
            <v>Real</v>
          </cell>
        </row>
        <row r="2037">
          <cell r="A2037" t="str">
            <v>ARAYTOR</v>
          </cell>
          <cell r="B2037">
            <v>202510</v>
          </cell>
          <cell r="D2037" t="str">
            <v>Seguros Personales (No Vida) Particular</v>
          </cell>
          <cell r="G2037" t="str">
            <v>Presupuesto</v>
          </cell>
        </row>
        <row r="2038">
          <cell r="A2038" t="str">
            <v>ARAYTOR</v>
          </cell>
          <cell r="B2038">
            <v>202510</v>
          </cell>
          <cell r="D2038" t="str">
            <v>Seguros Personales (No Vida) Particular</v>
          </cell>
          <cell r="G2038" t="str">
            <v>Real</v>
          </cell>
        </row>
        <row r="2039">
          <cell r="A2039" t="str">
            <v>ARAYTOR</v>
          </cell>
          <cell r="B2039">
            <v>202510</v>
          </cell>
          <cell r="D2039" t="str">
            <v>Transporte</v>
          </cell>
          <cell r="G2039" t="str">
            <v>Presupuesto</v>
          </cell>
        </row>
        <row r="2040">
          <cell r="A2040" t="str">
            <v>ARAYTOR</v>
          </cell>
          <cell r="B2040">
            <v>202510</v>
          </cell>
          <cell r="D2040" t="str">
            <v>Transporte</v>
          </cell>
          <cell r="G2040" t="str">
            <v>Real</v>
          </cell>
        </row>
        <row r="2041">
          <cell r="A2041" t="str">
            <v>ARAYTOR</v>
          </cell>
          <cell r="B2041">
            <v>202510</v>
          </cell>
          <cell r="D2041" t="str">
            <v>Venta Cruzada</v>
          </cell>
          <cell r="G2041" t="str">
            <v>Presupuesto</v>
          </cell>
        </row>
        <row r="2042">
          <cell r="A2042" t="str">
            <v>ARAYTOR</v>
          </cell>
          <cell r="B2042">
            <v>202510</v>
          </cell>
          <cell r="D2042" t="str">
            <v>Vida Ahorro Colectivo</v>
          </cell>
          <cell r="G2042" t="str">
            <v>Presupuesto</v>
          </cell>
        </row>
        <row r="2043">
          <cell r="A2043" t="str">
            <v>ARAYTOR</v>
          </cell>
          <cell r="B2043">
            <v>202510</v>
          </cell>
          <cell r="D2043" t="str">
            <v>Vida Ahorro Particular</v>
          </cell>
          <cell r="G2043" t="str">
            <v>Presupuesto</v>
          </cell>
        </row>
        <row r="2044">
          <cell r="A2044" t="str">
            <v>ARAYTOR</v>
          </cell>
          <cell r="B2044">
            <v>202510</v>
          </cell>
          <cell r="D2044" t="str">
            <v>Vida Ahorro Particular</v>
          </cell>
          <cell r="G2044" t="str">
            <v>Real</v>
          </cell>
        </row>
        <row r="2045">
          <cell r="A2045" t="str">
            <v>ARAYTOR</v>
          </cell>
          <cell r="B2045">
            <v>202510</v>
          </cell>
          <cell r="D2045" t="str">
            <v>Vida Ganado</v>
          </cell>
          <cell r="G2045" t="str">
            <v>Presupuesto</v>
          </cell>
        </row>
        <row r="2046">
          <cell r="A2046" t="str">
            <v>ARAYTOR</v>
          </cell>
          <cell r="B2046">
            <v>202510</v>
          </cell>
          <cell r="D2046" t="str">
            <v>Vida Riesgo Colectivo</v>
          </cell>
          <cell r="G2046" t="str">
            <v>Presupuesto</v>
          </cell>
        </row>
        <row r="2047">
          <cell r="A2047" t="str">
            <v>ARAYTOR</v>
          </cell>
          <cell r="B2047">
            <v>202510</v>
          </cell>
          <cell r="D2047" t="str">
            <v>Vida Riesgo Colectivo</v>
          </cell>
          <cell r="G2047" t="str">
            <v>Real</v>
          </cell>
        </row>
        <row r="2048">
          <cell r="A2048" t="str">
            <v>ARAYTOR</v>
          </cell>
          <cell r="B2048">
            <v>202510</v>
          </cell>
          <cell r="D2048" t="str">
            <v>Vida Riesgo Particular</v>
          </cell>
          <cell r="G2048" t="str">
            <v>Presupuesto</v>
          </cell>
        </row>
        <row r="2049">
          <cell r="A2049" t="str">
            <v>ARAYTOR</v>
          </cell>
          <cell r="B2049">
            <v>202510</v>
          </cell>
          <cell r="D2049" t="str">
            <v>Vida Riesgo Particular</v>
          </cell>
          <cell r="G2049" t="str">
            <v>Real</v>
          </cell>
        </row>
        <row r="2050">
          <cell r="A2050" t="str">
            <v>ARAYTOR</v>
          </cell>
          <cell r="B2050">
            <v>202511</v>
          </cell>
          <cell r="D2050" t="str">
            <v>--</v>
          </cell>
          <cell r="G2050" t="str">
            <v>Presupuesto</v>
          </cell>
        </row>
        <row r="2051">
          <cell r="A2051" t="str">
            <v>ARAYTOR</v>
          </cell>
          <cell r="B2051">
            <v>202511</v>
          </cell>
          <cell r="D2051" t="str">
            <v>--</v>
          </cell>
          <cell r="G2051" t="str">
            <v>Real</v>
          </cell>
        </row>
        <row r="2052">
          <cell r="A2052" t="str">
            <v>ARAYTOR</v>
          </cell>
          <cell r="B2052">
            <v>202511</v>
          </cell>
          <cell r="D2052" t="str">
            <v>Arte</v>
          </cell>
          <cell r="G2052" t="str">
            <v>Presupuesto</v>
          </cell>
        </row>
        <row r="2053">
          <cell r="A2053" t="str">
            <v>ARAYTOR</v>
          </cell>
          <cell r="B2053">
            <v>202511</v>
          </cell>
          <cell r="D2053" t="str">
            <v>Arte</v>
          </cell>
          <cell r="G2053" t="str">
            <v>Real</v>
          </cell>
        </row>
        <row r="2054">
          <cell r="A2054" t="str">
            <v>ARAYTOR</v>
          </cell>
          <cell r="B2054">
            <v>202511</v>
          </cell>
          <cell r="D2054" t="str">
            <v>Autos</v>
          </cell>
          <cell r="G2054" t="str">
            <v>Presupuesto</v>
          </cell>
        </row>
        <row r="2055">
          <cell r="A2055" t="str">
            <v>ARAYTOR</v>
          </cell>
          <cell r="B2055">
            <v>202511</v>
          </cell>
          <cell r="D2055" t="str">
            <v>Autos</v>
          </cell>
          <cell r="G2055" t="str">
            <v>Real</v>
          </cell>
        </row>
        <row r="2056">
          <cell r="A2056" t="str">
            <v>ARAYTOR</v>
          </cell>
          <cell r="B2056">
            <v>202511</v>
          </cell>
          <cell r="D2056" t="str">
            <v>B2B2C</v>
          </cell>
          <cell r="G2056" t="str">
            <v>Presupuesto</v>
          </cell>
        </row>
        <row r="2057">
          <cell r="A2057" t="str">
            <v>ARAYTOR</v>
          </cell>
          <cell r="B2057">
            <v>202511</v>
          </cell>
          <cell r="D2057" t="str">
            <v>Caución</v>
          </cell>
          <cell r="G2057" t="str">
            <v>Presupuesto</v>
          </cell>
        </row>
        <row r="2058">
          <cell r="A2058" t="str">
            <v>ARAYTOR</v>
          </cell>
          <cell r="B2058">
            <v>202511</v>
          </cell>
          <cell r="D2058" t="str">
            <v>Caución</v>
          </cell>
          <cell r="G2058" t="str">
            <v>Real</v>
          </cell>
        </row>
        <row r="2059">
          <cell r="A2059" t="str">
            <v>ARAYTOR</v>
          </cell>
          <cell r="B2059">
            <v>202511</v>
          </cell>
          <cell r="D2059" t="str">
            <v>Crédito Nacional</v>
          </cell>
          <cell r="G2059" t="str">
            <v>Real</v>
          </cell>
        </row>
        <row r="2060">
          <cell r="A2060" t="str">
            <v>ARAYTOR</v>
          </cell>
          <cell r="B2060">
            <v>202511</v>
          </cell>
          <cell r="D2060" t="str">
            <v>Crédito Internacional</v>
          </cell>
          <cell r="G2060" t="str">
            <v>Presupuesto</v>
          </cell>
        </row>
        <row r="2061">
          <cell r="A2061" t="str">
            <v>ARAYTOR</v>
          </cell>
          <cell r="B2061">
            <v>202511</v>
          </cell>
          <cell r="D2061" t="str">
            <v>Crédito Internacional</v>
          </cell>
          <cell r="G2061" t="str">
            <v>Real</v>
          </cell>
        </row>
        <row r="2062">
          <cell r="A2062" t="str">
            <v>ARAYTOR</v>
          </cell>
          <cell r="B2062">
            <v>202511</v>
          </cell>
          <cell r="D2062" t="str">
            <v>Crédito Nacional</v>
          </cell>
          <cell r="G2062" t="str">
            <v>Presupuesto</v>
          </cell>
        </row>
        <row r="2063">
          <cell r="A2063" t="str">
            <v>ARAYTOR</v>
          </cell>
          <cell r="B2063">
            <v>202511</v>
          </cell>
          <cell r="D2063" t="str">
            <v>Eventos</v>
          </cell>
          <cell r="G2063" t="str">
            <v>Presupuesto</v>
          </cell>
        </row>
        <row r="2064">
          <cell r="A2064" t="str">
            <v>ARAYTOR</v>
          </cell>
          <cell r="B2064">
            <v>202511</v>
          </cell>
          <cell r="D2064" t="str">
            <v>Eventos</v>
          </cell>
          <cell r="G2064" t="str">
            <v>Real</v>
          </cell>
        </row>
        <row r="2065">
          <cell r="A2065" t="str">
            <v>ARAYTOR</v>
          </cell>
          <cell r="B2065">
            <v>202511</v>
          </cell>
          <cell r="D2065" t="str">
            <v>Flotas</v>
          </cell>
          <cell r="G2065" t="str">
            <v>Presupuesto</v>
          </cell>
        </row>
        <row r="2066">
          <cell r="A2066" t="str">
            <v>ARAYTOR</v>
          </cell>
          <cell r="B2066">
            <v>202511</v>
          </cell>
          <cell r="D2066" t="str">
            <v>Flotas</v>
          </cell>
          <cell r="G2066" t="str">
            <v>Real</v>
          </cell>
        </row>
        <row r="2067">
          <cell r="A2067" t="str">
            <v>ARAYTOR</v>
          </cell>
          <cell r="B2067">
            <v>202511</v>
          </cell>
          <cell r="D2067" t="str">
            <v>Hogar</v>
          </cell>
          <cell r="G2067" t="str">
            <v>Presupuesto</v>
          </cell>
        </row>
        <row r="2068">
          <cell r="A2068" t="str">
            <v>ARAYTOR</v>
          </cell>
          <cell r="B2068">
            <v>202511</v>
          </cell>
          <cell r="D2068" t="str">
            <v>Hogar</v>
          </cell>
          <cell r="G2068" t="str">
            <v>Real</v>
          </cell>
        </row>
        <row r="2069">
          <cell r="A2069" t="str">
            <v>ARAYTOR</v>
          </cell>
          <cell r="B2069">
            <v>202511</v>
          </cell>
          <cell r="D2069" t="str">
            <v>Ingeniería</v>
          </cell>
          <cell r="G2069" t="str">
            <v>Presupuesto</v>
          </cell>
        </row>
        <row r="2070">
          <cell r="A2070" t="str">
            <v>ARAYTOR</v>
          </cell>
          <cell r="B2070">
            <v>202511</v>
          </cell>
          <cell r="D2070" t="str">
            <v>Ingeniería</v>
          </cell>
          <cell r="G2070" t="str">
            <v>Real</v>
          </cell>
        </row>
        <row r="2071">
          <cell r="A2071" t="str">
            <v>ARAYTOR</v>
          </cell>
          <cell r="B2071">
            <v>202511</v>
          </cell>
          <cell r="D2071" t="str">
            <v>Inmobiliario</v>
          </cell>
          <cell r="G2071" t="str">
            <v>Presupuesto</v>
          </cell>
        </row>
        <row r="2072">
          <cell r="A2072" t="str">
            <v>ARAYTOR</v>
          </cell>
          <cell r="B2072">
            <v>202511</v>
          </cell>
          <cell r="D2072" t="str">
            <v>Inmobiliario</v>
          </cell>
          <cell r="G2072" t="str">
            <v>Real</v>
          </cell>
        </row>
        <row r="2073">
          <cell r="A2073" t="str">
            <v>ARAYTOR</v>
          </cell>
          <cell r="B2073">
            <v>202511</v>
          </cell>
          <cell r="D2073" t="str">
            <v>Líneas Financieras</v>
          </cell>
          <cell r="G2073" t="str">
            <v>Presupuesto</v>
          </cell>
        </row>
        <row r="2074">
          <cell r="A2074" t="str">
            <v>ARAYTOR</v>
          </cell>
          <cell r="B2074">
            <v>202511</v>
          </cell>
          <cell r="D2074" t="str">
            <v>Líneas Financieras</v>
          </cell>
          <cell r="G2074" t="str">
            <v>Real</v>
          </cell>
        </row>
        <row r="2075">
          <cell r="A2075" t="str">
            <v>ARAYTOR</v>
          </cell>
          <cell r="B2075">
            <v>202511</v>
          </cell>
          <cell r="D2075" t="str">
            <v>Náutica</v>
          </cell>
          <cell r="G2075" t="str">
            <v>Presupuesto</v>
          </cell>
        </row>
        <row r="2076">
          <cell r="A2076" t="str">
            <v>ARAYTOR</v>
          </cell>
          <cell r="B2076">
            <v>202511</v>
          </cell>
          <cell r="D2076" t="str">
            <v>Náutica</v>
          </cell>
          <cell r="G2076" t="str">
            <v>Real</v>
          </cell>
        </row>
        <row r="2077">
          <cell r="A2077" t="str">
            <v>ARAYTOR</v>
          </cell>
          <cell r="B2077">
            <v>202511</v>
          </cell>
          <cell r="D2077" t="str">
            <v>Particulares Resto</v>
          </cell>
          <cell r="G2077" t="str">
            <v>Presupuesto</v>
          </cell>
        </row>
        <row r="2078">
          <cell r="A2078" t="str">
            <v>ARAYTOR</v>
          </cell>
          <cell r="B2078">
            <v>202511</v>
          </cell>
          <cell r="D2078" t="str">
            <v>Particulares Resto</v>
          </cell>
          <cell r="G2078" t="str">
            <v>Real</v>
          </cell>
        </row>
        <row r="2079">
          <cell r="A2079" t="str">
            <v>ARAYTOR</v>
          </cell>
          <cell r="B2079">
            <v>202511</v>
          </cell>
          <cell r="D2079" t="str">
            <v>Property</v>
          </cell>
          <cell r="G2079" t="str">
            <v>Presupuesto</v>
          </cell>
        </row>
        <row r="2080">
          <cell r="A2080" t="str">
            <v>ARAYTOR</v>
          </cell>
          <cell r="B2080">
            <v>202511</v>
          </cell>
          <cell r="D2080" t="str">
            <v>Property</v>
          </cell>
          <cell r="G2080" t="str">
            <v>Real</v>
          </cell>
        </row>
        <row r="2081">
          <cell r="A2081" t="str">
            <v>ARAYTOR</v>
          </cell>
          <cell r="B2081">
            <v>202511</v>
          </cell>
          <cell r="D2081" t="str">
            <v>RC</v>
          </cell>
          <cell r="G2081" t="str">
            <v>Presupuesto</v>
          </cell>
        </row>
        <row r="2082">
          <cell r="A2082" t="str">
            <v>ARAYTOR</v>
          </cell>
          <cell r="B2082">
            <v>202511</v>
          </cell>
          <cell r="D2082" t="str">
            <v>RC</v>
          </cell>
          <cell r="G2082" t="str">
            <v>Real</v>
          </cell>
        </row>
        <row r="2083">
          <cell r="A2083" t="str">
            <v>ARAYTOR</v>
          </cell>
          <cell r="B2083">
            <v>202511</v>
          </cell>
          <cell r="D2083" t="str">
            <v>Resto de lineas</v>
          </cell>
          <cell r="G2083" t="str">
            <v>Presupuesto</v>
          </cell>
        </row>
        <row r="2084">
          <cell r="A2084" t="str">
            <v>ARAYTOR</v>
          </cell>
          <cell r="B2084">
            <v>202511</v>
          </cell>
          <cell r="D2084" t="str">
            <v>Retirada</v>
          </cell>
          <cell r="G2084" t="str">
            <v>Presupuesto</v>
          </cell>
        </row>
        <row r="2085">
          <cell r="A2085" t="str">
            <v>ARAYTOR</v>
          </cell>
          <cell r="B2085">
            <v>202511</v>
          </cell>
          <cell r="D2085" t="str">
            <v>Seguros Personales (No Vida) Colectivos</v>
          </cell>
          <cell r="G2085" t="str">
            <v>Presupuesto</v>
          </cell>
        </row>
        <row r="2086">
          <cell r="A2086" t="str">
            <v>ARAYTOR</v>
          </cell>
          <cell r="B2086">
            <v>202511</v>
          </cell>
          <cell r="D2086" t="str">
            <v>Seguros Personales (No Vida) Colectivos</v>
          </cell>
          <cell r="G2086" t="str">
            <v>Real</v>
          </cell>
        </row>
        <row r="2087">
          <cell r="A2087" t="str">
            <v>ARAYTOR</v>
          </cell>
          <cell r="B2087">
            <v>202511</v>
          </cell>
          <cell r="D2087" t="str">
            <v>Seguros Personales (No Vida) Particular</v>
          </cell>
          <cell r="G2087" t="str">
            <v>Presupuesto</v>
          </cell>
        </row>
        <row r="2088">
          <cell r="A2088" t="str">
            <v>ARAYTOR</v>
          </cell>
          <cell r="B2088">
            <v>202511</v>
          </cell>
          <cell r="D2088" t="str">
            <v>Seguros Personales (No Vida) Particular</v>
          </cell>
          <cell r="G2088" t="str">
            <v>Real</v>
          </cell>
        </row>
        <row r="2089">
          <cell r="A2089" t="str">
            <v>ARAYTOR</v>
          </cell>
          <cell r="B2089">
            <v>202511</v>
          </cell>
          <cell r="D2089" t="str">
            <v>Transporte</v>
          </cell>
          <cell r="G2089" t="str">
            <v>Presupuesto</v>
          </cell>
        </row>
        <row r="2090">
          <cell r="A2090" t="str">
            <v>ARAYTOR</v>
          </cell>
          <cell r="B2090">
            <v>202511</v>
          </cell>
          <cell r="D2090" t="str">
            <v>Transporte</v>
          </cell>
          <cell r="G2090" t="str">
            <v>Real</v>
          </cell>
        </row>
        <row r="2091">
          <cell r="A2091" t="str">
            <v>ARAYTOR</v>
          </cell>
          <cell r="B2091">
            <v>202511</v>
          </cell>
          <cell r="D2091" t="str">
            <v>Venta Cruzada</v>
          </cell>
          <cell r="G2091" t="str">
            <v>Presupuesto</v>
          </cell>
        </row>
        <row r="2092">
          <cell r="A2092" t="str">
            <v>ARAYTOR</v>
          </cell>
          <cell r="B2092">
            <v>202511</v>
          </cell>
          <cell r="D2092" t="str">
            <v>Venta Cruzada</v>
          </cell>
          <cell r="G2092" t="str">
            <v>Real</v>
          </cell>
        </row>
        <row r="2093">
          <cell r="A2093" t="str">
            <v>ARAYTOR</v>
          </cell>
          <cell r="B2093">
            <v>202511</v>
          </cell>
          <cell r="D2093" t="str">
            <v>Vida Ahorro Colectivo</v>
          </cell>
          <cell r="G2093" t="str">
            <v>Presupuesto</v>
          </cell>
        </row>
        <row r="2094">
          <cell r="A2094" t="str">
            <v>ARAYTOR</v>
          </cell>
          <cell r="B2094">
            <v>202511</v>
          </cell>
          <cell r="D2094" t="str">
            <v>Vida Ahorro Colectivo</v>
          </cell>
          <cell r="G2094" t="str">
            <v>Real</v>
          </cell>
        </row>
        <row r="2095">
          <cell r="A2095" t="str">
            <v>ARAYTOR</v>
          </cell>
          <cell r="B2095">
            <v>202511</v>
          </cell>
          <cell r="D2095" t="str">
            <v>Vida Ahorro Particular</v>
          </cell>
          <cell r="G2095" t="str">
            <v>Presupuesto</v>
          </cell>
        </row>
        <row r="2096">
          <cell r="A2096" t="str">
            <v>ARAYTOR</v>
          </cell>
          <cell r="B2096">
            <v>202511</v>
          </cell>
          <cell r="D2096" t="str">
            <v>Vida Ahorro Particular</v>
          </cell>
          <cell r="G2096" t="str">
            <v>Real</v>
          </cell>
        </row>
        <row r="2097">
          <cell r="A2097" t="str">
            <v>ARAYTOR</v>
          </cell>
          <cell r="B2097">
            <v>202511</v>
          </cell>
          <cell r="D2097" t="str">
            <v>Vida Ganado</v>
          </cell>
          <cell r="G2097" t="str">
            <v>Presupuesto</v>
          </cell>
        </row>
        <row r="2098">
          <cell r="A2098" t="str">
            <v>ARAYTOR</v>
          </cell>
          <cell r="B2098">
            <v>202511</v>
          </cell>
          <cell r="D2098" t="str">
            <v>Vida Riesgo Colectivo</v>
          </cell>
          <cell r="G2098" t="str">
            <v>Presupuesto</v>
          </cell>
        </row>
        <row r="2099">
          <cell r="A2099" t="str">
            <v>ARAYTOR</v>
          </cell>
          <cell r="B2099">
            <v>202511</v>
          </cell>
          <cell r="D2099" t="str">
            <v>Vida Riesgo Colectivo</v>
          </cell>
          <cell r="G2099" t="str">
            <v>Real</v>
          </cell>
        </row>
        <row r="2100">
          <cell r="A2100" t="str">
            <v>ARAYTOR</v>
          </cell>
          <cell r="B2100">
            <v>202511</v>
          </cell>
          <cell r="D2100" t="str">
            <v>Vida Riesgo Particular</v>
          </cell>
          <cell r="G2100" t="str">
            <v>Presupuesto</v>
          </cell>
        </row>
        <row r="2101">
          <cell r="A2101" t="str">
            <v>ARAYTOR</v>
          </cell>
          <cell r="B2101">
            <v>202511</v>
          </cell>
          <cell r="D2101" t="str">
            <v>Vida Riesgo Particular</v>
          </cell>
          <cell r="G2101" t="str">
            <v>Real</v>
          </cell>
        </row>
        <row r="2102">
          <cell r="A2102" t="str">
            <v>ARAYTOR</v>
          </cell>
          <cell r="B2102">
            <v>202512</v>
          </cell>
          <cell r="D2102" t="str">
            <v>--</v>
          </cell>
          <cell r="G2102" t="str">
            <v>Presupuesto</v>
          </cell>
        </row>
        <row r="2103">
          <cell r="A2103" t="str">
            <v>ARAYTOR</v>
          </cell>
          <cell r="B2103">
            <v>202512</v>
          </cell>
          <cell r="D2103" t="str">
            <v>--</v>
          </cell>
          <cell r="G2103" t="str">
            <v>Real</v>
          </cell>
        </row>
        <row r="2104">
          <cell r="A2104" t="str">
            <v>ARAYTOR</v>
          </cell>
          <cell r="B2104">
            <v>202512</v>
          </cell>
          <cell r="D2104" t="str">
            <v>Arte</v>
          </cell>
          <cell r="G2104" t="str">
            <v>Presupuesto</v>
          </cell>
        </row>
        <row r="2105">
          <cell r="A2105" t="str">
            <v>ARAYTOR</v>
          </cell>
          <cell r="B2105">
            <v>202512</v>
          </cell>
          <cell r="D2105" t="str">
            <v>Arte</v>
          </cell>
          <cell r="G2105" t="str">
            <v>Real</v>
          </cell>
        </row>
        <row r="2106">
          <cell r="A2106" t="str">
            <v>ARAYTOR</v>
          </cell>
          <cell r="B2106">
            <v>202512</v>
          </cell>
          <cell r="D2106" t="str">
            <v>Autos</v>
          </cell>
          <cell r="G2106" t="str">
            <v>Presupuesto</v>
          </cell>
        </row>
        <row r="2107">
          <cell r="A2107" t="str">
            <v>ARAYTOR</v>
          </cell>
          <cell r="B2107">
            <v>202512</v>
          </cell>
          <cell r="D2107" t="str">
            <v>Autos</v>
          </cell>
          <cell r="G2107" t="str">
            <v>Real</v>
          </cell>
        </row>
        <row r="2108">
          <cell r="A2108" t="str">
            <v>ARAYTOR</v>
          </cell>
          <cell r="B2108">
            <v>202512</v>
          </cell>
          <cell r="D2108" t="str">
            <v>B2B2C</v>
          </cell>
          <cell r="G2108" t="str">
            <v>Presupuesto</v>
          </cell>
        </row>
        <row r="2109">
          <cell r="A2109" t="str">
            <v>ARAYTOR</v>
          </cell>
          <cell r="B2109">
            <v>202512</v>
          </cell>
          <cell r="D2109" t="str">
            <v>Caución</v>
          </cell>
          <cell r="G2109" t="str">
            <v>Presupuesto</v>
          </cell>
        </row>
        <row r="2110">
          <cell r="A2110" t="str">
            <v>ARAYTOR</v>
          </cell>
          <cell r="B2110">
            <v>202512</v>
          </cell>
          <cell r="D2110" t="str">
            <v>Crédito Internacional</v>
          </cell>
          <cell r="G2110" t="str">
            <v>Presupuesto</v>
          </cell>
        </row>
        <row r="2111">
          <cell r="A2111" t="str">
            <v>ARAYTOR</v>
          </cell>
          <cell r="B2111">
            <v>202512</v>
          </cell>
          <cell r="D2111" t="str">
            <v>Crédito Nacional</v>
          </cell>
          <cell r="G2111" t="str">
            <v>Presupuesto</v>
          </cell>
        </row>
        <row r="2112">
          <cell r="A2112" t="str">
            <v>ARAYTOR</v>
          </cell>
          <cell r="B2112">
            <v>202512</v>
          </cell>
          <cell r="D2112" t="str">
            <v>Eventos</v>
          </cell>
          <cell r="G2112" t="str">
            <v>Presupuesto</v>
          </cell>
        </row>
        <row r="2113">
          <cell r="A2113" t="str">
            <v>ARAYTOR</v>
          </cell>
          <cell r="B2113">
            <v>202512</v>
          </cell>
          <cell r="D2113" t="str">
            <v>Eventos</v>
          </cell>
          <cell r="G2113" t="str">
            <v>Real</v>
          </cell>
        </row>
        <row r="2114">
          <cell r="A2114" t="str">
            <v>ARAYTOR</v>
          </cell>
          <cell r="B2114">
            <v>202512</v>
          </cell>
          <cell r="D2114" t="str">
            <v>Flotas</v>
          </cell>
          <cell r="G2114" t="str">
            <v>Presupuesto</v>
          </cell>
        </row>
        <row r="2115">
          <cell r="A2115" t="str">
            <v>ARAYTOR</v>
          </cell>
          <cell r="B2115">
            <v>202512</v>
          </cell>
          <cell r="D2115" t="str">
            <v>Flotas</v>
          </cell>
          <cell r="G2115" t="str">
            <v>Real</v>
          </cell>
        </row>
        <row r="2116">
          <cell r="A2116" t="str">
            <v>ARAYTOR</v>
          </cell>
          <cell r="B2116">
            <v>202512</v>
          </cell>
          <cell r="D2116" t="str">
            <v>Hogar</v>
          </cell>
          <cell r="G2116" t="str">
            <v>Presupuesto</v>
          </cell>
        </row>
        <row r="2117">
          <cell r="A2117" t="str">
            <v>ARAYTOR</v>
          </cell>
          <cell r="B2117">
            <v>202512</v>
          </cell>
          <cell r="D2117" t="str">
            <v>Hogar</v>
          </cell>
          <cell r="G2117" t="str">
            <v>Real</v>
          </cell>
        </row>
        <row r="2118">
          <cell r="A2118" t="str">
            <v>ARAYTOR</v>
          </cell>
          <cell r="B2118">
            <v>202512</v>
          </cell>
          <cell r="D2118" t="str">
            <v>Ingeniería</v>
          </cell>
          <cell r="G2118" t="str">
            <v>Presupuesto</v>
          </cell>
        </row>
        <row r="2119">
          <cell r="A2119" t="str">
            <v>ARAYTOR</v>
          </cell>
          <cell r="B2119">
            <v>202512</v>
          </cell>
          <cell r="D2119" t="str">
            <v>Ingeniería</v>
          </cell>
          <cell r="G2119" t="str">
            <v>Real</v>
          </cell>
        </row>
        <row r="2120">
          <cell r="A2120" t="str">
            <v>ARAYTOR</v>
          </cell>
          <cell r="B2120">
            <v>202512</v>
          </cell>
          <cell r="D2120" t="str">
            <v>Inmobiliario</v>
          </cell>
          <cell r="G2120" t="str">
            <v>Presupuesto</v>
          </cell>
        </row>
        <row r="2121">
          <cell r="A2121" t="str">
            <v>ARAYTOR</v>
          </cell>
          <cell r="B2121">
            <v>202512</v>
          </cell>
          <cell r="D2121" t="str">
            <v>Líneas Financieras</v>
          </cell>
          <cell r="G2121" t="str">
            <v>Presupuesto</v>
          </cell>
        </row>
        <row r="2122">
          <cell r="A2122" t="str">
            <v>ARAYTOR</v>
          </cell>
          <cell r="B2122">
            <v>202512</v>
          </cell>
          <cell r="D2122" t="str">
            <v>Líneas Financieras</v>
          </cell>
          <cell r="G2122" t="str">
            <v>Real</v>
          </cell>
        </row>
        <row r="2123">
          <cell r="A2123" t="str">
            <v>ARAYTOR</v>
          </cell>
          <cell r="B2123">
            <v>202512</v>
          </cell>
          <cell r="D2123" t="str">
            <v>Náutica</v>
          </cell>
          <cell r="G2123" t="str">
            <v>Presupuesto</v>
          </cell>
        </row>
        <row r="2124">
          <cell r="A2124" t="str">
            <v>ARAYTOR</v>
          </cell>
          <cell r="B2124">
            <v>202512</v>
          </cell>
          <cell r="D2124" t="str">
            <v>Náutica</v>
          </cell>
          <cell r="G2124" t="str">
            <v>Real</v>
          </cell>
        </row>
        <row r="2125">
          <cell r="A2125" t="str">
            <v>ARAYTOR</v>
          </cell>
          <cell r="B2125">
            <v>202512</v>
          </cell>
          <cell r="D2125" t="str">
            <v>Particulares Resto</v>
          </cell>
          <cell r="G2125" t="str">
            <v>Presupuesto</v>
          </cell>
        </row>
        <row r="2126">
          <cell r="A2126" t="str">
            <v>ARAYTOR</v>
          </cell>
          <cell r="B2126">
            <v>202512</v>
          </cell>
          <cell r="D2126" t="str">
            <v>Particulares Resto</v>
          </cell>
          <cell r="G2126" t="str">
            <v>Real</v>
          </cell>
        </row>
        <row r="2127">
          <cell r="A2127" t="str">
            <v>ARAYTOR</v>
          </cell>
          <cell r="B2127">
            <v>202512</v>
          </cell>
          <cell r="D2127" t="str">
            <v>Property</v>
          </cell>
          <cell r="G2127" t="str">
            <v>Presupuesto</v>
          </cell>
        </row>
        <row r="2128">
          <cell r="A2128" t="str">
            <v>ARAYTOR</v>
          </cell>
          <cell r="B2128">
            <v>202512</v>
          </cell>
          <cell r="D2128" t="str">
            <v>Property</v>
          </cell>
          <cell r="G2128" t="str">
            <v>Real</v>
          </cell>
        </row>
        <row r="2129">
          <cell r="A2129" t="str">
            <v>ARAYTOR</v>
          </cell>
          <cell r="B2129">
            <v>202512</v>
          </cell>
          <cell r="D2129" t="str">
            <v>RC</v>
          </cell>
          <cell r="G2129" t="str">
            <v>Presupuesto</v>
          </cell>
        </row>
        <row r="2130">
          <cell r="A2130" t="str">
            <v>ARAYTOR</v>
          </cell>
          <cell r="B2130">
            <v>202512</v>
          </cell>
          <cell r="D2130" t="str">
            <v>RC</v>
          </cell>
          <cell r="G2130" t="str">
            <v>Real</v>
          </cell>
        </row>
        <row r="2131">
          <cell r="A2131" t="str">
            <v>ARAYTOR</v>
          </cell>
          <cell r="B2131">
            <v>202512</v>
          </cell>
          <cell r="D2131" t="str">
            <v>Resto de lineas</v>
          </cell>
          <cell r="G2131" t="str">
            <v>Presupuesto</v>
          </cell>
        </row>
        <row r="2132">
          <cell r="A2132" t="str">
            <v>ARAYTOR</v>
          </cell>
          <cell r="B2132">
            <v>202512</v>
          </cell>
          <cell r="D2132" t="str">
            <v>Retirada</v>
          </cell>
          <cell r="G2132" t="str">
            <v>Presupuesto</v>
          </cell>
        </row>
        <row r="2133">
          <cell r="A2133" t="str">
            <v>ARAYTOR</v>
          </cell>
          <cell r="B2133">
            <v>202512</v>
          </cell>
          <cell r="D2133" t="str">
            <v>Seguros Personales (No Vida) Colectivos</v>
          </cell>
          <cell r="G2133" t="str">
            <v>Presupuesto</v>
          </cell>
        </row>
        <row r="2134">
          <cell r="A2134" t="str">
            <v>ARAYTOR</v>
          </cell>
          <cell r="B2134">
            <v>202512</v>
          </cell>
          <cell r="D2134" t="str">
            <v>Seguros Personales (No Vida) Colectivos</v>
          </cell>
          <cell r="G2134" t="str">
            <v>Real</v>
          </cell>
        </row>
        <row r="2135">
          <cell r="A2135" t="str">
            <v>ARAYTOR</v>
          </cell>
          <cell r="B2135">
            <v>202512</v>
          </cell>
          <cell r="D2135" t="str">
            <v>Seguros Personales (No Vida) Particular</v>
          </cell>
          <cell r="G2135" t="str">
            <v>Presupuesto</v>
          </cell>
        </row>
        <row r="2136">
          <cell r="A2136" t="str">
            <v>ARAYTOR</v>
          </cell>
          <cell r="B2136">
            <v>202512</v>
          </cell>
          <cell r="D2136" t="str">
            <v>Seguros Personales (No Vida) Particular</v>
          </cell>
          <cell r="G2136" t="str">
            <v>Real</v>
          </cell>
        </row>
        <row r="2137">
          <cell r="A2137" t="str">
            <v>ARAYTOR</v>
          </cell>
          <cell r="B2137">
            <v>202512</v>
          </cell>
          <cell r="D2137" t="str">
            <v>Transporte</v>
          </cell>
          <cell r="G2137" t="str">
            <v>Presupuesto</v>
          </cell>
        </row>
        <row r="2138">
          <cell r="A2138" t="str">
            <v>ARAYTOR</v>
          </cell>
          <cell r="B2138">
            <v>202512</v>
          </cell>
          <cell r="D2138" t="str">
            <v>Transporte</v>
          </cell>
          <cell r="G2138" t="str">
            <v>Real</v>
          </cell>
        </row>
        <row r="2139">
          <cell r="A2139" t="str">
            <v>ARAYTOR</v>
          </cell>
          <cell r="B2139">
            <v>202512</v>
          </cell>
          <cell r="D2139" t="str">
            <v>Venta Cruzada</v>
          </cell>
          <cell r="G2139" t="str">
            <v>Presupuesto</v>
          </cell>
        </row>
        <row r="2140">
          <cell r="A2140" t="str">
            <v>ARAYTOR</v>
          </cell>
          <cell r="B2140">
            <v>202512</v>
          </cell>
          <cell r="D2140" t="str">
            <v>Vida Ahorro Colectivo</v>
          </cell>
          <cell r="G2140" t="str">
            <v>Presupuesto</v>
          </cell>
        </row>
        <row r="2141">
          <cell r="A2141" t="str">
            <v>ARAYTOR</v>
          </cell>
          <cell r="B2141">
            <v>202512</v>
          </cell>
          <cell r="D2141" t="str">
            <v>Vida Ahorro Particular</v>
          </cell>
          <cell r="G2141" t="str">
            <v>Presupuesto</v>
          </cell>
        </row>
        <row r="2142">
          <cell r="A2142" t="str">
            <v>ARAYTOR</v>
          </cell>
          <cell r="B2142">
            <v>202512</v>
          </cell>
          <cell r="D2142" t="str">
            <v>Vida Ahorro Particular</v>
          </cell>
          <cell r="G2142" t="str">
            <v>Real</v>
          </cell>
        </row>
        <row r="2143">
          <cell r="A2143" t="str">
            <v>ARAYTOR</v>
          </cell>
          <cell r="B2143">
            <v>202512</v>
          </cell>
          <cell r="D2143" t="str">
            <v>Vida Ganado</v>
          </cell>
          <cell r="G2143" t="str">
            <v>Presupuesto</v>
          </cell>
        </row>
        <row r="2144">
          <cell r="A2144" t="str">
            <v>ARAYTOR</v>
          </cell>
          <cell r="B2144">
            <v>202512</v>
          </cell>
          <cell r="D2144" t="str">
            <v>Vida Riesgo Colectivo</v>
          </cell>
          <cell r="G2144" t="str">
            <v>Presupuesto</v>
          </cell>
        </row>
        <row r="2145">
          <cell r="A2145" t="str">
            <v>ARAYTOR</v>
          </cell>
          <cell r="B2145">
            <v>202512</v>
          </cell>
          <cell r="D2145" t="str">
            <v>Vida Riesgo Colectivo</v>
          </cell>
          <cell r="G2145" t="str">
            <v>Real</v>
          </cell>
        </row>
        <row r="2146">
          <cell r="A2146" t="str">
            <v>ARAYTOR</v>
          </cell>
          <cell r="B2146">
            <v>202512</v>
          </cell>
          <cell r="D2146" t="str">
            <v>Vida Riesgo Particular</v>
          </cell>
          <cell r="G2146" t="str">
            <v>Presupuesto</v>
          </cell>
        </row>
        <row r="2147">
          <cell r="A2147" t="str">
            <v>ARAYTOR</v>
          </cell>
          <cell r="B2147">
            <v>202512</v>
          </cell>
          <cell r="D2147" t="str">
            <v>Vida Riesgo Particular</v>
          </cell>
          <cell r="G2147" t="str">
            <v>Real</v>
          </cell>
        </row>
        <row r="2148">
          <cell r="A2148" t="str">
            <v>ARRENTA</v>
          </cell>
          <cell r="B2148">
            <v>202301</v>
          </cell>
          <cell r="D2148" t="str">
            <v>--</v>
          </cell>
          <cell r="G2148" t="str">
            <v>Real</v>
          </cell>
        </row>
        <row r="2149">
          <cell r="A2149" t="str">
            <v>ARRENTA</v>
          </cell>
          <cell r="B2149">
            <v>202302</v>
          </cell>
          <cell r="D2149" t="str">
            <v>--</v>
          </cell>
          <cell r="G2149" t="str">
            <v>Real</v>
          </cell>
        </row>
        <row r="2150">
          <cell r="A2150" t="str">
            <v>ARRENTA</v>
          </cell>
          <cell r="B2150">
            <v>202303</v>
          </cell>
          <cell r="D2150" t="str">
            <v>--</v>
          </cell>
          <cell r="G2150" t="str">
            <v>Real</v>
          </cell>
        </row>
        <row r="2151">
          <cell r="A2151" t="str">
            <v>ARRENTA</v>
          </cell>
          <cell r="B2151">
            <v>202304</v>
          </cell>
          <cell r="D2151" t="str">
            <v>--</v>
          </cell>
          <cell r="G2151" t="str">
            <v>Real</v>
          </cell>
        </row>
        <row r="2152">
          <cell r="A2152" t="str">
            <v>ARRENTA</v>
          </cell>
          <cell r="B2152">
            <v>202305</v>
          </cell>
          <cell r="D2152" t="str">
            <v>--</v>
          </cell>
          <cell r="G2152" t="str">
            <v>Real</v>
          </cell>
        </row>
        <row r="2153">
          <cell r="A2153" t="str">
            <v>ARRENTA</v>
          </cell>
          <cell r="B2153">
            <v>202306</v>
          </cell>
          <cell r="D2153" t="str">
            <v>--</v>
          </cell>
          <cell r="G2153" t="str">
            <v>Real</v>
          </cell>
        </row>
        <row r="2154">
          <cell r="A2154" t="str">
            <v>ARRENTA</v>
          </cell>
          <cell r="B2154">
            <v>202307</v>
          </cell>
          <cell r="D2154" t="str">
            <v>--</v>
          </cell>
          <cell r="G2154" t="str">
            <v>Real</v>
          </cell>
        </row>
        <row r="2155">
          <cell r="A2155" t="str">
            <v>ARRENTA</v>
          </cell>
          <cell r="B2155">
            <v>202308</v>
          </cell>
          <cell r="D2155" t="str">
            <v>--</v>
          </cell>
          <cell r="G2155" t="str">
            <v>Real</v>
          </cell>
        </row>
        <row r="2156">
          <cell r="A2156" t="str">
            <v>ARRENTA</v>
          </cell>
          <cell r="B2156">
            <v>202309</v>
          </cell>
          <cell r="D2156" t="str">
            <v>--</v>
          </cell>
          <cell r="G2156" t="str">
            <v>Real</v>
          </cell>
        </row>
        <row r="2157">
          <cell r="A2157" t="str">
            <v>ARRENTA</v>
          </cell>
          <cell r="B2157">
            <v>202310</v>
          </cell>
          <cell r="D2157" t="str">
            <v>--</v>
          </cell>
          <cell r="G2157" t="str">
            <v>Real</v>
          </cell>
        </row>
        <row r="2158">
          <cell r="A2158" t="str">
            <v>ARRENTA</v>
          </cell>
          <cell r="B2158">
            <v>202311</v>
          </cell>
          <cell r="D2158" t="str">
            <v>--</v>
          </cell>
          <cell r="G2158" t="str">
            <v>Real</v>
          </cell>
        </row>
        <row r="2159">
          <cell r="A2159" t="str">
            <v>ARRENTA</v>
          </cell>
          <cell r="B2159">
            <v>202312</v>
          </cell>
          <cell r="D2159" t="str">
            <v>--</v>
          </cell>
          <cell r="G2159" t="str">
            <v>Real</v>
          </cell>
        </row>
        <row r="2160">
          <cell r="A2160" t="str">
            <v>ARRENTA</v>
          </cell>
          <cell r="B2160">
            <v>202401</v>
          </cell>
          <cell r="D2160" t="str">
            <v>--</v>
          </cell>
          <cell r="G2160" t="str">
            <v>Real</v>
          </cell>
        </row>
        <row r="2161">
          <cell r="A2161" t="str">
            <v>ARRENTA</v>
          </cell>
          <cell r="B2161">
            <v>202401</v>
          </cell>
          <cell r="D2161" t="str">
            <v>Autos</v>
          </cell>
          <cell r="G2161" t="str">
            <v>Real</v>
          </cell>
        </row>
        <row r="2162">
          <cell r="A2162" t="str">
            <v>ARRENTA</v>
          </cell>
          <cell r="B2162">
            <v>202401</v>
          </cell>
          <cell r="D2162" t="str">
            <v>Hogar</v>
          </cell>
          <cell r="G2162" t="str">
            <v>Real</v>
          </cell>
        </row>
        <row r="2163">
          <cell r="A2163" t="str">
            <v>ARRENTA</v>
          </cell>
          <cell r="B2163">
            <v>202401</v>
          </cell>
          <cell r="D2163" t="str">
            <v>Inmobiliario</v>
          </cell>
          <cell r="G2163" t="str">
            <v>Real</v>
          </cell>
        </row>
        <row r="2164">
          <cell r="A2164" t="str">
            <v>ARRENTA</v>
          </cell>
          <cell r="B2164">
            <v>202401</v>
          </cell>
          <cell r="D2164" t="str">
            <v>Particulares Resto</v>
          </cell>
          <cell r="G2164" t="str">
            <v>Real</v>
          </cell>
        </row>
        <row r="2165">
          <cell r="A2165" t="str">
            <v>ARRENTA</v>
          </cell>
          <cell r="B2165">
            <v>202401</v>
          </cell>
          <cell r="D2165" t="str">
            <v>RC</v>
          </cell>
          <cell r="G2165" t="str">
            <v>Real</v>
          </cell>
        </row>
        <row r="2166">
          <cell r="A2166" t="str">
            <v>ARRENTA</v>
          </cell>
          <cell r="B2166">
            <v>202401</v>
          </cell>
          <cell r="D2166" t="str">
            <v>Seguros Personales (No Vida) Particular</v>
          </cell>
          <cell r="G2166" t="str">
            <v>Real</v>
          </cell>
        </row>
        <row r="2167">
          <cell r="A2167" t="str">
            <v>ARRENTA</v>
          </cell>
          <cell r="B2167">
            <v>202401</v>
          </cell>
          <cell r="D2167" t="str">
            <v>Vida Ahorro Particular</v>
          </cell>
          <cell r="G2167" t="str">
            <v>Real</v>
          </cell>
        </row>
        <row r="2168">
          <cell r="A2168" t="str">
            <v>ARRENTA</v>
          </cell>
          <cell r="B2168">
            <v>202402</v>
          </cell>
          <cell r="D2168" t="str">
            <v>--</v>
          </cell>
          <cell r="G2168" t="str">
            <v>Real</v>
          </cell>
        </row>
        <row r="2169">
          <cell r="A2169" t="str">
            <v>ARRENTA</v>
          </cell>
          <cell r="B2169">
            <v>202402</v>
          </cell>
          <cell r="D2169" t="str">
            <v>Autos</v>
          </cell>
          <cell r="G2169" t="str">
            <v>Real</v>
          </cell>
        </row>
        <row r="2170">
          <cell r="A2170" t="str">
            <v>ARRENTA</v>
          </cell>
          <cell r="B2170">
            <v>202402</v>
          </cell>
          <cell r="D2170" t="str">
            <v>Hogar</v>
          </cell>
          <cell r="G2170" t="str">
            <v>Real</v>
          </cell>
        </row>
        <row r="2171">
          <cell r="A2171" t="str">
            <v>ARRENTA</v>
          </cell>
          <cell r="B2171">
            <v>202402</v>
          </cell>
          <cell r="D2171" t="str">
            <v>Inmobiliario</v>
          </cell>
          <cell r="G2171" t="str">
            <v>Real</v>
          </cell>
        </row>
        <row r="2172">
          <cell r="A2172" t="str">
            <v>ARRENTA</v>
          </cell>
          <cell r="B2172">
            <v>202402</v>
          </cell>
          <cell r="D2172" t="str">
            <v>Particulares Resto</v>
          </cell>
          <cell r="G2172" t="str">
            <v>Real</v>
          </cell>
        </row>
        <row r="2173">
          <cell r="A2173" t="str">
            <v>ARRENTA</v>
          </cell>
          <cell r="B2173">
            <v>202402</v>
          </cell>
          <cell r="D2173" t="str">
            <v>RC</v>
          </cell>
          <cell r="G2173" t="str">
            <v>Real</v>
          </cell>
        </row>
        <row r="2174">
          <cell r="A2174" t="str">
            <v>ARRENTA</v>
          </cell>
          <cell r="B2174">
            <v>202402</v>
          </cell>
          <cell r="D2174" t="str">
            <v>Seguros Personales (No Vida) Particular</v>
          </cell>
          <cell r="G2174" t="str">
            <v>Real</v>
          </cell>
        </row>
        <row r="2175">
          <cell r="A2175" t="str">
            <v>ARRENTA</v>
          </cell>
          <cell r="B2175">
            <v>202402</v>
          </cell>
          <cell r="D2175" t="str">
            <v>Vida Ahorro Particular</v>
          </cell>
          <cell r="G2175" t="str">
            <v>Real</v>
          </cell>
        </row>
        <row r="2176">
          <cell r="A2176" t="str">
            <v>ARRENTA</v>
          </cell>
          <cell r="B2176">
            <v>202403</v>
          </cell>
          <cell r="D2176" t="str">
            <v>--</v>
          </cell>
          <cell r="G2176" t="str">
            <v>Real</v>
          </cell>
        </row>
        <row r="2177">
          <cell r="A2177" t="str">
            <v>ARRENTA</v>
          </cell>
          <cell r="B2177">
            <v>202403</v>
          </cell>
          <cell r="D2177" t="str">
            <v>Autos</v>
          </cell>
          <cell r="G2177" t="str">
            <v>Real</v>
          </cell>
        </row>
        <row r="2178">
          <cell r="A2178" t="str">
            <v>ARRENTA</v>
          </cell>
          <cell r="B2178">
            <v>202403</v>
          </cell>
          <cell r="D2178" t="str">
            <v>Caución</v>
          </cell>
          <cell r="G2178" t="str">
            <v>Real</v>
          </cell>
        </row>
        <row r="2179">
          <cell r="A2179" t="str">
            <v>ARRENTA</v>
          </cell>
          <cell r="B2179">
            <v>202403</v>
          </cell>
          <cell r="D2179" t="str">
            <v>Hogar</v>
          </cell>
          <cell r="G2179" t="str">
            <v>Real</v>
          </cell>
        </row>
        <row r="2180">
          <cell r="A2180" t="str">
            <v>ARRENTA</v>
          </cell>
          <cell r="B2180">
            <v>202403</v>
          </cell>
          <cell r="D2180" t="str">
            <v>Inmobiliario</v>
          </cell>
          <cell r="G2180" t="str">
            <v>Real</v>
          </cell>
        </row>
        <row r="2181">
          <cell r="A2181" t="str">
            <v>ARRENTA</v>
          </cell>
          <cell r="B2181">
            <v>202403</v>
          </cell>
          <cell r="D2181" t="str">
            <v>Particulares Resto</v>
          </cell>
          <cell r="G2181" t="str">
            <v>Real</v>
          </cell>
        </row>
        <row r="2182">
          <cell r="A2182" t="str">
            <v>ARRENTA</v>
          </cell>
          <cell r="B2182">
            <v>202403</v>
          </cell>
          <cell r="D2182" t="str">
            <v>RC</v>
          </cell>
          <cell r="G2182" t="str">
            <v>Real</v>
          </cell>
        </row>
        <row r="2183">
          <cell r="A2183" t="str">
            <v>ARRENTA</v>
          </cell>
          <cell r="B2183">
            <v>202403</v>
          </cell>
          <cell r="D2183" t="str">
            <v>Seguros Personales (No Vida) Particular</v>
          </cell>
          <cell r="G2183" t="str">
            <v>Real</v>
          </cell>
        </row>
        <row r="2184">
          <cell r="A2184" t="str">
            <v>ARRENTA</v>
          </cell>
          <cell r="B2184">
            <v>202403</v>
          </cell>
          <cell r="D2184" t="str">
            <v>Vida Ahorro Particular</v>
          </cell>
          <cell r="G2184" t="str">
            <v>Real</v>
          </cell>
        </row>
        <row r="2185">
          <cell r="A2185" t="str">
            <v>ARRENTA</v>
          </cell>
          <cell r="B2185">
            <v>202404</v>
          </cell>
          <cell r="D2185" t="str">
            <v>--</v>
          </cell>
          <cell r="G2185" t="str">
            <v>Real</v>
          </cell>
        </row>
        <row r="2186">
          <cell r="A2186" t="str">
            <v>ARRENTA</v>
          </cell>
          <cell r="B2186">
            <v>202404</v>
          </cell>
          <cell r="D2186" t="str">
            <v>Autos</v>
          </cell>
          <cell r="G2186" t="str">
            <v>Real</v>
          </cell>
        </row>
        <row r="2187">
          <cell r="A2187" t="str">
            <v>ARRENTA</v>
          </cell>
          <cell r="B2187">
            <v>202404</v>
          </cell>
          <cell r="D2187" t="str">
            <v>Hogar</v>
          </cell>
          <cell r="G2187" t="str">
            <v>Real</v>
          </cell>
        </row>
        <row r="2188">
          <cell r="A2188" t="str">
            <v>ARRENTA</v>
          </cell>
          <cell r="B2188">
            <v>202404</v>
          </cell>
          <cell r="D2188" t="str">
            <v>Inmobiliario</v>
          </cell>
          <cell r="G2188" t="str">
            <v>Real</v>
          </cell>
        </row>
        <row r="2189">
          <cell r="A2189" t="str">
            <v>ARRENTA</v>
          </cell>
          <cell r="B2189">
            <v>202404</v>
          </cell>
          <cell r="D2189" t="str">
            <v>Particulares Resto</v>
          </cell>
          <cell r="G2189" t="str">
            <v>Real</v>
          </cell>
        </row>
        <row r="2190">
          <cell r="A2190" t="str">
            <v>ARRENTA</v>
          </cell>
          <cell r="B2190">
            <v>202404</v>
          </cell>
          <cell r="D2190" t="str">
            <v>RC</v>
          </cell>
          <cell r="G2190" t="str">
            <v>Real</v>
          </cell>
        </row>
        <row r="2191">
          <cell r="A2191" t="str">
            <v>ARRENTA</v>
          </cell>
          <cell r="B2191">
            <v>202404</v>
          </cell>
          <cell r="D2191" t="str">
            <v>Seguros Personales (No Vida) Particular</v>
          </cell>
          <cell r="G2191" t="str">
            <v>Real</v>
          </cell>
        </row>
        <row r="2192">
          <cell r="A2192" t="str">
            <v>ARRENTA</v>
          </cell>
          <cell r="B2192">
            <v>202404</v>
          </cell>
          <cell r="D2192" t="str">
            <v>Vida Ahorro Particular</v>
          </cell>
          <cell r="G2192" t="str">
            <v>Real</v>
          </cell>
        </row>
        <row r="2193">
          <cell r="A2193" t="str">
            <v>ARRENTA</v>
          </cell>
          <cell r="B2193">
            <v>202405</v>
          </cell>
          <cell r="D2193" t="str">
            <v>--</v>
          </cell>
          <cell r="G2193" t="str">
            <v>Real</v>
          </cell>
        </row>
        <row r="2194">
          <cell r="A2194" t="str">
            <v>ARRENTA</v>
          </cell>
          <cell r="B2194">
            <v>202405</v>
          </cell>
          <cell r="D2194" t="str">
            <v>Autos</v>
          </cell>
          <cell r="G2194" t="str">
            <v>Real</v>
          </cell>
        </row>
        <row r="2195">
          <cell r="A2195" t="str">
            <v>ARRENTA</v>
          </cell>
          <cell r="B2195">
            <v>202405</v>
          </cell>
          <cell r="D2195" t="str">
            <v>Caución</v>
          </cell>
          <cell r="G2195" t="str">
            <v>Real</v>
          </cell>
        </row>
        <row r="2196">
          <cell r="A2196" t="str">
            <v>ARRENTA</v>
          </cell>
          <cell r="B2196">
            <v>202405</v>
          </cell>
          <cell r="D2196" t="str">
            <v>Hogar</v>
          </cell>
          <cell r="G2196" t="str">
            <v>Real</v>
          </cell>
        </row>
        <row r="2197">
          <cell r="A2197" t="str">
            <v>ARRENTA</v>
          </cell>
          <cell r="B2197">
            <v>202405</v>
          </cell>
          <cell r="D2197" t="str">
            <v>Inmobiliario</v>
          </cell>
          <cell r="G2197" t="str">
            <v>Real</v>
          </cell>
        </row>
        <row r="2198">
          <cell r="A2198" t="str">
            <v>ARRENTA</v>
          </cell>
          <cell r="B2198">
            <v>202405</v>
          </cell>
          <cell r="D2198" t="str">
            <v>Náutica</v>
          </cell>
          <cell r="G2198" t="str">
            <v>Real</v>
          </cell>
        </row>
        <row r="2199">
          <cell r="A2199" t="str">
            <v>ARRENTA</v>
          </cell>
          <cell r="B2199">
            <v>202405</v>
          </cell>
          <cell r="D2199" t="str">
            <v>Particulares Resto</v>
          </cell>
          <cell r="G2199" t="str">
            <v>Real</v>
          </cell>
        </row>
        <row r="2200">
          <cell r="A2200" t="str">
            <v>ARRENTA</v>
          </cell>
          <cell r="B2200">
            <v>202405</v>
          </cell>
          <cell r="D2200" t="str">
            <v>RC</v>
          </cell>
          <cell r="G2200" t="str">
            <v>Real</v>
          </cell>
        </row>
        <row r="2201">
          <cell r="A2201" t="str">
            <v>ARRENTA</v>
          </cell>
          <cell r="B2201">
            <v>202405</v>
          </cell>
          <cell r="D2201" t="str">
            <v>Seguros Personales (No Vida) Particular</v>
          </cell>
          <cell r="G2201" t="str">
            <v>Real</v>
          </cell>
        </row>
        <row r="2202">
          <cell r="A2202" t="str">
            <v>ARRENTA</v>
          </cell>
          <cell r="B2202">
            <v>202405</v>
          </cell>
          <cell r="D2202" t="str">
            <v>Vida Ahorro Particular</v>
          </cell>
          <cell r="G2202" t="str">
            <v>Real</v>
          </cell>
        </row>
        <row r="2203">
          <cell r="A2203" t="str">
            <v>ARRENTA</v>
          </cell>
          <cell r="B2203">
            <v>202406</v>
          </cell>
          <cell r="D2203" t="str">
            <v>--</v>
          </cell>
          <cell r="G2203" t="str">
            <v>Real</v>
          </cell>
        </row>
        <row r="2204">
          <cell r="A2204" t="str">
            <v>ARRENTA</v>
          </cell>
          <cell r="B2204">
            <v>202406</v>
          </cell>
          <cell r="D2204" t="str">
            <v>Autos</v>
          </cell>
          <cell r="G2204" t="str">
            <v>Real</v>
          </cell>
        </row>
        <row r="2205">
          <cell r="A2205" t="str">
            <v>ARRENTA</v>
          </cell>
          <cell r="B2205">
            <v>202406</v>
          </cell>
          <cell r="D2205" t="str">
            <v>Hogar</v>
          </cell>
          <cell r="G2205" t="str">
            <v>Real</v>
          </cell>
        </row>
        <row r="2206">
          <cell r="A2206" t="str">
            <v>ARRENTA</v>
          </cell>
          <cell r="B2206">
            <v>202406</v>
          </cell>
          <cell r="D2206" t="str">
            <v>Inmobiliario</v>
          </cell>
          <cell r="G2206" t="str">
            <v>Real</v>
          </cell>
        </row>
        <row r="2207">
          <cell r="A2207" t="str">
            <v>ARRENTA</v>
          </cell>
          <cell r="B2207">
            <v>202406</v>
          </cell>
          <cell r="D2207" t="str">
            <v>Particulares Resto</v>
          </cell>
          <cell r="G2207" t="str">
            <v>Real</v>
          </cell>
        </row>
        <row r="2208">
          <cell r="A2208" t="str">
            <v>ARRENTA</v>
          </cell>
          <cell r="B2208">
            <v>202406</v>
          </cell>
          <cell r="D2208" t="str">
            <v>RC</v>
          </cell>
          <cell r="G2208" t="str">
            <v>Real</v>
          </cell>
        </row>
        <row r="2209">
          <cell r="A2209" t="str">
            <v>ARRENTA</v>
          </cell>
          <cell r="B2209">
            <v>202406</v>
          </cell>
          <cell r="D2209" t="str">
            <v>Seguros Personales (No Vida) Particular</v>
          </cell>
          <cell r="G2209" t="str">
            <v>Real</v>
          </cell>
        </row>
        <row r="2210">
          <cell r="A2210" t="str">
            <v>ARRENTA</v>
          </cell>
          <cell r="B2210">
            <v>202406</v>
          </cell>
          <cell r="D2210" t="str">
            <v>Vida Ahorro Particular</v>
          </cell>
          <cell r="G2210" t="str">
            <v>Real</v>
          </cell>
        </row>
        <row r="2211">
          <cell r="A2211" t="str">
            <v>ARRENTA</v>
          </cell>
          <cell r="B2211">
            <v>202407</v>
          </cell>
          <cell r="D2211" t="str">
            <v>--</v>
          </cell>
          <cell r="G2211" t="str">
            <v>Real</v>
          </cell>
        </row>
        <row r="2212">
          <cell r="A2212" t="str">
            <v>ARRENTA</v>
          </cell>
          <cell r="B2212">
            <v>202407</v>
          </cell>
          <cell r="D2212" t="str">
            <v>Autos</v>
          </cell>
          <cell r="G2212" t="str">
            <v>Real</v>
          </cell>
        </row>
        <row r="2213">
          <cell r="A2213" t="str">
            <v>ARRENTA</v>
          </cell>
          <cell r="B2213">
            <v>202407</v>
          </cell>
          <cell r="D2213" t="str">
            <v>Caución</v>
          </cell>
          <cell r="G2213" t="str">
            <v>Real</v>
          </cell>
        </row>
        <row r="2214">
          <cell r="A2214" t="str">
            <v>ARRENTA</v>
          </cell>
          <cell r="B2214">
            <v>202407</v>
          </cell>
          <cell r="D2214" t="str">
            <v>Hogar</v>
          </cell>
          <cell r="G2214" t="str">
            <v>Real</v>
          </cell>
        </row>
        <row r="2215">
          <cell r="A2215" t="str">
            <v>ARRENTA</v>
          </cell>
          <cell r="B2215">
            <v>202407</v>
          </cell>
          <cell r="D2215" t="str">
            <v>Inmobiliario</v>
          </cell>
          <cell r="G2215" t="str">
            <v>Real</v>
          </cell>
        </row>
        <row r="2216">
          <cell r="A2216" t="str">
            <v>ARRENTA</v>
          </cell>
          <cell r="B2216">
            <v>202407</v>
          </cell>
          <cell r="D2216" t="str">
            <v>Particulares Resto</v>
          </cell>
          <cell r="G2216" t="str">
            <v>Real</v>
          </cell>
        </row>
        <row r="2217">
          <cell r="A2217" t="str">
            <v>ARRENTA</v>
          </cell>
          <cell r="B2217">
            <v>202407</v>
          </cell>
          <cell r="D2217" t="str">
            <v>Property</v>
          </cell>
          <cell r="G2217" t="str">
            <v>Real</v>
          </cell>
        </row>
        <row r="2218">
          <cell r="A2218" t="str">
            <v>ARRENTA</v>
          </cell>
          <cell r="B2218">
            <v>202407</v>
          </cell>
          <cell r="D2218" t="str">
            <v>RC</v>
          </cell>
          <cell r="G2218" t="str">
            <v>Real</v>
          </cell>
        </row>
        <row r="2219">
          <cell r="A2219" t="str">
            <v>ARRENTA</v>
          </cell>
          <cell r="B2219">
            <v>202407</v>
          </cell>
          <cell r="D2219" t="str">
            <v>Seguros Personales (No Vida) Particular</v>
          </cell>
          <cell r="G2219" t="str">
            <v>Real</v>
          </cell>
        </row>
        <row r="2220">
          <cell r="A2220" t="str">
            <v>ARRENTA</v>
          </cell>
          <cell r="B2220">
            <v>202407</v>
          </cell>
          <cell r="D2220" t="str">
            <v>Vida Ahorro Particular</v>
          </cell>
          <cell r="G2220" t="str">
            <v>Real</v>
          </cell>
        </row>
        <row r="2221">
          <cell r="A2221" t="str">
            <v>ARRENTA</v>
          </cell>
          <cell r="B2221">
            <v>202408</v>
          </cell>
          <cell r="D2221" t="str">
            <v>--</v>
          </cell>
          <cell r="G2221" t="str">
            <v>Real</v>
          </cell>
        </row>
        <row r="2222">
          <cell r="A2222" t="str">
            <v>ARRENTA</v>
          </cell>
          <cell r="B2222">
            <v>202408</v>
          </cell>
          <cell r="D2222" t="str">
            <v>Autos</v>
          </cell>
          <cell r="G2222" t="str">
            <v>Real</v>
          </cell>
        </row>
        <row r="2223">
          <cell r="A2223" t="str">
            <v>ARRENTA</v>
          </cell>
          <cell r="B2223">
            <v>202408</v>
          </cell>
          <cell r="D2223" t="str">
            <v>Hogar</v>
          </cell>
          <cell r="G2223" t="str">
            <v>Real</v>
          </cell>
        </row>
        <row r="2224">
          <cell r="A2224" t="str">
            <v>ARRENTA</v>
          </cell>
          <cell r="B2224">
            <v>202408</v>
          </cell>
          <cell r="D2224" t="str">
            <v>Inmobiliario</v>
          </cell>
          <cell r="G2224" t="str">
            <v>Real</v>
          </cell>
        </row>
        <row r="2225">
          <cell r="A2225" t="str">
            <v>ARRENTA</v>
          </cell>
          <cell r="B2225">
            <v>202408</v>
          </cell>
          <cell r="D2225" t="str">
            <v>Particulares Resto</v>
          </cell>
          <cell r="G2225" t="str">
            <v>Real</v>
          </cell>
        </row>
        <row r="2226">
          <cell r="A2226" t="str">
            <v>ARRENTA</v>
          </cell>
          <cell r="B2226">
            <v>202408</v>
          </cell>
          <cell r="D2226" t="str">
            <v>RC</v>
          </cell>
          <cell r="G2226" t="str">
            <v>Real</v>
          </cell>
        </row>
        <row r="2227">
          <cell r="A2227" t="str">
            <v>ARRENTA</v>
          </cell>
          <cell r="B2227">
            <v>202408</v>
          </cell>
          <cell r="D2227" t="str">
            <v>Seguros Personales (No Vida) Particular</v>
          </cell>
          <cell r="G2227" t="str">
            <v>Real</v>
          </cell>
        </row>
        <row r="2228">
          <cell r="A2228" t="str">
            <v>ARRENTA</v>
          </cell>
          <cell r="B2228">
            <v>202408</v>
          </cell>
          <cell r="D2228" t="str">
            <v>Vida Ahorro Particular</v>
          </cell>
          <cell r="G2228" t="str">
            <v>Real</v>
          </cell>
        </row>
        <row r="2229">
          <cell r="A2229" t="str">
            <v>ARRENTA</v>
          </cell>
          <cell r="B2229">
            <v>202409</v>
          </cell>
          <cell r="D2229" t="str">
            <v>--</v>
          </cell>
          <cell r="G2229" t="str">
            <v>Real</v>
          </cell>
        </row>
        <row r="2230">
          <cell r="A2230" t="str">
            <v>ARRENTA</v>
          </cell>
          <cell r="B2230">
            <v>202409</v>
          </cell>
          <cell r="D2230" t="str">
            <v>Autos</v>
          </cell>
          <cell r="G2230" t="str">
            <v>Real</v>
          </cell>
        </row>
        <row r="2231">
          <cell r="A2231" t="str">
            <v>ARRENTA</v>
          </cell>
          <cell r="B2231">
            <v>202409</v>
          </cell>
          <cell r="D2231" t="str">
            <v>Hogar</v>
          </cell>
          <cell r="G2231" t="str">
            <v>Real</v>
          </cell>
        </row>
        <row r="2232">
          <cell r="A2232" t="str">
            <v>ARRENTA</v>
          </cell>
          <cell r="B2232">
            <v>202409</v>
          </cell>
          <cell r="D2232" t="str">
            <v>Inmobiliario</v>
          </cell>
          <cell r="G2232" t="str">
            <v>Real</v>
          </cell>
        </row>
        <row r="2233">
          <cell r="A2233" t="str">
            <v>ARRENTA</v>
          </cell>
          <cell r="B2233">
            <v>202409</v>
          </cell>
          <cell r="D2233" t="str">
            <v>Particulares Resto</v>
          </cell>
          <cell r="G2233" t="str">
            <v>Real</v>
          </cell>
        </row>
        <row r="2234">
          <cell r="A2234" t="str">
            <v>ARRENTA</v>
          </cell>
          <cell r="B2234">
            <v>202409</v>
          </cell>
          <cell r="D2234" t="str">
            <v>Property</v>
          </cell>
          <cell r="G2234" t="str">
            <v>Real</v>
          </cell>
        </row>
        <row r="2235">
          <cell r="A2235" t="str">
            <v>ARRENTA</v>
          </cell>
          <cell r="B2235">
            <v>202409</v>
          </cell>
          <cell r="D2235" t="str">
            <v>RC</v>
          </cell>
          <cell r="G2235" t="str">
            <v>Real</v>
          </cell>
        </row>
        <row r="2236">
          <cell r="A2236" t="str">
            <v>ARRENTA</v>
          </cell>
          <cell r="B2236">
            <v>202409</v>
          </cell>
          <cell r="D2236" t="str">
            <v>Seguros Personales (No Vida) Particular</v>
          </cell>
          <cell r="G2236" t="str">
            <v>Real</v>
          </cell>
        </row>
        <row r="2237">
          <cell r="A2237" t="str">
            <v>ARRENTA</v>
          </cell>
          <cell r="B2237">
            <v>202409</v>
          </cell>
          <cell r="D2237" t="str">
            <v>Vida Ahorro Particular</v>
          </cell>
          <cell r="G2237" t="str">
            <v>Real</v>
          </cell>
        </row>
        <row r="2238">
          <cell r="A2238" t="str">
            <v>ARRENTA</v>
          </cell>
          <cell r="B2238">
            <v>202410</v>
          </cell>
          <cell r="D2238" t="str">
            <v>--</v>
          </cell>
          <cell r="G2238" t="str">
            <v>Real</v>
          </cell>
        </row>
        <row r="2239">
          <cell r="A2239" t="str">
            <v>ARRENTA</v>
          </cell>
          <cell r="B2239">
            <v>202410</v>
          </cell>
          <cell r="D2239" t="str">
            <v>Autos</v>
          </cell>
          <cell r="G2239" t="str">
            <v>Real</v>
          </cell>
        </row>
        <row r="2240">
          <cell r="A2240" t="str">
            <v>ARRENTA</v>
          </cell>
          <cell r="B2240">
            <v>202410</v>
          </cell>
          <cell r="D2240" t="str">
            <v>Hogar</v>
          </cell>
          <cell r="G2240" t="str">
            <v>Real</v>
          </cell>
        </row>
        <row r="2241">
          <cell r="A2241" t="str">
            <v>ARRENTA</v>
          </cell>
          <cell r="B2241">
            <v>202410</v>
          </cell>
          <cell r="D2241" t="str">
            <v>Inmobiliario</v>
          </cell>
          <cell r="G2241" t="str">
            <v>Real</v>
          </cell>
        </row>
        <row r="2242">
          <cell r="A2242" t="str">
            <v>ARRENTA</v>
          </cell>
          <cell r="B2242">
            <v>202410</v>
          </cell>
          <cell r="D2242" t="str">
            <v>Particulares Resto</v>
          </cell>
          <cell r="G2242" t="str">
            <v>Real</v>
          </cell>
        </row>
        <row r="2243">
          <cell r="A2243" t="str">
            <v>ARRENTA</v>
          </cell>
          <cell r="B2243">
            <v>202410</v>
          </cell>
          <cell r="D2243" t="str">
            <v>RC</v>
          </cell>
          <cell r="G2243" t="str">
            <v>Real</v>
          </cell>
        </row>
        <row r="2244">
          <cell r="A2244" t="str">
            <v>ARRENTA</v>
          </cell>
          <cell r="B2244">
            <v>202410</v>
          </cell>
          <cell r="D2244" t="str">
            <v>Seguros Personales (No Vida) Particular</v>
          </cell>
          <cell r="G2244" t="str">
            <v>Real</v>
          </cell>
        </row>
        <row r="2245">
          <cell r="A2245" t="str">
            <v>ARRENTA</v>
          </cell>
          <cell r="B2245">
            <v>202410</v>
          </cell>
          <cell r="D2245" t="str">
            <v>Vida Ahorro Particular</v>
          </cell>
          <cell r="G2245" t="str">
            <v>Real</v>
          </cell>
        </row>
        <row r="2246">
          <cell r="A2246" t="str">
            <v>ARRENTA</v>
          </cell>
          <cell r="B2246">
            <v>202411</v>
          </cell>
          <cell r="D2246" t="str">
            <v>--</v>
          </cell>
          <cell r="G2246" t="str">
            <v>Real</v>
          </cell>
        </row>
        <row r="2247">
          <cell r="A2247" t="str">
            <v>ARRENTA</v>
          </cell>
          <cell r="B2247">
            <v>202411</v>
          </cell>
          <cell r="D2247" t="str">
            <v>Autos</v>
          </cell>
          <cell r="G2247" t="str">
            <v>Real</v>
          </cell>
        </row>
        <row r="2248">
          <cell r="A2248" t="str">
            <v>ARRENTA</v>
          </cell>
          <cell r="B2248">
            <v>202411</v>
          </cell>
          <cell r="D2248" t="str">
            <v>Caución</v>
          </cell>
          <cell r="G2248" t="str">
            <v>Real</v>
          </cell>
        </row>
        <row r="2249">
          <cell r="A2249" t="str">
            <v>ARRENTA</v>
          </cell>
          <cell r="B2249">
            <v>202411</v>
          </cell>
          <cell r="D2249" t="str">
            <v>Hogar</v>
          </cell>
          <cell r="G2249" t="str">
            <v>Real</v>
          </cell>
        </row>
        <row r="2250">
          <cell r="A2250" t="str">
            <v>ARRENTA</v>
          </cell>
          <cell r="B2250">
            <v>202411</v>
          </cell>
          <cell r="D2250" t="str">
            <v>Inmobiliario</v>
          </cell>
          <cell r="G2250" t="str">
            <v>Real</v>
          </cell>
        </row>
        <row r="2251">
          <cell r="A2251" t="str">
            <v>ARRENTA</v>
          </cell>
          <cell r="B2251">
            <v>202411</v>
          </cell>
          <cell r="D2251" t="str">
            <v>Particulares Resto</v>
          </cell>
          <cell r="G2251" t="str">
            <v>Real</v>
          </cell>
        </row>
        <row r="2252">
          <cell r="A2252" t="str">
            <v>ARRENTA</v>
          </cell>
          <cell r="B2252">
            <v>202411</v>
          </cell>
          <cell r="D2252" t="str">
            <v>RC</v>
          </cell>
          <cell r="G2252" t="str">
            <v>Real</v>
          </cell>
        </row>
        <row r="2253">
          <cell r="A2253" t="str">
            <v>ARRENTA</v>
          </cell>
          <cell r="B2253">
            <v>202411</v>
          </cell>
          <cell r="D2253" t="str">
            <v>Seguros Personales (No Vida) Particular</v>
          </cell>
          <cell r="G2253" t="str">
            <v>Real</v>
          </cell>
        </row>
        <row r="2254">
          <cell r="A2254" t="str">
            <v>ARRENTA</v>
          </cell>
          <cell r="B2254">
            <v>202411</v>
          </cell>
          <cell r="D2254" t="str">
            <v>Vida Ahorro Particular</v>
          </cell>
          <cell r="G2254" t="str">
            <v>Real</v>
          </cell>
        </row>
        <row r="2255">
          <cell r="A2255" t="str">
            <v>ARRENTA</v>
          </cell>
          <cell r="B2255">
            <v>202412</v>
          </cell>
          <cell r="D2255" t="str">
            <v>--</v>
          </cell>
          <cell r="G2255" t="str">
            <v>Real</v>
          </cell>
        </row>
        <row r="2256">
          <cell r="A2256" t="str">
            <v>ARRENTA</v>
          </cell>
          <cell r="B2256">
            <v>202412</v>
          </cell>
          <cell r="D2256" t="str">
            <v>Arte</v>
          </cell>
          <cell r="G2256" t="str">
            <v>Real</v>
          </cell>
        </row>
        <row r="2257">
          <cell r="A2257" t="str">
            <v>ARRENTA</v>
          </cell>
          <cell r="B2257">
            <v>202412</v>
          </cell>
          <cell r="D2257" t="str">
            <v>Autos</v>
          </cell>
          <cell r="G2257" t="str">
            <v>Real</v>
          </cell>
        </row>
        <row r="2258">
          <cell r="A2258" t="str">
            <v>ARRENTA</v>
          </cell>
          <cell r="B2258">
            <v>202412</v>
          </cell>
          <cell r="D2258" t="str">
            <v>Caución</v>
          </cell>
          <cell r="G2258" t="str">
            <v>Real</v>
          </cell>
        </row>
        <row r="2259">
          <cell r="A2259" t="str">
            <v>ARRENTA</v>
          </cell>
          <cell r="B2259">
            <v>202412</v>
          </cell>
          <cell r="D2259" t="str">
            <v>Hogar</v>
          </cell>
          <cell r="G2259" t="str">
            <v>Real</v>
          </cell>
        </row>
        <row r="2260">
          <cell r="A2260" t="str">
            <v>ARRENTA</v>
          </cell>
          <cell r="B2260">
            <v>202412</v>
          </cell>
          <cell r="D2260" t="str">
            <v>Inmobiliario</v>
          </cell>
          <cell r="G2260" t="str">
            <v>Real</v>
          </cell>
        </row>
        <row r="2261">
          <cell r="A2261" t="str">
            <v>ARRENTA</v>
          </cell>
          <cell r="B2261">
            <v>202412</v>
          </cell>
          <cell r="D2261" t="str">
            <v>Líneas Financieras</v>
          </cell>
          <cell r="G2261" t="str">
            <v>Real</v>
          </cell>
        </row>
        <row r="2262">
          <cell r="A2262" t="str">
            <v>ARRENTA</v>
          </cell>
          <cell r="B2262">
            <v>202412</v>
          </cell>
          <cell r="D2262" t="str">
            <v>Particulares Resto</v>
          </cell>
          <cell r="G2262" t="str">
            <v>Real</v>
          </cell>
        </row>
        <row r="2263">
          <cell r="A2263" t="str">
            <v>ARRENTA</v>
          </cell>
          <cell r="B2263">
            <v>202412</v>
          </cell>
          <cell r="D2263" t="str">
            <v>RC</v>
          </cell>
          <cell r="G2263" t="str">
            <v>Real</v>
          </cell>
        </row>
        <row r="2264">
          <cell r="A2264" t="str">
            <v>ARRENTA</v>
          </cell>
          <cell r="B2264">
            <v>202412</v>
          </cell>
          <cell r="D2264" t="str">
            <v>Seguros Personales (No Vida) Particular</v>
          </cell>
          <cell r="G2264" t="str">
            <v>Real</v>
          </cell>
        </row>
        <row r="2265">
          <cell r="A2265" t="str">
            <v>ARRENTA</v>
          </cell>
          <cell r="B2265">
            <v>202412</v>
          </cell>
          <cell r="D2265" t="str">
            <v>Vida Ahorro Particular</v>
          </cell>
          <cell r="G2265" t="str">
            <v>Real</v>
          </cell>
        </row>
        <row r="2266">
          <cell r="A2266" t="str">
            <v>ARRENTA</v>
          </cell>
          <cell r="B2266">
            <v>202501</v>
          </cell>
          <cell r="D2266" t="str">
            <v>--</v>
          </cell>
          <cell r="G2266" t="str">
            <v>Presupuesto</v>
          </cell>
        </row>
        <row r="2267">
          <cell r="A2267" t="str">
            <v>ARRENTA</v>
          </cell>
          <cell r="B2267">
            <v>202501</v>
          </cell>
          <cell r="D2267" t="str">
            <v>--</v>
          </cell>
          <cell r="G2267" t="str">
            <v>Real</v>
          </cell>
        </row>
        <row r="2268">
          <cell r="A2268" t="str">
            <v>ARRENTA</v>
          </cell>
          <cell r="B2268">
            <v>202501</v>
          </cell>
          <cell r="D2268" t="str">
            <v>Arte</v>
          </cell>
          <cell r="G2268" t="str">
            <v>Presupuesto</v>
          </cell>
        </row>
        <row r="2269">
          <cell r="A2269" t="str">
            <v>ARRENTA</v>
          </cell>
          <cell r="B2269">
            <v>202501</v>
          </cell>
          <cell r="D2269" t="str">
            <v>Autos</v>
          </cell>
          <cell r="G2269" t="str">
            <v>Presupuesto</v>
          </cell>
        </row>
        <row r="2270">
          <cell r="A2270" t="str">
            <v>ARRENTA</v>
          </cell>
          <cell r="B2270">
            <v>202501</v>
          </cell>
          <cell r="D2270" t="str">
            <v>Autos</v>
          </cell>
          <cell r="G2270" t="str">
            <v>Real</v>
          </cell>
        </row>
        <row r="2271">
          <cell r="A2271" t="str">
            <v>ARRENTA</v>
          </cell>
          <cell r="B2271">
            <v>202501</v>
          </cell>
          <cell r="D2271" t="str">
            <v>B2B2C</v>
          </cell>
          <cell r="G2271" t="str">
            <v>Presupuesto</v>
          </cell>
        </row>
        <row r="2272">
          <cell r="A2272" t="str">
            <v>ARRENTA</v>
          </cell>
          <cell r="B2272">
            <v>202501</v>
          </cell>
          <cell r="D2272" t="str">
            <v>Caución</v>
          </cell>
          <cell r="G2272" t="str">
            <v>Presupuesto</v>
          </cell>
        </row>
        <row r="2273">
          <cell r="A2273" t="str">
            <v>ARRENTA</v>
          </cell>
          <cell r="B2273">
            <v>202501</v>
          </cell>
          <cell r="D2273" t="str">
            <v>Crédito Internacional</v>
          </cell>
          <cell r="G2273" t="str">
            <v>Presupuesto</v>
          </cell>
        </row>
        <row r="2274">
          <cell r="A2274" t="str">
            <v>ARRENTA</v>
          </cell>
          <cell r="B2274">
            <v>202501</v>
          </cell>
          <cell r="D2274" t="str">
            <v>Crédito Nacional</v>
          </cell>
          <cell r="G2274" t="str">
            <v>Presupuesto</v>
          </cell>
        </row>
        <row r="2275">
          <cell r="A2275" t="str">
            <v>ARRENTA</v>
          </cell>
          <cell r="B2275">
            <v>202501</v>
          </cell>
          <cell r="D2275" t="str">
            <v>Eventos</v>
          </cell>
          <cell r="G2275" t="str">
            <v>Presupuesto</v>
          </cell>
        </row>
        <row r="2276">
          <cell r="A2276" t="str">
            <v>ARRENTA</v>
          </cell>
          <cell r="B2276">
            <v>202501</v>
          </cell>
          <cell r="D2276" t="str">
            <v>Flotas</v>
          </cell>
          <cell r="G2276" t="str">
            <v>Presupuesto</v>
          </cell>
        </row>
        <row r="2277">
          <cell r="A2277" t="str">
            <v>ARRENTA</v>
          </cell>
          <cell r="B2277">
            <v>202501</v>
          </cell>
          <cell r="D2277" t="str">
            <v>Hogar</v>
          </cell>
          <cell r="G2277" t="str">
            <v>Presupuesto</v>
          </cell>
        </row>
        <row r="2278">
          <cell r="A2278" t="str">
            <v>ARRENTA</v>
          </cell>
          <cell r="B2278">
            <v>202501</v>
          </cell>
          <cell r="D2278" t="str">
            <v>Hogar</v>
          </cell>
          <cell r="G2278" t="str">
            <v>Real</v>
          </cell>
        </row>
        <row r="2279">
          <cell r="A2279" t="str">
            <v>ARRENTA</v>
          </cell>
          <cell r="B2279">
            <v>202501</v>
          </cell>
          <cell r="D2279" t="str">
            <v>Ingeniería</v>
          </cell>
          <cell r="G2279" t="str">
            <v>Presupuesto</v>
          </cell>
        </row>
        <row r="2280">
          <cell r="A2280" t="str">
            <v>ARRENTA</v>
          </cell>
          <cell r="B2280">
            <v>202501</v>
          </cell>
          <cell r="D2280" t="str">
            <v>Inmobiliario</v>
          </cell>
          <cell r="G2280" t="str">
            <v>Presupuesto</v>
          </cell>
        </row>
        <row r="2281">
          <cell r="A2281" t="str">
            <v>ARRENTA</v>
          </cell>
          <cell r="B2281">
            <v>202501</v>
          </cell>
          <cell r="D2281" t="str">
            <v>Inmobiliario</v>
          </cell>
          <cell r="G2281" t="str">
            <v>Real</v>
          </cell>
        </row>
        <row r="2282">
          <cell r="A2282" t="str">
            <v>ARRENTA</v>
          </cell>
          <cell r="B2282">
            <v>202501</v>
          </cell>
          <cell r="D2282" t="str">
            <v>Líneas Financieras</v>
          </cell>
          <cell r="G2282" t="str">
            <v>Presupuesto</v>
          </cell>
        </row>
        <row r="2283">
          <cell r="A2283" t="str">
            <v>ARRENTA</v>
          </cell>
          <cell r="B2283">
            <v>202501</v>
          </cell>
          <cell r="D2283" t="str">
            <v>Náutica</v>
          </cell>
          <cell r="G2283" t="str">
            <v>Presupuesto</v>
          </cell>
        </row>
        <row r="2284">
          <cell r="A2284" t="str">
            <v>ARRENTA</v>
          </cell>
          <cell r="B2284">
            <v>202501</v>
          </cell>
          <cell r="D2284" t="str">
            <v>Particulares Resto</v>
          </cell>
          <cell r="G2284" t="str">
            <v>Presupuesto</v>
          </cell>
        </row>
        <row r="2285">
          <cell r="A2285" t="str">
            <v>ARRENTA</v>
          </cell>
          <cell r="B2285">
            <v>202501</v>
          </cell>
          <cell r="D2285" t="str">
            <v>Particulares Resto</v>
          </cell>
          <cell r="G2285" t="str">
            <v>Real</v>
          </cell>
        </row>
        <row r="2286">
          <cell r="A2286" t="str">
            <v>ARRENTA</v>
          </cell>
          <cell r="B2286">
            <v>202501</v>
          </cell>
          <cell r="D2286" t="str">
            <v>Property</v>
          </cell>
          <cell r="G2286" t="str">
            <v>Presupuesto</v>
          </cell>
        </row>
        <row r="2287">
          <cell r="A2287" t="str">
            <v>ARRENTA</v>
          </cell>
          <cell r="B2287">
            <v>202501</v>
          </cell>
          <cell r="D2287" t="str">
            <v>RC</v>
          </cell>
          <cell r="G2287" t="str">
            <v>Presupuesto</v>
          </cell>
        </row>
        <row r="2288">
          <cell r="A2288" t="str">
            <v>ARRENTA</v>
          </cell>
          <cell r="B2288">
            <v>202501</v>
          </cell>
          <cell r="D2288" t="str">
            <v>RC</v>
          </cell>
          <cell r="G2288" t="str">
            <v>Real</v>
          </cell>
        </row>
        <row r="2289">
          <cell r="A2289" t="str">
            <v>ARRENTA</v>
          </cell>
          <cell r="B2289">
            <v>202501</v>
          </cell>
          <cell r="D2289" t="str">
            <v>Resto de lineas</v>
          </cell>
          <cell r="G2289" t="str">
            <v>Presupuesto</v>
          </cell>
        </row>
        <row r="2290">
          <cell r="A2290" t="str">
            <v>ARRENTA</v>
          </cell>
          <cell r="B2290">
            <v>202501</v>
          </cell>
          <cell r="D2290" t="str">
            <v>Retirada</v>
          </cell>
          <cell r="G2290" t="str">
            <v>Presupuesto</v>
          </cell>
        </row>
        <row r="2291">
          <cell r="A2291" t="str">
            <v>ARRENTA</v>
          </cell>
          <cell r="B2291">
            <v>202501</v>
          </cell>
          <cell r="D2291" t="str">
            <v>Seguros Personales (No Vida) Colectivos</v>
          </cell>
          <cell r="G2291" t="str">
            <v>Presupuesto</v>
          </cell>
        </row>
        <row r="2292">
          <cell r="A2292" t="str">
            <v>ARRENTA</v>
          </cell>
          <cell r="B2292">
            <v>202501</v>
          </cell>
          <cell r="D2292" t="str">
            <v>Seguros Personales (No Vida) Particular</v>
          </cell>
          <cell r="G2292" t="str">
            <v>Presupuesto</v>
          </cell>
        </row>
        <row r="2293">
          <cell r="A2293" t="str">
            <v>ARRENTA</v>
          </cell>
          <cell r="B2293">
            <v>202501</v>
          </cell>
          <cell r="D2293" t="str">
            <v>Seguros Personales (No Vida) Particular</v>
          </cell>
          <cell r="G2293" t="str">
            <v>Real</v>
          </cell>
        </row>
        <row r="2294">
          <cell r="A2294" t="str">
            <v>ARRENTA</v>
          </cell>
          <cell r="B2294">
            <v>202501</v>
          </cell>
          <cell r="D2294" t="str">
            <v>Transporte</v>
          </cell>
          <cell r="G2294" t="str">
            <v>Presupuesto</v>
          </cell>
        </row>
        <row r="2295">
          <cell r="A2295" t="str">
            <v>ARRENTA</v>
          </cell>
          <cell r="B2295">
            <v>202501</v>
          </cell>
          <cell r="D2295" t="str">
            <v>Venta Cruzada</v>
          </cell>
          <cell r="G2295" t="str">
            <v>Presupuesto</v>
          </cell>
        </row>
        <row r="2296">
          <cell r="A2296" t="str">
            <v>ARRENTA</v>
          </cell>
          <cell r="B2296">
            <v>202501</v>
          </cell>
          <cell r="D2296" t="str">
            <v>Vida Ahorro Colectivo</v>
          </cell>
          <cell r="G2296" t="str">
            <v>Presupuesto</v>
          </cell>
        </row>
        <row r="2297">
          <cell r="A2297" t="str">
            <v>ARRENTA</v>
          </cell>
          <cell r="B2297">
            <v>202501</v>
          </cell>
          <cell r="D2297" t="str">
            <v>Vida Ahorro Particular</v>
          </cell>
          <cell r="G2297" t="str">
            <v>Presupuesto</v>
          </cell>
        </row>
        <row r="2298">
          <cell r="A2298" t="str">
            <v>ARRENTA</v>
          </cell>
          <cell r="B2298">
            <v>202501</v>
          </cell>
          <cell r="D2298" t="str">
            <v>Vida Ganado</v>
          </cell>
          <cell r="G2298" t="str">
            <v>Presupuesto</v>
          </cell>
        </row>
        <row r="2299">
          <cell r="A2299" t="str">
            <v>ARRENTA</v>
          </cell>
          <cell r="B2299">
            <v>202501</v>
          </cell>
          <cell r="D2299" t="str">
            <v>Vida Riesgo Colectivo</v>
          </cell>
          <cell r="G2299" t="str">
            <v>Presupuesto</v>
          </cell>
        </row>
        <row r="2300">
          <cell r="A2300" t="str">
            <v>ARRENTA</v>
          </cell>
          <cell r="B2300">
            <v>202501</v>
          </cell>
          <cell r="D2300" t="str">
            <v>Vida Riesgo Particular</v>
          </cell>
          <cell r="G2300" t="str">
            <v>Presupuesto</v>
          </cell>
        </row>
        <row r="2301">
          <cell r="A2301" t="str">
            <v>ARRENTA</v>
          </cell>
          <cell r="B2301">
            <v>202501</v>
          </cell>
          <cell r="D2301" t="str">
            <v>Vida Riesgo Particular</v>
          </cell>
          <cell r="G2301" t="str">
            <v>Real</v>
          </cell>
        </row>
        <row r="2302">
          <cell r="A2302" t="str">
            <v>ARRENTA</v>
          </cell>
          <cell r="B2302">
            <v>202502</v>
          </cell>
          <cell r="D2302" t="str">
            <v>--</v>
          </cell>
          <cell r="G2302" t="str">
            <v>Presupuesto</v>
          </cell>
        </row>
        <row r="2303">
          <cell r="A2303" t="str">
            <v>ARRENTA</v>
          </cell>
          <cell r="B2303">
            <v>202502</v>
          </cell>
          <cell r="D2303" t="str">
            <v>--</v>
          </cell>
          <cell r="G2303" t="str">
            <v>Real</v>
          </cell>
        </row>
        <row r="2304">
          <cell r="A2304" t="str">
            <v>ARRENTA</v>
          </cell>
          <cell r="B2304">
            <v>202502</v>
          </cell>
          <cell r="D2304" t="str">
            <v>Arte</v>
          </cell>
          <cell r="G2304" t="str">
            <v>Presupuesto</v>
          </cell>
        </row>
        <row r="2305">
          <cell r="A2305" t="str">
            <v>ARRENTA</v>
          </cell>
          <cell r="B2305">
            <v>202502</v>
          </cell>
          <cell r="D2305" t="str">
            <v>Autos</v>
          </cell>
          <cell r="G2305" t="str">
            <v>Presupuesto</v>
          </cell>
        </row>
        <row r="2306">
          <cell r="A2306" t="str">
            <v>ARRENTA</v>
          </cell>
          <cell r="B2306">
            <v>202502</v>
          </cell>
          <cell r="D2306" t="str">
            <v>Autos</v>
          </cell>
          <cell r="G2306" t="str">
            <v>Real</v>
          </cell>
        </row>
        <row r="2307">
          <cell r="A2307" t="str">
            <v>ARRENTA</v>
          </cell>
          <cell r="B2307">
            <v>202502</v>
          </cell>
          <cell r="D2307" t="str">
            <v>B2B2C</v>
          </cell>
          <cell r="G2307" t="str">
            <v>Presupuesto</v>
          </cell>
        </row>
        <row r="2308">
          <cell r="A2308" t="str">
            <v>ARRENTA</v>
          </cell>
          <cell r="B2308">
            <v>202502</v>
          </cell>
          <cell r="D2308" t="str">
            <v>Caución</v>
          </cell>
          <cell r="G2308" t="str">
            <v>Presupuesto</v>
          </cell>
        </row>
        <row r="2309">
          <cell r="A2309" t="str">
            <v>ARRENTA</v>
          </cell>
          <cell r="B2309">
            <v>202502</v>
          </cell>
          <cell r="D2309" t="str">
            <v>Crédito Internacional</v>
          </cell>
          <cell r="G2309" t="str">
            <v>Presupuesto</v>
          </cell>
        </row>
        <row r="2310">
          <cell r="A2310" t="str">
            <v>ARRENTA</v>
          </cell>
          <cell r="B2310">
            <v>202502</v>
          </cell>
          <cell r="D2310" t="str">
            <v>Crédito Nacional</v>
          </cell>
          <cell r="G2310" t="str">
            <v>Presupuesto</v>
          </cell>
        </row>
        <row r="2311">
          <cell r="A2311" t="str">
            <v>ARRENTA</v>
          </cell>
          <cell r="B2311">
            <v>202502</v>
          </cell>
          <cell r="D2311" t="str">
            <v>Eventos</v>
          </cell>
          <cell r="G2311" t="str">
            <v>Presupuesto</v>
          </cell>
        </row>
        <row r="2312">
          <cell r="A2312" t="str">
            <v>ARRENTA</v>
          </cell>
          <cell r="B2312">
            <v>202502</v>
          </cell>
          <cell r="D2312" t="str">
            <v>Flotas</v>
          </cell>
          <cell r="G2312" t="str">
            <v>Presupuesto</v>
          </cell>
        </row>
        <row r="2313">
          <cell r="A2313" t="str">
            <v>ARRENTA</v>
          </cell>
          <cell r="B2313">
            <v>202502</v>
          </cell>
          <cell r="D2313" t="str">
            <v>Hogar</v>
          </cell>
          <cell r="G2313" t="str">
            <v>Presupuesto</v>
          </cell>
        </row>
        <row r="2314">
          <cell r="A2314" t="str">
            <v>ARRENTA</v>
          </cell>
          <cell r="B2314">
            <v>202502</v>
          </cell>
          <cell r="D2314" t="str">
            <v>Hogar</v>
          </cell>
          <cell r="G2314" t="str">
            <v>Real</v>
          </cell>
        </row>
        <row r="2315">
          <cell r="A2315" t="str">
            <v>ARRENTA</v>
          </cell>
          <cell r="B2315">
            <v>202502</v>
          </cell>
          <cell r="D2315" t="str">
            <v>Ingeniería</v>
          </cell>
          <cell r="G2315" t="str">
            <v>Presupuesto</v>
          </cell>
        </row>
        <row r="2316">
          <cell r="A2316" t="str">
            <v>ARRENTA</v>
          </cell>
          <cell r="B2316">
            <v>202502</v>
          </cell>
          <cell r="D2316" t="str">
            <v>Inmobiliario</v>
          </cell>
          <cell r="G2316" t="str">
            <v>Presupuesto</v>
          </cell>
        </row>
        <row r="2317">
          <cell r="A2317" t="str">
            <v>ARRENTA</v>
          </cell>
          <cell r="B2317">
            <v>202502</v>
          </cell>
          <cell r="D2317" t="str">
            <v>Inmobiliario</v>
          </cell>
          <cell r="G2317" t="str">
            <v>Real</v>
          </cell>
        </row>
        <row r="2318">
          <cell r="A2318" t="str">
            <v>ARRENTA</v>
          </cell>
          <cell r="B2318">
            <v>202502</v>
          </cell>
          <cell r="D2318" t="str">
            <v>Líneas Financieras</v>
          </cell>
          <cell r="G2318" t="str">
            <v>Presupuesto</v>
          </cell>
        </row>
        <row r="2319">
          <cell r="A2319" t="str">
            <v>ARRENTA</v>
          </cell>
          <cell r="B2319">
            <v>202502</v>
          </cell>
          <cell r="D2319" t="str">
            <v>Náutica</v>
          </cell>
          <cell r="G2319" t="str">
            <v>Presupuesto</v>
          </cell>
        </row>
        <row r="2320">
          <cell r="A2320" t="str">
            <v>ARRENTA</v>
          </cell>
          <cell r="B2320">
            <v>202502</v>
          </cell>
          <cell r="D2320" t="str">
            <v>Particulares Resto</v>
          </cell>
          <cell r="G2320" t="str">
            <v>Presupuesto</v>
          </cell>
        </row>
        <row r="2321">
          <cell r="A2321" t="str">
            <v>ARRENTA</v>
          </cell>
          <cell r="B2321">
            <v>202502</v>
          </cell>
          <cell r="D2321" t="str">
            <v>Particulares Resto</v>
          </cell>
          <cell r="G2321" t="str">
            <v>Real</v>
          </cell>
        </row>
        <row r="2322">
          <cell r="A2322" t="str">
            <v>ARRENTA</v>
          </cell>
          <cell r="B2322">
            <v>202502</v>
          </cell>
          <cell r="D2322" t="str">
            <v>Property</v>
          </cell>
          <cell r="G2322" t="str">
            <v>Presupuesto</v>
          </cell>
        </row>
        <row r="2323">
          <cell r="A2323" t="str">
            <v>ARRENTA</v>
          </cell>
          <cell r="B2323">
            <v>202502</v>
          </cell>
          <cell r="D2323" t="str">
            <v>RC</v>
          </cell>
          <cell r="G2323" t="str">
            <v>Presupuesto</v>
          </cell>
        </row>
        <row r="2324">
          <cell r="A2324" t="str">
            <v>ARRENTA</v>
          </cell>
          <cell r="B2324">
            <v>202502</v>
          </cell>
          <cell r="D2324" t="str">
            <v>RC</v>
          </cell>
          <cell r="G2324" t="str">
            <v>Real</v>
          </cell>
        </row>
        <row r="2325">
          <cell r="A2325" t="str">
            <v>ARRENTA</v>
          </cell>
          <cell r="B2325">
            <v>202502</v>
          </cell>
          <cell r="D2325" t="str">
            <v>Resto de lineas</v>
          </cell>
          <cell r="G2325" t="str">
            <v>Presupuesto</v>
          </cell>
        </row>
        <row r="2326">
          <cell r="A2326" t="str">
            <v>ARRENTA</v>
          </cell>
          <cell r="B2326">
            <v>202502</v>
          </cell>
          <cell r="D2326" t="str">
            <v>Retirada</v>
          </cell>
          <cell r="G2326" t="str">
            <v>Presupuesto</v>
          </cell>
        </row>
        <row r="2327">
          <cell r="A2327" t="str">
            <v>ARRENTA</v>
          </cell>
          <cell r="B2327">
            <v>202502</v>
          </cell>
          <cell r="D2327" t="str">
            <v>Seguros Personales (No Vida) Colectivos</v>
          </cell>
          <cell r="G2327" t="str">
            <v>Presupuesto</v>
          </cell>
        </row>
        <row r="2328">
          <cell r="A2328" t="str">
            <v>ARRENTA</v>
          </cell>
          <cell r="B2328">
            <v>202502</v>
          </cell>
          <cell r="D2328" t="str">
            <v>Seguros Personales (No Vida) Particular</v>
          </cell>
          <cell r="G2328" t="str">
            <v>Presupuesto</v>
          </cell>
        </row>
        <row r="2329">
          <cell r="A2329" t="str">
            <v>ARRENTA</v>
          </cell>
          <cell r="B2329">
            <v>202502</v>
          </cell>
          <cell r="D2329" t="str">
            <v>Seguros Personales (No Vida) Particular</v>
          </cell>
          <cell r="G2329" t="str">
            <v>Real</v>
          </cell>
        </row>
        <row r="2330">
          <cell r="A2330" t="str">
            <v>ARRENTA</v>
          </cell>
          <cell r="B2330">
            <v>202502</v>
          </cell>
          <cell r="D2330" t="str">
            <v>Transporte</v>
          </cell>
          <cell r="G2330" t="str">
            <v>Presupuesto</v>
          </cell>
        </row>
        <row r="2331">
          <cell r="A2331" t="str">
            <v>ARRENTA</v>
          </cell>
          <cell r="B2331">
            <v>202502</v>
          </cell>
          <cell r="D2331" t="str">
            <v>Venta Cruzada</v>
          </cell>
          <cell r="G2331" t="str">
            <v>Presupuesto</v>
          </cell>
        </row>
        <row r="2332">
          <cell r="A2332" t="str">
            <v>ARRENTA</v>
          </cell>
          <cell r="B2332">
            <v>202502</v>
          </cell>
          <cell r="D2332" t="str">
            <v>Vida Ahorro Colectivo</v>
          </cell>
          <cell r="G2332" t="str">
            <v>Presupuesto</v>
          </cell>
        </row>
        <row r="2333">
          <cell r="A2333" t="str">
            <v>ARRENTA</v>
          </cell>
          <cell r="B2333">
            <v>202502</v>
          </cell>
          <cell r="D2333" t="str">
            <v>Vida Ahorro Particular</v>
          </cell>
          <cell r="G2333" t="str">
            <v>Presupuesto</v>
          </cell>
        </row>
        <row r="2334">
          <cell r="A2334" t="str">
            <v>ARRENTA</v>
          </cell>
          <cell r="B2334">
            <v>202502</v>
          </cell>
          <cell r="D2334" t="str">
            <v>Vida Ganado</v>
          </cell>
          <cell r="G2334" t="str">
            <v>Presupuesto</v>
          </cell>
        </row>
        <row r="2335">
          <cell r="A2335" t="str">
            <v>ARRENTA</v>
          </cell>
          <cell r="B2335">
            <v>202502</v>
          </cell>
          <cell r="D2335" t="str">
            <v>Vida Riesgo Colectivo</v>
          </cell>
          <cell r="G2335" t="str">
            <v>Presupuesto</v>
          </cell>
        </row>
        <row r="2336">
          <cell r="A2336" t="str">
            <v>ARRENTA</v>
          </cell>
          <cell r="B2336">
            <v>202502</v>
          </cell>
          <cell r="D2336" t="str">
            <v>Vida Riesgo Particular</v>
          </cell>
          <cell r="G2336" t="str">
            <v>Presupuesto</v>
          </cell>
        </row>
        <row r="2337">
          <cell r="A2337" t="str">
            <v>ARRENTA</v>
          </cell>
          <cell r="B2337">
            <v>202502</v>
          </cell>
          <cell r="D2337" t="str">
            <v>Vida Riesgo Particular</v>
          </cell>
          <cell r="G2337" t="str">
            <v>Real</v>
          </cell>
        </row>
        <row r="2338">
          <cell r="A2338" t="str">
            <v>ARRENTA</v>
          </cell>
          <cell r="B2338">
            <v>202503</v>
          </cell>
          <cell r="D2338" t="str">
            <v>--</v>
          </cell>
          <cell r="G2338" t="str">
            <v>Presupuesto</v>
          </cell>
        </row>
        <row r="2339">
          <cell r="A2339" t="str">
            <v>ARRENTA</v>
          </cell>
          <cell r="B2339">
            <v>202503</v>
          </cell>
          <cell r="D2339" t="str">
            <v>--</v>
          </cell>
          <cell r="G2339" t="str">
            <v>Real</v>
          </cell>
        </row>
        <row r="2340">
          <cell r="A2340" t="str">
            <v>ARRENTA</v>
          </cell>
          <cell r="B2340">
            <v>202503</v>
          </cell>
          <cell r="D2340" t="str">
            <v>Arte</v>
          </cell>
          <cell r="G2340" t="str">
            <v>Presupuesto</v>
          </cell>
        </row>
        <row r="2341">
          <cell r="A2341" t="str">
            <v>ARRENTA</v>
          </cell>
          <cell r="B2341">
            <v>202503</v>
          </cell>
          <cell r="D2341" t="str">
            <v>Autos</v>
          </cell>
          <cell r="G2341" t="str">
            <v>Presupuesto</v>
          </cell>
        </row>
        <row r="2342">
          <cell r="A2342" t="str">
            <v>ARRENTA</v>
          </cell>
          <cell r="B2342">
            <v>202503</v>
          </cell>
          <cell r="D2342" t="str">
            <v>Autos</v>
          </cell>
          <cell r="G2342" t="str">
            <v>Real</v>
          </cell>
        </row>
        <row r="2343">
          <cell r="A2343" t="str">
            <v>ARRENTA</v>
          </cell>
          <cell r="B2343">
            <v>202503</v>
          </cell>
          <cell r="D2343" t="str">
            <v>B2B2C</v>
          </cell>
          <cell r="G2343" t="str">
            <v>Presupuesto</v>
          </cell>
        </row>
        <row r="2344">
          <cell r="A2344" t="str">
            <v>ARRENTA</v>
          </cell>
          <cell r="B2344">
            <v>202503</v>
          </cell>
          <cell r="D2344" t="str">
            <v>Caución</v>
          </cell>
          <cell r="G2344" t="str">
            <v>Presupuesto</v>
          </cell>
        </row>
        <row r="2345">
          <cell r="A2345" t="str">
            <v>ARRENTA</v>
          </cell>
          <cell r="B2345">
            <v>202503</v>
          </cell>
          <cell r="D2345" t="str">
            <v>Caución</v>
          </cell>
          <cell r="G2345" t="str">
            <v>Real</v>
          </cell>
        </row>
        <row r="2346">
          <cell r="A2346" t="str">
            <v>ARRENTA</v>
          </cell>
          <cell r="B2346">
            <v>202503</v>
          </cell>
          <cell r="D2346" t="str">
            <v>Crédito Internacional</v>
          </cell>
          <cell r="G2346" t="str">
            <v>Presupuesto</v>
          </cell>
        </row>
        <row r="2347">
          <cell r="A2347" t="str">
            <v>ARRENTA</v>
          </cell>
          <cell r="B2347">
            <v>202503</v>
          </cell>
          <cell r="D2347" t="str">
            <v>Crédito Nacional</v>
          </cell>
          <cell r="G2347" t="str">
            <v>Presupuesto</v>
          </cell>
        </row>
        <row r="2348">
          <cell r="A2348" t="str">
            <v>ARRENTA</v>
          </cell>
          <cell r="B2348">
            <v>202503</v>
          </cell>
          <cell r="D2348" t="str">
            <v>Eventos</v>
          </cell>
          <cell r="G2348" t="str">
            <v>Presupuesto</v>
          </cell>
        </row>
        <row r="2349">
          <cell r="A2349" t="str">
            <v>ARRENTA</v>
          </cell>
          <cell r="B2349">
            <v>202503</v>
          </cell>
          <cell r="D2349" t="str">
            <v>Flotas</v>
          </cell>
          <cell r="G2349" t="str">
            <v>Presupuesto</v>
          </cell>
        </row>
        <row r="2350">
          <cell r="A2350" t="str">
            <v>ARRENTA</v>
          </cell>
          <cell r="B2350">
            <v>202503</v>
          </cell>
          <cell r="D2350" t="str">
            <v>Hogar</v>
          </cell>
          <cell r="G2350" t="str">
            <v>Presupuesto</v>
          </cell>
        </row>
        <row r="2351">
          <cell r="A2351" t="str">
            <v>ARRENTA</v>
          </cell>
          <cell r="B2351">
            <v>202503</v>
          </cell>
          <cell r="D2351" t="str">
            <v>Hogar</v>
          </cell>
          <cell r="G2351" t="str">
            <v>Real</v>
          </cell>
        </row>
        <row r="2352">
          <cell r="A2352" t="str">
            <v>ARRENTA</v>
          </cell>
          <cell r="B2352">
            <v>202503</v>
          </cell>
          <cell r="D2352" t="str">
            <v>Ingeniería</v>
          </cell>
          <cell r="G2352" t="str">
            <v>Presupuesto</v>
          </cell>
        </row>
        <row r="2353">
          <cell r="A2353" t="str">
            <v>ARRENTA</v>
          </cell>
          <cell r="B2353">
            <v>202503</v>
          </cell>
          <cell r="D2353" t="str">
            <v>Inmobiliario</v>
          </cell>
          <cell r="G2353" t="str">
            <v>Presupuesto</v>
          </cell>
        </row>
        <row r="2354">
          <cell r="A2354" t="str">
            <v>ARRENTA</v>
          </cell>
          <cell r="B2354">
            <v>202503</v>
          </cell>
          <cell r="D2354" t="str">
            <v>Inmobiliario</v>
          </cell>
          <cell r="G2354" t="str">
            <v>Real</v>
          </cell>
        </row>
        <row r="2355">
          <cell r="A2355" t="str">
            <v>ARRENTA</v>
          </cell>
          <cell r="B2355">
            <v>202503</v>
          </cell>
          <cell r="D2355" t="str">
            <v>Líneas Financieras</v>
          </cell>
          <cell r="G2355" t="str">
            <v>Presupuesto</v>
          </cell>
        </row>
        <row r="2356">
          <cell r="A2356" t="str">
            <v>ARRENTA</v>
          </cell>
          <cell r="B2356">
            <v>202503</v>
          </cell>
          <cell r="D2356" t="str">
            <v>Náutica</v>
          </cell>
          <cell r="G2356" t="str">
            <v>Presupuesto</v>
          </cell>
        </row>
        <row r="2357">
          <cell r="A2357" t="str">
            <v>ARRENTA</v>
          </cell>
          <cell r="B2357">
            <v>202503</v>
          </cell>
          <cell r="D2357" t="str">
            <v>Particulares Resto</v>
          </cell>
          <cell r="G2357" t="str">
            <v>Presupuesto</v>
          </cell>
        </row>
        <row r="2358">
          <cell r="A2358" t="str">
            <v>ARRENTA</v>
          </cell>
          <cell r="B2358">
            <v>202503</v>
          </cell>
          <cell r="D2358" t="str">
            <v>Particulares Resto</v>
          </cell>
          <cell r="G2358" t="str">
            <v>Real</v>
          </cell>
        </row>
        <row r="2359">
          <cell r="A2359" t="str">
            <v>ARRENTA</v>
          </cell>
          <cell r="B2359">
            <v>202503</v>
          </cell>
          <cell r="D2359" t="str">
            <v>Property</v>
          </cell>
          <cell r="G2359" t="str">
            <v>Presupuesto</v>
          </cell>
        </row>
        <row r="2360">
          <cell r="A2360" t="str">
            <v>ARRENTA</v>
          </cell>
          <cell r="B2360">
            <v>202503</v>
          </cell>
          <cell r="D2360" t="str">
            <v>Property</v>
          </cell>
          <cell r="G2360" t="str">
            <v>Real</v>
          </cell>
        </row>
        <row r="2361">
          <cell r="A2361" t="str">
            <v>ARRENTA</v>
          </cell>
          <cell r="B2361">
            <v>202503</v>
          </cell>
          <cell r="D2361" t="str">
            <v>RC</v>
          </cell>
          <cell r="G2361" t="str">
            <v>Presupuesto</v>
          </cell>
        </row>
        <row r="2362">
          <cell r="A2362" t="str">
            <v>ARRENTA</v>
          </cell>
          <cell r="B2362">
            <v>202503</v>
          </cell>
          <cell r="D2362" t="str">
            <v>RC</v>
          </cell>
          <cell r="G2362" t="str">
            <v>Real</v>
          </cell>
        </row>
        <row r="2363">
          <cell r="A2363" t="str">
            <v>ARRENTA</v>
          </cell>
          <cell r="B2363">
            <v>202503</v>
          </cell>
          <cell r="D2363" t="str">
            <v>Resto de lineas</v>
          </cell>
          <cell r="G2363" t="str">
            <v>Presupuesto</v>
          </cell>
        </row>
        <row r="2364">
          <cell r="A2364" t="str">
            <v>ARRENTA</v>
          </cell>
          <cell r="B2364">
            <v>202503</v>
          </cell>
          <cell r="D2364" t="str">
            <v>Retirada</v>
          </cell>
          <cell r="G2364" t="str">
            <v>Presupuesto</v>
          </cell>
        </row>
        <row r="2365">
          <cell r="A2365" t="str">
            <v>ARRENTA</v>
          </cell>
          <cell r="B2365">
            <v>202503</v>
          </cell>
          <cell r="D2365" t="str">
            <v>Seguros Personales (No Vida) Colectivos</v>
          </cell>
          <cell r="G2365" t="str">
            <v>Presupuesto</v>
          </cell>
        </row>
        <row r="2366">
          <cell r="A2366" t="str">
            <v>ARRENTA</v>
          </cell>
          <cell r="B2366">
            <v>202503</v>
          </cell>
          <cell r="D2366" t="str">
            <v>Seguros Personales (No Vida) Particular</v>
          </cell>
          <cell r="G2366" t="str">
            <v>Presupuesto</v>
          </cell>
        </row>
        <row r="2367">
          <cell r="A2367" t="str">
            <v>ARRENTA</v>
          </cell>
          <cell r="B2367">
            <v>202503</v>
          </cell>
          <cell r="D2367" t="str">
            <v>Seguros Personales (No Vida) Particular</v>
          </cell>
          <cell r="G2367" t="str">
            <v>Real</v>
          </cell>
        </row>
        <row r="2368">
          <cell r="A2368" t="str">
            <v>ARRENTA</v>
          </cell>
          <cell r="B2368">
            <v>202503</v>
          </cell>
          <cell r="D2368" t="str">
            <v>Transporte</v>
          </cell>
          <cell r="G2368" t="str">
            <v>Presupuesto</v>
          </cell>
        </row>
        <row r="2369">
          <cell r="A2369" t="str">
            <v>ARRENTA</v>
          </cell>
          <cell r="B2369">
            <v>202503</v>
          </cell>
          <cell r="D2369" t="str">
            <v>Venta Cruzada</v>
          </cell>
          <cell r="G2369" t="str">
            <v>Presupuesto</v>
          </cell>
        </row>
        <row r="2370">
          <cell r="A2370" t="str">
            <v>ARRENTA</v>
          </cell>
          <cell r="B2370">
            <v>202503</v>
          </cell>
          <cell r="D2370" t="str">
            <v>Vida Ahorro Colectivo</v>
          </cell>
          <cell r="G2370" t="str">
            <v>Presupuesto</v>
          </cell>
        </row>
        <row r="2371">
          <cell r="A2371" t="str">
            <v>ARRENTA</v>
          </cell>
          <cell r="B2371">
            <v>202503</v>
          </cell>
          <cell r="D2371" t="str">
            <v>Vida Ahorro Particular</v>
          </cell>
          <cell r="G2371" t="str">
            <v>Presupuesto</v>
          </cell>
        </row>
        <row r="2372">
          <cell r="A2372" t="str">
            <v>ARRENTA</v>
          </cell>
          <cell r="B2372">
            <v>202503</v>
          </cell>
          <cell r="D2372" t="str">
            <v>Vida Ganado</v>
          </cell>
          <cell r="G2372" t="str">
            <v>Presupuesto</v>
          </cell>
        </row>
        <row r="2373">
          <cell r="A2373" t="str">
            <v>ARRENTA</v>
          </cell>
          <cell r="B2373">
            <v>202503</v>
          </cell>
          <cell r="D2373" t="str">
            <v>Vida Riesgo Colectivo</v>
          </cell>
          <cell r="G2373" t="str">
            <v>Presupuesto</v>
          </cell>
        </row>
        <row r="2374">
          <cell r="A2374" t="str">
            <v>ARRENTA</v>
          </cell>
          <cell r="B2374">
            <v>202503</v>
          </cell>
          <cell r="D2374" t="str">
            <v>Vida Riesgo Particular</v>
          </cell>
          <cell r="G2374" t="str">
            <v>Presupuesto</v>
          </cell>
        </row>
        <row r="2375">
          <cell r="A2375" t="str">
            <v>ARRENTA</v>
          </cell>
          <cell r="B2375">
            <v>202503</v>
          </cell>
          <cell r="D2375" t="str">
            <v>Vida Riesgo Particular</v>
          </cell>
          <cell r="G2375" t="str">
            <v>Real</v>
          </cell>
        </row>
        <row r="2376">
          <cell r="A2376" t="str">
            <v>ARRENTA</v>
          </cell>
          <cell r="B2376">
            <v>202504</v>
          </cell>
          <cell r="D2376" t="str">
            <v>--</v>
          </cell>
          <cell r="G2376" t="str">
            <v>Presupuesto</v>
          </cell>
        </row>
        <row r="2377">
          <cell r="A2377" t="str">
            <v>ARRENTA</v>
          </cell>
          <cell r="B2377">
            <v>202504</v>
          </cell>
          <cell r="D2377" t="str">
            <v>--</v>
          </cell>
          <cell r="G2377" t="str">
            <v>Real</v>
          </cell>
        </row>
        <row r="2378">
          <cell r="A2378" t="str">
            <v>ARRENTA</v>
          </cell>
          <cell r="B2378">
            <v>202504</v>
          </cell>
          <cell r="D2378" t="str">
            <v>Arte</v>
          </cell>
          <cell r="G2378" t="str">
            <v>Presupuesto</v>
          </cell>
        </row>
        <row r="2379">
          <cell r="A2379" t="str">
            <v>ARRENTA</v>
          </cell>
          <cell r="B2379">
            <v>202504</v>
          </cell>
          <cell r="D2379" t="str">
            <v>Autos</v>
          </cell>
          <cell r="G2379" t="str">
            <v>Presupuesto</v>
          </cell>
        </row>
        <row r="2380">
          <cell r="A2380" t="str">
            <v>ARRENTA</v>
          </cell>
          <cell r="B2380">
            <v>202504</v>
          </cell>
          <cell r="D2380" t="str">
            <v>Autos</v>
          </cell>
          <cell r="G2380" t="str">
            <v>Real</v>
          </cell>
        </row>
        <row r="2381">
          <cell r="A2381" t="str">
            <v>ARRENTA</v>
          </cell>
          <cell r="B2381">
            <v>202504</v>
          </cell>
          <cell r="D2381" t="str">
            <v>B2B2C</v>
          </cell>
          <cell r="G2381" t="str">
            <v>Presupuesto</v>
          </cell>
        </row>
        <row r="2382">
          <cell r="A2382" t="str">
            <v>ARRENTA</v>
          </cell>
          <cell r="B2382">
            <v>202504</v>
          </cell>
          <cell r="D2382" t="str">
            <v>Caución</v>
          </cell>
          <cell r="G2382" t="str">
            <v>Presupuesto</v>
          </cell>
        </row>
        <row r="2383">
          <cell r="A2383" t="str">
            <v>ARRENTA</v>
          </cell>
          <cell r="B2383">
            <v>202504</v>
          </cell>
          <cell r="D2383" t="str">
            <v>Caución</v>
          </cell>
          <cell r="G2383" t="str">
            <v>Real</v>
          </cell>
        </row>
        <row r="2384">
          <cell r="A2384" t="str">
            <v>ARRENTA</v>
          </cell>
          <cell r="B2384">
            <v>202504</v>
          </cell>
          <cell r="D2384" t="str">
            <v>Crédito Internacional</v>
          </cell>
          <cell r="G2384" t="str">
            <v>Presupuesto</v>
          </cell>
        </row>
        <row r="2385">
          <cell r="A2385" t="str">
            <v>ARRENTA</v>
          </cell>
          <cell r="B2385">
            <v>202504</v>
          </cell>
          <cell r="D2385" t="str">
            <v>Crédito Nacional</v>
          </cell>
          <cell r="G2385" t="str">
            <v>Presupuesto</v>
          </cell>
        </row>
        <row r="2386">
          <cell r="A2386" t="str">
            <v>ARRENTA</v>
          </cell>
          <cell r="B2386">
            <v>202504</v>
          </cell>
          <cell r="D2386" t="str">
            <v>Eventos</v>
          </cell>
          <cell r="G2386" t="str">
            <v>Presupuesto</v>
          </cell>
        </row>
        <row r="2387">
          <cell r="A2387" t="str">
            <v>ARRENTA</v>
          </cell>
          <cell r="B2387">
            <v>202504</v>
          </cell>
          <cell r="D2387" t="str">
            <v>Flotas</v>
          </cell>
          <cell r="G2387" t="str">
            <v>Presupuesto</v>
          </cell>
        </row>
        <row r="2388">
          <cell r="A2388" t="str">
            <v>ARRENTA</v>
          </cell>
          <cell r="B2388">
            <v>202504</v>
          </cell>
          <cell r="D2388" t="str">
            <v>Hogar</v>
          </cell>
          <cell r="G2388" t="str">
            <v>Presupuesto</v>
          </cell>
        </row>
        <row r="2389">
          <cell r="A2389" t="str">
            <v>ARRENTA</v>
          </cell>
          <cell r="B2389">
            <v>202504</v>
          </cell>
          <cell r="D2389" t="str">
            <v>Hogar</v>
          </cell>
          <cell r="G2389" t="str">
            <v>Real</v>
          </cell>
        </row>
        <row r="2390">
          <cell r="A2390" t="str">
            <v>ARRENTA</v>
          </cell>
          <cell r="B2390">
            <v>202504</v>
          </cell>
          <cell r="D2390" t="str">
            <v>Ingeniería</v>
          </cell>
          <cell r="G2390" t="str">
            <v>Presupuesto</v>
          </cell>
        </row>
        <row r="2391">
          <cell r="A2391" t="str">
            <v>ARRENTA</v>
          </cell>
          <cell r="B2391">
            <v>202504</v>
          </cell>
          <cell r="D2391" t="str">
            <v>Inmobiliario</v>
          </cell>
          <cell r="G2391" t="str">
            <v>Presupuesto</v>
          </cell>
        </row>
        <row r="2392">
          <cell r="A2392" t="str">
            <v>ARRENTA</v>
          </cell>
          <cell r="B2392">
            <v>202504</v>
          </cell>
          <cell r="D2392" t="str">
            <v>Inmobiliario</v>
          </cell>
          <cell r="G2392" t="str">
            <v>Real</v>
          </cell>
        </row>
        <row r="2393">
          <cell r="A2393" t="str">
            <v>ARRENTA</v>
          </cell>
          <cell r="B2393">
            <v>202504</v>
          </cell>
          <cell r="D2393" t="str">
            <v>Líneas Financieras</v>
          </cell>
          <cell r="G2393" t="str">
            <v>Presupuesto</v>
          </cell>
        </row>
        <row r="2394">
          <cell r="A2394" t="str">
            <v>ARRENTA</v>
          </cell>
          <cell r="B2394">
            <v>202504</v>
          </cell>
          <cell r="D2394" t="str">
            <v>Náutica</v>
          </cell>
          <cell r="G2394" t="str">
            <v>Presupuesto</v>
          </cell>
        </row>
        <row r="2395">
          <cell r="A2395" t="str">
            <v>ARRENTA</v>
          </cell>
          <cell r="B2395">
            <v>202504</v>
          </cell>
          <cell r="D2395" t="str">
            <v>Particulares Resto</v>
          </cell>
          <cell r="G2395" t="str">
            <v>Presupuesto</v>
          </cell>
        </row>
        <row r="2396">
          <cell r="A2396" t="str">
            <v>ARRENTA</v>
          </cell>
          <cell r="B2396">
            <v>202504</v>
          </cell>
          <cell r="D2396" t="str">
            <v>Particulares Resto</v>
          </cell>
          <cell r="G2396" t="str">
            <v>Real</v>
          </cell>
        </row>
        <row r="2397">
          <cell r="A2397" t="str">
            <v>ARRENTA</v>
          </cell>
          <cell r="B2397">
            <v>202504</v>
          </cell>
          <cell r="D2397" t="str">
            <v>Property</v>
          </cell>
          <cell r="G2397" t="str">
            <v>Presupuesto</v>
          </cell>
        </row>
        <row r="2398">
          <cell r="A2398" t="str">
            <v>ARRENTA</v>
          </cell>
          <cell r="B2398">
            <v>202504</v>
          </cell>
          <cell r="D2398" t="str">
            <v>Property</v>
          </cell>
          <cell r="G2398" t="str">
            <v>Real</v>
          </cell>
        </row>
        <row r="2399">
          <cell r="A2399" t="str">
            <v>ARRENTA</v>
          </cell>
          <cell r="B2399">
            <v>202504</v>
          </cell>
          <cell r="D2399" t="str">
            <v>RC</v>
          </cell>
          <cell r="G2399" t="str">
            <v>Presupuesto</v>
          </cell>
        </row>
        <row r="2400">
          <cell r="A2400" t="str">
            <v>ARRENTA</v>
          </cell>
          <cell r="B2400">
            <v>202504</v>
          </cell>
          <cell r="D2400" t="str">
            <v>RC</v>
          </cell>
          <cell r="G2400" t="str">
            <v>Real</v>
          </cell>
        </row>
        <row r="2401">
          <cell r="A2401" t="str">
            <v>ARRENTA</v>
          </cell>
          <cell r="B2401">
            <v>202504</v>
          </cell>
          <cell r="D2401" t="str">
            <v>Resto de lineas</v>
          </cell>
          <cell r="G2401" t="str">
            <v>Presupuesto</v>
          </cell>
        </row>
        <row r="2402">
          <cell r="A2402" t="str">
            <v>ARRENTA</v>
          </cell>
          <cell r="B2402">
            <v>202504</v>
          </cell>
          <cell r="D2402" t="str">
            <v>Retirada</v>
          </cell>
          <cell r="G2402" t="str">
            <v>Presupuesto</v>
          </cell>
        </row>
        <row r="2403">
          <cell r="A2403" t="str">
            <v>ARRENTA</v>
          </cell>
          <cell r="B2403">
            <v>202504</v>
          </cell>
          <cell r="D2403" t="str">
            <v>Seguros Personales (No Vida) Colectivos</v>
          </cell>
          <cell r="G2403" t="str">
            <v>Presupuesto</v>
          </cell>
        </row>
        <row r="2404">
          <cell r="A2404" t="str">
            <v>ARRENTA</v>
          </cell>
          <cell r="B2404">
            <v>202504</v>
          </cell>
          <cell r="D2404" t="str">
            <v>Seguros Personales (No Vida) Particular</v>
          </cell>
          <cell r="G2404" t="str">
            <v>Presupuesto</v>
          </cell>
        </row>
        <row r="2405">
          <cell r="A2405" t="str">
            <v>ARRENTA</v>
          </cell>
          <cell r="B2405">
            <v>202504</v>
          </cell>
          <cell r="D2405" t="str">
            <v>Seguros Personales (No Vida) Particular</v>
          </cell>
          <cell r="G2405" t="str">
            <v>Real</v>
          </cell>
        </row>
        <row r="2406">
          <cell r="A2406" t="str">
            <v>ARRENTA</v>
          </cell>
          <cell r="B2406">
            <v>202504</v>
          </cell>
          <cell r="D2406" t="str">
            <v>Transporte</v>
          </cell>
          <cell r="G2406" t="str">
            <v>Presupuesto</v>
          </cell>
        </row>
        <row r="2407">
          <cell r="A2407" t="str">
            <v>ARRENTA</v>
          </cell>
          <cell r="B2407">
            <v>202504</v>
          </cell>
          <cell r="D2407" t="str">
            <v>Venta Cruzada</v>
          </cell>
          <cell r="G2407" t="str">
            <v>Presupuesto</v>
          </cell>
        </row>
        <row r="2408">
          <cell r="A2408" t="str">
            <v>ARRENTA</v>
          </cell>
          <cell r="B2408">
            <v>202504</v>
          </cell>
          <cell r="D2408" t="str">
            <v>Vida Ahorro Colectivo</v>
          </cell>
          <cell r="G2408" t="str">
            <v>Presupuesto</v>
          </cell>
        </row>
        <row r="2409">
          <cell r="A2409" t="str">
            <v>ARRENTA</v>
          </cell>
          <cell r="B2409">
            <v>202504</v>
          </cell>
          <cell r="D2409" t="str">
            <v>Vida Ahorro Particular</v>
          </cell>
          <cell r="G2409" t="str">
            <v>Presupuesto</v>
          </cell>
        </row>
        <row r="2410">
          <cell r="A2410" t="str">
            <v>ARRENTA</v>
          </cell>
          <cell r="B2410">
            <v>202504</v>
          </cell>
          <cell r="D2410" t="str">
            <v>Vida Ganado</v>
          </cell>
          <cell r="G2410" t="str">
            <v>Presupuesto</v>
          </cell>
        </row>
        <row r="2411">
          <cell r="A2411" t="str">
            <v>ARRENTA</v>
          </cell>
          <cell r="B2411">
            <v>202504</v>
          </cell>
          <cell r="D2411" t="str">
            <v>Vida Riesgo Colectivo</v>
          </cell>
          <cell r="G2411" t="str">
            <v>Presupuesto</v>
          </cell>
        </row>
        <row r="2412">
          <cell r="A2412" t="str">
            <v>ARRENTA</v>
          </cell>
          <cell r="B2412">
            <v>202504</v>
          </cell>
          <cell r="D2412" t="str">
            <v>Vida Riesgo Particular</v>
          </cell>
          <cell r="G2412" t="str">
            <v>Presupuesto</v>
          </cell>
        </row>
        <row r="2413">
          <cell r="A2413" t="str">
            <v>ARRENTA</v>
          </cell>
          <cell r="B2413">
            <v>202504</v>
          </cell>
          <cell r="D2413" t="str">
            <v>Vida Riesgo Particular</v>
          </cell>
          <cell r="G2413" t="str">
            <v>Real</v>
          </cell>
        </row>
        <row r="2414">
          <cell r="A2414" t="str">
            <v>ARRENTA</v>
          </cell>
          <cell r="B2414">
            <v>202505</v>
          </cell>
          <cell r="D2414" t="str">
            <v>--</v>
          </cell>
          <cell r="G2414" t="str">
            <v>Presupuesto</v>
          </cell>
        </row>
        <row r="2415">
          <cell r="A2415" t="str">
            <v>ARRENTA</v>
          </cell>
          <cell r="B2415">
            <v>202505</v>
          </cell>
          <cell r="D2415" t="str">
            <v>--</v>
          </cell>
          <cell r="G2415" t="str">
            <v>Real</v>
          </cell>
        </row>
        <row r="2416">
          <cell r="A2416" t="str">
            <v>ARRENTA</v>
          </cell>
          <cell r="B2416">
            <v>202505</v>
          </cell>
          <cell r="D2416" t="str">
            <v>Arte</v>
          </cell>
          <cell r="G2416" t="str">
            <v>Presupuesto</v>
          </cell>
        </row>
        <row r="2417">
          <cell r="A2417" t="str">
            <v>ARRENTA</v>
          </cell>
          <cell r="B2417">
            <v>202505</v>
          </cell>
          <cell r="D2417" t="str">
            <v>Autos</v>
          </cell>
          <cell r="G2417" t="str">
            <v>Presupuesto</v>
          </cell>
        </row>
        <row r="2418">
          <cell r="A2418" t="str">
            <v>ARRENTA</v>
          </cell>
          <cell r="B2418">
            <v>202505</v>
          </cell>
          <cell r="D2418" t="str">
            <v>Autos</v>
          </cell>
          <cell r="G2418" t="str">
            <v>Real</v>
          </cell>
        </row>
        <row r="2419">
          <cell r="A2419" t="str">
            <v>ARRENTA</v>
          </cell>
          <cell r="B2419">
            <v>202505</v>
          </cell>
          <cell r="D2419" t="str">
            <v>B2B2C</v>
          </cell>
          <cell r="G2419" t="str">
            <v>Presupuesto</v>
          </cell>
        </row>
        <row r="2420">
          <cell r="A2420" t="str">
            <v>ARRENTA</v>
          </cell>
          <cell r="B2420">
            <v>202505</v>
          </cell>
          <cell r="D2420" t="str">
            <v>Caución</v>
          </cell>
          <cell r="G2420" t="str">
            <v>Presupuesto</v>
          </cell>
        </row>
        <row r="2421">
          <cell r="A2421" t="str">
            <v>ARRENTA</v>
          </cell>
          <cell r="B2421">
            <v>202505</v>
          </cell>
          <cell r="D2421" t="str">
            <v>Caución</v>
          </cell>
          <cell r="G2421" t="str">
            <v>Real</v>
          </cell>
        </row>
        <row r="2422">
          <cell r="A2422" t="str">
            <v>ARRENTA</v>
          </cell>
          <cell r="B2422">
            <v>202505</v>
          </cell>
          <cell r="D2422" t="str">
            <v>Crédito Internacional</v>
          </cell>
          <cell r="G2422" t="str">
            <v>Presupuesto</v>
          </cell>
        </row>
        <row r="2423">
          <cell r="A2423" t="str">
            <v>ARRENTA</v>
          </cell>
          <cell r="B2423">
            <v>202505</v>
          </cell>
          <cell r="D2423" t="str">
            <v>Crédito Nacional</v>
          </cell>
          <cell r="G2423" t="str">
            <v>Presupuesto</v>
          </cell>
        </row>
        <row r="2424">
          <cell r="A2424" t="str">
            <v>ARRENTA</v>
          </cell>
          <cell r="B2424">
            <v>202505</v>
          </cell>
          <cell r="D2424" t="str">
            <v>Eventos</v>
          </cell>
          <cell r="G2424" t="str">
            <v>Presupuesto</v>
          </cell>
        </row>
        <row r="2425">
          <cell r="A2425" t="str">
            <v>ARRENTA</v>
          </cell>
          <cell r="B2425">
            <v>202505</v>
          </cell>
          <cell r="D2425" t="str">
            <v>Flotas</v>
          </cell>
          <cell r="G2425" t="str">
            <v>Presupuesto</v>
          </cell>
        </row>
        <row r="2426">
          <cell r="A2426" t="str">
            <v>ARRENTA</v>
          </cell>
          <cell r="B2426">
            <v>202505</v>
          </cell>
          <cell r="D2426" t="str">
            <v>Hogar</v>
          </cell>
          <cell r="G2426" t="str">
            <v>Presupuesto</v>
          </cell>
        </row>
        <row r="2427">
          <cell r="A2427" t="str">
            <v>ARRENTA</v>
          </cell>
          <cell r="B2427">
            <v>202505</v>
          </cell>
          <cell r="D2427" t="str">
            <v>Hogar</v>
          </cell>
          <cell r="G2427" t="str">
            <v>Real</v>
          </cell>
        </row>
        <row r="2428">
          <cell r="A2428" t="str">
            <v>ARRENTA</v>
          </cell>
          <cell r="B2428">
            <v>202505</v>
          </cell>
          <cell r="D2428" t="str">
            <v>Ingeniería</v>
          </cell>
          <cell r="G2428" t="str">
            <v>Presupuesto</v>
          </cell>
        </row>
        <row r="2429">
          <cell r="A2429" t="str">
            <v>ARRENTA</v>
          </cell>
          <cell r="B2429">
            <v>202505</v>
          </cell>
          <cell r="D2429" t="str">
            <v>Inmobiliario</v>
          </cell>
          <cell r="G2429" t="str">
            <v>Presupuesto</v>
          </cell>
        </row>
        <row r="2430">
          <cell r="A2430" t="str">
            <v>ARRENTA</v>
          </cell>
          <cell r="B2430">
            <v>202505</v>
          </cell>
          <cell r="D2430" t="str">
            <v>Inmobiliario</v>
          </cell>
          <cell r="G2430" t="str">
            <v>Real</v>
          </cell>
        </row>
        <row r="2431">
          <cell r="A2431" t="str">
            <v>ARRENTA</v>
          </cell>
          <cell r="B2431">
            <v>202505</v>
          </cell>
          <cell r="D2431" t="str">
            <v>Líneas Financieras</v>
          </cell>
          <cell r="G2431" t="str">
            <v>Presupuesto</v>
          </cell>
        </row>
        <row r="2432">
          <cell r="A2432" t="str">
            <v>ARRENTA</v>
          </cell>
          <cell r="B2432">
            <v>202505</v>
          </cell>
          <cell r="D2432" t="str">
            <v>Náutica</v>
          </cell>
          <cell r="G2432" t="str">
            <v>Presupuesto</v>
          </cell>
        </row>
        <row r="2433">
          <cell r="A2433" t="str">
            <v>ARRENTA</v>
          </cell>
          <cell r="B2433">
            <v>202505</v>
          </cell>
          <cell r="D2433" t="str">
            <v>Náutica</v>
          </cell>
          <cell r="G2433" t="str">
            <v>Real</v>
          </cell>
        </row>
        <row r="2434">
          <cell r="A2434" t="str">
            <v>ARRENTA</v>
          </cell>
          <cell r="B2434">
            <v>202505</v>
          </cell>
          <cell r="D2434" t="str">
            <v>Particulares Resto</v>
          </cell>
          <cell r="G2434" t="str">
            <v>Presupuesto</v>
          </cell>
        </row>
        <row r="2435">
          <cell r="A2435" t="str">
            <v>ARRENTA</v>
          </cell>
          <cell r="B2435">
            <v>202505</v>
          </cell>
          <cell r="D2435" t="str">
            <v>Particulares Resto</v>
          </cell>
          <cell r="G2435" t="str">
            <v>Real</v>
          </cell>
        </row>
        <row r="2436">
          <cell r="A2436" t="str">
            <v>ARRENTA</v>
          </cell>
          <cell r="B2436">
            <v>202505</v>
          </cell>
          <cell r="D2436" t="str">
            <v>Property</v>
          </cell>
          <cell r="G2436" t="str">
            <v>Presupuesto</v>
          </cell>
        </row>
        <row r="2437">
          <cell r="A2437" t="str">
            <v>ARRENTA</v>
          </cell>
          <cell r="B2437">
            <v>202505</v>
          </cell>
          <cell r="D2437" t="str">
            <v>Property</v>
          </cell>
          <cell r="G2437" t="str">
            <v>Real</v>
          </cell>
        </row>
        <row r="2438">
          <cell r="A2438" t="str">
            <v>ARRENTA</v>
          </cell>
          <cell r="B2438">
            <v>202505</v>
          </cell>
          <cell r="D2438" t="str">
            <v>RC</v>
          </cell>
          <cell r="G2438" t="str">
            <v>Presupuesto</v>
          </cell>
        </row>
        <row r="2439">
          <cell r="A2439" t="str">
            <v>ARRENTA</v>
          </cell>
          <cell r="B2439">
            <v>202505</v>
          </cell>
          <cell r="D2439" t="str">
            <v>RC</v>
          </cell>
          <cell r="G2439" t="str">
            <v>Real</v>
          </cell>
        </row>
        <row r="2440">
          <cell r="A2440" t="str">
            <v>ARRENTA</v>
          </cell>
          <cell r="B2440">
            <v>202505</v>
          </cell>
          <cell r="D2440" t="str">
            <v>Resto de lineas</v>
          </cell>
          <cell r="G2440" t="str">
            <v>Presupuesto</v>
          </cell>
        </row>
        <row r="2441">
          <cell r="A2441" t="str">
            <v>ARRENTA</v>
          </cell>
          <cell r="B2441">
            <v>202505</v>
          </cell>
          <cell r="D2441" t="str">
            <v>Retirada</v>
          </cell>
          <cell r="G2441" t="str">
            <v>Presupuesto</v>
          </cell>
        </row>
        <row r="2442">
          <cell r="A2442" t="str">
            <v>ARRENTA</v>
          </cell>
          <cell r="B2442">
            <v>202505</v>
          </cell>
          <cell r="D2442" t="str">
            <v>Seguros Personales (No Vida) Colectivos</v>
          </cell>
          <cell r="G2442" t="str">
            <v>Presupuesto</v>
          </cell>
        </row>
        <row r="2443">
          <cell r="A2443" t="str">
            <v>ARRENTA</v>
          </cell>
          <cell r="B2443">
            <v>202505</v>
          </cell>
          <cell r="D2443" t="str">
            <v>Seguros Personales (No Vida) Particular</v>
          </cell>
          <cell r="G2443" t="str">
            <v>Presupuesto</v>
          </cell>
        </row>
        <row r="2444">
          <cell r="A2444" t="str">
            <v>ARRENTA</v>
          </cell>
          <cell r="B2444">
            <v>202505</v>
          </cell>
          <cell r="D2444" t="str">
            <v>Seguros Personales (No Vida) Particular</v>
          </cell>
          <cell r="G2444" t="str">
            <v>Real</v>
          </cell>
        </row>
        <row r="2445">
          <cell r="A2445" t="str">
            <v>ARRENTA</v>
          </cell>
          <cell r="B2445">
            <v>202505</v>
          </cell>
          <cell r="D2445" t="str">
            <v>Transporte</v>
          </cell>
          <cell r="G2445" t="str">
            <v>Presupuesto</v>
          </cell>
        </row>
        <row r="2446">
          <cell r="A2446" t="str">
            <v>ARRENTA</v>
          </cell>
          <cell r="B2446">
            <v>202505</v>
          </cell>
          <cell r="D2446" t="str">
            <v>Venta Cruzada</v>
          </cell>
          <cell r="G2446" t="str">
            <v>Presupuesto</v>
          </cell>
        </row>
        <row r="2447">
          <cell r="A2447" t="str">
            <v>ARRENTA</v>
          </cell>
          <cell r="B2447">
            <v>202505</v>
          </cell>
          <cell r="D2447" t="str">
            <v>Vida Ahorro Colectivo</v>
          </cell>
          <cell r="G2447" t="str">
            <v>Presupuesto</v>
          </cell>
        </row>
        <row r="2448">
          <cell r="A2448" t="str">
            <v>ARRENTA</v>
          </cell>
          <cell r="B2448">
            <v>202505</v>
          </cell>
          <cell r="D2448" t="str">
            <v>Vida Ahorro Particular</v>
          </cell>
          <cell r="G2448" t="str">
            <v>Presupuesto</v>
          </cell>
        </row>
        <row r="2449">
          <cell r="A2449" t="str">
            <v>ARRENTA</v>
          </cell>
          <cell r="B2449">
            <v>202505</v>
          </cell>
          <cell r="D2449" t="str">
            <v>Vida Ganado</v>
          </cell>
          <cell r="G2449" t="str">
            <v>Presupuesto</v>
          </cell>
        </row>
        <row r="2450">
          <cell r="A2450" t="str">
            <v>ARRENTA</v>
          </cell>
          <cell r="B2450">
            <v>202505</v>
          </cell>
          <cell r="D2450" t="str">
            <v>Vida Riesgo Colectivo</v>
          </cell>
          <cell r="G2450" t="str">
            <v>Presupuesto</v>
          </cell>
        </row>
        <row r="2451">
          <cell r="A2451" t="str">
            <v>ARRENTA</v>
          </cell>
          <cell r="B2451">
            <v>202505</v>
          </cell>
          <cell r="D2451" t="str">
            <v>Vida Riesgo Particular</v>
          </cell>
          <cell r="G2451" t="str">
            <v>Presupuesto</v>
          </cell>
        </row>
        <row r="2452">
          <cell r="A2452" t="str">
            <v>ARRENTA</v>
          </cell>
          <cell r="B2452">
            <v>202505</v>
          </cell>
          <cell r="D2452" t="str">
            <v>Vida Riesgo Particular</v>
          </cell>
          <cell r="G2452" t="str">
            <v>Real</v>
          </cell>
        </row>
        <row r="2453">
          <cell r="A2453" t="str">
            <v>ARRENTA</v>
          </cell>
          <cell r="B2453">
            <v>202506</v>
          </cell>
          <cell r="D2453" t="str">
            <v>--</v>
          </cell>
          <cell r="G2453" t="str">
            <v>Presupuesto</v>
          </cell>
        </row>
        <row r="2454">
          <cell r="A2454" t="str">
            <v>ARRENTA</v>
          </cell>
          <cell r="B2454">
            <v>202506</v>
          </cell>
          <cell r="D2454" t="str">
            <v>--</v>
          </cell>
          <cell r="G2454" t="str">
            <v>Real</v>
          </cell>
        </row>
        <row r="2455">
          <cell r="A2455" t="str">
            <v>ARRENTA</v>
          </cell>
          <cell r="B2455">
            <v>202506</v>
          </cell>
          <cell r="D2455" t="str">
            <v>Arte</v>
          </cell>
          <cell r="G2455" t="str">
            <v>Presupuesto</v>
          </cell>
        </row>
        <row r="2456">
          <cell r="A2456" t="str">
            <v>ARRENTA</v>
          </cell>
          <cell r="B2456">
            <v>202506</v>
          </cell>
          <cell r="D2456" t="str">
            <v>Autos</v>
          </cell>
          <cell r="G2456" t="str">
            <v>Presupuesto</v>
          </cell>
        </row>
        <row r="2457">
          <cell r="A2457" t="str">
            <v>ARRENTA</v>
          </cell>
          <cell r="B2457">
            <v>202506</v>
          </cell>
          <cell r="D2457" t="str">
            <v>Autos</v>
          </cell>
          <cell r="G2457" t="str">
            <v>Real</v>
          </cell>
        </row>
        <row r="2458">
          <cell r="A2458" t="str">
            <v>ARRENTA</v>
          </cell>
          <cell r="B2458">
            <v>202506</v>
          </cell>
          <cell r="D2458" t="str">
            <v>B2B2C</v>
          </cell>
          <cell r="G2458" t="str">
            <v>Presupuesto</v>
          </cell>
        </row>
        <row r="2459">
          <cell r="A2459" t="str">
            <v>ARRENTA</v>
          </cell>
          <cell r="B2459">
            <v>202506</v>
          </cell>
          <cell r="D2459" t="str">
            <v>Caución</v>
          </cell>
          <cell r="G2459" t="str">
            <v>Presupuesto</v>
          </cell>
        </row>
        <row r="2460">
          <cell r="A2460" t="str">
            <v>ARRENTA</v>
          </cell>
          <cell r="B2460">
            <v>202506</v>
          </cell>
          <cell r="D2460" t="str">
            <v>Caución</v>
          </cell>
          <cell r="G2460" t="str">
            <v>Real</v>
          </cell>
        </row>
        <row r="2461">
          <cell r="A2461" t="str">
            <v>ARRENTA</v>
          </cell>
          <cell r="B2461">
            <v>202506</v>
          </cell>
          <cell r="D2461" t="str">
            <v>Crédito Internacional</v>
          </cell>
          <cell r="G2461" t="str">
            <v>Presupuesto</v>
          </cell>
        </row>
        <row r="2462">
          <cell r="A2462" t="str">
            <v>ARRENTA</v>
          </cell>
          <cell r="B2462">
            <v>202506</v>
          </cell>
          <cell r="D2462" t="str">
            <v>Crédito Nacional</v>
          </cell>
          <cell r="G2462" t="str">
            <v>Presupuesto</v>
          </cell>
        </row>
        <row r="2463">
          <cell r="A2463" t="str">
            <v>ARRENTA</v>
          </cell>
          <cell r="B2463">
            <v>202506</v>
          </cell>
          <cell r="D2463" t="str">
            <v>Eventos</v>
          </cell>
          <cell r="G2463" t="str">
            <v>Presupuesto</v>
          </cell>
        </row>
        <row r="2464">
          <cell r="A2464" t="str">
            <v>ARRENTA</v>
          </cell>
          <cell r="B2464">
            <v>202506</v>
          </cell>
          <cell r="D2464" t="str">
            <v>Flotas</v>
          </cell>
          <cell r="G2464" t="str">
            <v>Presupuesto</v>
          </cell>
        </row>
        <row r="2465">
          <cell r="A2465" t="str">
            <v>ARRENTA</v>
          </cell>
          <cell r="B2465">
            <v>202506</v>
          </cell>
          <cell r="D2465" t="str">
            <v>Hogar</v>
          </cell>
          <cell r="G2465" t="str">
            <v>Presupuesto</v>
          </cell>
        </row>
        <row r="2466">
          <cell r="A2466" t="str">
            <v>ARRENTA</v>
          </cell>
          <cell r="B2466">
            <v>202506</v>
          </cell>
          <cell r="D2466" t="str">
            <v>Hogar</v>
          </cell>
          <cell r="G2466" t="str">
            <v>Real</v>
          </cell>
        </row>
        <row r="2467">
          <cell r="A2467" t="str">
            <v>ARRENTA</v>
          </cell>
          <cell r="B2467">
            <v>202506</v>
          </cell>
          <cell r="D2467" t="str">
            <v>Ingeniería</v>
          </cell>
          <cell r="G2467" t="str">
            <v>Presupuesto</v>
          </cell>
        </row>
        <row r="2468">
          <cell r="A2468" t="str">
            <v>ARRENTA</v>
          </cell>
          <cell r="B2468">
            <v>202506</v>
          </cell>
          <cell r="D2468" t="str">
            <v>Inmobiliario</v>
          </cell>
          <cell r="G2468" t="str">
            <v>Presupuesto</v>
          </cell>
        </row>
        <row r="2469">
          <cell r="A2469" t="str">
            <v>ARRENTA</v>
          </cell>
          <cell r="B2469">
            <v>202506</v>
          </cell>
          <cell r="D2469" t="str">
            <v>Inmobiliario</v>
          </cell>
          <cell r="G2469" t="str">
            <v>Real</v>
          </cell>
        </row>
        <row r="2470">
          <cell r="A2470" t="str">
            <v>ARRENTA</v>
          </cell>
          <cell r="B2470">
            <v>202506</v>
          </cell>
          <cell r="D2470" t="str">
            <v>Líneas Financieras</v>
          </cell>
          <cell r="G2470" t="str">
            <v>Presupuesto</v>
          </cell>
        </row>
        <row r="2471">
          <cell r="A2471" t="str">
            <v>ARRENTA</v>
          </cell>
          <cell r="B2471">
            <v>202506</v>
          </cell>
          <cell r="D2471" t="str">
            <v>Náutica</v>
          </cell>
          <cell r="G2471" t="str">
            <v>Presupuesto</v>
          </cell>
        </row>
        <row r="2472">
          <cell r="A2472" t="str">
            <v>ARRENTA</v>
          </cell>
          <cell r="B2472">
            <v>202506</v>
          </cell>
          <cell r="D2472" t="str">
            <v>Náutica</v>
          </cell>
          <cell r="G2472" t="str">
            <v>Real</v>
          </cell>
        </row>
        <row r="2473">
          <cell r="A2473" t="str">
            <v>ARRENTA</v>
          </cell>
          <cell r="B2473">
            <v>202506</v>
          </cell>
          <cell r="D2473" t="str">
            <v>Particulares Resto</v>
          </cell>
          <cell r="G2473" t="str">
            <v>Presupuesto</v>
          </cell>
        </row>
        <row r="2474">
          <cell r="A2474" t="str">
            <v>ARRENTA</v>
          </cell>
          <cell r="B2474">
            <v>202506</v>
          </cell>
          <cell r="D2474" t="str">
            <v>Particulares Resto</v>
          </cell>
          <cell r="G2474" t="str">
            <v>Real</v>
          </cell>
        </row>
        <row r="2475">
          <cell r="A2475" t="str">
            <v>ARRENTA</v>
          </cell>
          <cell r="B2475">
            <v>202506</v>
          </cell>
          <cell r="D2475" t="str">
            <v>Property</v>
          </cell>
          <cell r="G2475" t="str">
            <v>Presupuesto</v>
          </cell>
        </row>
        <row r="2476">
          <cell r="A2476" t="str">
            <v>ARRENTA</v>
          </cell>
          <cell r="B2476">
            <v>202506</v>
          </cell>
          <cell r="D2476" t="str">
            <v>Property</v>
          </cell>
          <cell r="G2476" t="str">
            <v>Real</v>
          </cell>
        </row>
        <row r="2477">
          <cell r="A2477" t="str">
            <v>ARRENTA</v>
          </cell>
          <cell r="B2477">
            <v>202506</v>
          </cell>
          <cell r="D2477" t="str">
            <v>RC</v>
          </cell>
          <cell r="G2477" t="str">
            <v>Presupuesto</v>
          </cell>
        </row>
        <row r="2478">
          <cell r="A2478" t="str">
            <v>ARRENTA</v>
          </cell>
          <cell r="B2478">
            <v>202506</v>
          </cell>
          <cell r="D2478" t="str">
            <v>RC</v>
          </cell>
          <cell r="G2478" t="str">
            <v>Real</v>
          </cell>
        </row>
        <row r="2479">
          <cell r="A2479" t="str">
            <v>ARRENTA</v>
          </cell>
          <cell r="B2479">
            <v>202506</v>
          </cell>
          <cell r="D2479" t="str">
            <v>Resto de lineas</v>
          </cell>
          <cell r="G2479" t="str">
            <v>Presupuesto</v>
          </cell>
        </row>
        <row r="2480">
          <cell r="A2480" t="str">
            <v>ARRENTA</v>
          </cell>
          <cell r="B2480">
            <v>202506</v>
          </cell>
          <cell r="D2480" t="str">
            <v>Retirada</v>
          </cell>
          <cell r="G2480" t="str">
            <v>Presupuesto</v>
          </cell>
        </row>
        <row r="2481">
          <cell r="A2481" t="str">
            <v>ARRENTA</v>
          </cell>
          <cell r="B2481">
            <v>202506</v>
          </cell>
          <cell r="D2481" t="str">
            <v>Seguros Personales (No Vida) Colectivos</v>
          </cell>
          <cell r="G2481" t="str">
            <v>Presupuesto</v>
          </cell>
        </row>
        <row r="2482">
          <cell r="A2482" t="str">
            <v>ARRENTA</v>
          </cell>
          <cell r="B2482">
            <v>202506</v>
          </cell>
          <cell r="D2482" t="str">
            <v>Seguros Personales (No Vida) Particular</v>
          </cell>
          <cell r="G2482" t="str">
            <v>Presupuesto</v>
          </cell>
        </row>
        <row r="2483">
          <cell r="A2483" t="str">
            <v>ARRENTA</v>
          </cell>
          <cell r="B2483">
            <v>202506</v>
          </cell>
          <cell r="D2483" t="str">
            <v>Seguros Personales (No Vida) Particular</v>
          </cell>
          <cell r="G2483" t="str">
            <v>Real</v>
          </cell>
        </row>
        <row r="2484">
          <cell r="A2484" t="str">
            <v>ARRENTA</v>
          </cell>
          <cell r="B2484">
            <v>202506</v>
          </cell>
          <cell r="D2484" t="str">
            <v>Transporte</v>
          </cell>
          <cell r="G2484" t="str">
            <v>Presupuesto</v>
          </cell>
        </row>
        <row r="2485">
          <cell r="A2485" t="str">
            <v>ARRENTA</v>
          </cell>
          <cell r="B2485">
            <v>202506</v>
          </cell>
          <cell r="D2485" t="str">
            <v>Venta Cruzada</v>
          </cell>
          <cell r="G2485" t="str">
            <v>Presupuesto</v>
          </cell>
        </row>
        <row r="2486">
          <cell r="A2486" t="str">
            <v>ARRENTA</v>
          </cell>
          <cell r="B2486">
            <v>202506</v>
          </cell>
          <cell r="D2486" t="str">
            <v>Vida Ahorro Colectivo</v>
          </cell>
          <cell r="G2486" t="str">
            <v>Presupuesto</v>
          </cell>
        </row>
        <row r="2487">
          <cell r="A2487" t="str">
            <v>ARRENTA</v>
          </cell>
          <cell r="B2487">
            <v>202506</v>
          </cell>
          <cell r="D2487" t="str">
            <v>Vida Ahorro Particular</v>
          </cell>
          <cell r="G2487" t="str">
            <v>Presupuesto</v>
          </cell>
        </row>
        <row r="2488">
          <cell r="A2488" t="str">
            <v>ARRENTA</v>
          </cell>
          <cell r="B2488">
            <v>202506</v>
          </cell>
          <cell r="D2488" t="str">
            <v>Vida Ganado</v>
          </cell>
          <cell r="G2488" t="str">
            <v>Presupuesto</v>
          </cell>
        </row>
        <row r="2489">
          <cell r="A2489" t="str">
            <v>ARRENTA</v>
          </cell>
          <cell r="B2489">
            <v>202506</v>
          </cell>
          <cell r="D2489" t="str">
            <v>Vida Riesgo Colectivo</v>
          </cell>
          <cell r="G2489" t="str">
            <v>Presupuesto</v>
          </cell>
        </row>
        <row r="2490">
          <cell r="A2490" t="str">
            <v>ARRENTA</v>
          </cell>
          <cell r="B2490">
            <v>202506</v>
          </cell>
          <cell r="D2490" t="str">
            <v>Vida Riesgo Particular</v>
          </cell>
          <cell r="G2490" t="str">
            <v>Presupuesto</v>
          </cell>
        </row>
        <row r="2491">
          <cell r="A2491" t="str">
            <v>ARRENTA</v>
          </cell>
          <cell r="B2491">
            <v>202506</v>
          </cell>
          <cell r="D2491" t="str">
            <v>Vida Riesgo Particular</v>
          </cell>
          <cell r="G2491" t="str">
            <v>Real</v>
          </cell>
        </row>
        <row r="2492">
          <cell r="A2492" t="str">
            <v>ARRENTA</v>
          </cell>
          <cell r="B2492">
            <v>202507</v>
          </cell>
          <cell r="D2492" t="str">
            <v>--</v>
          </cell>
          <cell r="G2492" t="str">
            <v>Presupuesto</v>
          </cell>
        </row>
        <row r="2493">
          <cell r="A2493" t="str">
            <v>ARRENTA</v>
          </cell>
          <cell r="B2493">
            <v>202507</v>
          </cell>
          <cell r="D2493" t="str">
            <v>--</v>
          </cell>
          <cell r="G2493" t="str">
            <v>Real</v>
          </cell>
        </row>
        <row r="2494">
          <cell r="A2494" t="str">
            <v>ARRENTA</v>
          </cell>
          <cell r="B2494">
            <v>202507</v>
          </cell>
          <cell r="D2494" t="str">
            <v>Arte</v>
          </cell>
          <cell r="G2494" t="str">
            <v>Presupuesto</v>
          </cell>
        </row>
        <row r="2495">
          <cell r="A2495" t="str">
            <v>ARRENTA</v>
          </cell>
          <cell r="B2495">
            <v>202507</v>
          </cell>
          <cell r="D2495" t="str">
            <v>Autos</v>
          </cell>
          <cell r="G2495" t="str">
            <v>Presupuesto</v>
          </cell>
        </row>
        <row r="2496">
          <cell r="A2496" t="str">
            <v>ARRENTA</v>
          </cell>
          <cell r="B2496">
            <v>202507</v>
          </cell>
          <cell r="D2496" t="str">
            <v>Autos</v>
          </cell>
          <cell r="G2496" t="str">
            <v>Real</v>
          </cell>
        </row>
        <row r="2497">
          <cell r="A2497" t="str">
            <v>ARRENTA</v>
          </cell>
          <cell r="B2497">
            <v>202507</v>
          </cell>
          <cell r="D2497" t="str">
            <v>B2B2C</v>
          </cell>
          <cell r="G2497" t="str">
            <v>Presupuesto</v>
          </cell>
        </row>
        <row r="2498">
          <cell r="A2498" t="str">
            <v>ARRENTA</v>
          </cell>
          <cell r="B2498">
            <v>202507</v>
          </cell>
          <cell r="D2498" t="str">
            <v>Caución</v>
          </cell>
          <cell r="G2498" t="str">
            <v>Presupuesto</v>
          </cell>
        </row>
        <row r="2499">
          <cell r="A2499" t="str">
            <v>ARRENTA</v>
          </cell>
          <cell r="B2499">
            <v>202507</v>
          </cell>
          <cell r="D2499" t="str">
            <v>Caución</v>
          </cell>
          <cell r="G2499" t="str">
            <v>Real</v>
          </cell>
        </row>
        <row r="2500">
          <cell r="A2500" t="str">
            <v>ARRENTA</v>
          </cell>
          <cell r="B2500">
            <v>202507</v>
          </cell>
          <cell r="D2500" t="str">
            <v>Crédito Internacional</v>
          </cell>
          <cell r="G2500" t="str">
            <v>Presupuesto</v>
          </cell>
        </row>
        <row r="2501">
          <cell r="A2501" t="str">
            <v>ARRENTA</v>
          </cell>
          <cell r="B2501">
            <v>202507</v>
          </cell>
          <cell r="D2501" t="str">
            <v>Crédito Nacional</v>
          </cell>
          <cell r="G2501" t="str">
            <v>Presupuesto</v>
          </cell>
        </row>
        <row r="2502">
          <cell r="A2502" t="str">
            <v>ARRENTA</v>
          </cell>
          <cell r="B2502">
            <v>202507</v>
          </cell>
          <cell r="D2502" t="str">
            <v>Eventos</v>
          </cell>
          <cell r="G2502" t="str">
            <v>Presupuesto</v>
          </cell>
        </row>
        <row r="2503">
          <cell r="A2503" t="str">
            <v>ARRENTA</v>
          </cell>
          <cell r="B2503">
            <v>202507</v>
          </cell>
          <cell r="D2503" t="str">
            <v>Flotas</v>
          </cell>
          <cell r="G2503" t="str">
            <v>Presupuesto</v>
          </cell>
        </row>
        <row r="2504">
          <cell r="A2504" t="str">
            <v>ARRENTA</v>
          </cell>
          <cell r="B2504">
            <v>202507</v>
          </cell>
          <cell r="D2504" t="str">
            <v>Hogar</v>
          </cell>
          <cell r="G2504" t="str">
            <v>Presupuesto</v>
          </cell>
        </row>
        <row r="2505">
          <cell r="A2505" t="str">
            <v>ARRENTA</v>
          </cell>
          <cell r="B2505">
            <v>202507</v>
          </cell>
          <cell r="D2505" t="str">
            <v>Hogar</v>
          </cell>
          <cell r="G2505" t="str">
            <v>Real</v>
          </cell>
        </row>
        <row r="2506">
          <cell r="A2506" t="str">
            <v>ARRENTA</v>
          </cell>
          <cell r="B2506">
            <v>202507</v>
          </cell>
          <cell r="D2506" t="str">
            <v>Ingeniería</v>
          </cell>
          <cell r="G2506" t="str">
            <v>Presupuesto</v>
          </cell>
        </row>
        <row r="2507">
          <cell r="A2507" t="str">
            <v>ARRENTA</v>
          </cell>
          <cell r="B2507">
            <v>202507</v>
          </cell>
          <cell r="D2507" t="str">
            <v>Inmobiliario</v>
          </cell>
          <cell r="G2507" t="str">
            <v>Presupuesto</v>
          </cell>
        </row>
        <row r="2508">
          <cell r="A2508" t="str">
            <v>ARRENTA</v>
          </cell>
          <cell r="B2508">
            <v>202507</v>
          </cell>
          <cell r="D2508" t="str">
            <v>Inmobiliario</v>
          </cell>
          <cell r="G2508" t="str">
            <v>Real</v>
          </cell>
        </row>
        <row r="2509">
          <cell r="A2509" t="str">
            <v>ARRENTA</v>
          </cell>
          <cell r="B2509">
            <v>202507</v>
          </cell>
          <cell r="D2509" t="str">
            <v>Líneas Financieras</v>
          </cell>
          <cell r="G2509" t="str">
            <v>Presupuesto</v>
          </cell>
        </row>
        <row r="2510">
          <cell r="A2510" t="str">
            <v>ARRENTA</v>
          </cell>
          <cell r="B2510">
            <v>202507</v>
          </cell>
          <cell r="D2510" t="str">
            <v>Náutica</v>
          </cell>
          <cell r="G2510" t="str">
            <v>Presupuesto</v>
          </cell>
        </row>
        <row r="2511">
          <cell r="A2511" t="str">
            <v>ARRENTA</v>
          </cell>
          <cell r="B2511">
            <v>202507</v>
          </cell>
          <cell r="D2511" t="str">
            <v>Particulares Resto</v>
          </cell>
          <cell r="G2511" t="str">
            <v>Presupuesto</v>
          </cell>
        </row>
        <row r="2512">
          <cell r="A2512" t="str">
            <v>ARRENTA</v>
          </cell>
          <cell r="B2512">
            <v>202507</v>
          </cell>
          <cell r="D2512" t="str">
            <v>Particulares Resto</v>
          </cell>
          <cell r="G2512" t="str">
            <v>Real</v>
          </cell>
        </row>
        <row r="2513">
          <cell r="A2513" t="str">
            <v>ARRENTA</v>
          </cell>
          <cell r="B2513">
            <v>202507</v>
          </cell>
          <cell r="D2513" t="str">
            <v>Property</v>
          </cell>
          <cell r="G2513" t="str">
            <v>Presupuesto</v>
          </cell>
        </row>
        <row r="2514">
          <cell r="A2514" t="str">
            <v>ARRENTA</v>
          </cell>
          <cell r="B2514">
            <v>202507</v>
          </cell>
          <cell r="D2514" t="str">
            <v>Property</v>
          </cell>
          <cell r="G2514" t="str">
            <v>Real</v>
          </cell>
        </row>
        <row r="2515">
          <cell r="A2515" t="str">
            <v>ARRENTA</v>
          </cell>
          <cell r="B2515">
            <v>202507</v>
          </cell>
          <cell r="D2515" t="str">
            <v>RC</v>
          </cell>
          <cell r="G2515" t="str">
            <v>Presupuesto</v>
          </cell>
        </row>
        <row r="2516">
          <cell r="A2516" t="str">
            <v>ARRENTA</v>
          </cell>
          <cell r="B2516">
            <v>202507</v>
          </cell>
          <cell r="D2516" t="str">
            <v>RC</v>
          </cell>
          <cell r="G2516" t="str">
            <v>Real</v>
          </cell>
        </row>
        <row r="2517">
          <cell r="A2517" t="str">
            <v>ARRENTA</v>
          </cell>
          <cell r="B2517">
            <v>202507</v>
          </cell>
          <cell r="D2517" t="str">
            <v>Resto de lineas</v>
          </cell>
          <cell r="G2517" t="str">
            <v>Presupuesto</v>
          </cell>
        </row>
        <row r="2518">
          <cell r="A2518" t="str">
            <v>ARRENTA</v>
          </cell>
          <cell r="B2518">
            <v>202507</v>
          </cell>
          <cell r="D2518" t="str">
            <v>Retirada</v>
          </cell>
          <cell r="G2518" t="str">
            <v>Presupuesto</v>
          </cell>
        </row>
        <row r="2519">
          <cell r="A2519" t="str">
            <v>ARRENTA</v>
          </cell>
          <cell r="B2519">
            <v>202507</v>
          </cell>
          <cell r="D2519" t="str">
            <v>Seguros Personales (No Vida) Colectivos</v>
          </cell>
          <cell r="G2519" t="str">
            <v>Presupuesto</v>
          </cell>
        </row>
        <row r="2520">
          <cell r="A2520" t="str">
            <v>ARRENTA</v>
          </cell>
          <cell r="B2520">
            <v>202507</v>
          </cell>
          <cell r="D2520" t="str">
            <v>Seguros Personales (No Vida) Particular</v>
          </cell>
          <cell r="G2520" t="str">
            <v>Presupuesto</v>
          </cell>
        </row>
        <row r="2521">
          <cell r="A2521" t="str">
            <v>ARRENTA</v>
          </cell>
          <cell r="B2521">
            <v>202507</v>
          </cell>
          <cell r="D2521" t="str">
            <v>Seguros Personales (No Vida) Particular</v>
          </cell>
          <cell r="G2521" t="str">
            <v>Real</v>
          </cell>
        </row>
        <row r="2522">
          <cell r="A2522" t="str">
            <v>ARRENTA</v>
          </cell>
          <cell r="B2522">
            <v>202507</v>
          </cell>
          <cell r="D2522" t="str">
            <v>Transporte</v>
          </cell>
          <cell r="G2522" t="str">
            <v>Presupuesto</v>
          </cell>
        </row>
        <row r="2523">
          <cell r="A2523" t="str">
            <v>ARRENTA</v>
          </cell>
          <cell r="B2523">
            <v>202507</v>
          </cell>
          <cell r="D2523" t="str">
            <v>Venta Cruzada</v>
          </cell>
          <cell r="G2523" t="str">
            <v>Presupuesto</v>
          </cell>
        </row>
        <row r="2524">
          <cell r="A2524" t="str">
            <v>ARRENTA</v>
          </cell>
          <cell r="B2524">
            <v>202507</v>
          </cell>
          <cell r="D2524" t="str">
            <v>Vida Ahorro Colectivo</v>
          </cell>
          <cell r="G2524" t="str">
            <v>Presupuesto</v>
          </cell>
        </row>
        <row r="2525">
          <cell r="A2525" t="str">
            <v>ARRENTA</v>
          </cell>
          <cell r="B2525">
            <v>202507</v>
          </cell>
          <cell r="D2525" t="str">
            <v>Vida Ahorro Particular</v>
          </cell>
          <cell r="G2525" t="str">
            <v>Presupuesto</v>
          </cell>
        </row>
        <row r="2526">
          <cell r="A2526" t="str">
            <v>ARRENTA</v>
          </cell>
          <cell r="B2526">
            <v>202507</v>
          </cell>
          <cell r="D2526" t="str">
            <v>Vida Ganado</v>
          </cell>
          <cell r="G2526" t="str">
            <v>Presupuesto</v>
          </cell>
        </row>
        <row r="2527">
          <cell r="A2527" t="str">
            <v>ARRENTA</v>
          </cell>
          <cell r="B2527">
            <v>202507</v>
          </cell>
          <cell r="D2527" t="str">
            <v>Vida Riesgo Colectivo</v>
          </cell>
          <cell r="G2527" t="str">
            <v>Presupuesto</v>
          </cell>
        </row>
        <row r="2528">
          <cell r="A2528" t="str">
            <v>ARRENTA</v>
          </cell>
          <cell r="B2528">
            <v>202507</v>
          </cell>
          <cell r="D2528" t="str">
            <v>Vida Riesgo Particular</v>
          </cell>
          <cell r="G2528" t="str">
            <v>Presupuesto</v>
          </cell>
        </row>
        <row r="2529">
          <cell r="A2529" t="str">
            <v>ARRENTA</v>
          </cell>
          <cell r="B2529">
            <v>202507</v>
          </cell>
          <cell r="D2529" t="str">
            <v>Vida Riesgo Particular</v>
          </cell>
          <cell r="G2529" t="str">
            <v>Real</v>
          </cell>
        </row>
        <row r="2530">
          <cell r="A2530" t="str">
            <v>ARRENTA</v>
          </cell>
          <cell r="B2530">
            <v>202508</v>
          </cell>
          <cell r="D2530" t="str">
            <v>--</v>
          </cell>
          <cell r="G2530" t="str">
            <v>Presupuesto</v>
          </cell>
        </row>
        <row r="2531">
          <cell r="A2531" t="str">
            <v>ARRENTA</v>
          </cell>
          <cell r="B2531">
            <v>202508</v>
          </cell>
          <cell r="D2531" t="str">
            <v>--</v>
          </cell>
          <cell r="G2531" t="str">
            <v>Real</v>
          </cell>
        </row>
        <row r="2532">
          <cell r="A2532" t="str">
            <v>ARRENTA</v>
          </cell>
          <cell r="B2532">
            <v>202508</v>
          </cell>
          <cell r="D2532" t="str">
            <v>Arte</v>
          </cell>
          <cell r="G2532" t="str">
            <v>Presupuesto</v>
          </cell>
        </row>
        <row r="2533">
          <cell r="A2533" t="str">
            <v>ARRENTA</v>
          </cell>
          <cell r="B2533">
            <v>202508</v>
          </cell>
          <cell r="D2533" t="str">
            <v>Autos</v>
          </cell>
          <cell r="G2533" t="str">
            <v>Presupuesto</v>
          </cell>
        </row>
        <row r="2534">
          <cell r="A2534" t="str">
            <v>ARRENTA</v>
          </cell>
          <cell r="B2534">
            <v>202508</v>
          </cell>
          <cell r="D2534" t="str">
            <v>Autos</v>
          </cell>
          <cell r="G2534" t="str">
            <v>Real</v>
          </cell>
        </row>
        <row r="2535">
          <cell r="A2535" t="str">
            <v>ARRENTA</v>
          </cell>
          <cell r="B2535">
            <v>202508</v>
          </cell>
          <cell r="D2535" t="str">
            <v>B2B2C</v>
          </cell>
          <cell r="G2535" t="str">
            <v>Presupuesto</v>
          </cell>
        </row>
        <row r="2536">
          <cell r="A2536" t="str">
            <v>ARRENTA</v>
          </cell>
          <cell r="B2536">
            <v>202508</v>
          </cell>
          <cell r="D2536" t="str">
            <v>Caución</v>
          </cell>
          <cell r="G2536" t="str">
            <v>Presupuesto</v>
          </cell>
        </row>
        <row r="2537">
          <cell r="A2537" t="str">
            <v>ARRENTA</v>
          </cell>
          <cell r="B2537">
            <v>202508</v>
          </cell>
          <cell r="D2537" t="str">
            <v>Crédito Internacional</v>
          </cell>
          <cell r="G2537" t="str">
            <v>Presupuesto</v>
          </cell>
        </row>
        <row r="2538">
          <cell r="A2538" t="str">
            <v>ARRENTA</v>
          </cell>
          <cell r="B2538">
            <v>202508</v>
          </cell>
          <cell r="D2538" t="str">
            <v>Crédito Nacional</v>
          </cell>
          <cell r="G2538" t="str">
            <v>Presupuesto</v>
          </cell>
        </row>
        <row r="2539">
          <cell r="A2539" t="str">
            <v>ARRENTA</v>
          </cell>
          <cell r="B2539">
            <v>202508</v>
          </cell>
          <cell r="D2539" t="str">
            <v>Eventos</v>
          </cell>
          <cell r="G2539" t="str">
            <v>Presupuesto</v>
          </cell>
        </row>
        <row r="2540">
          <cell r="A2540" t="str">
            <v>ARRENTA</v>
          </cell>
          <cell r="B2540">
            <v>202508</v>
          </cell>
          <cell r="D2540" t="str">
            <v>Flotas</v>
          </cell>
          <cell r="G2540" t="str">
            <v>Presupuesto</v>
          </cell>
        </row>
        <row r="2541">
          <cell r="A2541" t="str">
            <v>ARRENTA</v>
          </cell>
          <cell r="B2541">
            <v>202508</v>
          </cell>
          <cell r="D2541" t="str">
            <v>Hogar</v>
          </cell>
          <cell r="G2541" t="str">
            <v>Presupuesto</v>
          </cell>
        </row>
        <row r="2542">
          <cell r="A2542" t="str">
            <v>ARRENTA</v>
          </cell>
          <cell r="B2542">
            <v>202508</v>
          </cell>
          <cell r="D2542" t="str">
            <v>Hogar</v>
          </cell>
          <cell r="G2542" t="str">
            <v>Real</v>
          </cell>
        </row>
        <row r="2543">
          <cell r="A2543" t="str">
            <v>ARRENTA</v>
          </cell>
          <cell r="B2543">
            <v>202508</v>
          </cell>
          <cell r="D2543" t="str">
            <v>Ingeniería</v>
          </cell>
          <cell r="G2543" t="str">
            <v>Presupuesto</v>
          </cell>
        </row>
        <row r="2544">
          <cell r="A2544" t="str">
            <v>ARRENTA</v>
          </cell>
          <cell r="B2544">
            <v>202508</v>
          </cell>
          <cell r="D2544" t="str">
            <v>Inmobiliario</v>
          </cell>
          <cell r="G2544" t="str">
            <v>Presupuesto</v>
          </cell>
        </row>
        <row r="2545">
          <cell r="A2545" t="str">
            <v>ARRENTA</v>
          </cell>
          <cell r="B2545">
            <v>202508</v>
          </cell>
          <cell r="D2545" t="str">
            <v>Inmobiliario</v>
          </cell>
          <cell r="G2545" t="str">
            <v>Real</v>
          </cell>
        </row>
        <row r="2546">
          <cell r="A2546" t="str">
            <v>ARRENTA</v>
          </cell>
          <cell r="B2546">
            <v>202508</v>
          </cell>
          <cell r="D2546" t="str">
            <v>Líneas Financieras</v>
          </cell>
          <cell r="G2546" t="str">
            <v>Presupuesto</v>
          </cell>
        </row>
        <row r="2547">
          <cell r="A2547" t="str">
            <v>ARRENTA</v>
          </cell>
          <cell r="B2547">
            <v>202508</v>
          </cell>
          <cell r="D2547" t="str">
            <v>Náutica</v>
          </cell>
          <cell r="G2547" t="str">
            <v>Presupuesto</v>
          </cell>
        </row>
        <row r="2548">
          <cell r="A2548" t="str">
            <v>ARRENTA</v>
          </cell>
          <cell r="B2548">
            <v>202508</v>
          </cell>
          <cell r="D2548" t="str">
            <v>Particulares Resto</v>
          </cell>
          <cell r="G2548" t="str">
            <v>Presupuesto</v>
          </cell>
        </row>
        <row r="2549">
          <cell r="A2549" t="str">
            <v>ARRENTA</v>
          </cell>
          <cell r="B2549">
            <v>202508</v>
          </cell>
          <cell r="D2549" t="str">
            <v>Particulares Resto</v>
          </cell>
          <cell r="G2549" t="str">
            <v>Real</v>
          </cell>
        </row>
        <row r="2550">
          <cell r="A2550" t="str">
            <v>ARRENTA</v>
          </cell>
          <cell r="B2550">
            <v>202508</v>
          </cell>
          <cell r="D2550" t="str">
            <v>Property</v>
          </cell>
          <cell r="G2550" t="str">
            <v>Presupuesto</v>
          </cell>
        </row>
        <row r="2551">
          <cell r="A2551" t="str">
            <v>ARRENTA</v>
          </cell>
          <cell r="B2551">
            <v>202508</v>
          </cell>
          <cell r="D2551" t="str">
            <v>RC</v>
          </cell>
          <cell r="G2551" t="str">
            <v>Presupuesto</v>
          </cell>
        </row>
        <row r="2552">
          <cell r="A2552" t="str">
            <v>ARRENTA</v>
          </cell>
          <cell r="B2552">
            <v>202508</v>
          </cell>
          <cell r="D2552" t="str">
            <v>RC</v>
          </cell>
          <cell r="G2552" t="str">
            <v>Real</v>
          </cell>
        </row>
        <row r="2553">
          <cell r="A2553" t="str">
            <v>ARRENTA</v>
          </cell>
          <cell r="B2553">
            <v>202508</v>
          </cell>
          <cell r="D2553" t="str">
            <v>Resto de lineas</v>
          </cell>
          <cell r="G2553" t="str">
            <v>Presupuesto</v>
          </cell>
        </row>
        <row r="2554">
          <cell r="A2554" t="str">
            <v>ARRENTA</v>
          </cell>
          <cell r="B2554">
            <v>202508</v>
          </cell>
          <cell r="D2554" t="str">
            <v>Retirada</v>
          </cell>
          <cell r="G2554" t="str">
            <v>Presupuesto</v>
          </cell>
        </row>
        <row r="2555">
          <cell r="A2555" t="str">
            <v>ARRENTA</v>
          </cell>
          <cell r="B2555">
            <v>202508</v>
          </cell>
          <cell r="D2555" t="str">
            <v>Seguros Personales (No Vida) Colectivos</v>
          </cell>
          <cell r="G2555" t="str">
            <v>Presupuesto</v>
          </cell>
        </row>
        <row r="2556">
          <cell r="A2556" t="str">
            <v>ARRENTA</v>
          </cell>
          <cell r="B2556">
            <v>202508</v>
          </cell>
          <cell r="D2556" t="str">
            <v>Seguros Personales (No Vida) Particular</v>
          </cell>
          <cell r="G2556" t="str">
            <v>Presupuesto</v>
          </cell>
        </row>
        <row r="2557">
          <cell r="A2557" t="str">
            <v>ARRENTA</v>
          </cell>
          <cell r="B2557">
            <v>202508</v>
          </cell>
          <cell r="D2557" t="str">
            <v>Seguros Personales (No Vida) Particular</v>
          </cell>
          <cell r="G2557" t="str">
            <v>Real</v>
          </cell>
        </row>
        <row r="2558">
          <cell r="A2558" t="str">
            <v>ARRENTA</v>
          </cell>
          <cell r="B2558">
            <v>202508</v>
          </cell>
          <cell r="D2558" t="str">
            <v>Transporte</v>
          </cell>
          <cell r="G2558" t="str">
            <v>Presupuesto</v>
          </cell>
        </row>
        <row r="2559">
          <cell r="A2559" t="str">
            <v>ARRENTA</v>
          </cell>
          <cell r="B2559">
            <v>202508</v>
          </cell>
          <cell r="D2559" t="str">
            <v>Venta Cruzada</v>
          </cell>
          <cell r="G2559" t="str">
            <v>Presupuesto</v>
          </cell>
        </row>
        <row r="2560">
          <cell r="A2560" t="str">
            <v>ARRENTA</v>
          </cell>
          <cell r="B2560">
            <v>202508</v>
          </cell>
          <cell r="D2560" t="str">
            <v>Vida Ahorro Colectivo</v>
          </cell>
          <cell r="G2560" t="str">
            <v>Presupuesto</v>
          </cell>
        </row>
        <row r="2561">
          <cell r="A2561" t="str">
            <v>ARRENTA</v>
          </cell>
          <cell r="B2561">
            <v>202508</v>
          </cell>
          <cell r="D2561" t="str">
            <v>Vida Ahorro Particular</v>
          </cell>
          <cell r="G2561" t="str">
            <v>Presupuesto</v>
          </cell>
        </row>
        <row r="2562">
          <cell r="A2562" t="str">
            <v>ARRENTA</v>
          </cell>
          <cell r="B2562">
            <v>202508</v>
          </cell>
          <cell r="D2562" t="str">
            <v>Vida Ganado</v>
          </cell>
          <cell r="G2562" t="str">
            <v>Presupuesto</v>
          </cell>
        </row>
        <row r="2563">
          <cell r="A2563" t="str">
            <v>ARRENTA</v>
          </cell>
          <cell r="B2563">
            <v>202508</v>
          </cell>
          <cell r="D2563" t="str">
            <v>Vida Riesgo Colectivo</v>
          </cell>
          <cell r="G2563" t="str">
            <v>Presupuesto</v>
          </cell>
        </row>
        <row r="2564">
          <cell r="A2564" t="str">
            <v>ARRENTA</v>
          </cell>
          <cell r="B2564">
            <v>202508</v>
          </cell>
          <cell r="D2564" t="str">
            <v>Vida Riesgo Particular</v>
          </cell>
          <cell r="G2564" t="str">
            <v>Presupuesto</v>
          </cell>
        </row>
        <row r="2565">
          <cell r="A2565" t="str">
            <v>ARRENTA</v>
          </cell>
          <cell r="B2565">
            <v>202508</v>
          </cell>
          <cell r="D2565" t="str">
            <v>Vida Riesgo Particular</v>
          </cell>
          <cell r="G2565" t="str">
            <v>Real</v>
          </cell>
        </row>
        <row r="2566">
          <cell r="A2566" t="str">
            <v>ARRENTA</v>
          </cell>
          <cell r="B2566">
            <v>202509</v>
          </cell>
          <cell r="D2566" t="str">
            <v>--</v>
          </cell>
          <cell r="G2566" t="str">
            <v>Presupuesto</v>
          </cell>
        </row>
        <row r="2567">
          <cell r="A2567" t="str">
            <v>ARRENTA</v>
          </cell>
          <cell r="B2567">
            <v>202509</v>
          </cell>
          <cell r="D2567" t="str">
            <v>--</v>
          </cell>
          <cell r="G2567" t="str">
            <v>Real</v>
          </cell>
        </row>
        <row r="2568">
          <cell r="A2568" t="str">
            <v>ARRENTA</v>
          </cell>
          <cell r="B2568">
            <v>202509</v>
          </cell>
          <cell r="D2568" t="str">
            <v>Arte</v>
          </cell>
          <cell r="G2568" t="str">
            <v>Presupuesto</v>
          </cell>
        </row>
        <row r="2569">
          <cell r="A2569" t="str">
            <v>ARRENTA</v>
          </cell>
          <cell r="B2569">
            <v>202509</v>
          </cell>
          <cell r="D2569" t="str">
            <v>Autos</v>
          </cell>
          <cell r="G2569" t="str">
            <v>Presupuesto</v>
          </cell>
        </row>
        <row r="2570">
          <cell r="A2570" t="str">
            <v>ARRENTA</v>
          </cell>
          <cell r="B2570">
            <v>202509</v>
          </cell>
          <cell r="D2570" t="str">
            <v>Autos</v>
          </cell>
          <cell r="G2570" t="str">
            <v>Real</v>
          </cell>
        </row>
        <row r="2571">
          <cell r="A2571" t="str">
            <v>ARRENTA</v>
          </cell>
          <cell r="B2571">
            <v>202509</v>
          </cell>
          <cell r="D2571" t="str">
            <v>B2B2C</v>
          </cell>
          <cell r="G2571" t="str">
            <v>Presupuesto</v>
          </cell>
        </row>
        <row r="2572">
          <cell r="A2572" t="str">
            <v>ARRENTA</v>
          </cell>
          <cell r="B2572">
            <v>202509</v>
          </cell>
          <cell r="D2572" t="str">
            <v>Caución</v>
          </cell>
          <cell r="G2572" t="str">
            <v>Presupuesto</v>
          </cell>
        </row>
        <row r="2573">
          <cell r="A2573" t="str">
            <v>ARRENTA</v>
          </cell>
          <cell r="B2573">
            <v>202509</v>
          </cell>
          <cell r="D2573" t="str">
            <v>Crédito Internacional</v>
          </cell>
          <cell r="G2573" t="str">
            <v>Presupuesto</v>
          </cell>
        </row>
        <row r="2574">
          <cell r="A2574" t="str">
            <v>ARRENTA</v>
          </cell>
          <cell r="B2574">
            <v>202509</v>
          </cell>
          <cell r="D2574" t="str">
            <v>Crédito Nacional</v>
          </cell>
          <cell r="G2574" t="str">
            <v>Presupuesto</v>
          </cell>
        </row>
        <row r="2575">
          <cell r="A2575" t="str">
            <v>ARRENTA</v>
          </cell>
          <cell r="B2575">
            <v>202509</v>
          </cell>
          <cell r="D2575" t="str">
            <v>Eventos</v>
          </cell>
          <cell r="G2575" t="str">
            <v>Presupuesto</v>
          </cell>
        </row>
        <row r="2576">
          <cell r="A2576" t="str">
            <v>ARRENTA</v>
          </cell>
          <cell r="B2576">
            <v>202509</v>
          </cell>
          <cell r="D2576" t="str">
            <v>Flotas</v>
          </cell>
          <cell r="G2576" t="str">
            <v>Presupuesto</v>
          </cell>
        </row>
        <row r="2577">
          <cell r="A2577" t="str">
            <v>ARRENTA</v>
          </cell>
          <cell r="B2577">
            <v>202509</v>
          </cell>
          <cell r="D2577" t="str">
            <v>Hogar</v>
          </cell>
          <cell r="G2577" t="str">
            <v>Presupuesto</v>
          </cell>
        </row>
        <row r="2578">
          <cell r="A2578" t="str">
            <v>ARRENTA</v>
          </cell>
          <cell r="B2578">
            <v>202509</v>
          </cell>
          <cell r="D2578" t="str">
            <v>Hogar</v>
          </cell>
          <cell r="G2578" t="str">
            <v>Real</v>
          </cell>
        </row>
        <row r="2579">
          <cell r="A2579" t="str">
            <v>ARRENTA</v>
          </cell>
          <cell r="B2579">
            <v>202509</v>
          </cell>
          <cell r="D2579" t="str">
            <v>Ingeniería</v>
          </cell>
          <cell r="G2579" t="str">
            <v>Presupuesto</v>
          </cell>
        </row>
        <row r="2580">
          <cell r="A2580" t="str">
            <v>ARRENTA</v>
          </cell>
          <cell r="B2580">
            <v>202509</v>
          </cell>
          <cell r="D2580" t="str">
            <v>Inmobiliario</v>
          </cell>
          <cell r="G2580" t="str">
            <v>Presupuesto</v>
          </cell>
        </row>
        <row r="2581">
          <cell r="A2581" t="str">
            <v>ARRENTA</v>
          </cell>
          <cell r="B2581">
            <v>202509</v>
          </cell>
          <cell r="D2581" t="str">
            <v>Inmobiliario</v>
          </cell>
          <cell r="G2581" t="str">
            <v>Real</v>
          </cell>
        </row>
        <row r="2582">
          <cell r="A2582" t="str">
            <v>ARRENTA</v>
          </cell>
          <cell r="B2582">
            <v>202509</v>
          </cell>
          <cell r="D2582" t="str">
            <v>Líneas Financieras</v>
          </cell>
          <cell r="G2582" t="str">
            <v>Presupuesto</v>
          </cell>
        </row>
        <row r="2583">
          <cell r="A2583" t="str">
            <v>ARRENTA</v>
          </cell>
          <cell r="B2583">
            <v>202509</v>
          </cell>
          <cell r="D2583" t="str">
            <v>Náutica</v>
          </cell>
          <cell r="G2583" t="str">
            <v>Presupuesto</v>
          </cell>
        </row>
        <row r="2584">
          <cell r="A2584" t="str">
            <v>ARRENTA</v>
          </cell>
          <cell r="B2584">
            <v>202509</v>
          </cell>
          <cell r="D2584" t="str">
            <v>Particulares Resto</v>
          </cell>
          <cell r="G2584" t="str">
            <v>Presupuesto</v>
          </cell>
        </row>
        <row r="2585">
          <cell r="A2585" t="str">
            <v>ARRENTA</v>
          </cell>
          <cell r="B2585">
            <v>202509</v>
          </cell>
          <cell r="D2585" t="str">
            <v>Particulares Resto</v>
          </cell>
          <cell r="G2585" t="str">
            <v>Real</v>
          </cell>
        </row>
        <row r="2586">
          <cell r="A2586" t="str">
            <v>ARRENTA</v>
          </cell>
          <cell r="B2586">
            <v>202509</v>
          </cell>
          <cell r="D2586" t="str">
            <v>Property</v>
          </cell>
          <cell r="G2586" t="str">
            <v>Presupuesto</v>
          </cell>
        </row>
        <row r="2587">
          <cell r="A2587" t="str">
            <v>ARRENTA</v>
          </cell>
          <cell r="B2587">
            <v>202509</v>
          </cell>
          <cell r="D2587" t="str">
            <v>RC</v>
          </cell>
          <cell r="G2587" t="str">
            <v>Presupuesto</v>
          </cell>
        </row>
        <row r="2588">
          <cell r="A2588" t="str">
            <v>ARRENTA</v>
          </cell>
          <cell r="B2588">
            <v>202509</v>
          </cell>
          <cell r="D2588" t="str">
            <v>RC</v>
          </cell>
          <cell r="G2588" t="str">
            <v>Real</v>
          </cell>
        </row>
        <row r="2589">
          <cell r="A2589" t="str">
            <v>ARRENTA</v>
          </cell>
          <cell r="B2589">
            <v>202509</v>
          </cell>
          <cell r="D2589" t="str">
            <v>Resto de lineas</v>
          </cell>
          <cell r="G2589" t="str">
            <v>Presupuesto</v>
          </cell>
        </row>
        <row r="2590">
          <cell r="A2590" t="str">
            <v>ARRENTA</v>
          </cell>
          <cell r="B2590">
            <v>202509</v>
          </cell>
          <cell r="D2590" t="str">
            <v>Retirada</v>
          </cell>
          <cell r="G2590" t="str">
            <v>Presupuesto</v>
          </cell>
        </row>
        <row r="2591">
          <cell r="A2591" t="str">
            <v>ARRENTA</v>
          </cell>
          <cell r="B2591">
            <v>202509</v>
          </cell>
          <cell r="D2591" t="str">
            <v>Seguros Personales (No Vida) Colectivos</v>
          </cell>
          <cell r="G2591" t="str">
            <v>Presupuesto</v>
          </cell>
        </row>
        <row r="2592">
          <cell r="A2592" t="str">
            <v>ARRENTA</v>
          </cell>
          <cell r="B2592">
            <v>202509</v>
          </cell>
          <cell r="D2592" t="str">
            <v>Seguros Personales (No Vida) Particular</v>
          </cell>
          <cell r="G2592" t="str">
            <v>Presupuesto</v>
          </cell>
        </row>
        <row r="2593">
          <cell r="A2593" t="str">
            <v>ARRENTA</v>
          </cell>
          <cell r="B2593">
            <v>202509</v>
          </cell>
          <cell r="D2593" t="str">
            <v>Seguros Personales (No Vida) Particular</v>
          </cell>
          <cell r="G2593" t="str">
            <v>Real</v>
          </cell>
        </row>
        <row r="2594">
          <cell r="A2594" t="str">
            <v>ARRENTA</v>
          </cell>
          <cell r="B2594">
            <v>202509</v>
          </cell>
          <cell r="D2594" t="str">
            <v>Transporte</v>
          </cell>
          <cell r="G2594" t="str">
            <v>Presupuesto</v>
          </cell>
        </row>
        <row r="2595">
          <cell r="A2595" t="str">
            <v>ARRENTA</v>
          </cell>
          <cell r="B2595">
            <v>202509</v>
          </cell>
          <cell r="D2595" t="str">
            <v>Venta Cruzada</v>
          </cell>
          <cell r="G2595" t="str">
            <v>Presupuesto</v>
          </cell>
        </row>
        <row r="2596">
          <cell r="A2596" t="str">
            <v>ARRENTA</v>
          </cell>
          <cell r="B2596">
            <v>202509</v>
          </cell>
          <cell r="D2596" t="str">
            <v>Vida Ahorro Colectivo</v>
          </cell>
          <cell r="G2596" t="str">
            <v>Presupuesto</v>
          </cell>
        </row>
        <row r="2597">
          <cell r="A2597" t="str">
            <v>ARRENTA</v>
          </cell>
          <cell r="B2597">
            <v>202509</v>
          </cell>
          <cell r="D2597" t="str">
            <v>Vida Ahorro Particular</v>
          </cell>
          <cell r="G2597" t="str">
            <v>Presupuesto</v>
          </cell>
        </row>
        <row r="2598">
          <cell r="A2598" t="str">
            <v>ARRENTA</v>
          </cell>
          <cell r="B2598">
            <v>202509</v>
          </cell>
          <cell r="D2598" t="str">
            <v>Vida Ganado</v>
          </cell>
          <cell r="G2598" t="str">
            <v>Presupuesto</v>
          </cell>
        </row>
        <row r="2599">
          <cell r="A2599" t="str">
            <v>ARRENTA</v>
          </cell>
          <cell r="B2599">
            <v>202509</v>
          </cell>
          <cell r="D2599" t="str">
            <v>Vida Riesgo Colectivo</v>
          </cell>
          <cell r="G2599" t="str">
            <v>Presupuesto</v>
          </cell>
        </row>
        <row r="2600">
          <cell r="A2600" t="str">
            <v>ARRENTA</v>
          </cell>
          <cell r="B2600">
            <v>202509</v>
          </cell>
          <cell r="D2600" t="str">
            <v>Vida Riesgo Particular</v>
          </cell>
          <cell r="G2600" t="str">
            <v>Presupuesto</v>
          </cell>
        </row>
        <row r="2601">
          <cell r="A2601" t="str">
            <v>ARRENTA</v>
          </cell>
          <cell r="B2601">
            <v>202509</v>
          </cell>
          <cell r="D2601" t="str">
            <v>Vida Riesgo Particular</v>
          </cell>
          <cell r="G2601" t="str">
            <v>Real</v>
          </cell>
        </row>
        <row r="2602">
          <cell r="A2602" t="str">
            <v>ARRENTA</v>
          </cell>
          <cell r="B2602">
            <v>202510</v>
          </cell>
          <cell r="D2602" t="str">
            <v>--</v>
          </cell>
          <cell r="G2602" t="str">
            <v>Presupuesto</v>
          </cell>
        </row>
        <row r="2603">
          <cell r="A2603" t="str">
            <v>ARRENTA</v>
          </cell>
          <cell r="B2603">
            <v>202510</v>
          </cell>
          <cell r="D2603" t="str">
            <v>--</v>
          </cell>
          <cell r="G2603" t="str">
            <v>Real</v>
          </cell>
        </row>
        <row r="2604">
          <cell r="A2604" t="str">
            <v>ARRENTA</v>
          </cell>
          <cell r="B2604">
            <v>202510</v>
          </cell>
          <cell r="D2604" t="str">
            <v>Arte</v>
          </cell>
          <cell r="G2604" t="str">
            <v>Presupuesto</v>
          </cell>
        </row>
        <row r="2605">
          <cell r="A2605" t="str">
            <v>ARRENTA</v>
          </cell>
          <cell r="B2605">
            <v>202510</v>
          </cell>
          <cell r="D2605" t="str">
            <v>Autos</v>
          </cell>
          <cell r="G2605" t="str">
            <v>Presupuesto</v>
          </cell>
        </row>
        <row r="2606">
          <cell r="A2606" t="str">
            <v>ARRENTA</v>
          </cell>
          <cell r="B2606">
            <v>202510</v>
          </cell>
          <cell r="D2606" t="str">
            <v>Autos</v>
          </cell>
          <cell r="G2606" t="str">
            <v>Real</v>
          </cell>
        </row>
        <row r="2607">
          <cell r="A2607" t="str">
            <v>ARRENTA</v>
          </cell>
          <cell r="B2607">
            <v>202510</v>
          </cell>
          <cell r="D2607" t="str">
            <v>B2B2C</v>
          </cell>
          <cell r="G2607" t="str">
            <v>Presupuesto</v>
          </cell>
        </row>
        <row r="2608">
          <cell r="A2608" t="str">
            <v>ARRENTA</v>
          </cell>
          <cell r="B2608">
            <v>202510</v>
          </cell>
          <cell r="D2608" t="str">
            <v>Caución</v>
          </cell>
          <cell r="G2608" t="str">
            <v>Presupuesto</v>
          </cell>
        </row>
        <row r="2609">
          <cell r="A2609" t="str">
            <v>ARRENTA</v>
          </cell>
          <cell r="B2609">
            <v>202510</v>
          </cell>
          <cell r="D2609" t="str">
            <v>Crédito Internacional</v>
          </cell>
          <cell r="G2609" t="str">
            <v>Presupuesto</v>
          </cell>
        </row>
        <row r="2610">
          <cell r="A2610" t="str">
            <v>ARRENTA</v>
          </cell>
          <cell r="B2610">
            <v>202510</v>
          </cell>
          <cell r="D2610" t="str">
            <v>Crédito Nacional</v>
          </cell>
          <cell r="G2610" t="str">
            <v>Presupuesto</v>
          </cell>
        </row>
        <row r="2611">
          <cell r="A2611" t="str">
            <v>ARRENTA</v>
          </cell>
          <cell r="B2611">
            <v>202510</v>
          </cell>
          <cell r="D2611" t="str">
            <v>Eventos</v>
          </cell>
          <cell r="G2611" t="str">
            <v>Presupuesto</v>
          </cell>
        </row>
        <row r="2612">
          <cell r="A2612" t="str">
            <v>ARRENTA</v>
          </cell>
          <cell r="B2612">
            <v>202510</v>
          </cell>
          <cell r="D2612" t="str">
            <v>Flotas</v>
          </cell>
          <cell r="G2612" t="str">
            <v>Presupuesto</v>
          </cell>
        </row>
        <row r="2613">
          <cell r="A2613" t="str">
            <v>ARRENTA</v>
          </cell>
          <cell r="B2613">
            <v>202510</v>
          </cell>
          <cell r="D2613" t="str">
            <v>Hogar</v>
          </cell>
          <cell r="G2613" t="str">
            <v>Presupuesto</v>
          </cell>
        </row>
        <row r="2614">
          <cell r="A2614" t="str">
            <v>ARRENTA</v>
          </cell>
          <cell r="B2614">
            <v>202510</v>
          </cell>
          <cell r="D2614" t="str">
            <v>Hogar</v>
          </cell>
          <cell r="G2614" t="str">
            <v>Real</v>
          </cell>
        </row>
        <row r="2615">
          <cell r="A2615" t="str">
            <v>ARRENTA</v>
          </cell>
          <cell r="B2615">
            <v>202510</v>
          </cell>
          <cell r="D2615" t="str">
            <v>Ingeniería</v>
          </cell>
          <cell r="G2615" t="str">
            <v>Presupuesto</v>
          </cell>
        </row>
        <row r="2616">
          <cell r="A2616" t="str">
            <v>ARRENTA</v>
          </cell>
          <cell r="B2616">
            <v>202510</v>
          </cell>
          <cell r="D2616" t="str">
            <v>Inmobiliario</v>
          </cell>
          <cell r="G2616" t="str">
            <v>Presupuesto</v>
          </cell>
        </row>
        <row r="2617">
          <cell r="A2617" t="str">
            <v>ARRENTA</v>
          </cell>
          <cell r="B2617">
            <v>202510</v>
          </cell>
          <cell r="D2617" t="str">
            <v>Inmobiliario</v>
          </cell>
          <cell r="G2617" t="str">
            <v>Real</v>
          </cell>
        </row>
        <row r="2618">
          <cell r="A2618" t="str">
            <v>ARRENTA</v>
          </cell>
          <cell r="B2618">
            <v>202510</v>
          </cell>
          <cell r="D2618" t="str">
            <v>Líneas Financieras</v>
          </cell>
          <cell r="G2618" t="str">
            <v>Presupuesto</v>
          </cell>
        </row>
        <row r="2619">
          <cell r="A2619" t="str">
            <v>ARRENTA</v>
          </cell>
          <cell r="B2619">
            <v>202510</v>
          </cell>
          <cell r="D2619" t="str">
            <v>Náutica</v>
          </cell>
          <cell r="G2619" t="str">
            <v>Presupuesto</v>
          </cell>
        </row>
        <row r="2620">
          <cell r="A2620" t="str">
            <v>ARRENTA</v>
          </cell>
          <cell r="B2620">
            <v>202510</v>
          </cell>
          <cell r="D2620" t="str">
            <v>Particulares Resto</v>
          </cell>
          <cell r="G2620" t="str">
            <v>Presupuesto</v>
          </cell>
        </row>
        <row r="2621">
          <cell r="A2621" t="str">
            <v>ARRENTA</v>
          </cell>
          <cell r="B2621">
            <v>202510</v>
          </cell>
          <cell r="D2621" t="str">
            <v>Particulares Resto</v>
          </cell>
          <cell r="G2621" t="str">
            <v>Real</v>
          </cell>
        </row>
        <row r="2622">
          <cell r="A2622" t="str">
            <v>ARRENTA</v>
          </cell>
          <cell r="B2622">
            <v>202510</v>
          </cell>
          <cell r="D2622" t="str">
            <v>Property</v>
          </cell>
          <cell r="G2622" t="str">
            <v>Presupuesto</v>
          </cell>
        </row>
        <row r="2623">
          <cell r="A2623" t="str">
            <v>ARRENTA</v>
          </cell>
          <cell r="B2623">
            <v>202510</v>
          </cell>
          <cell r="D2623" t="str">
            <v>RC</v>
          </cell>
          <cell r="G2623" t="str">
            <v>Presupuesto</v>
          </cell>
        </row>
        <row r="2624">
          <cell r="A2624" t="str">
            <v>ARRENTA</v>
          </cell>
          <cell r="B2624">
            <v>202510</v>
          </cell>
          <cell r="D2624" t="str">
            <v>RC</v>
          </cell>
          <cell r="G2624" t="str">
            <v>Real</v>
          </cell>
        </row>
        <row r="2625">
          <cell r="A2625" t="str">
            <v>ARRENTA</v>
          </cell>
          <cell r="B2625">
            <v>202510</v>
          </cell>
          <cell r="D2625" t="str">
            <v>Resto de lineas</v>
          </cell>
          <cell r="G2625" t="str">
            <v>Presupuesto</v>
          </cell>
        </row>
        <row r="2626">
          <cell r="A2626" t="str">
            <v>ARRENTA</v>
          </cell>
          <cell r="B2626">
            <v>202510</v>
          </cell>
          <cell r="D2626" t="str">
            <v>Retirada</v>
          </cell>
          <cell r="G2626" t="str">
            <v>Presupuesto</v>
          </cell>
        </row>
        <row r="2627">
          <cell r="A2627" t="str">
            <v>ARRENTA</v>
          </cell>
          <cell r="B2627">
            <v>202510</v>
          </cell>
          <cell r="D2627" t="str">
            <v>Seguros Personales (No Vida) Colectivos</v>
          </cell>
          <cell r="G2627" t="str">
            <v>Presupuesto</v>
          </cell>
        </row>
        <row r="2628">
          <cell r="A2628" t="str">
            <v>ARRENTA</v>
          </cell>
          <cell r="B2628">
            <v>202510</v>
          </cell>
          <cell r="D2628" t="str">
            <v>Seguros Personales (No Vida) Particular</v>
          </cell>
          <cell r="G2628" t="str">
            <v>Presupuesto</v>
          </cell>
        </row>
        <row r="2629">
          <cell r="A2629" t="str">
            <v>ARRENTA</v>
          </cell>
          <cell r="B2629">
            <v>202510</v>
          </cell>
          <cell r="D2629" t="str">
            <v>Seguros Personales (No Vida) Particular</v>
          </cell>
          <cell r="G2629" t="str">
            <v>Real</v>
          </cell>
        </row>
        <row r="2630">
          <cell r="A2630" t="str">
            <v>ARRENTA</v>
          </cell>
          <cell r="B2630">
            <v>202510</v>
          </cell>
          <cell r="D2630" t="str">
            <v>Transporte</v>
          </cell>
          <cell r="G2630" t="str">
            <v>Presupuesto</v>
          </cell>
        </row>
        <row r="2631">
          <cell r="A2631" t="str">
            <v>ARRENTA</v>
          </cell>
          <cell r="B2631">
            <v>202510</v>
          </cell>
          <cell r="D2631" t="str">
            <v>Venta Cruzada</v>
          </cell>
          <cell r="G2631" t="str">
            <v>Presupuesto</v>
          </cell>
        </row>
        <row r="2632">
          <cell r="A2632" t="str">
            <v>ARRENTA</v>
          </cell>
          <cell r="B2632">
            <v>202510</v>
          </cell>
          <cell r="D2632" t="str">
            <v>Vida Ahorro Colectivo</v>
          </cell>
          <cell r="G2632" t="str">
            <v>Presupuesto</v>
          </cell>
        </row>
        <row r="2633">
          <cell r="A2633" t="str">
            <v>ARRENTA</v>
          </cell>
          <cell r="B2633">
            <v>202510</v>
          </cell>
          <cell r="D2633" t="str">
            <v>Vida Ahorro Particular</v>
          </cell>
          <cell r="G2633" t="str">
            <v>Presupuesto</v>
          </cell>
        </row>
        <row r="2634">
          <cell r="A2634" t="str">
            <v>ARRENTA</v>
          </cell>
          <cell r="B2634">
            <v>202510</v>
          </cell>
          <cell r="D2634" t="str">
            <v>Vida Ganado</v>
          </cell>
          <cell r="G2634" t="str">
            <v>Presupuesto</v>
          </cell>
        </row>
        <row r="2635">
          <cell r="A2635" t="str">
            <v>ARRENTA</v>
          </cell>
          <cell r="B2635">
            <v>202510</v>
          </cell>
          <cell r="D2635" t="str">
            <v>Vida Riesgo Colectivo</v>
          </cell>
          <cell r="G2635" t="str">
            <v>Presupuesto</v>
          </cell>
        </row>
        <row r="2636">
          <cell r="A2636" t="str">
            <v>ARRENTA</v>
          </cell>
          <cell r="B2636">
            <v>202510</v>
          </cell>
          <cell r="D2636" t="str">
            <v>Vida Riesgo Particular</v>
          </cell>
          <cell r="G2636" t="str">
            <v>Presupuesto</v>
          </cell>
        </row>
        <row r="2637">
          <cell r="A2637" t="str">
            <v>ARRENTA</v>
          </cell>
          <cell r="B2637">
            <v>202510</v>
          </cell>
          <cell r="D2637" t="str">
            <v>Vida Riesgo Particular</v>
          </cell>
          <cell r="G2637" t="str">
            <v>Real</v>
          </cell>
        </row>
        <row r="2638">
          <cell r="A2638" t="str">
            <v>ARRENTA</v>
          </cell>
          <cell r="B2638">
            <v>202511</v>
          </cell>
          <cell r="D2638" t="str">
            <v>--</v>
          </cell>
          <cell r="G2638" t="str">
            <v>Presupuesto</v>
          </cell>
        </row>
        <row r="2639">
          <cell r="A2639" t="str">
            <v>ARRENTA</v>
          </cell>
          <cell r="B2639">
            <v>202511</v>
          </cell>
          <cell r="D2639" t="str">
            <v>--</v>
          </cell>
          <cell r="G2639" t="str">
            <v>Real</v>
          </cell>
        </row>
        <row r="2640">
          <cell r="A2640" t="str">
            <v>ARRENTA</v>
          </cell>
          <cell r="B2640">
            <v>202511</v>
          </cell>
          <cell r="D2640" t="str">
            <v>Arte</v>
          </cell>
          <cell r="G2640" t="str">
            <v>Presupuesto</v>
          </cell>
        </row>
        <row r="2641">
          <cell r="A2641" t="str">
            <v>ARRENTA</v>
          </cell>
          <cell r="B2641">
            <v>202511</v>
          </cell>
          <cell r="D2641" t="str">
            <v>Autos</v>
          </cell>
          <cell r="G2641" t="str">
            <v>Presupuesto</v>
          </cell>
        </row>
        <row r="2642">
          <cell r="A2642" t="str">
            <v>ARRENTA</v>
          </cell>
          <cell r="B2642">
            <v>202511</v>
          </cell>
          <cell r="D2642" t="str">
            <v>Autos</v>
          </cell>
          <cell r="G2642" t="str">
            <v>Real</v>
          </cell>
        </row>
        <row r="2643">
          <cell r="A2643" t="str">
            <v>ARRENTA</v>
          </cell>
          <cell r="B2643">
            <v>202511</v>
          </cell>
          <cell r="D2643" t="str">
            <v>B2B2C</v>
          </cell>
          <cell r="G2643" t="str">
            <v>Presupuesto</v>
          </cell>
        </row>
        <row r="2644">
          <cell r="A2644" t="str">
            <v>ARRENTA</v>
          </cell>
          <cell r="B2644">
            <v>202511</v>
          </cell>
          <cell r="D2644" t="str">
            <v>Caución</v>
          </cell>
          <cell r="G2644" t="str">
            <v>Presupuesto</v>
          </cell>
        </row>
        <row r="2645">
          <cell r="A2645" t="str">
            <v>ARRENTA</v>
          </cell>
          <cell r="B2645">
            <v>202511</v>
          </cell>
          <cell r="D2645" t="str">
            <v>Caución</v>
          </cell>
          <cell r="G2645" t="str">
            <v>Real</v>
          </cell>
        </row>
        <row r="2646">
          <cell r="A2646" t="str">
            <v>ARRENTA</v>
          </cell>
          <cell r="B2646">
            <v>202511</v>
          </cell>
          <cell r="D2646" t="str">
            <v>Crédito Internacional</v>
          </cell>
          <cell r="G2646" t="str">
            <v>Presupuesto</v>
          </cell>
        </row>
        <row r="2647">
          <cell r="A2647" t="str">
            <v>ARRENTA</v>
          </cell>
          <cell r="B2647">
            <v>202511</v>
          </cell>
          <cell r="D2647" t="str">
            <v>Crédito Nacional</v>
          </cell>
          <cell r="G2647" t="str">
            <v>Presupuesto</v>
          </cell>
        </row>
        <row r="2648">
          <cell r="A2648" t="str">
            <v>ARRENTA</v>
          </cell>
          <cell r="B2648">
            <v>202511</v>
          </cell>
          <cell r="D2648" t="str">
            <v>Eventos</v>
          </cell>
          <cell r="G2648" t="str">
            <v>Presupuesto</v>
          </cell>
        </row>
        <row r="2649">
          <cell r="A2649" t="str">
            <v>ARRENTA</v>
          </cell>
          <cell r="B2649">
            <v>202511</v>
          </cell>
          <cell r="D2649" t="str">
            <v>Flotas</v>
          </cell>
          <cell r="G2649" t="str">
            <v>Presupuesto</v>
          </cell>
        </row>
        <row r="2650">
          <cell r="A2650" t="str">
            <v>ARRENTA</v>
          </cell>
          <cell r="B2650">
            <v>202511</v>
          </cell>
          <cell r="D2650" t="str">
            <v>Hogar</v>
          </cell>
          <cell r="G2650" t="str">
            <v>Presupuesto</v>
          </cell>
        </row>
        <row r="2651">
          <cell r="A2651" t="str">
            <v>ARRENTA</v>
          </cell>
          <cell r="B2651">
            <v>202511</v>
          </cell>
          <cell r="D2651" t="str">
            <v>Hogar</v>
          </cell>
          <cell r="G2651" t="str">
            <v>Real</v>
          </cell>
        </row>
        <row r="2652">
          <cell r="A2652" t="str">
            <v>ARRENTA</v>
          </cell>
          <cell r="B2652">
            <v>202511</v>
          </cell>
          <cell r="D2652" t="str">
            <v>Ingeniería</v>
          </cell>
          <cell r="G2652" t="str">
            <v>Presupuesto</v>
          </cell>
        </row>
        <row r="2653">
          <cell r="A2653" t="str">
            <v>ARRENTA</v>
          </cell>
          <cell r="B2653">
            <v>202511</v>
          </cell>
          <cell r="D2653" t="str">
            <v>Inmobiliario</v>
          </cell>
          <cell r="G2653" t="str">
            <v>Presupuesto</v>
          </cell>
        </row>
        <row r="2654">
          <cell r="A2654" t="str">
            <v>ARRENTA</v>
          </cell>
          <cell r="B2654">
            <v>202511</v>
          </cell>
          <cell r="D2654" t="str">
            <v>Inmobiliario</v>
          </cell>
          <cell r="G2654" t="str">
            <v>Real</v>
          </cell>
        </row>
        <row r="2655">
          <cell r="A2655" t="str">
            <v>ARRENTA</v>
          </cell>
          <cell r="B2655">
            <v>202511</v>
          </cell>
          <cell r="D2655" t="str">
            <v>Líneas Financieras</v>
          </cell>
          <cell r="G2655" t="str">
            <v>Presupuesto</v>
          </cell>
        </row>
        <row r="2656">
          <cell r="A2656" t="str">
            <v>ARRENTA</v>
          </cell>
          <cell r="B2656">
            <v>202511</v>
          </cell>
          <cell r="D2656" t="str">
            <v>Náutica</v>
          </cell>
          <cell r="G2656" t="str">
            <v>Presupuesto</v>
          </cell>
        </row>
        <row r="2657">
          <cell r="A2657" t="str">
            <v>ARRENTA</v>
          </cell>
          <cell r="B2657">
            <v>202511</v>
          </cell>
          <cell r="D2657" t="str">
            <v>Particulares Resto</v>
          </cell>
          <cell r="G2657" t="str">
            <v>Presupuesto</v>
          </cell>
        </row>
        <row r="2658">
          <cell r="A2658" t="str">
            <v>ARRENTA</v>
          </cell>
          <cell r="B2658">
            <v>202511</v>
          </cell>
          <cell r="D2658" t="str">
            <v>Property</v>
          </cell>
          <cell r="G2658" t="str">
            <v>Presupuesto</v>
          </cell>
        </row>
        <row r="2659">
          <cell r="A2659" t="str">
            <v>ARRENTA</v>
          </cell>
          <cell r="B2659">
            <v>202511</v>
          </cell>
          <cell r="D2659" t="str">
            <v>RC</v>
          </cell>
          <cell r="G2659" t="str">
            <v>Presupuesto</v>
          </cell>
        </row>
        <row r="2660">
          <cell r="A2660" t="str">
            <v>ARRENTA</v>
          </cell>
          <cell r="B2660">
            <v>202511</v>
          </cell>
          <cell r="D2660" t="str">
            <v>RC</v>
          </cell>
          <cell r="G2660" t="str">
            <v>Real</v>
          </cell>
        </row>
        <row r="2661">
          <cell r="A2661" t="str">
            <v>ARRENTA</v>
          </cell>
          <cell r="B2661">
            <v>202511</v>
          </cell>
          <cell r="D2661" t="str">
            <v>Resto de lineas</v>
          </cell>
          <cell r="G2661" t="str">
            <v>Presupuesto</v>
          </cell>
        </row>
        <row r="2662">
          <cell r="A2662" t="str">
            <v>ARRENTA</v>
          </cell>
          <cell r="B2662">
            <v>202511</v>
          </cell>
          <cell r="D2662" t="str">
            <v>Retirada</v>
          </cell>
          <cell r="G2662" t="str">
            <v>Presupuesto</v>
          </cell>
        </row>
        <row r="2663">
          <cell r="A2663" t="str">
            <v>ARRENTA</v>
          </cell>
          <cell r="B2663">
            <v>202511</v>
          </cell>
          <cell r="D2663" t="str">
            <v>Seguros Personales (No Vida) Colectivos</v>
          </cell>
          <cell r="G2663" t="str">
            <v>Presupuesto</v>
          </cell>
        </row>
        <row r="2664">
          <cell r="A2664" t="str">
            <v>ARRENTA</v>
          </cell>
          <cell r="B2664">
            <v>202511</v>
          </cell>
          <cell r="D2664" t="str">
            <v>Seguros Personales (No Vida) Particular</v>
          </cell>
          <cell r="G2664" t="str">
            <v>Presupuesto</v>
          </cell>
        </row>
        <row r="2665">
          <cell r="A2665" t="str">
            <v>ARRENTA</v>
          </cell>
          <cell r="B2665">
            <v>202511</v>
          </cell>
          <cell r="D2665" t="str">
            <v>Seguros Personales (No Vida) Particular</v>
          </cell>
          <cell r="G2665" t="str">
            <v>Real</v>
          </cell>
        </row>
        <row r="2666">
          <cell r="A2666" t="str">
            <v>ARRENTA</v>
          </cell>
          <cell r="B2666">
            <v>202511</v>
          </cell>
          <cell r="D2666" t="str">
            <v>Transporte</v>
          </cell>
          <cell r="G2666" t="str">
            <v>Presupuesto</v>
          </cell>
        </row>
        <row r="2667">
          <cell r="A2667" t="str">
            <v>ARRENTA</v>
          </cell>
          <cell r="B2667">
            <v>202511</v>
          </cell>
          <cell r="D2667" t="str">
            <v>Venta Cruzada</v>
          </cell>
          <cell r="G2667" t="str">
            <v>Presupuesto</v>
          </cell>
        </row>
        <row r="2668">
          <cell r="A2668" t="str">
            <v>ARRENTA</v>
          </cell>
          <cell r="B2668">
            <v>202511</v>
          </cell>
          <cell r="D2668" t="str">
            <v>Vida Ahorro Colectivo</v>
          </cell>
          <cell r="G2668" t="str">
            <v>Presupuesto</v>
          </cell>
        </row>
        <row r="2669">
          <cell r="A2669" t="str">
            <v>ARRENTA</v>
          </cell>
          <cell r="B2669">
            <v>202511</v>
          </cell>
          <cell r="D2669" t="str">
            <v>Vida Ahorro Particular</v>
          </cell>
          <cell r="G2669" t="str">
            <v>Presupuesto</v>
          </cell>
        </row>
        <row r="2670">
          <cell r="A2670" t="str">
            <v>ARRENTA</v>
          </cell>
          <cell r="B2670">
            <v>202511</v>
          </cell>
          <cell r="D2670" t="str">
            <v>Vida Ganado</v>
          </cell>
          <cell r="G2670" t="str">
            <v>Presupuesto</v>
          </cell>
        </row>
        <row r="2671">
          <cell r="A2671" t="str">
            <v>ARRENTA</v>
          </cell>
          <cell r="B2671">
            <v>202511</v>
          </cell>
          <cell r="D2671" t="str">
            <v>Vida Riesgo Colectivo</v>
          </cell>
          <cell r="G2671" t="str">
            <v>Presupuesto</v>
          </cell>
        </row>
        <row r="2672">
          <cell r="A2672" t="str">
            <v>ARRENTA</v>
          </cell>
          <cell r="B2672">
            <v>202511</v>
          </cell>
          <cell r="D2672" t="str">
            <v>Vida Riesgo Particular</v>
          </cell>
          <cell r="G2672" t="str">
            <v>Presupuesto</v>
          </cell>
        </row>
        <row r="2673">
          <cell r="A2673" t="str">
            <v>ARRENTA</v>
          </cell>
          <cell r="B2673">
            <v>202511</v>
          </cell>
          <cell r="D2673" t="str">
            <v>Vida Riesgo Particular</v>
          </cell>
          <cell r="G2673" t="str">
            <v>Real</v>
          </cell>
        </row>
        <row r="2674">
          <cell r="A2674" t="str">
            <v>ARRENTA</v>
          </cell>
          <cell r="B2674">
            <v>202512</v>
          </cell>
          <cell r="D2674" t="str">
            <v>--</v>
          </cell>
          <cell r="G2674" t="str">
            <v>Presupuesto</v>
          </cell>
        </row>
        <row r="2675">
          <cell r="A2675" t="str">
            <v>ARRENTA</v>
          </cell>
          <cell r="B2675">
            <v>202512</v>
          </cell>
          <cell r="D2675" t="str">
            <v>--</v>
          </cell>
          <cell r="G2675" t="str">
            <v>Real</v>
          </cell>
        </row>
        <row r="2676">
          <cell r="A2676" t="str">
            <v>ARRENTA</v>
          </cell>
          <cell r="B2676">
            <v>202512</v>
          </cell>
          <cell r="D2676" t="str">
            <v>Arte</v>
          </cell>
          <cell r="G2676" t="str">
            <v>Presupuesto</v>
          </cell>
        </row>
        <row r="2677">
          <cell r="A2677" t="str">
            <v>ARRENTA</v>
          </cell>
          <cell r="B2677">
            <v>202512</v>
          </cell>
          <cell r="D2677" t="str">
            <v>Autos</v>
          </cell>
          <cell r="G2677" t="str">
            <v>Presupuesto</v>
          </cell>
        </row>
        <row r="2678">
          <cell r="A2678" t="str">
            <v>ARRENTA</v>
          </cell>
          <cell r="B2678">
            <v>202512</v>
          </cell>
          <cell r="D2678" t="str">
            <v>Autos</v>
          </cell>
          <cell r="G2678" t="str">
            <v>Real</v>
          </cell>
        </row>
        <row r="2679">
          <cell r="A2679" t="str">
            <v>ARRENTA</v>
          </cell>
          <cell r="B2679">
            <v>202512</v>
          </cell>
          <cell r="D2679" t="str">
            <v>B2B2C</v>
          </cell>
          <cell r="G2679" t="str">
            <v>Presupuesto</v>
          </cell>
        </row>
        <row r="2680">
          <cell r="A2680" t="str">
            <v>ARRENTA</v>
          </cell>
          <cell r="B2680">
            <v>202512</v>
          </cell>
          <cell r="D2680" t="str">
            <v>Caución</v>
          </cell>
          <cell r="G2680" t="str">
            <v>Presupuesto</v>
          </cell>
        </row>
        <row r="2681">
          <cell r="A2681" t="str">
            <v>ARRENTA</v>
          </cell>
          <cell r="B2681">
            <v>202512</v>
          </cell>
          <cell r="D2681" t="str">
            <v>Crédito Internacional</v>
          </cell>
          <cell r="G2681" t="str">
            <v>Presupuesto</v>
          </cell>
        </row>
        <row r="2682">
          <cell r="A2682" t="str">
            <v>ARRENTA</v>
          </cell>
          <cell r="B2682">
            <v>202512</v>
          </cell>
          <cell r="D2682" t="str">
            <v>Crédito Nacional</v>
          </cell>
          <cell r="G2682" t="str">
            <v>Presupuesto</v>
          </cell>
        </row>
        <row r="2683">
          <cell r="A2683" t="str">
            <v>ARRENTA</v>
          </cell>
          <cell r="B2683">
            <v>202512</v>
          </cell>
          <cell r="D2683" t="str">
            <v>Eventos</v>
          </cell>
          <cell r="G2683" t="str">
            <v>Presupuesto</v>
          </cell>
        </row>
        <row r="2684">
          <cell r="A2684" t="str">
            <v>ARRENTA</v>
          </cell>
          <cell r="B2684">
            <v>202512</v>
          </cell>
          <cell r="D2684" t="str">
            <v>Flotas</v>
          </cell>
          <cell r="G2684" t="str">
            <v>Presupuesto</v>
          </cell>
        </row>
        <row r="2685">
          <cell r="A2685" t="str">
            <v>ARRENTA</v>
          </cell>
          <cell r="B2685">
            <v>202512</v>
          </cell>
          <cell r="D2685" t="str">
            <v>Hogar</v>
          </cell>
          <cell r="G2685" t="str">
            <v>Presupuesto</v>
          </cell>
        </row>
        <row r="2686">
          <cell r="A2686" t="str">
            <v>ARRENTA</v>
          </cell>
          <cell r="B2686">
            <v>202512</v>
          </cell>
          <cell r="D2686" t="str">
            <v>Hogar</v>
          </cell>
          <cell r="G2686" t="str">
            <v>Real</v>
          </cell>
        </row>
        <row r="2687">
          <cell r="A2687" t="str">
            <v>ARRENTA</v>
          </cell>
          <cell r="B2687">
            <v>202512</v>
          </cell>
          <cell r="D2687" t="str">
            <v>Ingeniería</v>
          </cell>
          <cell r="G2687" t="str">
            <v>Presupuesto</v>
          </cell>
        </row>
        <row r="2688">
          <cell r="A2688" t="str">
            <v>ARRENTA</v>
          </cell>
          <cell r="B2688">
            <v>202512</v>
          </cell>
          <cell r="D2688" t="str">
            <v>Inmobiliario</v>
          </cell>
          <cell r="G2688" t="str">
            <v>Presupuesto</v>
          </cell>
        </row>
        <row r="2689">
          <cell r="A2689" t="str">
            <v>ARRENTA</v>
          </cell>
          <cell r="B2689">
            <v>202512</v>
          </cell>
          <cell r="D2689" t="str">
            <v>Inmobiliario</v>
          </cell>
          <cell r="G2689" t="str">
            <v>Real</v>
          </cell>
        </row>
        <row r="2690">
          <cell r="A2690" t="str">
            <v>ARRENTA</v>
          </cell>
          <cell r="B2690">
            <v>202512</v>
          </cell>
          <cell r="D2690" t="str">
            <v>Líneas Financieras</v>
          </cell>
          <cell r="G2690" t="str">
            <v>Presupuesto</v>
          </cell>
        </row>
        <row r="2691">
          <cell r="A2691" t="str">
            <v>ARRENTA</v>
          </cell>
          <cell r="B2691">
            <v>202512</v>
          </cell>
          <cell r="D2691" t="str">
            <v>Náutica</v>
          </cell>
          <cell r="G2691" t="str">
            <v>Presupuesto</v>
          </cell>
        </row>
        <row r="2692">
          <cell r="A2692" t="str">
            <v>ARRENTA</v>
          </cell>
          <cell r="B2692">
            <v>202512</v>
          </cell>
          <cell r="D2692" t="str">
            <v>Particulares Resto</v>
          </cell>
          <cell r="G2692" t="str">
            <v>Presupuesto</v>
          </cell>
        </row>
        <row r="2693">
          <cell r="A2693" t="str">
            <v>ARRENTA</v>
          </cell>
          <cell r="B2693">
            <v>202512</v>
          </cell>
          <cell r="D2693" t="str">
            <v>Particulares Resto</v>
          </cell>
          <cell r="G2693" t="str">
            <v>Real</v>
          </cell>
        </row>
        <row r="2694">
          <cell r="A2694" t="str">
            <v>ARRENTA</v>
          </cell>
          <cell r="B2694">
            <v>202512</v>
          </cell>
          <cell r="D2694" t="str">
            <v>Property</v>
          </cell>
          <cell r="G2694" t="str">
            <v>Presupuesto</v>
          </cell>
        </row>
        <row r="2695">
          <cell r="A2695" t="str">
            <v>ARRENTA</v>
          </cell>
          <cell r="B2695">
            <v>202512</v>
          </cell>
          <cell r="D2695" t="str">
            <v>RC</v>
          </cell>
          <cell r="G2695" t="str">
            <v>Presupuesto</v>
          </cell>
        </row>
        <row r="2696">
          <cell r="A2696" t="str">
            <v>ARRENTA</v>
          </cell>
          <cell r="B2696">
            <v>202512</v>
          </cell>
          <cell r="D2696" t="str">
            <v>RC</v>
          </cell>
          <cell r="G2696" t="str">
            <v>Real</v>
          </cell>
        </row>
        <row r="2697">
          <cell r="A2697" t="str">
            <v>ARRENTA</v>
          </cell>
          <cell r="B2697">
            <v>202512</v>
          </cell>
          <cell r="D2697" t="str">
            <v>Resto de lineas</v>
          </cell>
          <cell r="G2697" t="str">
            <v>Presupuesto</v>
          </cell>
        </row>
        <row r="2698">
          <cell r="A2698" t="str">
            <v>ARRENTA</v>
          </cell>
          <cell r="B2698">
            <v>202512</v>
          </cell>
          <cell r="D2698" t="str">
            <v>Retirada</v>
          </cell>
          <cell r="G2698" t="str">
            <v>Presupuesto</v>
          </cell>
        </row>
        <row r="2699">
          <cell r="A2699" t="str">
            <v>ARRENTA</v>
          </cell>
          <cell r="B2699">
            <v>202512</v>
          </cell>
          <cell r="D2699" t="str">
            <v>Seguros Personales (No Vida) Colectivos</v>
          </cell>
          <cell r="G2699" t="str">
            <v>Presupuesto</v>
          </cell>
        </row>
        <row r="2700">
          <cell r="A2700" t="str">
            <v>ARRENTA</v>
          </cell>
          <cell r="B2700">
            <v>202512</v>
          </cell>
          <cell r="D2700" t="str">
            <v>Seguros Personales (No Vida) Particular</v>
          </cell>
          <cell r="G2700" t="str">
            <v>Presupuesto</v>
          </cell>
        </row>
        <row r="2701">
          <cell r="A2701" t="str">
            <v>ARRENTA</v>
          </cell>
          <cell r="B2701">
            <v>202512</v>
          </cell>
          <cell r="D2701" t="str">
            <v>Seguros Personales (No Vida) Particular</v>
          </cell>
          <cell r="G2701" t="str">
            <v>Real</v>
          </cell>
        </row>
        <row r="2702">
          <cell r="A2702" t="str">
            <v>ARRENTA</v>
          </cell>
          <cell r="B2702">
            <v>202512</v>
          </cell>
          <cell r="D2702" t="str">
            <v>Transporte</v>
          </cell>
          <cell r="G2702" t="str">
            <v>Presupuesto</v>
          </cell>
        </row>
        <row r="2703">
          <cell r="A2703" t="str">
            <v>ARRENTA</v>
          </cell>
          <cell r="B2703">
            <v>202512</v>
          </cell>
          <cell r="D2703" t="str">
            <v>Venta Cruzada</v>
          </cell>
          <cell r="G2703" t="str">
            <v>Presupuesto</v>
          </cell>
        </row>
        <row r="2704">
          <cell r="A2704" t="str">
            <v>ARRENTA</v>
          </cell>
          <cell r="B2704">
            <v>202512</v>
          </cell>
          <cell r="D2704" t="str">
            <v>Vida Ahorro Colectivo</v>
          </cell>
          <cell r="G2704" t="str">
            <v>Presupuesto</v>
          </cell>
        </row>
        <row r="2705">
          <cell r="A2705" t="str">
            <v>ARRENTA</v>
          </cell>
          <cell r="B2705">
            <v>202512</v>
          </cell>
          <cell r="D2705" t="str">
            <v>Vida Ahorro Particular</v>
          </cell>
          <cell r="G2705" t="str">
            <v>Presupuesto</v>
          </cell>
        </row>
        <row r="2706">
          <cell r="A2706" t="str">
            <v>ARRENTA</v>
          </cell>
          <cell r="B2706">
            <v>202512</v>
          </cell>
          <cell r="D2706" t="str">
            <v>Vida Ganado</v>
          </cell>
          <cell r="G2706" t="str">
            <v>Presupuesto</v>
          </cell>
        </row>
        <row r="2707">
          <cell r="A2707" t="str">
            <v>ARRENTA</v>
          </cell>
          <cell r="B2707">
            <v>202512</v>
          </cell>
          <cell r="D2707" t="str">
            <v>Vida Riesgo Colectivo</v>
          </cell>
          <cell r="G2707" t="str">
            <v>Presupuesto</v>
          </cell>
        </row>
        <row r="2708">
          <cell r="A2708" t="str">
            <v>ARRENTA</v>
          </cell>
          <cell r="B2708">
            <v>202512</v>
          </cell>
          <cell r="D2708" t="str">
            <v>Vida Riesgo Particular</v>
          </cell>
          <cell r="G2708" t="str">
            <v>Presupuesto</v>
          </cell>
        </row>
        <row r="2709">
          <cell r="A2709" t="str">
            <v>ARRENTA</v>
          </cell>
          <cell r="B2709">
            <v>202512</v>
          </cell>
          <cell r="D2709" t="str">
            <v>Vida Riesgo Particular</v>
          </cell>
          <cell r="G2709" t="str">
            <v>Real</v>
          </cell>
        </row>
        <row r="2710">
          <cell r="A2710" t="str">
            <v>BN</v>
          </cell>
          <cell r="B2710">
            <v>202301</v>
          </cell>
          <cell r="D2710" t="str">
            <v>--</v>
          </cell>
          <cell r="G2710" t="str">
            <v>Real</v>
          </cell>
        </row>
        <row r="2711">
          <cell r="A2711" t="str">
            <v>BN</v>
          </cell>
          <cell r="B2711">
            <v>202301</v>
          </cell>
          <cell r="D2711" t="str">
            <v>--</v>
          </cell>
          <cell r="G2711" t="str">
            <v>Real</v>
          </cell>
        </row>
        <row r="2712">
          <cell r="A2712" t="str">
            <v>BN</v>
          </cell>
          <cell r="B2712">
            <v>202301</v>
          </cell>
          <cell r="D2712" t="str">
            <v>Resto de lineas</v>
          </cell>
          <cell r="G2712" t="str">
            <v>Real</v>
          </cell>
        </row>
        <row r="2713">
          <cell r="A2713" t="str">
            <v>BN</v>
          </cell>
          <cell r="B2713">
            <v>202301</v>
          </cell>
          <cell r="D2713" t="str">
            <v>Retirada</v>
          </cell>
          <cell r="G2713" t="str">
            <v>Real</v>
          </cell>
        </row>
        <row r="2714">
          <cell r="A2714" t="str">
            <v>BN</v>
          </cell>
          <cell r="B2714">
            <v>202301</v>
          </cell>
          <cell r="D2714" t="str">
            <v>Vida Ganado</v>
          </cell>
          <cell r="G2714" t="str">
            <v>Real</v>
          </cell>
        </row>
        <row r="2715">
          <cell r="A2715" t="str">
            <v>BN</v>
          </cell>
          <cell r="B2715">
            <v>202302</v>
          </cell>
          <cell r="D2715" t="str">
            <v>--</v>
          </cell>
          <cell r="G2715" t="str">
            <v>Real</v>
          </cell>
        </row>
        <row r="2716">
          <cell r="A2716" t="str">
            <v>BN</v>
          </cell>
          <cell r="B2716">
            <v>202302</v>
          </cell>
          <cell r="D2716" t="str">
            <v>--</v>
          </cell>
          <cell r="G2716" t="str">
            <v>Real</v>
          </cell>
        </row>
        <row r="2717">
          <cell r="A2717" t="str">
            <v>BN</v>
          </cell>
          <cell r="B2717">
            <v>202302</v>
          </cell>
          <cell r="D2717" t="str">
            <v>Resto de lineas</v>
          </cell>
          <cell r="G2717" t="str">
            <v>Real</v>
          </cell>
        </row>
        <row r="2718">
          <cell r="A2718" t="str">
            <v>BN</v>
          </cell>
          <cell r="B2718">
            <v>202302</v>
          </cell>
          <cell r="D2718" t="str">
            <v>Retirada</v>
          </cell>
          <cell r="G2718" t="str">
            <v>Real</v>
          </cell>
        </row>
        <row r="2719">
          <cell r="A2719" t="str">
            <v>BN</v>
          </cell>
          <cell r="B2719">
            <v>202302</v>
          </cell>
          <cell r="D2719" t="str">
            <v>Vida Ganado</v>
          </cell>
          <cell r="G2719" t="str">
            <v>Real</v>
          </cell>
        </row>
        <row r="2720">
          <cell r="A2720" t="str">
            <v>BN</v>
          </cell>
          <cell r="B2720">
            <v>202303</v>
          </cell>
          <cell r="D2720" t="str">
            <v>--</v>
          </cell>
          <cell r="G2720" t="str">
            <v>Real</v>
          </cell>
        </row>
        <row r="2721">
          <cell r="A2721" t="str">
            <v>BN</v>
          </cell>
          <cell r="B2721">
            <v>202303</v>
          </cell>
          <cell r="D2721" t="str">
            <v>--</v>
          </cell>
          <cell r="G2721" t="str">
            <v>Real</v>
          </cell>
        </row>
        <row r="2722">
          <cell r="A2722" t="str">
            <v>BN</v>
          </cell>
          <cell r="B2722">
            <v>202303</v>
          </cell>
          <cell r="D2722" t="str">
            <v>Resto de lineas</v>
          </cell>
          <cell r="G2722" t="str">
            <v>Real</v>
          </cell>
        </row>
        <row r="2723">
          <cell r="A2723" t="str">
            <v>BN</v>
          </cell>
          <cell r="B2723">
            <v>202303</v>
          </cell>
          <cell r="D2723" t="str">
            <v>Retirada</v>
          </cell>
          <cell r="G2723" t="str">
            <v>Real</v>
          </cell>
        </row>
        <row r="2724">
          <cell r="A2724" t="str">
            <v>BN</v>
          </cell>
          <cell r="B2724">
            <v>202303</v>
          </cell>
          <cell r="D2724" t="str">
            <v>Vida Ganado</v>
          </cell>
          <cell r="G2724" t="str">
            <v>Real</v>
          </cell>
        </row>
        <row r="2725">
          <cell r="A2725" t="str">
            <v>BN</v>
          </cell>
          <cell r="B2725">
            <v>202304</v>
          </cell>
          <cell r="D2725" t="str">
            <v>--</v>
          </cell>
          <cell r="G2725" t="str">
            <v>Real</v>
          </cell>
        </row>
        <row r="2726">
          <cell r="A2726" t="str">
            <v>BN</v>
          </cell>
          <cell r="B2726">
            <v>202304</v>
          </cell>
          <cell r="D2726" t="str">
            <v>--</v>
          </cell>
          <cell r="G2726" t="str">
            <v>Real</v>
          </cell>
        </row>
        <row r="2727">
          <cell r="A2727" t="str">
            <v>BN</v>
          </cell>
          <cell r="B2727">
            <v>202304</v>
          </cell>
          <cell r="D2727" t="str">
            <v>Resto de lineas</v>
          </cell>
          <cell r="G2727" t="str">
            <v>Real</v>
          </cell>
        </row>
        <row r="2728">
          <cell r="A2728" t="str">
            <v>BN</v>
          </cell>
          <cell r="B2728">
            <v>202304</v>
          </cell>
          <cell r="D2728" t="str">
            <v>Retirada</v>
          </cell>
          <cell r="G2728" t="str">
            <v>Real</v>
          </cell>
        </row>
        <row r="2729">
          <cell r="A2729" t="str">
            <v>BN</v>
          </cell>
          <cell r="B2729">
            <v>202304</v>
          </cell>
          <cell r="D2729" t="str">
            <v>Vida Ganado</v>
          </cell>
          <cell r="G2729" t="str">
            <v>Real</v>
          </cell>
        </row>
        <row r="2730">
          <cell r="A2730" t="str">
            <v>BN</v>
          </cell>
          <cell r="B2730">
            <v>202305</v>
          </cell>
          <cell r="D2730" t="str">
            <v>--</v>
          </cell>
          <cell r="G2730" t="str">
            <v>Real</v>
          </cell>
        </row>
        <row r="2731">
          <cell r="A2731" t="str">
            <v>BN</v>
          </cell>
          <cell r="B2731">
            <v>202305</v>
          </cell>
          <cell r="D2731" t="str">
            <v>--</v>
          </cell>
          <cell r="G2731" t="str">
            <v>Real</v>
          </cell>
        </row>
        <row r="2732">
          <cell r="A2732" t="str">
            <v>BN</v>
          </cell>
          <cell r="B2732">
            <v>202305</v>
          </cell>
          <cell r="D2732" t="str">
            <v>Resto de lineas</v>
          </cell>
          <cell r="G2732" t="str">
            <v>Real</v>
          </cell>
        </row>
        <row r="2733">
          <cell r="A2733" t="str">
            <v>BN</v>
          </cell>
          <cell r="B2733">
            <v>202305</v>
          </cell>
          <cell r="D2733" t="str">
            <v>Retirada</v>
          </cell>
          <cell r="G2733" t="str">
            <v>Real</v>
          </cell>
        </row>
        <row r="2734">
          <cell r="A2734" t="str">
            <v>BN</v>
          </cell>
          <cell r="B2734">
            <v>202305</v>
          </cell>
          <cell r="D2734" t="str">
            <v>Vida Ganado</v>
          </cell>
          <cell r="G2734" t="str">
            <v>Real</v>
          </cell>
        </row>
        <row r="2735">
          <cell r="A2735" t="str">
            <v>BN</v>
          </cell>
          <cell r="B2735">
            <v>202306</v>
          </cell>
          <cell r="D2735" t="str">
            <v>--</v>
          </cell>
          <cell r="G2735" t="str">
            <v>Real</v>
          </cell>
        </row>
        <row r="2736">
          <cell r="A2736" t="str">
            <v>BN</v>
          </cell>
          <cell r="B2736">
            <v>202306</v>
          </cell>
          <cell r="D2736" t="str">
            <v>--</v>
          </cell>
          <cell r="G2736" t="str">
            <v>Real</v>
          </cell>
        </row>
        <row r="2737">
          <cell r="A2737" t="str">
            <v>BN</v>
          </cell>
          <cell r="B2737">
            <v>202306</v>
          </cell>
          <cell r="D2737" t="str">
            <v>Resto de lineas</v>
          </cell>
          <cell r="G2737" t="str">
            <v>Real</v>
          </cell>
        </row>
        <row r="2738">
          <cell r="A2738" t="str">
            <v>BN</v>
          </cell>
          <cell r="B2738">
            <v>202306</v>
          </cell>
          <cell r="D2738" t="str">
            <v>Retirada</v>
          </cell>
          <cell r="G2738" t="str">
            <v>Real</v>
          </cell>
        </row>
        <row r="2739">
          <cell r="A2739" t="str">
            <v>BN</v>
          </cell>
          <cell r="B2739">
            <v>202306</v>
          </cell>
          <cell r="D2739" t="str">
            <v>Vida Ganado</v>
          </cell>
          <cell r="G2739" t="str">
            <v>Real</v>
          </cell>
        </row>
        <row r="2740">
          <cell r="A2740" t="str">
            <v>BN</v>
          </cell>
          <cell r="B2740">
            <v>202307</v>
          </cell>
          <cell r="D2740" t="str">
            <v>--</v>
          </cell>
          <cell r="G2740" t="str">
            <v>Real</v>
          </cell>
        </row>
        <row r="2741">
          <cell r="A2741" t="str">
            <v>BN</v>
          </cell>
          <cell r="B2741">
            <v>202307</v>
          </cell>
          <cell r="D2741" t="str">
            <v>--</v>
          </cell>
          <cell r="G2741" t="str">
            <v>Real</v>
          </cell>
        </row>
        <row r="2742">
          <cell r="A2742" t="str">
            <v>BN</v>
          </cell>
          <cell r="B2742">
            <v>202307</v>
          </cell>
          <cell r="D2742" t="str">
            <v>Resto de lineas</v>
          </cell>
          <cell r="G2742" t="str">
            <v>Real</v>
          </cell>
        </row>
        <row r="2743">
          <cell r="A2743" t="str">
            <v>BN</v>
          </cell>
          <cell r="B2743">
            <v>202307</v>
          </cell>
          <cell r="D2743" t="str">
            <v>Retirada</v>
          </cell>
          <cell r="G2743" t="str">
            <v>Real</v>
          </cell>
        </row>
        <row r="2744">
          <cell r="A2744" t="str">
            <v>BN</v>
          </cell>
          <cell r="B2744">
            <v>202307</v>
          </cell>
          <cell r="D2744" t="str">
            <v>Vida Ganado</v>
          </cell>
          <cell r="G2744" t="str">
            <v>Real</v>
          </cell>
        </row>
        <row r="2745">
          <cell r="A2745" t="str">
            <v>BN</v>
          </cell>
          <cell r="B2745">
            <v>202308</v>
          </cell>
          <cell r="D2745" t="str">
            <v>--</v>
          </cell>
          <cell r="G2745" t="str">
            <v>Real</v>
          </cell>
        </row>
        <row r="2746">
          <cell r="A2746" t="str">
            <v>BN</v>
          </cell>
          <cell r="B2746">
            <v>202308</v>
          </cell>
          <cell r="D2746" t="str">
            <v>--</v>
          </cell>
          <cell r="G2746" t="str">
            <v>Real</v>
          </cell>
        </row>
        <row r="2747">
          <cell r="A2747" t="str">
            <v>BN</v>
          </cell>
          <cell r="B2747">
            <v>202308</v>
          </cell>
          <cell r="D2747" t="str">
            <v>Resto de lineas</v>
          </cell>
          <cell r="G2747" t="str">
            <v>Real</v>
          </cell>
        </row>
        <row r="2748">
          <cell r="A2748" t="str">
            <v>BN</v>
          </cell>
          <cell r="B2748">
            <v>202308</v>
          </cell>
          <cell r="D2748" t="str">
            <v>Retirada</v>
          </cell>
          <cell r="G2748" t="str">
            <v>Real</v>
          </cell>
        </row>
        <row r="2749">
          <cell r="A2749" t="str">
            <v>BN</v>
          </cell>
          <cell r="B2749">
            <v>202308</v>
          </cell>
          <cell r="D2749" t="str">
            <v>Vida Ganado</v>
          </cell>
          <cell r="G2749" t="str">
            <v>Real</v>
          </cell>
        </row>
        <row r="2750">
          <cell r="A2750" t="str">
            <v>BN</v>
          </cell>
          <cell r="B2750">
            <v>202309</v>
          </cell>
          <cell r="D2750" t="str">
            <v>--</v>
          </cell>
          <cell r="G2750" t="str">
            <v>Real</v>
          </cell>
        </row>
        <row r="2751">
          <cell r="A2751" t="str">
            <v>BN</v>
          </cell>
          <cell r="B2751">
            <v>202309</v>
          </cell>
          <cell r="D2751" t="str">
            <v>--</v>
          </cell>
          <cell r="G2751" t="str">
            <v>Real</v>
          </cell>
        </row>
        <row r="2752">
          <cell r="A2752" t="str">
            <v>BN</v>
          </cell>
          <cell r="B2752">
            <v>202309</v>
          </cell>
          <cell r="D2752" t="str">
            <v>Resto de lineas</v>
          </cell>
          <cell r="G2752" t="str">
            <v>Real</v>
          </cell>
        </row>
        <row r="2753">
          <cell r="A2753" t="str">
            <v>BN</v>
          </cell>
          <cell r="B2753">
            <v>202309</v>
          </cell>
          <cell r="D2753" t="str">
            <v>Retirada</v>
          </cell>
          <cell r="G2753" t="str">
            <v>Real</v>
          </cell>
        </row>
        <row r="2754">
          <cell r="A2754" t="str">
            <v>BN</v>
          </cell>
          <cell r="B2754">
            <v>202309</v>
          </cell>
          <cell r="D2754" t="str">
            <v>Vida Ganado</v>
          </cell>
          <cell r="G2754" t="str">
            <v>Real</v>
          </cell>
        </row>
        <row r="2755">
          <cell r="A2755" t="str">
            <v>BN</v>
          </cell>
          <cell r="B2755">
            <v>202310</v>
          </cell>
          <cell r="D2755" t="str">
            <v>--</v>
          </cell>
          <cell r="G2755" t="str">
            <v>Real</v>
          </cell>
        </row>
        <row r="2756">
          <cell r="A2756" t="str">
            <v>BN</v>
          </cell>
          <cell r="B2756">
            <v>202310</v>
          </cell>
          <cell r="D2756" t="str">
            <v>--</v>
          </cell>
          <cell r="G2756" t="str">
            <v>Real</v>
          </cell>
        </row>
        <row r="2757">
          <cell r="A2757" t="str">
            <v>BN</v>
          </cell>
          <cell r="B2757">
            <v>202310</v>
          </cell>
          <cell r="D2757" t="str">
            <v>Resto de lineas</v>
          </cell>
          <cell r="G2757" t="str">
            <v>Real</v>
          </cell>
        </row>
        <row r="2758">
          <cell r="A2758" t="str">
            <v>BN</v>
          </cell>
          <cell r="B2758">
            <v>202310</v>
          </cell>
          <cell r="D2758" t="str">
            <v>Retirada</v>
          </cell>
          <cell r="G2758" t="str">
            <v>Real</v>
          </cell>
        </row>
        <row r="2759">
          <cell r="A2759" t="str">
            <v>BN</v>
          </cell>
          <cell r="B2759">
            <v>202310</v>
          </cell>
          <cell r="D2759" t="str">
            <v>Vida Ganado</v>
          </cell>
          <cell r="G2759" t="str">
            <v>Real</v>
          </cell>
        </row>
        <row r="2760">
          <cell r="A2760" t="str">
            <v>BN</v>
          </cell>
          <cell r="B2760">
            <v>202311</v>
          </cell>
          <cell r="D2760" t="str">
            <v>--</v>
          </cell>
          <cell r="G2760" t="str">
            <v>Real</v>
          </cell>
        </row>
        <row r="2761">
          <cell r="A2761" t="str">
            <v>BN</v>
          </cell>
          <cell r="B2761">
            <v>202311</v>
          </cell>
          <cell r="D2761" t="str">
            <v>--</v>
          </cell>
          <cell r="G2761" t="str">
            <v>Real</v>
          </cell>
        </row>
        <row r="2762">
          <cell r="A2762" t="str">
            <v>BN</v>
          </cell>
          <cell r="B2762">
            <v>202311</v>
          </cell>
          <cell r="D2762" t="str">
            <v>Resto de lineas</v>
          </cell>
          <cell r="G2762" t="str">
            <v>Real</v>
          </cell>
        </row>
        <row r="2763">
          <cell r="A2763" t="str">
            <v>BN</v>
          </cell>
          <cell r="B2763">
            <v>202311</v>
          </cell>
          <cell r="D2763" t="str">
            <v>Retirada</v>
          </cell>
          <cell r="G2763" t="str">
            <v>Real</v>
          </cell>
        </row>
        <row r="2764">
          <cell r="A2764" t="str">
            <v>BN</v>
          </cell>
          <cell r="B2764">
            <v>202311</v>
          </cell>
          <cell r="D2764" t="str">
            <v>Vida Ganado</v>
          </cell>
          <cell r="G2764" t="str">
            <v>Real</v>
          </cell>
        </row>
        <row r="2765">
          <cell r="A2765" t="str">
            <v>BN</v>
          </cell>
          <cell r="B2765">
            <v>202312</v>
          </cell>
          <cell r="D2765" t="str">
            <v>--</v>
          </cell>
          <cell r="G2765" t="str">
            <v>Real</v>
          </cell>
        </row>
        <row r="2766">
          <cell r="A2766" t="str">
            <v>BN</v>
          </cell>
          <cell r="B2766">
            <v>202312</v>
          </cell>
          <cell r="D2766" t="str">
            <v>--</v>
          </cell>
          <cell r="G2766" t="str">
            <v>Real</v>
          </cell>
        </row>
        <row r="2767">
          <cell r="A2767" t="str">
            <v>BN</v>
          </cell>
          <cell r="B2767">
            <v>202312</v>
          </cell>
          <cell r="D2767" t="str">
            <v>Resto de lineas</v>
          </cell>
          <cell r="G2767" t="str">
            <v>Real</v>
          </cell>
        </row>
        <row r="2768">
          <cell r="A2768" t="str">
            <v>BN</v>
          </cell>
          <cell r="B2768">
            <v>202312</v>
          </cell>
          <cell r="D2768" t="str">
            <v>Retirada</v>
          </cell>
          <cell r="G2768" t="str">
            <v>Real</v>
          </cell>
        </row>
        <row r="2769">
          <cell r="A2769" t="str">
            <v>BN</v>
          </cell>
          <cell r="B2769">
            <v>202312</v>
          </cell>
          <cell r="D2769" t="str">
            <v>Vida Ganado</v>
          </cell>
          <cell r="G2769" t="str">
            <v>Real</v>
          </cell>
        </row>
        <row r="2770">
          <cell r="A2770" t="str">
            <v>BN</v>
          </cell>
          <cell r="B2770">
            <v>202401</v>
          </cell>
          <cell r="D2770" t="str">
            <v>--</v>
          </cell>
          <cell r="G2770" t="str">
            <v>Real</v>
          </cell>
        </row>
        <row r="2771">
          <cell r="A2771" t="str">
            <v>BN</v>
          </cell>
          <cell r="B2771">
            <v>202401</v>
          </cell>
          <cell r="D2771" t="str">
            <v>--</v>
          </cell>
          <cell r="G2771" t="str">
            <v>Real</v>
          </cell>
        </row>
        <row r="2772">
          <cell r="A2772" t="str">
            <v>BN</v>
          </cell>
          <cell r="B2772">
            <v>202401</v>
          </cell>
          <cell r="D2772" t="str">
            <v>Autos</v>
          </cell>
          <cell r="G2772" t="str">
            <v>Real</v>
          </cell>
        </row>
        <row r="2773">
          <cell r="A2773" t="str">
            <v>BN</v>
          </cell>
          <cell r="B2773">
            <v>202401</v>
          </cell>
          <cell r="D2773" t="str">
            <v>Crédito Nacional</v>
          </cell>
          <cell r="G2773" t="str">
            <v>Real</v>
          </cell>
        </row>
        <row r="2774">
          <cell r="A2774" t="str">
            <v>BN</v>
          </cell>
          <cell r="B2774">
            <v>202401</v>
          </cell>
          <cell r="D2774" t="str">
            <v>Flotas</v>
          </cell>
          <cell r="G2774" t="str">
            <v>Real</v>
          </cell>
        </row>
        <row r="2775">
          <cell r="A2775" t="str">
            <v>BN</v>
          </cell>
          <cell r="B2775">
            <v>202401</v>
          </cell>
          <cell r="D2775" t="str">
            <v>Hogar</v>
          </cell>
          <cell r="G2775" t="str">
            <v>Real</v>
          </cell>
        </row>
        <row r="2776">
          <cell r="A2776" t="str">
            <v>BN</v>
          </cell>
          <cell r="B2776">
            <v>202401</v>
          </cell>
          <cell r="D2776" t="str">
            <v>Ingeniería</v>
          </cell>
          <cell r="G2776" t="str">
            <v>Real</v>
          </cell>
        </row>
        <row r="2777">
          <cell r="A2777" t="str">
            <v>BN</v>
          </cell>
          <cell r="B2777">
            <v>202401</v>
          </cell>
          <cell r="D2777" t="str">
            <v>Inmobiliario</v>
          </cell>
          <cell r="G2777" t="str">
            <v>Real</v>
          </cell>
        </row>
        <row r="2778">
          <cell r="A2778" t="str">
            <v>BN</v>
          </cell>
          <cell r="B2778">
            <v>202401</v>
          </cell>
          <cell r="D2778" t="str">
            <v>Líneas Financieras</v>
          </cell>
          <cell r="G2778" t="str">
            <v>Real</v>
          </cell>
        </row>
        <row r="2779">
          <cell r="A2779" t="str">
            <v>BN</v>
          </cell>
          <cell r="B2779">
            <v>202401</v>
          </cell>
          <cell r="D2779" t="str">
            <v>Náutica</v>
          </cell>
          <cell r="G2779" t="str">
            <v>Real</v>
          </cell>
        </row>
        <row r="2780">
          <cell r="A2780" t="str">
            <v>BN</v>
          </cell>
          <cell r="B2780">
            <v>202401</v>
          </cell>
          <cell r="D2780" t="str">
            <v>Particulares Resto</v>
          </cell>
          <cell r="G2780" t="str">
            <v>Real</v>
          </cell>
        </row>
        <row r="2781">
          <cell r="A2781" t="str">
            <v>BN</v>
          </cell>
          <cell r="B2781">
            <v>202401</v>
          </cell>
          <cell r="D2781" t="str">
            <v>Property</v>
          </cell>
          <cell r="G2781" t="str">
            <v>Real</v>
          </cell>
        </row>
        <row r="2782">
          <cell r="A2782" t="str">
            <v>BN</v>
          </cell>
          <cell r="B2782">
            <v>202401</v>
          </cell>
          <cell r="D2782" t="str">
            <v>RC</v>
          </cell>
          <cell r="G2782" t="str">
            <v>Real</v>
          </cell>
        </row>
        <row r="2783">
          <cell r="A2783" t="str">
            <v>BN</v>
          </cell>
          <cell r="B2783">
            <v>202401</v>
          </cell>
          <cell r="D2783" t="str">
            <v>Resto de lineas</v>
          </cell>
          <cell r="G2783" t="str">
            <v>Real</v>
          </cell>
        </row>
        <row r="2784">
          <cell r="A2784" t="str">
            <v>BN</v>
          </cell>
          <cell r="B2784">
            <v>202401</v>
          </cell>
          <cell r="D2784" t="str">
            <v>Retirada</v>
          </cell>
          <cell r="G2784" t="str">
            <v>Real</v>
          </cell>
        </row>
        <row r="2785">
          <cell r="A2785" t="str">
            <v>BN</v>
          </cell>
          <cell r="B2785">
            <v>202401</v>
          </cell>
          <cell r="D2785" t="str">
            <v>Seguros Personales (No Vida) Colectivos</v>
          </cell>
          <cell r="G2785" t="str">
            <v>Real</v>
          </cell>
        </row>
        <row r="2786">
          <cell r="A2786" t="str">
            <v>BN</v>
          </cell>
          <cell r="B2786">
            <v>202401</v>
          </cell>
          <cell r="D2786" t="str">
            <v>Seguros Personales (No Vida) Particular</v>
          </cell>
          <cell r="G2786" t="str">
            <v>Real</v>
          </cell>
        </row>
        <row r="2787">
          <cell r="A2787" t="str">
            <v>BN</v>
          </cell>
          <cell r="B2787">
            <v>202401</v>
          </cell>
          <cell r="D2787" t="str">
            <v>Transporte</v>
          </cell>
          <cell r="G2787" t="str">
            <v>Real</v>
          </cell>
        </row>
        <row r="2788">
          <cell r="A2788" t="str">
            <v>BN</v>
          </cell>
          <cell r="B2788">
            <v>202401</v>
          </cell>
          <cell r="D2788" t="str">
            <v>Venta Cruzada</v>
          </cell>
          <cell r="G2788" t="str">
            <v>Real</v>
          </cell>
        </row>
        <row r="2789">
          <cell r="A2789" t="str">
            <v>BN</v>
          </cell>
          <cell r="B2789">
            <v>202401</v>
          </cell>
          <cell r="D2789" t="str">
            <v>Vida Ahorro Colectivo</v>
          </cell>
          <cell r="G2789" t="str">
            <v>Real</v>
          </cell>
        </row>
        <row r="2790">
          <cell r="A2790" t="str">
            <v>BN</v>
          </cell>
          <cell r="B2790">
            <v>202401</v>
          </cell>
          <cell r="D2790" t="str">
            <v>Vida Ahorro Particular</v>
          </cell>
          <cell r="G2790" t="str">
            <v>Real</v>
          </cell>
        </row>
        <row r="2791">
          <cell r="A2791" t="str">
            <v>BN</v>
          </cell>
          <cell r="B2791">
            <v>202401</v>
          </cell>
          <cell r="D2791" t="str">
            <v>Vida Ganado</v>
          </cell>
          <cell r="G2791" t="str">
            <v>Real</v>
          </cell>
        </row>
        <row r="2792">
          <cell r="A2792" t="str">
            <v>BN</v>
          </cell>
          <cell r="B2792">
            <v>202401</v>
          </cell>
          <cell r="D2792" t="str">
            <v>Vida Riesgo Colectivo</v>
          </cell>
          <cell r="G2792" t="str">
            <v>Real</v>
          </cell>
        </row>
        <row r="2793">
          <cell r="A2793" t="str">
            <v>BN</v>
          </cell>
          <cell r="B2793">
            <v>202401</v>
          </cell>
          <cell r="D2793" t="str">
            <v>Vida Riesgo Particular</v>
          </cell>
          <cell r="G2793" t="str">
            <v>Real</v>
          </cell>
        </row>
        <row r="2794">
          <cell r="A2794" t="str">
            <v>BN</v>
          </cell>
          <cell r="B2794">
            <v>202402</v>
          </cell>
          <cell r="D2794" t="str">
            <v>--</v>
          </cell>
          <cell r="G2794" t="str">
            <v>Real</v>
          </cell>
        </row>
        <row r="2795">
          <cell r="A2795" t="str">
            <v>BN</v>
          </cell>
          <cell r="B2795">
            <v>202402</v>
          </cell>
          <cell r="D2795" t="str">
            <v>--</v>
          </cell>
          <cell r="G2795" t="str">
            <v>Real</v>
          </cell>
        </row>
        <row r="2796">
          <cell r="A2796" t="str">
            <v>BN</v>
          </cell>
          <cell r="B2796">
            <v>202402</v>
          </cell>
          <cell r="D2796" t="str">
            <v>Autos</v>
          </cell>
          <cell r="G2796" t="str">
            <v>Real</v>
          </cell>
        </row>
        <row r="2797">
          <cell r="A2797" t="str">
            <v>BN</v>
          </cell>
          <cell r="B2797">
            <v>202402</v>
          </cell>
          <cell r="D2797" t="str">
            <v>Crédito Nacional</v>
          </cell>
          <cell r="G2797" t="str">
            <v>Real</v>
          </cell>
        </row>
        <row r="2798">
          <cell r="A2798" t="str">
            <v>BN</v>
          </cell>
          <cell r="B2798">
            <v>202402</v>
          </cell>
          <cell r="D2798" t="str">
            <v>Flotas</v>
          </cell>
          <cell r="G2798" t="str">
            <v>Real</v>
          </cell>
        </row>
        <row r="2799">
          <cell r="A2799" t="str">
            <v>BN</v>
          </cell>
          <cell r="B2799">
            <v>202402</v>
          </cell>
          <cell r="D2799" t="str">
            <v>Hogar</v>
          </cell>
          <cell r="G2799" t="str">
            <v>Real</v>
          </cell>
        </row>
        <row r="2800">
          <cell r="A2800" t="str">
            <v>BN</v>
          </cell>
          <cell r="B2800">
            <v>202402</v>
          </cell>
          <cell r="D2800" t="str">
            <v>Ingeniería</v>
          </cell>
          <cell r="G2800" t="str">
            <v>Real</v>
          </cell>
        </row>
        <row r="2801">
          <cell r="A2801" t="str">
            <v>BN</v>
          </cell>
          <cell r="B2801">
            <v>202402</v>
          </cell>
          <cell r="D2801" t="str">
            <v>Inmobiliario</v>
          </cell>
          <cell r="G2801" t="str">
            <v>Real</v>
          </cell>
        </row>
        <row r="2802">
          <cell r="A2802" t="str">
            <v>BN</v>
          </cell>
          <cell r="B2802">
            <v>202402</v>
          </cell>
          <cell r="D2802" t="str">
            <v>Líneas Financieras</v>
          </cell>
          <cell r="G2802" t="str">
            <v>Real</v>
          </cell>
        </row>
        <row r="2803">
          <cell r="A2803" t="str">
            <v>BN</v>
          </cell>
          <cell r="B2803">
            <v>202402</v>
          </cell>
          <cell r="D2803" t="str">
            <v>Náutica</v>
          </cell>
          <cell r="G2803" t="str">
            <v>Real</v>
          </cell>
        </row>
        <row r="2804">
          <cell r="A2804" t="str">
            <v>BN</v>
          </cell>
          <cell r="B2804">
            <v>202402</v>
          </cell>
          <cell r="D2804" t="str">
            <v>Particulares Resto</v>
          </cell>
          <cell r="G2804" t="str">
            <v>Real</v>
          </cell>
        </row>
        <row r="2805">
          <cell r="A2805" t="str">
            <v>BN</v>
          </cell>
          <cell r="B2805">
            <v>202402</v>
          </cell>
          <cell r="D2805" t="str">
            <v>Property</v>
          </cell>
          <cell r="G2805" t="str">
            <v>Real</v>
          </cell>
        </row>
        <row r="2806">
          <cell r="A2806" t="str">
            <v>BN</v>
          </cell>
          <cell r="B2806">
            <v>202402</v>
          </cell>
          <cell r="D2806" t="str">
            <v>RC</v>
          </cell>
          <cell r="G2806" t="str">
            <v>Real</v>
          </cell>
        </row>
        <row r="2807">
          <cell r="A2807" t="str">
            <v>BN</v>
          </cell>
          <cell r="B2807">
            <v>202402</v>
          </cell>
          <cell r="D2807" t="str">
            <v>Resto de lineas</v>
          </cell>
          <cell r="G2807" t="str">
            <v>Real</v>
          </cell>
        </row>
        <row r="2808">
          <cell r="A2808" t="str">
            <v>BN</v>
          </cell>
          <cell r="B2808">
            <v>202402</v>
          </cell>
          <cell r="D2808" t="str">
            <v>Retirada</v>
          </cell>
          <cell r="G2808" t="str">
            <v>Real</v>
          </cell>
        </row>
        <row r="2809">
          <cell r="A2809" t="str">
            <v>BN</v>
          </cell>
          <cell r="B2809">
            <v>202402</v>
          </cell>
          <cell r="D2809" t="str">
            <v>Seguros Personales (No Vida) Colectivos</v>
          </cell>
          <cell r="G2809" t="str">
            <v>Real</v>
          </cell>
        </row>
        <row r="2810">
          <cell r="A2810" t="str">
            <v>BN</v>
          </cell>
          <cell r="B2810">
            <v>202402</v>
          </cell>
          <cell r="D2810" t="str">
            <v>Seguros Personales (No Vida) Particular</v>
          </cell>
          <cell r="G2810" t="str">
            <v>Real</v>
          </cell>
        </row>
        <row r="2811">
          <cell r="A2811" t="str">
            <v>BN</v>
          </cell>
          <cell r="B2811">
            <v>202402</v>
          </cell>
          <cell r="D2811" t="str">
            <v>Transporte</v>
          </cell>
          <cell r="G2811" t="str">
            <v>Real</v>
          </cell>
        </row>
        <row r="2812">
          <cell r="A2812" t="str">
            <v>BN</v>
          </cell>
          <cell r="B2812">
            <v>202402</v>
          </cell>
          <cell r="D2812" t="str">
            <v>Venta Cruzada</v>
          </cell>
          <cell r="G2812" t="str">
            <v>Real</v>
          </cell>
        </row>
        <row r="2813">
          <cell r="A2813" t="str">
            <v>BN</v>
          </cell>
          <cell r="B2813">
            <v>202402</v>
          </cell>
          <cell r="D2813" t="str">
            <v>Vida Ahorro Colectivo</v>
          </cell>
          <cell r="G2813" t="str">
            <v>Real</v>
          </cell>
        </row>
        <row r="2814">
          <cell r="A2814" t="str">
            <v>BN</v>
          </cell>
          <cell r="B2814">
            <v>202402</v>
          </cell>
          <cell r="D2814" t="str">
            <v>Vida Ahorro Particular</v>
          </cell>
          <cell r="G2814" t="str">
            <v>Real</v>
          </cell>
        </row>
        <row r="2815">
          <cell r="A2815" t="str">
            <v>BN</v>
          </cell>
          <cell r="B2815">
            <v>202402</v>
          </cell>
          <cell r="D2815" t="str">
            <v>Vida Ganado</v>
          </cell>
          <cell r="G2815" t="str">
            <v>Real</v>
          </cell>
        </row>
        <row r="2816">
          <cell r="A2816" t="str">
            <v>BN</v>
          </cell>
          <cell r="B2816">
            <v>202402</v>
          </cell>
          <cell r="D2816" t="str">
            <v>Vida Riesgo Particular</v>
          </cell>
          <cell r="G2816" t="str">
            <v>Real</v>
          </cell>
        </row>
        <row r="2817">
          <cell r="A2817" t="str">
            <v>BN</v>
          </cell>
          <cell r="B2817">
            <v>202403</v>
          </cell>
          <cell r="D2817" t="str">
            <v>--</v>
          </cell>
          <cell r="G2817" t="str">
            <v>Real</v>
          </cell>
        </row>
        <row r="2818">
          <cell r="A2818" t="str">
            <v>BN</v>
          </cell>
          <cell r="B2818">
            <v>202403</v>
          </cell>
          <cell r="D2818" t="str">
            <v>--</v>
          </cell>
          <cell r="G2818" t="str">
            <v>Real</v>
          </cell>
        </row>
        <row r="2819">
          <cell r="A2819" t="str">
            <v>BN</v>
          </cell>
          <cell r="B2819">
            <v>202403</v>
          </cell>
          <cell r="D2819" t="str">
            <v>Autos</v>
          </cell>
          <cell r="G2819" t="str">
            <v>Real</v>
          </cell>
        </row>
        <row r="2820">
          <cell r="A2820" t="str">
            <v>BN</v>
          </cell>
          <cell r="B2820">
            <v>202403</v>
          </cell>
          <cell r="D2820" t="str">
            <v>Crédito Nacional</v>
          </cell>
          <cell r="G2820" t="str">
            <v>Real</v>
          </cell>
        </row>
        <row r="2821">
          <cell r="A2821" t="str">
            <v>BN</v>
          </cell>
          <cell r="B2821">
            <v>202403</v>
          </cell>
          <cell r="D2821" t="str">
            <v>Flotas</v>
          </cell>
          <cell r="G2821" t="str">
            <v>Real</v>
          </cell>
        </row>
        <row r="2822">
          <cell r="A2822" t="str">
            <v>BN</v>
          </cell>
          <cell r="B2822">
            <v>202403</v>
          </cell>
          <cell r="D2822" t="str">
            <v>Hogar</v>
          </cell>
          <cell r="G2822" t="str">
            <v>Real</v>
          </cell>
        </row>
        <row r="2823">
          <cell r="A2823" t="str">
            <v>BN</v>
          </cell>
          <cell r="B2823">
            <v>202403</v>
          </cell>
          <cell r="D2823" t="str">
            <v>Ingeniería</v>
          </cell>
          <cell r="G2823" t="str">
            <v>Real</v>
          </cell>
        </row>
        <row r="2824">
          <cell r="A2824" t="str">
            <v>BN</v>
          </cell>
          <cell r="B2824">
            <v>202403</v>
          </cell>
          <cell r="D2824" t="str">
            <v>Inmobiliario</v>
          </cell>
          <cell r="G2824" t="str">
            <v>Real</v>
          </cell>
        </row>
        <row r="2825">
          <cell r="A2825" t="str">
            <v>BN</v>
          </cell>
          <cell r="B2825">
            <v>202403</v>
          </cell>
          <cell r="D2825" t="str">
            <v>Líneas Financieras</v>
          </cell>
          <cell r="G2825" t="str">
            <v>Real</v>
          </cell>
        </row>
        <row r="2826">
          <cell r="A2826" t="str">
            <v>BN</v>
          </cell>
          <cell r="B2826">
            <v>202403</v>
          </cell>
          <cell r="D2826" t="str">
            <v>Náutica</v>
          </cell>
          <cell r="G2826" t="str">
            <v>Real</v>
          </cell>
        </row>
        <row r="2827">
          <cell r="A2827" t="str">
            <v>BN</v>
          </cell>
          <cell r="B2827">
            <v>202403</v>
          </cell>
          <cell r="D2827" t="str">
            <v>Particulares Resto</v>
          </cell>
          <cell r="G2827" t="str">
            <v>Real</v>
          </cell>
        </row>
        <row r="2828">
          <cell r="A2828" t="str">
            <v>BN</v>
          </cell>
          <cell r="B2828">
            <v>202403</v>
          </cell>
          <cell r="D2828" t="str">
            <v>Property</v>
          </cell>
          <cell r="G2828" t="str">
            <v>Real</v>
          </cell>
        </row>
        <row r="2829">
          <cell r="A2829" t="str">
            <v>BN</v>
          </cell>
          <cell r="B2829">
            <v>202403</v>
          </cell>
          <cell r="D2829" t="str">
            <v>RC</v>
          </cell>
          <cell r="G2829" t="str">
            <v>Real</v>
          </cell>
        </row>
        <row r="2830">
          <cell r="A2830" t="str">
            <v>BN</v>
          </cell>
          <cell r="B2830">
            <v>202403</v>
          </cell>
          <cell r="D2830" t="str">
            <v>Resto de lineas</v>
          </cell>
          <cell r="G2830" t="str">
            <v>Real</v>
          </cell>
        </row>
        <row r="2831">
          <cell r="A2831" t="str">
            <v>BN</v>
          </cell>
          <cell r="B2831">
            <v>202403</v>
          </cell>
          <cell r="D2831" t="str">
            <v>Retirada</v>
          </cell>
          <cell r="G2831" t="str">
            <v>Real</v>
          </cell>
        </row>
        <row r="2832">
          <cell r="A2832" t="str">
            <v>BN</v>
          </cell>
          <cell r="B2832">
            <v>202403</v>
          </cell>
          <cell r="D2832" t="str">
            <v>Seguros Personales (No Vida) Colectivos</v>
          </cell>
          <cell r="G2832" t="str">
            <v>Real</v>
          </cell>
        </row>
        <row r="2833">
          <cell r="A2833" t="str">
            <v>BN</v>
          </cell>
          <cell r="B2833">
            <v>202403</v>
          </cell>
          <cell r="D2833" t="str">
            <v>Seguros Personales (No Vida) Particular</v>
          </cell>
          <cell r="G2833" t="str">
            <v>Real</v>
          </cell>
        </row>
        <row r="2834">
          <cell r="A2834" t="str">
            <v>BN</v>
          </cell>
          <cell r="B2834">
            <v>202403</v>
          </cell>
          <cell r="D2834" t="str">
            <v>Transporte</v>
          </cell>
          <cell r="G2834" t="str">
            <v>Real</v>
          </cell>
        </row>
        <row r="2835">
          <cell r="A2835" t="str">
            <v>BN</v>
          </cell>
          <cell r="B2835">
            <v>202403</v>
          </cell>
          <cell r="D2835" t="str">
            <v>Venta Cruzada</v>
          </cell>
          <cell r="G2835" t="str">
            <v>Real</v>
          </cell>
        </row>
        <row r="2836">
          <cell r="A2836" t="str">
            <v>BN</v>
          </cell>
          <cell r="B2836">
            <v>202403</v>
          </cell>
          <cell r="D2836" t="str">
            <v>Vida Ahorro Colectivo</v>
          </cell>
          <cell r="G2836" t="str">
            <v>Real</v>
          </cell>
        </row>
        <row r="2837">
          <cell r="A2837" t="str">
            <v>BN</v>
          </cell>
          <cell r="B2837">
            <v>202403</v>
          </cell>
          <cell r="D2837" t="str">
            <v>Vida Ahorro Particular</v>
          </cell>
          <cell r="G2837" t="str">
            <v>Real</v>
          </cell>
        </row>
        <row r="2838">
          <cell r="A2838" t="str">
            <v>BN</v>
          </cell>
          <cell r="B2838">
            <v>202403</v>
          </cell>
          <cell r="D2838" t="str">
            <v>Vida Ganado</v>
          </cell>
          <cell r="G2838" t="str">
            <v>Real</v>
          </cell>
        </row>
        <row r="2839">
          <cell r="A2839" t="str">
            <v>BN</v>
          </cell>
          <cell r="B2839">
            <v>202403</v>
          </cell>
          <cell r="D2839" t="str">
            <v>Vida Riesgo Colectivo</v>
          </cell>
          <cell r="G2839" t="str">
            <v>Real</v>
          </cell>
        </row>
        <row r="2840">
          <cell r="A2840" t="str">
            <v>BN</v>
          </cell>
          <cell r="B2840">
            <v>202403</v>
          </cell>
          <cell r="D2840" t="str">
            <v>Vida Riesgo Particular</v>
          </cell>
          <cell r="G2840" t="str">
            <v>Real</v>
          </cell>
        </row>
        <row r="2841">
          <cell r="A2841" t="str">
            <v>BN</v>
          </cell>
          <cell r="B2841">
            <v>202404</v>
          </cell>
          <cell r="D2841" t="str">
            <v>--</v>
          </cell>
          <cell r="G2841" t="str">
            <v>Real</v>
          </cell>
        </row>
        <row r="2842">
          <cell r="A2842" t="str">
            <v>BN</v>
          </cell>
          <cell r="B2842">
            <v>202404</v>
          </cell>
          <cell r="D2842" t="str">
            <v>--</v>
          </cell>
          <cell r="G2842" t="str">
            <v>Real</v>
          </cell>
        </row>
        <row r="2843">
          <cell r="A2843" t="str">
            <v>BN</v>
          </cell>
          <cell r="B2843">
            <v>202404</v>
          </cell>
          <cell r="D2843" t="str">
            <v>Resto de Lineas</v>
          </cell>
          <cell r="G2843" t="str">
            <v>Real</v>
          </cell>
        </row>
        <row r="2844">
          <cell r="A2844" t="str">
            <v>BN</v>
          </cell>
          <cell r="B2844">
            <v>202404</v>
          </cell>
          <cell r="D2844" t="str">
            <v>Autos</v>
          </cell>
          <cell r="G2844" t="str">
            <v>Real</v>
          </cell>
        </row>
        <row r="2845">
          <cell r="A2845" t="str">
            <v>BN</v>
          </cell>
          <cell r="B2845">
            <v>202404</v>
          </cell>
          <cell r="D2845" t="str">
            <v>Crédito Nacional</v>
          </cell>
          <cell r="G2845" t="str">
            <v>Real</v>
          </cell>
        </row>
        <row r="2846">
          <cell r="A2846" t="str">
            <v>BN</v>
          </cell>
          <cell r="B2846">
            <v>202404</v>
          </cell>
          <cell r="D2846" t="str">
            <v>Flotas</v>
          </cell>
          <cell r="G2846" t="str">
            <v>Real</v>
          </cell>
        </row>
        <row r="2847">
          <cell r="A2847" t="str">
            <v>BN</v>
          </cell>
          <cell r="B2847">
            <v>202404</v>
          </cell>
          <cell r="D2847" t="str">
            <v>Hogar</v>
          </cell>
          <cell r="G2847" t="str">
            <v>Real</v>
          </cell>
        </row>
        <row r="2848">
          <cell r="A2848" t="str">
            <v>BN</v>
          </cell>
          <cell r="B2848">
            <v>202404</v>
          </cell>
          <cell r="D2848" t="str">
            <v>Ingeniería</v>
          </cell>
          <cell r="G2848" t="str">
            <v>Real</v>
          </cell>
        </row>
        <row r="2849">
          <cell r="A2849" t="str">
            <v>BN</v>
          </cell>
          <cell r="B2849">
            <v>202404</v>
          </cell>
          <cell r="D2849" t="str">
            <v>Inmobiliario</v>
          </cell>
          <cell r="G2849" t="str">
            <v>Real</v>
          </cell>
        </row>
        <row r="2850">
          <cell r="A2850" t="str">
            <v>BN</v>
          </cell>
          <cell r="B2850">
            <v>202404</v>
          </cell>
          <cell r="D2850" t="str">
            <v>Líneas Financieras</v>
          </cell>
          <cell r="G2850" t="str">
            <v>Real</v>
          </cell>
        </row>
        <row r="2851">
          <cell r="A2851" t="str">
            <v>BN</v>
          </cell>
          <cell r="B2851">
            <v>202404</v>
          </cell>
          <cell r="D2851" t="str">
            <v>Náutica</v>
          </cell>
          <cell r="G2851" t="str">
            <v>Real</v>
          </cell>
        </row>
        <row r="2852">
          <cell r="A2852" t="str">
            <v>BN</v>
          </cell>
          <cell r="B2852">
            <v>202404</v>
          </cell>
          <cell r="D2852" t="str">
            <v>Particulares Resto</v>
          </cell>
          <cell r="G2852" t="str">
            <v>Real</v>
          </cell>
        </row>
        <row r="2853">
          <cell r="A2853" t="str">
            <v>BN</v>
          </cell>
          <cell r="B2853">
            <v>202404</v>
          </cell>
          <cell r="D2853" t="str">
            <v>Property</v>
          </cell>
          <cell r="G2853" t="str">
            <v>Real</v>
          </cell>
        </row>
        <row r="2854">
          <cell r="A2854" t="str">
            <v>BN</v>
          </cell>
          <cell r="B2854">
            <v>202404</v>
          </cell>
          <cell r="D2854" t="str">
            <v>RC</v>
          </cell>
          <cell r="G2854" t="str">
            <v>Real</v>
          </cell>
        </row>
        <row r="2855">
          <cell r="A2855" t="str">
            <v>BN</v>
          </cell>
          <cell r="B2855">
            <v>202404</v>
          </cell>
          <cell r="D2855" t="str">
            <v>Resto de lineas</v>
          </cell>
          <cell r="G2855" t="str">
            <v>Real</v>
          </cell>
        </row>
        <row r="2856">
          <cell r="A2856" t="str">
            <v>BN</v>
          </cell>
          <cell r="B2856">
            <v>202404</v>
          </cell>
          <cell r="D2856" t="str">
            <v>Retirada</v>
          </cell>
          <cell r="G2856" t="str">
            <v>Real</v>
          </cell>
        </row>
        <row r="2857">
          <cell r="A2857" t="str">
            <v>BN</v>
          </cell>
          <cell r="B2857">
            <v>202404</v>
          </cell>
          <cell r="D2857" t="str">
            <v>Seguros Personales (No Vida) Colectivos</v>
          </cell>
          <cell r="G2857" t="str">
            <v>Real</v>
          </cell>
        </row>
        <row r="2858">
          <cell r="A2858" t="str">
            <v>BN</v>
          </cell>
          <cell r="B2858">
            <v>202404</v>
          </cell>
          <cell r="D2858" t="str">
            <v>Seguros Personales (No Vida) Particular</v>
          </cell>
          <cell r="G2858" t="str">
            <v>Real</v>
          </cell>
        </row>
        <row r="2859">
          <cell r="A2859" t="str">
            <v>BN</v>
          </cell>
          <cell r="B2859">
            <v>202404</v>
          </cell>
          <cell r="D2859" t="str">
            <v>Transporte</v>
          </cell>
          <cell r="G2859" t="str">
            <v>Real</v>
          </cell>
        </row>
        <row r="2860">
          <cell r="A2860" t="str">
            <v>BN</v>
          </cell>
          <cell r="B2860">
            <v>202404</v>
          </cell>
          <cell r="D2860" t="str">
            <v>Venta Cruzada</v>
          </cell>
          <cell r="G2860" t="str">
            <v>Real</v>
          </cell>
        </row>
        <row r="2861">
          <cell r="A2861" t="str">
            <v>BN</v>
          </cell>
          <cell r="B2861">
            <v>202404</v>
          </cell>
          <cell r="D2861" t="str">
            <v>Vida Ahorro Colectivo</v>
          </cell>
          <cell r="G2861" t="str">
            <v>Real</v>
          </cell>
        </row>
        <row r="2862">
          <cell r="A2862" t="str">
            <v>BN</v>
          </cell>
          <cell r="B2862">
            <v>202404</v>
          </cell>
          <cell r="D2862" t="str">
            <v>Vida Ahorro Particular</v>
          </cell>
          <cell r="G2862" t="str">
            <v>Real</v>
          </cell>
        </row>
        <row r="2863">
          <cell r="A2863" t="str">
            <v>BN</v>
          </cell>
          <cell r="B2863">
            <v>202404</v>
          </cell>
          <cell r="D2863" t="str">
            <v>Vida Ganado</v>
          </cell>
          <cell r="G2863" t="str">
            <v>Real</v>
          </cell>
        </row>
        <row r="2864">
          <cell r="A2864" t="str">
            <v>BN</v>
          </cell>
          <cell r="B2864">
            <v>202404</v>
          </cell>
          <cell r="D2864" t="str">
            <v>Vida Riesgo Colectivo</v>
          </cell>
          <cell r="G2864" t="str">
            <v>Real</v>
          </cell>
        </row>
        <row r="2865">
          <cell r="A2865" t="str">
            <v>BN</v>
          </cell>
          <cell r="B2865">
            <v>202404</v>
          </cell>
          <cell r="D2865" t="str">
            <v>Vida Riesgo Particular</v>
          </cell>
          <cell r="G2865" t="str">
            <v>Real</v>
          </cell>
        </row>
        <row r="2866">
          <cell r="A2866" t="str">
            <v>BN</v>
          </cell>
          <cell r="B2866">
            <v>202405</v>
          </cell>
          <cell r="D2866" t="str">
            <v>--</v>
          </cell>
          <cell r="G2866" t="str">
            <v>Real</v>
          </cell>
        </row>
        <row r="2867">
          <cell r="A2867" t="str">
            <v>BN</v>
          </cell>
          <cell r="B2867">
            <v>202405</v>
          </cell>
          <cell r="D2867" t="str">
            <v>--</v>
          </cell>
          <cell r="G2867" t="str">
            <v>Real</v>
          </cell>
        </row>
        <row r="2868">
          <cell r="A2868" t="str">
            <v>BN</v>
          </cell>
          <cell r="B2868">
            <v>202405</v>
          </cell>
          <cell r="D2868" t="str">
            <v>Resto de Lineas</v>
          </cell>
          <cell r="G2868" t="str">
            <v>Real</v>
          </cell>
        </row>
        <row r="2869">
          <cell r="A2869" t="str">
            <v>BN</v>
          </cell>
          <cell r="B2869">
            <v>202405</v>
          </cell>
          <cell r="D2869" t="str">
            <v>Arte</v>
          </cell>
          <cell r="G2869" t="str">
            <v>Real</v>
          </cell>
        </row>
        <row r="2870">
          <cell r="A2870" t="str">
            <v>BN</v>
          </cell>
          <cell r="B2870">
            <v>202405</v>
          </cell>
          <cell r="D2870" t="str">
            <v>Autos</v>
          </cell>
          <cell r="G2870" t="str">
            <v>Real</v>
          </cell>
        </row>
        <row r="2871">
          <cell r="A2871" t="str">
            <v>BN</v>
          </cell>
          <cell r="B2871">
            <v>202405</v>
          </cell>
          <cell r="D2871" t="str">
            <v>Crédito Nacional</v>
          </cell>
          <cell r="G2871" t="str">
            <v>Real</v>
          </cell>
        </row>
        <row r="2872">
          <cell r="A2872" t="str">
            <v>BN</v>
          </cell>
          <cell r="B2872">
            <v>202405</v>
          </cell>
          <cell r="D2872" t="str">
            <v>Flotas</v>
          </cell>
          <cell r="G2872" t="str">
            <v>Real</v>
          </cell>
        </row>
        <row r="2873">
          <cell r="A2873" t="str">
            <v>BN</v>
          </cell>
          <cell r="B2873">
            <v>202405</v>
          </cell>
          <cell r="D2873" t="str">
            <v>Hogar</v>
          </cell>
          <cell r="G2873" t="str">
            <v>Real</v>
          </cell>
        </row>
        <row r="2874">
          <cell r="A2874" t="str">
            <v>BN</v>
          </cell>
          <cell r="B2874">
            <v>202405</v>
          </cell>
          <cell r="D2874" t="str">
            <v>Ingeniería</v>
          </cell>
          <cell r="G2874" t="str">
            <v>Real</v>
          </cell>
        </row>
        <row r="2875">
          <cell r="A2875" t="str">
            <v>BN</v>
          </cell>
          <cell r="B2875">
            <v>202405</v>
          </cell>
          <cell r="D2875" t="str">
            <v>Inmobiliario</v>
          </cell>
          <cell r="G2875" t="str">
            <v>Real</v>
          </cell>
        </row>
        <row r="2876">
          <cell r="A2876" t="str">
            <v>BN</v>
          </cell>
          <cell r="B2876">
            <v>202405</v>
          </cell>
          <cell r="D2876" t="str">
            <v>Líneas Financieras</v>
          </cell>
          <cell r="G2876" t="str">
            <v>Real</v>
          </cell>
        </row>
        <row r="2877">
          <cell r="A2877" t="str">
            <v>BN</v>
          </cell>
          <cell r="B2877">
            <v>202405</v>
          </cell>
          <cell r="D2877" t="str">
            <v>Náutica</v>
          </cell>
          <cell r="G2877" t="str">
            <v>Real</v>
          </cell>
        </row>
        <row r="2878">
          <cell r="A2878" t="str">
            <v>BN</v>
          </cell>
          <cell r="B2878">
            <v>202405</v>
          </cell>
          <cell r="D2878" t="str">
            <v>Particulares Resto</v>
          </cell>
          <cell r="G2878" t="str">
            <v>Real</v>
          </cell>
        </row>
        <row r="2879">
          <cell r="A2879" t="str">
            <v>BN</v>
          </cell>
          <cell r="B2879">
            <v>202405</v>
          </cell>
          <cell r="D2879" t="str">
            <v>Property</v>
          </cell>
          <cell r="G2879" t="str">
            <v>Real</v>
          </cell>
        </row>
        <row r="2880">
          <cell r="A2880" t="str">
            <v>BN</v>
          </cell>
          <cell r="B2880">
            <v>202405</v>
          </cell>
          <cell r="D2880" t="str">
            <v>RC</v>
          </cell>
          <cell r="G2880" t="str">
            <v>Real</v>
          </cell>
        </row>
        <row r="2881">
          <cell r="A2881" t="str">
            <v>BN</v>
          </cell>
          <cell r="B2881">
            <v>202405</v>
          </cell>
          <cell r="D2881" t="str">
            <v>Resto de lineas</v>
          </cell>
          <cell r="G2881" t="str">
            <v>Real</v>
          </cell>
        </row>
        <row r="2882">
          <cell r="A2882" t="str">
            <v>BN</v>
          </cell>
          <cell r="B2882">
            <v>202405</v>
          </cell>
          <cell r="D2882" t="str">
            <v>Retirada</v>
          </cell>
          <cell r="G2882" t="str">
            <v>Real</v>
          </cell>
        </row>
        <row r="2883">
          <cell r="A2883" t="str">
            <v>BN</v>
          </cell>
          <cell r="B2883">
            <v>202405</v>
          </cell>
          <cell r="D2883" t="str">
            <v>Seguros Personales (No Vida) Colectivos</v>
          </cell>
          <cell r="G2883" t="str">
            <v>Real</v>
          </cell>
        </row>
        <row r="2884">
          <cell r="A2884" t="str">
            <v>BN</v>
          </cell>
          <cell r="B2884">
            <v>202405</v>
          </cell>
          <cell r="D2884" t="str">
            <v>Seguros Personales (No Vida) Particular</v>
          </cell>
          <cell r="G2884" t="str">
            <v>Real</v>
          </cell>
        </row>
        <row r="2885">
          <cell r="A2885" t="str">
            <v>BN</v>
          </cell>
          <cell r="B2885">
            <v>202405</v>
          </cell>
          <cell r="D2885" t="str">
            <v>Transporte</v>
          </cell>
          <cell r="G2885" t="str">
            <v>Real</v>
          </cell>
        </row>
        <row r="2886">
          <cell r="A2886" t="str">
            <v>BN</v>
          </cell>
          <cell r="B2886">
            <v>202405</v>
          </cell>
          <cell r="D2886" t="str">
            <v>Venta Cruzada</v>
          </cell>
          <cell r="G2886" t="str">
            <v>Real</v>
          </cell>
        </row>
        <row r="2887">
          <cell r="A2887" t="str">
            <v>BN</v>
          </cell>
          <cell r="B2887">
            <v>202405</v>
          </cell>
          <cell r="D2887" t="str">
            <v>Vida Ahorro Colectivo</v>
          </cell>
          <cell r="G2887" t="str">
            <v>Real</v>
          </cell>
        </row>
        <row r="2888">
          <cell r="A2888" t="str">
            <v>BN</v>
          </cell>
          <cell r="B2888">
            <v>202405</v>
          </cell>
          <cell r="D2888" t="str">
            <v>Vida Ahorro Particular</v>
          </cell>
          <cell r="G2888" t="str">
            <v>Real</v>
          </cell>
        </row>
        <row r="2889">
          <cell r="A2889" t="str">
            <v>BN</v>
          </cell>
          <cell r="B2889">
            <v>202405</v>
          </cell>
          <cell r="D2889" t="str">
            <v>Vida Ganado</v>
          </cell>
          <cell r="G2889" t="str">
            <v>Real</v>
          </cell>
        </row>
        <row r="2890">
          <cell r="A2890" t="str">
            <v>BN</v>
          </cell>
          <cell r="B2890">
            <v>202405</v>
          </cell>
          <cell r="D2890" t="str">
            <v>Vida Riesgo Colectivo</v>
          </cell>
          <cell r="G2890" t="str">
            <v>Real</v>
          </cell>
        </row>
        <row r="2891">
          <cell r="A2891" t="str">
            <v>BN</v>
          </cell>
          <cell r="B2891">
            <v>202405</v>
          </cell>
          <cell r="D2891" t="str">
            <v>Vida Riesgo Particular</v>
          </cell>
          <cell r="G2891" t="str">
            <v>Real</v>
          </cell>
        </row>
        <row r="2892">
          <cell r="A2892" t="str">
            <v>BN</v>
          </cell>
          <cell r="B2892">
            <v>202406</v>
          </cell>
          <cell r="D2892" t="str">
            <v>--</v>
          </cell>
          <cell r="G2892" t="str">
            <v>Real</v>
          </cell>
        </row>
        <row r="2893">
          <cell r="A2893" t="str">
            <v>BN</v>
          </cell>
          <cell r="B2893">
            <v>202406</v>
          </cell>
          <cell r="D2893" t="str">
            <v>--</v>
          </cell>
          <cell r="G2893" t="str">
            <v>Real</v>
          </cell>
        </row>
        <row r="2894">
          <cell r="A2894" t="str">
            <v>BN</v>
          </cell>
          <cell r="B2894">
            <v>202406</v>
          </cell>
          <cell r="D2894" t="str">
            <v>Resto de Lineas</v>
          </cell>
          <cell r="G2894" t="str">
            <v>Real</v>
          </cell>
        </row>
        <row r="2895">
          <cell r="A2895" t="str">
            <v>BN</v>
          </cell>
          <cell r="B2895">
            <v>202406</v>
          </cell>
          <cell r="D2895" t="str">
            <v>Autos</v>
          </cell>
          <cell r="G2895" t="str">
            <v>Real</v>
          </cell>
        </row>
        <row r="2896">
          <cell r="A2896" t="str">
            <v>BN</v>
          </cell>
          <cell r="B2896">
            <v>202406</v>
          </cell>
          <cell r="D2896" t="str">
            <v>Crédito Nacional</v>
          </cell>
          <cell r="G2896" t="str">
            <v>Real</v>
          </cell>
        </row>
        <row r="2897">
          <cell r="A2897" t="str">
            <v>BN</v>
          </cell>
          <cell r="B2897">
            <v>202406</v>
          </cell>
          <cell r="D2897" t="str">
            <v>Flotas</v>
          </cell>
          <cell r="G2897" t="str">
            <v>Real</v>
          </cell>
        </row>
        <row r="2898">
          <cell r="A2898" t="str">
            <v>BN</v>
          </cell>
          <cell r="B2898">
            <v>202406</v>
          </cell>
          <cell r="D2898" t="str">
            <v>Hogar</v>
          </cell>
          <cell r="G2898" t="str">
            <v>Real</v>
          </cell>
        </row>
        <row r="2899">
          <cell r="A2899" t="str">
            <v>BN</v>
          </cell>
          <cell r="B2899">
            <v>202406</v>
          </cell>
          <cell r="D2899" t="str">
            <v>Ingeniería</v>
          </cell>
          <cell r="G2899" t="str">
            <v>Real</v>
          </cell>
        </row>
        <row r="2900">
          <cell r="A2900" t="str">
            <v>BN</v>
          </cell>
          <cell r="B2900">
            <v>202406</v>
          </cell>
          <cell r="D2900" t="str">
            <v>Inmobiliario</v>
          </cell>
          <cell r="G2900" t="str">
            <v>Real</v>
          </cell>
        </row>
        <row r="2901">
          <cell r="A2901" t="str">
            <v>BN</v>
          </cell>
          <cell r="B2901">
            <v>202406</v>
          </cell>
          <cell r="D2901" t="str">
            <v>Líneas Financieras</v>
          </cell>
          <cell r="G2901" t="str">
            <v>Real</v>
          </cell>
        </row>
        <row r="2902">
          <cell r="A2902" t="str">
            <v>BN</v>
          </cell>
          <cell r="B2902">
            <v>202406</v>
          </cell>
          <cell r="D2902" t="str">
            <v>Náutica</v>
          </cell>
          <cell r="G2902" t="str">
            <v>Real</v>
          </cell>
        </row>
        <row r="2903">
          <cell r="A2903" t="str">
            <v>BN</v>
          </cell>
          <cell r="B2903">
            <v>202406</v>
          </cell>
          <cell r="D2903" t="str">
            <v>Particulares Resto</v>
          </cell>
          <cell r="G2903" t="str">
            <v>Real</v>
          </cell>
        </row>
        <row r="2904">
          <cell r="A2904" t="str">
            <v>BN</v>
          </cell>
          <cell r="B2904">
            <v>202406</v>
          </cell>
          <cell r="D2904" t="str">
            <v>Property</v>
          </cell>
          <cell r="G2904" t="str">
            <v>Real</v>
          </cell>
        </row>
        <row r="2905">
          <cell r="A2905" t="str">
            <v>BN</v>
          </cell>
          <cell r="B2905">
            <v>202406</v>
          </cell>
          <cell r="D2905" t="str">
            <v>RC</v>
          </cell>
          <cell r="G2905" t="str">
            <v>Real</v>
          </cell>
        </row>
        <row r="2906">
          <cell r="A2906" t="str">
            <v>BN</v>
          </cell>
          <cell r="B2906">
            <v>202406</v>
          </cell>
          <cell r="D2906" t="str">
            <v>Resto de lineas</v>
          </cell>
          <cell r="G2906" t="str">
            <v>Real</v>
          </cell>
        </row>
        <row r="2907">
          <cell r="A2907" t="str">
            <v>BN</v>
          </cell>
          <cell r="B2907">
            <v>202406</v>
          </cell>
          <cell r="D2907" t="str">
            <v>Retirada</v>
          </cell>
          <cell r="G2907" t="str">
            <v>Real</v>
          </cell>
        </row>
        <row r="2908">
          <cell r="A2908" t="str">
            <v>BN</v>
          </cell>
          <cell r="B2908">
            <v>202406</v>
          </cell>
          <cell r="D2908" t="str">
            <v>Seguros Personales (No Vida) Colectivos</v>
          </cell>
          <cell r="G2908" t="str">
            <v>Real</v>
          </cell>
        </row>
        <row r="2909">
          <cell r="A2909" t="str">
            <v>BN</v>
          </cell>
          <cell r="B2909">
            <v>202406</v>
          </cell>
          <cell r="D2909" t="str">
            <v>Seguros Personales (No Vida) Particular</v>
          </cell>
          <cell r="G2909" t="str">
            <v>Real</v>
          </cell>
        </row>
        <row r="2910">
          <cell r="A2910" t="str">
            <v>BN</v>
          </cell>
          <cell r="B2910">
            <v>202406</v>
          </cell>
          <cell r="D2910" t="str">
            <v>Transporte</v>
          </cell>
          <cell r="G2910" t="str">
            <v>Real</v>
          </cell>
        </row>
        <row r="2911">
          <cell r="A2911" t="str">
            <v>BN</v>
          </cell>
          <cell r="B2911">
            <v>202406</v>
          </cell>
          <cell r="D2911" t="str">
            <v>Vida Ahorro Colectivo</v>
          </cell>
          <cell r="G2911" t="str">
            <v>Real</v>
          </cell>
        </row>
        <row r="2912">
          <cell r="A2912" t="str">
            <v>BN</v>
          </cell>
          <cell r="B2912">
            <v>202406</v>
          </cell>
          <cell r="D2912" t="str">
            <v>Vida Ahorro Particular</v>
          </cell>
          <cell r="G2912" t="str">
            <v>Real</v>
          </cell>
        </row>
        <row r="2913">
          <cell r="A2913" t="str">
            <v>BN</v>
          </cell>
          <cell r="B2913">
            <v>202406</v>
          </cell>
          <cell r="D2913" t="str">
            <v>Vida Ganado</v>
          </cell>
          <cell r="G2913" t="str">
            <v>Real</v>
          </cell>
        </row>
        <row r="2914">
          <cell r="A2914" t="str">
            <v>BN</v>
          </cell>
          <cell r="B2914">
            <v>202406</v>
          </cell>
          <cell r="D2914" t="str">
            <v>Vida Riesgo Colectivo</v>
          </cell>
          <cell r="G2914" t="str">
            <v>Real</v>
          </cell>
        </row>
        <row r="2915">
          <cell r="A2915" t="str">
            <v>BN</v>
          </cell>
          <cell r="B2915">
            <v>202406</v>
          </cell>
          <cell r="D2915" t="str">
            <v>Vida Riesgo Particular</v>
          </cell>
          <cell r="G2915" t="str">
            <v>Real</v>
          </cell>
        </row>
        <row r="2916">
          <cell r="A2916" t="str">
            <v>BN</v>
          </cell>
          <cell r="B2916">
            <v>202407</v>
          </cell>
          <cell r="D2916" t="str">
            <v>--</v>
          </cell>
          <cell r="G2916" t="str">
            <v>Real</v>
          </cell>
        </row>
        <row r="2917">
          <cell r="A2917" t="str">
            <v>BN</v>
          </cell>
          <cell r="B2917">
            <v>202407</v>
          </cell>
          <cell r="D2917" t="str">
            <v>--</v>
          </cell>
          <cell r="G2917" t="str">
            <v>Real</v>
          </cell>
        </row>
        <row r="2918">
          <cell r="A2918" t="str">
            <v>BN</v>
          </cell>
          <cell r="B2918">
            <v>202407</v>
          </cell>
          <cell r="D2918" t="str">
            <v>Resto de Lineas</v>
          </cell>
          <cell r="G2918" t="str">
            <v>Real</v>
          </cell>
        </row>
        <row r="2919">
          <cell r="A2919" t="str">
            <v>BN</v>
          </cell>
          <cell r="B2919">
            <v>202407</v>
          </cell>
          <cell r="D2919" t="str">
            <v>Autos</v>
          </cell>
          <cell r="G2919" t="str">
            <v>Real</v>
          </cell>
        </row>
        <row r="2920">
          <cell r="A2920" t="str">
            <v>BN</v>
          </cell>
          <cell r="B2920">
            <v>202407</v>
          </cell>
          <cell r="D2920" t="str">
            <v>Caución</v>
          </cell>
          <cell r="G2920" t="str">
            <v>Real</v>
          </cell>
        </row>
        <row r="2921">
          <cell r="A2921" t="str">
            <v>BN</v>
          </cell>
          <cell r="B2921">
            <v>202407</v>
          </cell>
          <cell r="D2921" t="str">
            <v>Crédito Nacional</v>
          </cell>
          <cell r="G2921" t="str">
            <v>Real</v>
          </cell>
        </row>
        <row r="2922">
          <cell r="A2922" t="str">
            <v>BN</v>
          </cell>
          <cell r="B2922">
            <v>202407</v>
          </cell>
          <cell r="D2922" t="str">
            <v>Eventos</v>
          </cell>
          <cell r="G2922" t="str">
            <v>Real</v>
          </cell>
        </row>
        <row r="2923">
          <cell r="A2923" t="str">
            <v>BN</v>
          </cell>
          <cell r="B2923">
            <v>202407</v>
          </cell>
          <cell r="D2923" t="str">
            <v>Flotas</v>
          </cell>
          <cell r="G2923" t="str">
            <v>Real</v>
          </cell>
        </row>
        <row r="2924">
          <cell r="A2924" t="str">
            <v>BN</v>
          </cell>
          <cell r="B2924">
            <v>202407</v>
          </cell>
          <cell r="D2924" t="str">
            <v>Hogar</v>
          </cell>
          <cell r="G2924" t="str">
            <v>Real</v>
          </cell>
        </row>
        <row r="2925">
          <cell r="A2925" t="str">
            <v>BN</v>
          </cell>
          <cell r="B2925">
            <v>202407</v>
          </cell>
          <cell r="D2925" t="str">
            <v>Ingeniería</v>
          </cell>
          <cell r="G2925" t="str">
            <v>Real</v>
          </cell>
        </row>
        <row r="2926">
          <cell r="A2926" t="str">
            <v>BN</v>
          </cell>
          <cell r="B2926">
            <v>202407</v>
          </cell>
          <cell r="D2926" t="str">
            <v>Inmobiliario</v>
          </cell>
          <cell r="G2926" t="str">
            <v>Real</v>
          </cell>
        </row>
        <row r="2927">
          <cell r="A2927" t="str">
            <v>BN</v>
          </cell>
          <cell r="B2927">
            <v>202407</v>
          </cell>
          <cell r="D2927" t="str">
            <v>Líneas Financieras</v>
          </cell>
          <cell r="G2927" t="str">
            <v>Real</v>
          </cell>
        </row>
        <row r="2928">
          <cell r="A2928" t="str">
            <v>BN</v>
          </cell>
          <cell r="B2928">
            <v>202407</v>
          </cell>
          <cell r="D2928" t="str">
            <v>Náutica</v>
          </cell>
          <cell r="G2928" t="str">
            <v>Real</v>
          </cell>
        </row>
        <row r="2929">
          <cell r="A2929" t="str">
            <v>BN</v>
          </cell>
          <cell r="B2929">
            <v>202407</v>
          </cell>
          <cell r="D2929" t="str">
            <v>Particulares Resto</v>
          </cell>
          <cell r="G2929" t="str">
            <v>Real</v>
          </cell>
        </row>
        <row r="2930">
          <cell r="A2930" t="str">
            <v>BN</v>
          </cell>
          <cell r="B2930">
            <v>202407</v>
          </cell>
          <cell r="D2930" t="str">
            <v>Property</v>
          </cell>
          <cell r="G2930" t="str">
            <v>Real</v>
          </cell>
        </row>
        <row r="2931">
          <cell r="A2931" t="str">
            <v>BN</v>
          </cell>
          <cell r="B2931">
            <v>202407</v>
          </cell>
          <cell r="D2931" t="str">
            <v>RC</v>
          </cell>
          <cell r="G2931" t="str">
            <v>Real</v>
          </cell>
        </row>
        <row r="2932">
          <cell r="A2932" t="str">
            <v>BN</v>
          </cell>
          <cell r="B2932">
            <v>202407</v>
          </cell>
          <cell r="D2932" t="str">
            <v>Resto de lineas</v>
          </cell>
          <cell r="G2932" t="str">
            <v>Real</v>
          </cell>
        </row>
        <row r="2933">
          <cell r="A2933" t="str">
            <v>BN</v>
          </cell>
          <cell r="B2933">
            <v>202407</v>
          </cell>
          <cell r="D2933" t="str">
            <v>Retirada</v>
          </cell>
          <cell r="G2933" t="str">
            <v>Real</v>
          </cell>
        </row>
        <row r="2934">
          <cell r="A2934" t="str">
            <v>BN</v>
          </cell>
          <cell r="B2934">
            <v>202407</v>
          </cell>
          <cell r="D2934" t="str">
            <v>Seguros Personales (No Vida) Colectivos</v>
          </cell>
          <cell r="G2934" t="str">
            <v>Real</v>
          </cell>
        </row>
        <row r="2935">
          <cell r="A2935" t="str">
            <v>BN</v>
          </cell>
          <cell r="B2935">
            <v>202407</v>
          </cell>
          <cell r="D2935" t="str">
            <v>Seguros Personales (No Vida) Particular</v>
          </cell>
          <cell r="G2935" t="str">
            <v>Real</v>
          </cell>
        </row>
        <row r="2936">
          <cell r="A2936" t="str">
            <v>BN</v>
          </cell>
          <cell r="B2936">
            <v>202407</v>
          </cell>
          <cell r="D2936" t="str">
            <v>Transporte</v>
          </cell>
          <cell r="G2936" t="str">
            <v>Real</v>
          </cell>
        </row>
        <row r="2937">
          <cell r="A2937" t="str">
            <v>BN</v>
          </cell>
          <cell r="B2937">
            <v>202407</v>
          </cell>
          <cell r="D2937" t="str">
            <v>Venta Cruzada</v>
          </cell>
          <cell r="G2937" t="str">
            <v>Real</v>
          </cell>
        </row>
        <row r="2938">
          <cell r="A2938" t="str">
            <v>BN</v>
          </cell>
          <cell r="B2938">
            <v>202407</v>
          </cell>
          <cell r="D2938" t="str">
            <v>Vida Ahorro Colectivo</v>
          </cell>
          <cell r="G2938" t="str">
            <v>Real</v>
          </cell>
        </row>
        <row r="2939">
          <cell r="A2939" t="str">
            <v>BN</v>
          </cell>
          <cell r="B2939">
            <v>202407</v>
          </cell>
          <cell r="D2939" t="str">
            <v>Vida Ahorro Particular</v>
          </cell>
          <cell r="G2939" t="str">
            <v>Real</v>
          </cell>
        </row>
        <row r="2940">
          <cell r="A2940" t="str">
            <v>BN</v>
          </cell>
          <cell r="B2940">
            <v>202407</v>
          </cell>
          <cell r="D2940" t="str">
            <v>Vida Ganado</v>
          </cell>
          <cell r="G2940" t="str">
            <v>Real</v>
          </cell>
        </row>
        <row r="2941">
          <cell r="A2941" t="str">
            <v>BN</v>
          </cell>
          <cell r="B2941">
            <v>202407</v>
          </cell>
          <cell r="D2941" t="str">
            <v>Vida Riesgo Colectivo</v>
          </cell>
          <cell r="G2941" t="str">
            <v>Real</v>
          </cell>
        </row>
        <row r="2942">
          <cell r="A2942" t="str">
            <v>BN</v>
          </cell>
          <cell r="B2942">
            <v>202407</v>
          </cell>
          <cell r="D2942" t="str">
            <v>Vida Riesgo Particular</v>
          </cell>
          <cell r="G2942" t="str">
            <v>Real</v>
          </cell>
        </row>
        <row r="2943">
          <cell r="A2943" t="str">
            <v>BN</v>
          </cell>
          <cell r="B2943">
            <v>202408</v>
          </cell>
          <cell r="D2943" t="str">
            <v>--</v>
          </cell>
          <cell r="G2943" t="str">
            <v>Real</v>
          </cell>
        </row>
        <row r="2944">
          <cell r="A2944" t="str">
            <v>BN</v>
          </cell>
          <cell r="B2944">
            <v>202408</v>
          </cell>
          <cell r="D2944" t="str">
            <v>--</v>
          </cell>
          <cell r="G2944" t="str">
            <v>Real</v>
          </cell>
        </row>
        <row r="2945">
          <cell r="A2945" t="str">
            <v>BN</v>
          </cell>
          <cell r="B2945">
            <v>202408</v>
          </cell>
          <cell r="D2945" t="str">
            <v>Autos</v>
          </cell>
          <cell r="G2945" t="str">
            <v>Real</v>
          </cell>
        </row>
        <row r="2946">
          <cell r="A2946" t="str">
            <v>BN</v>
          </cell>
          <cell r="B2946">
            <v>202408</v>
          </cell>
          <cell r="D2946" t="str">
            <v>Caución</v>
          </cell>
          <cell r="G2946" t="str">
            <v>Real</v>
          </cell>
        </row>
        <row r="2947">
          <cell r="A2947" t="str">
            <v>BN</v>
          </cell>
          <cell r="B2947">
            <v>202408</v>
          </cell>
          <cell r="D2947" t="str">
            <v>Crédito Nacional</v>
          </cell>
          <cell r="G2947" t="str">
            <v>Real</v>
          </cell>
        </row>
        <row r="2948">
          <cell r="A2948" t="str">
            <v>BN</v>
          </cell>
          <cell r="B2948">
            <v>202408</v>
          </cell>
          <cell r="D2948" t="str">
            <v>Flotas</v>
          </cell>
          <cell r="G2948" t="str">
            <v>Real</v>
          </cell>
        </row>
        <row r="2949">
          <cell r="A2949" t="str">
            <v>BN</v>
          </cell>
          <cell r="B2949">
            <v>202408</v>
          </cell>
          <cell r="D2949" t="str">
            <v>Hogar</v>
          </cell>
          <cell r="G2949" t="str">
            <v>Real</v>
          </cell>
        </row>
        <row r="2950">
          <cell r="A2950" t="str">
            <v>BN</v>
          </cell>
          <cell r="B2950">
            <v>202408</v>
          </cell>
          <cell r="D2950" t="str">
            <v>Ingeniería</v>
          </cell>
          <cell r="G2950" t="str">
            <v>Real</v>
          </cell>
        </row>
        <row r="2951">
          <cell r="A2951" t="str">
            <v>BN</v>
          </cell>
          <cell r="B2951">
            <v>202408</v>
          </cell>
          <cell r="D2951" t="str">
            <v>Inmobiliario</v>
          </cell>
          <cell r="G2951" t="str">
            <v>Real</v>
          </cell>
        </row>
        <row r="2952">
          <cell r="A2952" t="str">
            <v>BN</v>
          </cell>
          <cell r="B2952">
            <v>202408</v>
          </cell>
          <cell r="D2952" t="str">
            <v>Líneas Financieras</v>
          </cell>
          <cell r="G2952" t="str">
            <v>Real</v>
          </cell>
        </row>
        <row r="2953">
          <cell r="A2953" t="str">
            <v>BN</v>
          </cell>
          <cell r="B2953">
            <v>202408</v>
          </cell>
          <cell r="D2953" t="str">
            <v>Náutica</v>
          </cell>
          <cell r="G2953" t="str">
            <v>Real</v>
          </cell>
        </row>
        <row r="2954">
          <cell r="A2954" t="str">
            <v>BN</v>
          </cell>
          <cell r="B2954">
            <v>202408</v>
          </cell>
          <cell r="D2954" t="str">
            <v>Particulares Resto</v>
          </cell>
          <cell r="G2954" t="str">
            <v>Real</v>
          </cell>
        </row>
        <row r="2955">
          <cell r="A2955" t="str">
            <v>BN</v>
          </cell>
          <cell r="B2955">
            <v>202408</v>
          </cell>
          <cell r="D2955" t="str">
            <v>Property</v>
          </cell>
          <cell r="G2955" t="str">
            <v>Real</v>
          </cell>
        </row>
        <row r="2956">
          <cell r="A2956" t="str">
            <v>BN</v>
          </cell>
          <cell r="B2956">
            <v>202408</v>
          </cell>
          <cell r="D2956" t="str">
            <v>RC</v>
          </cell>
          <cell r="G2956" t="str">
            <v>Real</v>
          </cell>
        </row>
        <row r="2957">
          <cell r="A2957" t="str">
            <v>BN</v>
          </cell>
          <cell r="B2957">
            <v>202408</v>
          </cell>
          <cell r="D2957" t="str">
            <v>Resto de lineas</v>
          </cell>
          <cell r="G2957" t="str">
            <v>Real</v>
          </cell>
        </row>
        <row r="2958">
          <cell r="A2958" t="str">
            <v>BN</v>
          </cell>
          <cell r="B2958">
            <v>202408</v>
          </cell>
          <cell r="D2958" t="str">
            <v>Retirada</v>
          </cell>
          <cell r="G2958" t="str">
            <v>Real</v>
          </cell>
        </row>
        <row r="2959">
          <cell r="A2959" t="str">
            <v>BN</v>
          </cell>
          <cell r="B2959">
            <v>202408</v>
          </cell>
          <cell r="D2959" t="str">
            <v>Seguros Personales (No Vida) Colectivos</v>
          </cell>
          <cell r="G2959" t="str">
            <v>Real</v>
          </cell>
        </row>
        <row r="2960">
          <cell r="A2960" t="str">
            <v>BN</v>
          </cell>
          <cell r="B2960">
            <v>202408</v>
          </cell>
          <cell r="D2960" t="str">
            <v>Seguros Personales (No Vida) Particular</v>
          </cell>
          <cell r="G2960" t="str">
            <v>Real</v>
          </cell>
        </row>
        <row r="2961">
          <cell r="A2961" t="str">
            <v>BN</v>
          </cell>
          <cell r="B2961">
            <v>202408</v>
          </cell>
          <cell r="D2961" t="str">
            <v>Transporte</v>
          </cell>
          <cell r="G2961" t="str">
            <v>Real</v>
          </cell>
        </row>
        <row r="2962">
          <cell r="A2962" t="str">
            <v>BN</v>
          </cell>
          <cell r="B2962">
            <v>202408</v>
          </cell>
          <cell r="D2962" t="str">
            <v>Venta Cruzada</v>
          </cell>
          <cell r="G2962" t="str">
            <v>Real</v>
          </cell>
        </row>
        <row r="2963">
          <cell r="A2963" t="str">
            <v>BN</v>
          </cell>
          <cell r="B2963">
            <v>202408</v>
          </cell>
          <cell r="D2963" t="str">
            <v>Vida Ahorro Colectivo</v>
          </cell>
          <cell r="G2963" t="str">
            <v>Real</v>
          </cell>
        </row>
        <row r="2964">
          <cell r="A2964" t="str">
            <v>BN</v>
          </cell>
          <cell r="B2964">
            <v>202408</v>
          </cell>
          <cell r="D2964" t="str">
            <v>Vida Ahorro Particular</v>
          </cell>
          <cell r="G2964" t="str">
            <v>Real</v>
          </cell>
        </row>
        <row r="2965">
          <cell r="A2965" t="str">
            <v>BN</v>
          </cell>
          <cell r="B2965">
            <v>202408</v>
          </cell>
          <cell r="D2965" t="str">
            <v>Vida Ganado</v>
          </cell>
          <cell r="G2965" t="str">
            <v>Real</v>
          </cell>
        </row>
        <row r="2966">
          <cell r="A2966" t="str">
            <v>BN</v>
          </cell>
          <cell r="B2966">
            <v>202408</v>
          </cell>
          <cell r="D2966" t="str">
            <v>Vida Riesgo Colectivo</v>
          </cell>
          <cell r="G2966" t="str">
            <v>Real</v>
          </cell>
        </row>
        <row r="2967">
          <cell r="A2967" t="str">
            <v>BN</v>
          </cell>
          <cell r="B2967">
            <v>202408</v>
          </cell>
          <cell r="D2967" t="str">
            <v>Vida Riesgo Particular</v>
          </cell>
          <cell r="G2967" t="str">
            <v>Real</v>
          </cell>
        </row>
        <row r="2968">
          <cell r="A2968" t="str">
            <v>BN</v>
          </cell>
          <cell r="B2968">
            <v>202409</v>
          </cell>
          <cell r="D2968" t="str">
            <v>--</v>
          </cell>
          <cell r="G2968" t="str">
            <v>Real</v>
          </cell>
        </row>
        <row r="2969">
          <cell r="A2969" t="str">
            <v>BN</v>
          </cell>
          <cell r="B2969">
            <v>202409</v>
          </cell>
          <cell r="D2969" t="str">
            <v>--</v>
          </cell>
          <cell r="G2969" t="str">
            <v>Real</v>
          </cell>
        </row>
        <row r="2970">
          <cell r="A2970" t="str">
            <v>BN</v>
          </cell>
          <cell r="B2970">
            <v>202409</v>
          </cell>
          <cell r="D2970" t="str">
            <v>Resto de Lineas</v>
          </cell>
          <cell r="G2970" t="str">
            <v>Real</v>
          </cell>
        </row>
        <row r="2971">
          <cell r="A2971" t="str">
            <v>BN</v>
          </cell>
          <cell r="B2971">
            <v>202409</v>
          </cell>
          <cell r="D2971" t="str">
            <v>Autos</v>
          </cell>
          <cell r="G2971" t="str">
            <v>Real</v>
          </cell>
        </row>
        <row r="2972">
          <cell r="A2972" t="str">
            <v>BN</v>
          </cell>
          <cell r="B2972">
            <v>202409</v>
          </cell>
          <cell r="D2972" t="str">
            <v>Caución</v>
          </cell>
          <cell r="G2972" t="str">
            <v>Real</v>
          </cell>
        </row>
        <row r="2973">
          <cell r="A2973" t="str">
            <v>BN</v>
          </cell>
          <cell r="B2973">
            <v>202409</v>
          </cell>
          <cell r="D2973" t="str">
            <v>Crédito Nacional</v>
          </cell>
          <cell r="G2973" t="str">
            <v>Real</v>
          </cell>
        </row>
        <row r="2974">
          <cell r="A2974" t="str">
            <v>BN</v>
          </cell>
          <cell r="B2974">
            <v>202409</v>
          </cell>
          <cell r="D2974" t="str">
            <v>Flotas</v>
          </cell>
          <cell r="G2974" t="str">
            <v>Real</v>
          </cell>
        </row>
        <row r="2975">
          <cell r="A2975" t="str">
            <v>BN</v>
          </cell>
          <cell r="B2975">
            <v>202409</v>
          </cell>
          <cell r="D2975" t="str">
            <v>Hogar</v>
          </cell>
          <cell r="G2975" t="str">
            <v>Real</v>
          </cell>
        </row>
        <row r="2976">
          <cell r="A2976" t="str">
            <v>BN</v>
          </cell>
          <cell r="B2976">
            <v>202409</v>
          </cell>
          <cell r="D2976" t="str">
            <v>Ingeniería</v>
          </cell>
          <cell r="G2976" t="str">
            <v>Real</v>
          </cell>
        </row>
        <row r="2977">
          <cell r="A2977" t="str">
            <v>BN</v>
          </cell>
          <cell r="B2977">
            <v>202409</v>
          </cell>
          <cell r="D2977" t="str">
            <v>Inmobiliario</v>
          </cell>
          <cell r="G2977" t="str">
            <v>Real</v>
          </cell>
        </row>
        <row r="2978">
          <cell r="A2978" t="str">
            <v>BN</v>
          </cell>
          <cell r="B2978">
            <v>202409</v>
          </cell>
          <cell r="D2978" t="str">
            <v>Líneas Financieras</v>
          </cell>
          <cell r="G2978" t="str">
            <v>Real</v>
          </cell>
        </row>
        <row r="2979">
          <cell r="A2979" t="str">
            <v>BN</v>
          </cell>
          <cell r="B2979">
            <v>202409</v>
          </cell>
          <cell r="D2979" t="str">
            <v>Náutica</v>
          </cell>
          <cell r="G2979" t="str">
            <v>Real</v>
          </cell>
        </row>
        <row r="2980">
          <cell r="A2980" t="str">
            <v>BN</v>
          </cell>
          <cell r="B2980">
            <v>202409</v>
          </cell>
          <cell r="D2980" t="str">
            <v>Particulares Resto</v>
          </cell>
          <cell r="G2980" t="str">
            <v>Real</v>
          </cell>
        </row>
        <row r="2981">
          <cell r="A2981" t="str">
            <v>BN</v>
          </cell>
          <cell r="B2981">
            <v>202409</v>
          </cell>
          <cell r="D2981" t="str">
            <v>Property</v>
          </cell>
          <cell r="G2981" t="str">
            <v>Real</v>
          </cell>
        </row>
        <row r="2982">
          <cell r="A2982" t="str">
            <v>BN</v>
          </cell>
          <cell r="B2982">
            <v>202409</v>
          </cell>
          <cell r="D2982" t="str">
            <v>RC</v>
          </cell>
          <cell r="G2982" t="str">
            <v>Real</v>
          </cell>
        </row>
        <row r="2983">
          <cell r="A2983" t="str">
            <v>BN</v>
          </cell>
          <cell r="B2983">
            <v>202409</v>
          </cell>
          <cell r="D2983" t="str">
            <v>Resto de lineas</v>
          </cell>
          <cell r="G2983" t="str">
            <v>Real</v>
          </cell>
        </row>
        <row r="2984">
          <cell r="A2984" t="str">
            <v>BN</v>
          </cell>
          <cell r="B2984">
            <v>202409</v>
          </cell>
          <cell r="D2984" t="str">
            <v>Retirada</v>
          </cell>
          <cell r="G2984" t="str">
            <v>Real</v>
          </cell>
        </row>
        <row r="2985">
          <cell r="A2985" t="str">
            <v>BN</v>
          </cell>
          <cell r="B2985">
            <v>202409</v>
          </cell>
          <cell r="D2985" t="str">
            <v>Seguros Personales (No Vida) Colectivos</v>
          </cell>
          <cell r="G2985" t="str">
            <v>Real</v>
          </cell>
        </row>
        <row r="2986">
          <cell r="A2986" t="str">
            <v>BN</v>
          </cell>
          <cell r="B2986">
            <v>202409</v>
          </cell>
          <cell r="D2986" t="str">
            <v>Seguros Personales (No Vida) Particular</v>
          </cell>
          <cell r="G2986" t="str">
            <v>Real</v>
          </cell>
        </row>
        <row r="2987">
          <cell r="A2987" t="str">
            <v>BN</v>
          </cell>
          <cell r="B2987">
            <v>202409</v>
          </cell>
          <cell r="D2987" t="str">
            <v>Transporte</v>
          </cell>
          <cell r="G2987" t="str">
            <v>Real</v>
          </cell>
        </row>
        <row r="2988">
          <cell r="A2988" t="str">
            <v>BN</v>
          </cell>
          <cell r="B2988">
            <v>202409</v>
          </cell>
          <cell r="D2988" t="str">
            <v>Venta Cruzada</v>
          </cell>
          <cell r="G2988" t="str">
            <v>Real</v>
          </cell>
        </row>
        <row r="2989">
          <cell r="A2989" t="str">
            <v>BN</v>
          </cell>
          <cell r="B2989">
            <v>202409</v>
          </cell>
          <cell r="D2989" t="str">
            <v>Vida Ahorro Colectivo</v>
          </cell>
          <cell r="G2989" t="str">
            <v>Real</v>
          </cell>
        </row>
        <row r="2990">
          <cell r="A2990" t="str">
            <v>BN</v>
          </cell>
          <cell r="B2990">
            <v>202409</v>
          </cell>
          <cell r="D2990" t="str">
            <v>Vida Ahorro Particular</v>
          </cell>
          <cell r="G2990" t="str">
            <v>Real</v>
          </cell>
        </row>
        <row r="2991">
          <cell r="A2991" t="str">
            <v>BN</v>
          </cell>
          <cell r="B2991">
            <v>202409</v>
          </cell>
          <cell r="D2991" t="str">
            <v>Vida Ganado</v>
          </cell>
          <cell r="G2991" t="str">
            <v>Real</v>
          </cell>
        </row>
        <row r="2992">
          <cell r="A2992" t="str">
            <v>BN</v>
          </cell>
          <cell r="B2992">
            <v>202409</v>
          </cell>
          <cell r="D2992" t="str">
            <v>Vida Riesgo Colectivo</v>
          </cell>
          <cell r="G2992" t="str">
            <v>Real</v>
          </cell>
        </row>
        <row r="2993">
          <cell r="A2993" t="str">
            <v>BN</v>
          </cell>
          <cell r="B2993">
            <v>202409</v>
          </cell>
          <cell r="D2993" t="str">
            <v>Vida Riesgo Particular</v>
          </cell>
          <cell r="G2993" t="str">
            <v>Real</v>
          </cell>
        </row>
        <row r="2994">
          <cell r="A2994" t="str">
            <v>BN</v>
          </cell>
          <cell r="B2994">
            <v>202410</v>
          </cell>
          <cell r="D2994" t="str">
            <v>--</v>
          </cell>
          <cell r="G2994" t="str">
            <v>Real</v>
          </cell>
        </row>
        <row r="2995">
          <cell r="A2995" t="str">
            <v>BN</v>
          </cell>
          <cell r="B2995">
            <v>202410</v>
          </cell>
          <cell r="D2995" t="str">
            <v>--</v>
          </cell>
          <cell r="G2995" t="str">
            <v>Real</v>
          </cell>
        </row>
        <row r="2996">
          <cell r="A2996" t="str">
            <v>BN</v>
          </cell>
          <cell r="B2996">
            <v>202410</v>
          </cell>
          <cell r="D2996" t="str">
            <v>Resto de Lineas</v>
          </cell>
          <cell r="G2996" t="str">
            <v>Real</v>
          </cell>
        </row>
        <row r="2997">
          <cell r="A2997" t="str">
            <v>BN</v>
          </cell>
          <cell r="B2997">
            <v>202410</v>
          </cell>
          <cell r="D2997" t="str">
            <v>Autos</v>
          </cell>
          <cell r="G2997" t="str">
            <v>Real</v>
          </cell>
        </row>
        <row r="2998">
          <cell r="A2998" t="str">
            <v>BN</v>
          </cell>
          <cell r="B2998">
            <v>202410</v>
          </cell>
          <cell r="D2998" t="str">
            <v>Caución</v>
          </cell>
          <cell r="G2998" t="str">
            <v>Real</v>
          </cell>
        </row>
        <row r="2999">
          <cell r="A2999" t="str">
            <v>BN</v>
          </cell>
          <cell r="B2999">
            <v>202410</v>
          </cell>
          <cell r="D2999" t="str">
            <v>Crédito Nacional</v>
          </cell>
          <cell r="G2999" t="str">
            <v>Real</v>
          </cell>
        </row>
        <row r="3000">
          <cell r="A3000" t="str">
            <v>BN</v>
          </cell>
          <cell r="B3000">
            <v>202410</v>
          </cell>
          <cell r="D3000" t="str">
            <v>Flotas</v>
          </cell>
          <cell r="G3000" t="str">
            <v>Real</v>
          </cell>
        </row>
        <row r="3001">
          <cell r="A3001" t="str">
            <v>BN</v>
          </cell>
          <cell r="B3001">
            <v>202410</v>
          </cell>
          <cell r="D3001" t="str">
            <v>Hogar</v>
          </cell>
          <cell r="G3001" t="str">
            <v>Real</v>
          </cell>
        </row>
        <row r="3002">
          <cell r="A3002" t="str">
            <v>BN</v>
          </cell>
          <cell r="B3002">
            <v>202410</v>
          </cell>
          <cell r="D3002" t="str">
            <v>Ingeniería</v>
          </cell>
          <cell r="G3002" t="str">
            <v>Real</v>
          </cell>
        </row>
        <row r="3003">
          <cell r="A3003" t="str">
            <v>BN</v>
          </cell>
          <cell r="B3003">
            <v>202410</v>
          </cell>
          <cell r="D3003" t="str">
            <v>Inmobiliario</v>
          </cell>
          <cell r="G3003" t="str">
            <v>Real</v>
          </cell>
        </row>
        <row r="3004">
          <cell r="A3004" t="str">
            <v>BN</v>
          </cell>
          <cell r="B3004">
            <v>202410</v>
          </cell>
          <cell r="D3004" t="str">
            <v>Líneas Financieras</v>
          </cell>
          <cell r="G3004" t="str">
            <v>Real</v>
          </cell>
        </row>
        <row r="3005">
          <cell r="A3005" t="str">
            <v>BN</v>
          </cell>
          <cell r="B3005">
            <v>202410</v>
          </cell>
          <cell r="D3005" t="str">
            <v>Náutica</v>
          </cell>
          <cell r="G3005" t="str">
            <v>Real</v>
          </cell>
        </row>
        <row r="3006">
          <cell r="A3006" t="str">
            <v>BN</v>
          </cell>
          <cell r="B3006">
            <v>202410</v>
          </cell>
          <cell r="D3006" t="str">
            <v>Particulares Resto</v>
          </cell>
          <cell r="G3006" t="str">
            <v>Real</v>
          </cell>
        </row>
        <row r="3007">
          <cell r="A3007" t="str">
            <v>BN</v>
          </cell>
          <cell r="B3007">
            <v>202410</v>
          </cell>
          <cell r="D3007" t="str">
            <v>Property</v>
          </cell>
          <cell r="G3007" t="str">
            <v>Real</v>
          </cell>
        </row>
        <row r="3008">
          <cell r="A3008" t="str">
            <v>BN</v>
          </cell>
          <cell r="B3008">
            <v>202410</v>
          </cell>
          <cell r="D3008" t="str">
            <v>RC</v>
          </cell>
          <cell r="G3008" t="str">
            <v>Real</v>
          </cell>
        </row>
        <row r="3009">
          <cell r="A3009" t="str">
            <v>BN</v>
          </cell>
          <cell r="B3009">
            <v>202410</v>
          </cell>
          <cell r="D3009" t="str">
            <v>Resto de lineas</v>
          </cell>
          <cell r="G3009" t="str">
            <v>Real</v>
          </cell>
        </row>
        <row r="3010">
          <cell r="A3010" t="str">
            <v>BN</v>
          </cell>
          <cell r="B3010">
            <v>202410</v>
          </cell>
          <cell r="D3010" t="str">
            <v>Retirada</v>
          </cell>
          <cell r="G3010" t="str">
            <v>Real</v>
          </cell>
        </row>
        <row r="3011">
          <cell r="A3011" t="str">
            <v>BN</v>
          </cell>
          <cell r="B3011">
            <v>202410</v>
          </cell>
          <cell r="D3011" t="str">
            <v>Seguros Personales (No Vida) Colectivos</v>
          </cell>
          <cell r="G3011" t="str">
            <v>Real</v>
          </cell>
        </row>
        <row r="3012">
          <cell r="A3012" t="str">
            <v>BN</v>
          </cell>
          <cell r="B3012">
            <v>202410</v>
          </cell>
          <cell r="D3012" t="str">
            <v>Seguros Personales (No Vida) Particular</v>
          </cell>
          <cell r="G3012" t="str">
            <v>Real</v>
          </cell>
        </row>
        <row r="3013">
          <cell r="A3013" t="str">
            <v>BN</v>
          </cell>
          <cell r="B3013">
            <v>202410</v>
          </cell>
          <cell r="D3013" t="str">
            <v>Transporte</v>
          </cell>
          <cell r="G3013" t="str">
            <v>Real</v>
          </cell>
        </row>
        <row r="3014">
          <cell r="A3014" t="str">
            <v>BN</v>
          </cell>
          <cell r="B3014">
            <v>202410</v>
          </cell>
          <cell r="D3014" t="str">
            <v>Venta Cruzada</v>
          </cell>
          <cell r="G3014" t="str">
            <v>Real</v>
          </cell>
        </row>
        <row r="3015">
          <cell r="A3015" t="str">
            <v>BN</v>
          </cell>
          <cell r="B3015">
            <v>202410</v>
          </cell>
          <cell r="D3015" t="str">
            <v>Vida Ahorro Colectivo</v>
          </cell>
          <cell r="G3015" t="str">
            <v>Real</v>
          </cell>
        </row>
        <row r="3016">
          <cell r="A3016" t="str">
            <v>BN</v>
          </cell>
          <cell r="B3016">
            <v>202410</v>
          </cell>
          <cell r="D3016" t="str">
            <v>Vida Ahorro Particular</v>
          </cell>
          <cell r="G3016" t="str">
            <v>Real</v>
          </cell>
        </row>
        <row r="3017">
          <cell r="A3017" t="str">
            <v>BN</v>
          </cell>
          <cell r="B3017">
            <v>202410</v>
          </cell>
          <cell r="D3017" t="str">
            <v>Vida Ganado</v>
          </cell>
          <cell r="G3017" t="str">
            <v>Real</v>
          </cell>
        </row>
        <row r="3018">
          <cell r="A3018" t="str">
            <v>BN</v>
          </cell>
          <cell r="B3018">
            <v>202410</v>
          </cell>
          <cell r="D3018" t="str">
            <v>Vida Riesgo Colectivo</v>
          </cell>
          <cell r="G3018" t="str">
            <v>Real</v>
          </cell>
        </row>
        <row r="3019">
          <cell r="A3019" t="str">
            <v>BN</v>
          </cell>
          <cell r="B3019">
            <v>202410</v>
          </cell>
          <cell r="D3019" t="str">
            <v>Vida Riesgo Particular</v>
          </cell>
          <cell r="G3019" t="str">
            <v>Real</v>
          </cell>
        </row>
        <row r="3020">
          <cell r="A3020" t="str">
            <v>BN</v>
          </cell>
          <cell r="B3020">
            <v>202411</v>
          </cell>
          <cell r="D3020" t="str">
            <v>--</v>
          </cell>
          <cell r="G3020" t="str">
            <v>Real</v>
          </cell>
        </row>
        <row r="3021">
          <cell r="A3021" t="str">
            <v>BN</v>
          </cell>
          <cell r="B3021">
            <v>202411</v>
          </cell>
          <cell r="D3021" t="str">
            <v>--</v>
          </cell>
          <cell r="G3021" t="str">
            <v>Real</v>
          </cell>
        </row>
        <row r="3022">
          <cell r="A3022" t="str">
            <v>BN</v>
          </cell>
          <cell r="B3022">
            <v>202411</v>
          </cell>
          <cell r="D3022" t="str">
            <v>Resto de Lineas</v>
          </cell>
          <cell r="G3022" t="str">
            <v>Real</v>
          </cell>
        </row>
        <row r="3023">
          <cell r="A3023" t="str">
            <v>BN</v>
          </cell>
          <cell r="B3023">
            <v>202411</v>
          </cell>
          <cell r="D3023" t="str">
            <v>Arte</v>
          </cell>
          <cell r="G3023" t="str">
            <v>Real</v>
          </cell>
        </row>
        <row r="3024">
          <cell r="A3024" t="str">
            <v>BN</v>
          </cell>
          <cell r="B3024">
            <v>202411</v>
          </cell>
          <cell r="D3024" t="str">
            <v>Autos</v>
          </cell>
          <cell r="G3024" t="str">
            <v>Real</v>
          </cell>
        </row>
        <row r="3025">
          <cell r="A3025" t="str">
            <v>BN</v>
          </cell>
          <cell r="B3025">
            <v>202411</v>
          </cell>
          <cell r="D3025" t="str">
            <v>Caución</v>
          </cell>
          <cell r="G3025" t="str">
            <v>Real</v>
          </cell>
        </row>
        <row r="3026">
          <cell r="A3026" t="str">
            <v>BN</v>
          </cell>
          <cell r="B3026">
            <v>202411</v>
          </cell>
          <cell r="D3026" t="str">
            <v>Crédito Nacional</v>
          </cell>
          <cell r="G3026" t="str">
            <v>Real</v>
          </cell>
        </row>
        <row r="3027">
          <cell r="A3027" t="str">
            <v>BN</v>
          </cell>
          <cell r="B3027">
            <v>202411</v>
          </cell>
          <cell r="D3027" t="str">
            <v>Flotas</v>
          </cell>
          <cell r="G3027" t="str">
            <v>Real</v>
          </cell>
        </row>
        <row r="3028">
          <cell r="A3028" t="str">
            <v>BN</v>
          </cell>
          <cell r="B3028">
            <v>202411</v>
          </cell>
          <cell r="D3028" t="str">
            <v>Hogar</v>
          </cell>
          <cell r="G3028" t="str">
            <v>Real</v>
          </cell>
        </row>
        <row r="3029">
          <cell r="A3029" t="str">
            <v>BN</v>
          </cell>
          <cell r="B3029">
            <v>202411</v>
          </cell>
          <cell r="D3029" t="str">
            <v>Ingeniería</v>
          </cell>
          <cell r="G3029" t="str">
            <v>Real</v>
          </cell>
        </row>
        <row r="3030">
          <cell r="A3030" t="str">
            <v>BN</v>
          </cell>
          <cell r="B3030">
            <v>202411</v>
          </cell>
          <cell r="D3030" t="str">
            <v>Inmobiliario</v>
          </cell>
          <cell r="G3030" t="str">
            <v>Real</v>
          </cell>
        </row>
        <row r="3031">
          <cell r="A3031" t="str">
            <v>BN</v>
          </cell>
          <cell r="B3031">
            <v>202411</v>
          </cell>
          <cell r="D3031" t="str">
            <v>Líneas Financieras</v>
          </cell>
          <cell r="G3031" t="str">
            <v>Real</v>
          </cell>
        </row>
        <row r="3032">
          <cell r="A3032" t="str">
            <v>BN</v>
          </cell>
          <cell r="B3032">
            <v>202411</v>
          </cell>
          <cell r="D3032" t="str">
            <v>Náutica</v>
          </cell>
          <cell r="G3032" t="str">
            <v>Real</v>
          </cell>
        </row>
        <row r="3033">
          <cell r="A3033" t="str">
            <v>BN</v>
          </cell>
          <cell r="B3033">
            <v>202411</v>
          </cell>
          <cell r="D3033" t="str">
            <v>Particulares Resto</v>
          </cell>
          <cell r="G3033" t="str">
            <v>Real</v>
          </cell>
        </row>
        <row r="3034">
          <cell r="A3034" t="str">
            <v>BN</v>
          </cell>
          <cell r="B3034">
            <v>202411</v>
          </cell>
          <cell r="D3034" t="str">
            <v>Property</v>
          </cell>
          <cell r="G3034" t="str">
            <v>Real</v>
          </cell>
        </row>
        <row r="3035">
          <cell r="A3035" t="str">
            <v>BN</v>
          </cell>
          <cell r="B3035">
            <v>202411</v>
          </cell>
          <cell r="D3035" t="str">
            <v>RC</v>
          </cell>
          <cell r="G3035" t="str">
            <v>Real</v>
          </cell>
        </row>
        <row r="3036">
          <cell r="A3036" t="str">
            <v>BN</v>
          </cell>
          <cell r="B3036">
            <v>202411</v>
          </cell>
          <cell r="D3036" t="str">
            <v>Resto de lineas</v>
          </cell>
          <cell r="G3036" t="str">
            <v>Real</v>
          </cell>
        </row>
        <row r="3037">
          <cell r="A3037" t="str">
            <v>BN</v>
          </cell>
          <cell r="B3037">
            <v>202411</v>
          </cell>
          <cell r="D3037" t="str">
            <v>Retirada</v>
          </cell>
          <cell r="G3037" t="str">
            <v>Real</v>
          </cell>
        </row>
        <row r="3038">
          <cell r="A3038" t="str">
            <v>BN</v>
          </cell>
          <cell r="B3038">
            <v>202411</v>
          </cell>
          <cell r="D3038" t="str">
            <v>Seguros Personales (No Vida) Colectivos</v>
          </cell>
          <cell r="G3038" t="str">
            <v>Real</v>
          </cell>
        </row>
        <row r="3039">
          <cell r="A3039" t="str">
            <v>BN</v>
          </cell>
          <cell r="B3039">
            <v>202411</v>
          </cell>
          <cell r="D3039" t="str">
            <v>Seguros Personales (No Vida) Particular</v>
          </cell>
          <cell r="G3039" t="str">
            <v>Real</v>
          </cell>
        </row>
        <row r="3040">
          <cell r="A3040" t="str">
            <v>BN</v>
          </cell>
          <cell r="B3040">
            <v>202411</v>
          </cell>
          <cell r="D3040" t="str">
            <v>Transporte</v>
          </cell>
          <cell r="G3040" t="str">
            <v>Real</v>
          </cell>
        </row>
        <row r="3041">
          <cell r="A3041" t="str">
            <v>BN</v>
          </cell>
          <cell r="B3041">
            <v>202411</v>
          </cell>
          <cell r="D3041" t="str">
            <v>Venta Cruzada</v>
          </cell>
          <cell r="G3041" t="str">
            <v>Real</v>
          </cell>
        </row>
        <row r="3042">
          <cell r="A3042" t="str">
            <v>BN</v>
          </cell>
          <cell r="B3042">
            <v>202411</v>
          </cell>
          <cell r="D3042" t="str">
            <v>Vida Ahorro Colectivo</v>
          </cell>
          <cell r="G3042" t="str">
            <v>Real</v>
          </cell>
        </row>
        <row r="3043">
          <cell r="A3043" t="str">
            <v>BN</v>
          </cell>
          <cell r="B3043">
            <v>202411</v>
          </cell>
          <cell r="D3043" t="str">
            <v>Vida Ahorro Particular</v>
          </cell>
          <cell r="G3043" t="str">
            <v>Real</v>
          </cell>
        </row>
        <row r="3044">
          <cell r="A3044" t="str">
            <v>BN</v>
          </cell>
          <cell r="B3044">
            <v>202411</v>
          </cell>
          <cell r="D3044" t="str">
            <v>Vida Ganado</v>
          </cell>
          <cell r="G3044" t="str">
            <v>Real</v>
          </cell>
        </row>
        <row r="3045">
          <cell r="A3045" t="str">
            <v>BN</v>
          </cell>
          <cell r="B3045">
            <v>202411</v>
          </cell>
          <cell r="D3045" t="str">
            <v>Vida Riesgo Colectivo</v>
          </cell>
          <cell r="G3045" t="str">
            <v>Real</v>
          </cell>
        </row>
        <row r="3046">
          <cell r="A3046" t="str">
            <v>BN</v>
          </cell>
          <cell r="B3046">
            <v>202411</v>
          </cell>
          <cell r="D3046" t="str">
            <v>Vida Riesgo Particular</v>
          </cell>
          <cell r="G3046" t="str">
            <v>Real</v>
          </cell>
        </row>
        <row r="3047">
          <cell r="A3047" t="str">
            <v>BN</v>
          </cell>
          <cell r="B3047">
            <v>202412</v>
          </cell>
          <cell r="D3047" t="str">
            <v>--</v>
          </cell>
          <cell r="G3047" t="str">
            <v>Real</v>
          </cell>
        </row>
        <row r="3048">
          <cell r="A3048" t="str">
            <v>BN</v>
          </cell>
          <cell r="B3048">
            <v>202412</v>
          </cell>
          <cell r="D3048" t="str">
            <v>--</v>
          </cell>
          <cell r="G3048" t="str">
            <v>Real</v>
          </cell>
        </row>
        <row r="3049">
          <cell r="A3049" t="str">
            <v>BN</v>
          </cell>
          <cell r="B3049">
            <v>202412</v>
          </cell>
          <cell r="D3049" t="str">
            <v>Resto de Lineas</v>
          </cell>
          <cell r="G3049" t="str">
            <v>Real</v>
          </cell>
        </row>
        <row r="3050">
          <cell r="A3050" t="str">
            <v>BN</v>
          </cell>
          <cell r="B3050">
            <v>202412</v>
          </cell>
          <cell r="D3050" t="str">
            <v>Autos</v>
          </cell>
          <cell r="G3050" t="str">
            <v>Real</v>
          </cell>
        </row>
        <row r="3051">
          <cell r="A3051" t="str">
            <v>BN</v>
          </cell>
          <cell r="B3051">
            <v>202412</v>
          </cell>
          <cell r="D3051" t="str">
            <v>Caución</v>
          </cell>
          <cell r="G3051" t="str">
            <v>Real</v>
          </cell>
        </row>
        <row r="3052">
          <cell r="A3052" t="str">
            <v>BN</v>
          </cell>
          <cell r="B3052">
            <v>202412</v>
          </cell>
          <cell r="D3052" t="str">
            <v>Crédito Nacional</v>
          </cell>
          <cell r="G3052" t="str">
            <v>Real</v>
          </cell>
        </row>
        <row r="3053">
          <cell r="A3053" t="str">
            <v>BN</v>
          </cell>
          <cell r="B3053">
            <v>202412</v>
          </cell>
          <cell r="D3053" t="str">
            <v>Crédito Internacional</v>
          </cell>
          <cell r="G3053" t="str">
            <v>Real</v>
          </cell>
        </row>
        <row r="3054">
          <cell r="A3054" t="str">
            <v>BN</v>
          </cell>
          <cell r="B3054">
            <v>202412</v>
          </cell>
          <cell r="D3054" t="str">
            <v>Flotas</v>
          </cell>
          <cell r="G3054" t="str">
            <v>Real</v>
          </cell>
        </row>
        <row r="3055">
          <cell r="A3055" t="str">
            <v>BN</v>
          </cell>
          <cell r="B3055">
            <v>202412</v>
          </cell>
          <cell r="D3055" t="str">
            <v>Hogar</v>
          </cell>
          <cell r="G3055" t="str">
            <v>Real</v>
          </cell>
        </row>
        <row r="3056">
          <cell r="A3056" t="str">
            <v>BN</v>
          </cell>
          <cell r="B3056">
            <v>202412</v>
          </cell>
          <cell r="D3056" t="str">
            <v>Ingeniería</v>
          </cell>
          <cell r="G3056" t="str">
            <v>Real</v>
          </cell>
        </row>
        <row r="3057">
          <cell r="A3057" t="str">
            <v>BN</v>
          </cell>
          <cell r="B3057">
            <v>202412</v>
          </cell>
          <cell r="D3057" t="str">
            <v>Inmobiliario</v>
          </cell>
          <cell r="G3057" t="str">
            <v>Real</v>
          </cell>
        </row>
        <row r="3058">
          <cell r="A3058" t="str">
            <v>BN</v>
          </cell>
          <cell r="B3058">
            <v>202412</v>
          </cell>
          <cell r="D3058" t="str">
            <v>Líneas Financieras</v>
          </cell>
          <cell r="G3058" t="str">
            <v>Real</v>
          </cell>
        </row>
        <row r="3059">
          <cell r="A3059" t="str">
            <v>BN</v>
          </cell>
          <cell r="B3059">
            <v>202412</v>
          </cell>
          <cell r="D3059" t="str">
            <v>Particulares Resto</v>
          </cell>
          <cell r="G3059" t="str">
            <v>Real</v>
          </cell>
        </row>
        <row r="3060">
          <cell r="A3060" t="str">
            <v>BN</v>
          </cell>
          <cell r="B3060">
            <v>202412</v>
          </cell>
          <cell r="D3060" t="str">
            <v>Property</v>
          </cell>
          <cell r="G3060" t="str">
            <v>Real</v>
          </cell>
        </row>
        <row r="3061">
          <cell r="A3061" t="str">
            <v>BN</v>
          </cell>
          <cell r="B3061">
            <v>202412</v>
          </cell>
          <cell r="D3061" t="str">
            <v>RC</v>
          </cell>
          <cell r="G3061" t="str">
            <v>Real</v>
          </cell>
        </row>
        <row r="3062">
          <cell r="A3062" t="str">
            <v>BN</v>
          </cell>
          <cell r="B3062">
            <v>202412</v>
          </cell>
          <cell r="D3062" t="str">
            <v>Resto de lineas</v>
          </cell>
          <cell r="G3062" t="str">
            <v>Real</v>
          </cell>
        </row>
        <row r="3063">
          <cell r="A3063" t="str">
            <v>BN</v>
          </cell>
          <cell r="B3063">
            <v>202412</v>
          </cell>
          <cell r="D3063" t="str">
            <v>Retirada</v>
          </cell>
          <cell r="G3063" t="str">
            <v>Real</v>
          </cell>
        </row>
        <row r="3064">
          <cell r="A3064" t="str">
            <v>BN</v>
          </cell>
          <cell r="B3064">
            <v>202412</v>
          </cell>
          <cell r="D3064" t="str">
            <v>Seguros Personales (No Vida) Colectivos</v>
          </cell>
          <cell r="G3064" t="str">
            <v>Real</v>
          </cell>
        </row>
        <row r="3065">
          <cell r="A3065" t="str">
            <v>BN</v>
          </cell>
          <cell r="B3065">
            <v>202412</v>
          </cell>
          <cell r="D3065" t="str">
            <v>Seguros Personales (No Vida) Particular</v>
          </cell>
          <cell r="G3065" t="str">
            <v>Real</v>
          </cell>
        </row>
        <row r="3066">
          <cell r="A3066" t="str">
            <v>BN</v>
          </cell>
          <cell r="B3066">
            <v>202412</v>
          </cell>
          <cell r="D3066" t="str">
            <v>Transporte</v>
          </cell>
          <cell r="G3066" t="str">
            <v>Real</v>
          </cell>
        </row>
        <row r="3067">
          <cell r="A3067" t="str">
            <v>BN</v>
          </cell>
          <cell r="B3067">
            <v>202412</v>
          </cell>
          <cell r="D3067" t="str">
            <v>Venta Cruzada</v>
          </cell>
          <cell r="G3067" t="str">
            <v>Real</v>
          </cell>
        </row>
        <row r="3068">
          <cell r="A3068" t="str">
            <v>BN</v>
          </cell>
          <cell r="B3068">
            <v>202412</v>
          </cell>
          <cell r="D3068" t="str">
            <v>Vida Ahorro Colectivo</v>
          </cell>
          <cell r="G3068" t="str">
            <v>Real</v>
          </cell>
        </row>
        <row r="3069">
          <cell r="A3069" t="str">
            <v>BN</v>
          </cell>
          <cell r="B3069">
            <v>202412</v>
          </cell>
          <cell r="D3069" t="str">
            <v>Vida Ahorro Particular</v>
          </cell>
          <cell r="G3069" t="str">
            <v>Real</v>
          </cell>
        </row>
        <row r="3070">
          <cell r="A3070" t="str">
            <v>BN</v>
          </cell>
          <cell r="B3070">
            <v>202412</v>
          </cell>
          <cell r="D3070" t="str">
            <v>Vida Ganado</v>
          </cell>
          <cell r="G3070" t="str">
            <v>Real</v>
          </cell>
        </row>
        <row r="3071">
          <cell r="A3071" t="str">
            <v>BN</v>
          </cell>
          <cell r="B3071">
            <v>202412</v>
          </cell>
          <cell r="D3071" t="str">
            <v>Vida Riesgo Colectivo</v>
          </cell>
          <cell r="G3071" t="str">
            <v>Real</v>
          </cell>
        </row>
        <row r="3072">
          <cell r="A3072" t="str">
            <v>BN</v>
          </cell>
          <cell r="B3072">
            <v>202412</v>
          </cell>
          <cell r="D3072" t="str">
            <v>Vida Riesgo Particular</v>
          </cell>
          <cell r="G3072" t="str">
            <v>Real</v>
          </cell>
        </row>
        <row r="3073">
          <cell r="A3073" t="str">
            <v>BN</v>
          </cell>
          <cell r="B3073">
            <v>202501</v>
          </cell>
          <cell r="D3073" t="str">
            <v>--</v>
          </cell>
          <cell r="G3073" t="str">
            <v>Presupuesto</v>
          </cell>
        </row>
        <row r="3074">
          <cell r="A3074" t="str">
            <v>BN</v>
          </cell>
          <cell r="B3074">
            <v>202501</v>
          </cell>
          <cell r="D3074" t="str">
            <v>--</v>
          </cell>
          <cell r="G3074" t="str">
            <v>Real</v>
          </cell>
        </row>
        <row r="3075">
          <cell r="A3075" t="str">
            <v>BN</v>
          </cell>
          <cell r="B3075">
            <v>202501</v>
          </cell>
          <cell r="D3075" t="str">
            <v>--</v>
          </cell>
          <cell r="G3075" t="str">
            <v>Presupuesto</v>
          </cell>
        </row>
        <row r="3076">
          <cell r="A3076" t="str">
            <v>BN</v>
          </cell>
          <cell r="B3076">
            <v>202501</v>
          </cell>
          <cell r="D3076" t="str">
            <v>--</v>
          </cell>
          <cell r="G3076" t="str">
            <v>Real</v>
          </cell>
        </row>
        <row r="3077">
          <cell r="A3077" t="str">
            <v>BN</v>
          </cell>
          <cell r="B3077">
            <v>202501</v>
          </cell>
          <cell r="D3077" t="str">
            <v>Arte</v>
          </cell>
          <cell r="G3077" t="str">
            <v>Presupuesto</v>
          </cell>
        </row>
        <row r="3078">
          <cell r="A3078" t="str">
            <v>BN</v>
          </cell>
          <cell r="B3078">
            <v>202501</v>
          </cell>
          <cell r="D3078" t="str">
            <v>Autos</v>
          </cell>
          <cell r="G3078" t="str">
            <v>Presupuesto</v>
          </cell>
        </row>
        <row r="3079">
          <cell r="A3079" t="str">
            <v>BN</v>
          </cell>
          <cell r="B3079">
            <v>202501</v>
          </cell>
          <cell r="D3079" t="str">
            <v>Autos</v>
          </cell>
          <cell r="G3079" t="str">
            <v>Real</v>
          </cell>
        </row>
        <row r="3080">
          <cell r="A3080" t="str">
            <v>BN</v>
          </cell>
          <cell r="B3080">
            <v>202501</v>
          </cell>
          <cell r="D3080" t="str">
            <v>B2B2C</v>
          </cell>
          <cell r="G3080" t="str">
            <v>Presupuesto</v>
          </cell>
        </row>
        <row r="3081">
          <cell r="A3081" t="str">
            <v>BN</v>
          </cell>
          <cell r="B3081">
            <v>202501</v>
          </cell>
          <cell r="D3081" t="str">
            <v>Caución</v>
          </cell>
          <cell r="G3081" t="str">
            <v>Presupuesto</v>
          </cell>
        </row>
        <row r="3082">
          <cell r="A3082" t="str">
            <v>BN</v>
          </cell>
          <cell r="B3082">
            <v>202501</v>
          </cell>
          <cell r="D3082" t="str">
            <v>Caución</v>
          </cell>
          <cell r="G3082" t="str">
            <v>Real</v>
          </cell>
        </row>
        <row r="3083">
          <cell r="A3083" t="str">
            <v>BN</v>
          </cell>
          <cell r="B3083">
            <v>202501</v>
          </cell>
          <cell r="D3083" t="str">
            <v>Crédito Nacional</v>
          </cell>
          <cell r="G3083" t="str">
            <v>Real</v>
          </cell>
        </row>
        <row r="3084">
          <cell r="A3084" t="str">
            <v>BN</v>
          </cell>
          <cell r="B3084">
            <v>202501</v>
          </cell>
          <cell r="D3084" t="str">
            <v>Crédito Internacional</v>
          </cell>
          <cell r="G3084" t="str">
            <v>Presupuesto</v>
          </cell>
        </row>
        <row r="3085">
          <cell r="A3085" t="str">
            <v>BN</v>
          </cell>
          <cell r="B3085">
            <v>202501</v>
          </cell>
          <cell r="D3085" t="str">
            <v>Crédito Nacional</v>
          </cell>
          <cell r="G3085" t="str">
            <v>Presupuesto</v>
          </cell>
        </row>
        <row r="3086">
          <cell r="A3086" t="str">
            <v>BN</v>
          </cell>
          <cell r="B3086">
            <v>202501</v>
          </cell>
          <cell r="D3086" t="str">
            <v>Eventos</v>
          </cell>
          <cell r="G3086" t="str">
            <v>Presupuesto</v>
          </cell>
        </row>
        <row r="3087">
          <cell r="A3087" t="str">
            <v>BN</v>
          </cell>
          <cell r="B3087">
            <v>202501</v>
          </cell>
          <cell r="D3087" t="str">
            <v>Flotas</v>
          </cell>
          <cell r="G3087" t="str">
            <v>Presupuesto</v>
          </cell>
        </row>
        <row r="3088">
          <cell r="A3088" t="str">
            <v>BN</v>
          </cell>
          <cell r="B3088">
            <v>202501</v>
          </cell>
          <cell r="D3088" t="str">
            <v>Flotas</v>
          </cell>
          <cell r="G3088" t="str">
            <v>Real</v>
          </cell>
        </row>
        <row r="3089">
          <cell r="A3089" t="str">
            <v>BN</v>
          </cell>
          <cell r="B3089">
            <v>202501</v>
          </cell>
          <cell r="D3089" t="str">
            <v>Hogar</v>
          </cell>
          <cell r="G3089" t="str">
            <v>Presupuesto</v>
          </cell>
        </row>
        <row r="3090">
          <cell r="A3090" t="str">
            <v>BN</v>
          </cell>
          <cell r="B3090">
            <v>202501</v>
          </cell>
          <cell r="D3090" t="str">
            <v>Hogar</v>
          </cell>
          <cell r="G3090" t="str">
            <v>Real</v>
          </cell>
        </row>
        <row r="3091">
          <cell r="A3091" t="str">
            <v>BN</v>
          </cell>
          <cell r="B3091">
            <v>202501</v>
          </cell>
          <cell r="D3091" t="str">
            <v>Ingeniería</v>
          </cell>
          <cell r="G3091" t="str">
            <v>Presupuesto</v>
          </cell>
        </row>
        <row r="3092">
          <cell r="A3092" t="str">
            <v>BN</v>
          </cell>
          <cell r="B3092">
            <v>202501</v>
          </cell>
          <cell r="D3092" t="str">
            <v>Ingeniería</v>
          </cell>
          <cell r="G3092" t="str">
            <v>Real</v>
          </cell>
        </row>
        <row r="3093">
          <cell r="A3093" t="str">
            <v>BN</v>
          </cell>
          <cell r="B3093">
            <v>202501</v>
          </cell>
          <cell r="D3093" t="str">
            <v>Inmobiliario</v>
          </cell>
          <cell r="G3093" t="str">
            <v>Presupuesto</v>
          </cell>
        </row>
        <row r="3094">
          <cell r="A3094" t="str">
            <v>BN</v>
          </cell>
          <cell r="B3094">
            <v>202501</v>
          </cell>
          <cell r="D3094" t="str">
            <v>Inmobiliario</v>
          </cell>
          <cell r="G3094" t="str">
            <v>Real</v>
          </cell>
        </row>
        <row r="3095">
          <cell r="A3095" t="str">
            <v>BN</v>
          </cell>
          <cell r="B3095">
            <v>202501</v>
          </cell>
          <cell r="D3095" t="str">
            <v>Líneas Financieras</v>
          </cell>
          <cell r="G3095" t="str">
            <v>Presupuesto</v>
          </cell>
        </row>
        <row r="3096">
          <cell r="A3096" t="str">
            <v>BN</v>
          </cell>
          <cell r="B3096">
            <v>202501</v>
          </cell>
          <cell r="D3096" t="str">
            <v>Líneas Financieras</v>
          </cell>
          <cell r="G3096" t="str">
            <v>Real</v>
          </cell>
        </row>
        <row r="3097">
          <cell r="A3097" t="str">
            <v>BN</v>
          </cell>
          <cell r="B3097">
            <v>202501</v>
          </cell>
          <cell r="D3097" t="str">
            <v>Náutica</v>
          </cell>
          <cell r="G3097" t="str">
            <v>Presupuesto</v>
          </cell>
        </row>
        <row r="3098">
          <cell r="A3098" t="str">
            <v>BN</v>
          </cell>
          <cell r="B3098">
            <v>202501</v>
          </cell>
          <cell r="D3098" t="str">
            <v>Náutica</v>
          </cell>
          <cell r="G3098" t="str">
            <v>Real</v>
          </cell>
        </row>
        <row r="3099">
          <cell r="A3099" t="str">
            <v>BN</v>
          </cell>
          <cell r="B3099">
            <v>202501</v>
          </cell>
          <cell r="D3099" t="str">
            <v>Particulares Resto</v>
          </cell>
          <cell r="G3099" t="str">
            <v>Presupuesto</v>
          </cell>
        </row>
        <row r="3100">
          <cell r="A3100" t="str">
            <v>BN</v>
          </cell>
          <cell r="B3100">
            <v>202501</v>
          </cell>
          <cell r="D3100" t="str">
            <v>Particulares Resto</v>
          </cell>
          <cell r="G3100" t="str">
            <v>Real</v>
          </cell>
        </row>
        <row r="3101">
          <cell r="A3101" t="str">
            <v>BN</v>
          </cell>
          <cell r="B3101">
            <v>202501</v>
          </cell>
          <cell r="D3101" t="str">
            <v>Property</v>
          </cell>
          <cell r="G3101" t="str">
            <v>Presupuesto</v>
          </cell>
        </row>
        <row r="3102">
          <cell r="A3102" t="str">
            <v>BN</v>
          </cell>
          <cell r="B3102">
            <v>202501</v>
          </cell>
          <cell r="D3102" t="str">
            <v>Property</v>
          </cell>
          <cell r="G3102" t="str">
            <v>Real</v>
          </cell>
        </row>
        <row r="3103">
          <cell r="A3103" t="str">
            <v>BN</v>
          </cell>
          <cell r="B3103">
            <v>202501</v>
          </cell>
          <cell r="D3103" t="str">
            <v>RC</v>
          </cell>
          <cell r="G3103" t="str">
            <v>Presupuesto</v>
          </cell>
        </row>
        <row r="3104">
          <cell r="A3104" t="str">
            <v>BN</v>
          </cell>
          <cell r="B3104">
            <v>202501</v>
          </cell>
          <cell r="D3104" t="str">
            <v>RC</v>
          </cell>
          <cell r="G3104" t="str">
            <v>Real</v>
          </cell>
        </row>
        <row r="3105">
          <cell r="A3105" t="str">
            <v>BN</v>
          </cell>
          <cell r="B3105">
            <v>202501</v>
          </cell>
          <cell r="D3105" t="str">
            <v>Resto de lineas</v>
          </cell>
          <cell r="G3105" t="str">
            <v>Presupuesto</v>
          </cell>
        </row>
        <row r="3106">
          <cell r="A3106" t="str">
            <v>BN</v>
          </cell>
          <cell r="B3106">
            <v>202501</v>
          </cell>
          <cell r="D3106" t="str">
            <v>Resto de lineas</v>
          </cell>
          <cell r="G3106" t="str">
            <v>Real</v>
          </cell>
        </row>
        <row r="3107">
          <cell r="A3107" t="str">
            <v>BN</v>
          </cell>
          <cell r="B3107">
            <v>202501</v>
          </cell>
          <cell r="D3107" t="str">
            <v>Retirada</v>
          </cell>
          <cell r="G3107" t="str">
            <v>Presupuesto</v>
          </cell>
        </row>
        <row r="3108">
          <cell r="A3108" t="str">
            <v>BN</v>
          </cell>
          <cell r="B3108">
            <v>202501</v>
          </cell>
          <cell r="D3108" t="str">
            <v>Retirada</v>
          </cell>
          <cell r="G3108" t="str">
            <v>Real</v>
          </cell>
        </row>
        <row r="3109">
          <cell r="A3109" t="str">
            <v>BN</v>
          </cell>
          <cell r="B3109">
            <v>202501</v>
          </cell>
          <cell r="D3109" t="str">
            <v>Seguros Personales (No Vida) Colectivos</v>
          </cell>
          <cell r="G3109" t="str">
            <v>Presupuesto</v>
          </cell>
        </row>
        <row r="3110">
          <cell r="A3110" t="str">
            <v>BN</v>
          </cell>
          <cell r="B3110">
            <v>202501</v>
          </cell>
          <cell r="D3110" t="str">
            <v>Seguros Personales (No Vida) Colectivos</v>
          </cell>
          <cell r="G3110" t="str">
            <v>Real</v>
          </cell>
        </row>
        <row r="3111">
          <cell r="A3111" t="str">
            <v>BN</v>
          </cell>
          <cell r="B3111">
            <v>202501</v>
          </cell>
          <cell r="D3111" t="str">
            <v>Seguros Personales (No Vida) Particular</v>
          </cell>
          <cell r="G3111" t="str">
            <v>Presupuesto</v>
          </cell>
        </row>
        <row r="3112">
          <cell r="A3112" t="str">
            <v>BN</v>
          </cell>
          <cell r="B3112">
            <v>202501</v>
          </cell>
          <cell r="D3112" t="str">
            <v>Seguros Personales (No Vida) Particular</v>
          </cell>
          <cell r="G3112" t="str">
            <v>Real</v>
          </cell>
        </row>
        <row r="3113">
          <cell r="A3113" t="str">
            <v>BN</v>
          </cell>
          <cell r="B3113">
            <v>202501</v>
          </cell>
          <cell r="D3113" t="str">
            <v>Transporte</v>
          </cell>
          <cell r="G3113" t="str">
            <v>Presupuesto</v>
          </cell>
        </row>
        <row r="3114">
          <cell r="A3114" t="str">
            <v>BN</v>
          </cell>
          <cell r="B3114">
            <v>202501</v>
          </cell>
          <cell r="D3114" t="str">
            <v>Transporte</v>
          </cell>
          <cell r="G3114" t="str">
            <v>Real</v>
          </cell>
        </row>
        <row r="3115">
          <cell r="A3115" t="str">
            <v>BN</v>
          </cell>
          <cell r="B3115">
            <v>202501</v>
          </cell>
          <cell r="D3115" t="str">
            <v>Venta Cruzada</v>
          </cell>
          <cell r="G3115" t="str">
            <v>Presupuesto</v>
          </cell>
        </row>
        <row r="3116">
          <cell r="A3116" t="str">
            <v>BN</v>
          </cell>
          <cell r="B3116">
            <v>202501</v>
          </cell>
          <cell r="D3116" t="str">
            <v>Venta Cruzada</v>
          </cell>
          <cell r="G3116" t="str">
            <v>Real</v>
          </cell>
        </row>
        <row r="3117">
          <cell r="A3117" t="str">
            <v>BN</v>
          </cell>
          <cell r="B3117">
            <v>202501</v>
          </cell>
          <cell r="D3117" t="str">
            <v>Vida Ahorro Colectivo</v>
          </cell>
          <cell r="G3117" t="str">
            <v>Presupuesto</v>
          </cell>
        </row>
        <row r="3118">
          <cell r="A3118" t="str">
            <v>BN</v>
          </cell>
          <cell r="B3118">
            <v>202501</v>
          </cell>
          <cell r="D3118" t="str">
            <v>Vida Ahorro Colectivo</v>
          </cell>
          <cell r="G3118" t="str">
            <v>Real</v>
          </cell>
        </row>
        <row r="3119">
          <cell r="A3119" t="str">
            <v>BN</v>
          </cell>
          <cell r="B3119">
            <v>202501</v>
          </cell>
          <cell r="D3119" t="str">
            <v>Vida Ahorro Particular</v>
          </cell>
          <cell r="G3119" t="str">
            <v>Presupuesto</v>
          </cell>
        </row>
        <row r="3120">
          <cell r="A3120" t="str">
            <v>BN</v>
          </cell>
          <cell r="B3120">
            <v>202501</v>
          </cell>
          <cell r="D3120" t="str">
            <v>Vida Ahorro Particular</v>
          </cell>
          <cell r="G3120" t="str">
            <v>Real</v>
          </cell>
        </row>
        <row r="3121">
          <cell r="A3121" t="str">
            <v>BN</v>
          </cell>
          <cell r="B3121">
            <v>202501</v>
          </cell>
          <cell r="D3121" t="str">
            <v>Vida Ganado</v>
          </cell>
          <cell r="G3121" t="str">
            <v>Presupuesto</v>
          </cell>
        </row>
        <row r="3122">
          <cell r="A3122" t="str">
            <v>BN</v>
          </cell>
          <cell r="B3122">
            <v>202501</v>
          </cell>
          <cell r="D3122" t="str">
            <v>Vida Ganado</v>
          </cell>
          <cell r="G3122" t="str">
            <v>Real</v>
          </cell>
        </row>
        <row r="3123">
          <cell r="A3123" t="str">
            <v>BN</v>
          </cell>
          <cell r="B3123">
            <v>202501</v>
          </cell>
          <cell r="D3123" t="str">
            <v>Vida Riesgo Colectivo</v>
          </cell>
          <cell r="G3123" t="str">
            <v>Presupuesto</v>
          </cell>
        </row>
        <row r="3124">
          <cell r="A3124" t="str">
            <v>BN</v>
          </cell>
          <cell r="B3124">
            <v>202501</v>
          </cell>
          <cell r="D3124" t="str">
            <v>Vida Riesgo Colectivo</v>
          </cell>
          <cell r="G3124" t="str">
            <v>Real</v>
          </cell>
        </row>
        <row r="3125">
          <cell r="A3125" t="str">
            <v>BN</v>
          </cell>
          <cell r="B3125">
            <v>202501</v>
          </cell>
          <cell r="D3125" t="str">
            <v>Vida Riesgo Particular</v>
          </cell>
          <cell r="G3125" t="str">
            <v>Presupuesto</v>
          </cell>
        </row>
        <row r="3126">
          <cell r="A3126" t="str">
            <v>BN</v>
          </cell>
          <cell r="B3126">
            <v>202501</v>
          </cell>
          <cell r="D3126" t="str">
            <v>Vida Riesgo Particular</v>
          </cell>
          <cell r="G3126" t="str">
            <v>Real</v>
          </cell>
        </row>
        <row r="3127">
          <cell r="A3127" t="str">
            <v>BN</v>
          </cell>
          <cell r="B3127">
            <v>202502</v>
          </cell>
          <cell r="D3127" t="str">
            <v>--</v>
          </cell>
          <cell r="G3127" t="str">
            <v>Presupuesto</v>
          </cell>
        </row>
        <row r="3128">
          <cell r="A3128" t="str">
            <v>BN</v>
          </cell>
          <cell r="B3128">
            <v>202502</v>
          </cell>
          <cell r="D3128" t="str">
            <v>--</v>
          </cell>
          <cell r="G3128" t="str">
            <v>Real</v>
          </cell>
        </row>
        <row r="3129">
          <cell r="A3129" t="str">
            <v>BN</v>
          </cell>
          <cell r="B3129">
            <v>202502</v>
          </cell>
          <cell r="D3129" t="str">
            <v>--</v>
          </cell>
          <cell r="G3129" t="str">
            <v>Presupuesto</v>
          </cell>
        </row>
        <row r="3130">
          <cell r="A3130" t="str">
            <v>BN</v>
          </cell>
          <cell r="B3130">
            <v>202502</v>
          </cell>
          <cell r="D3130" t="str">
            <v>--</v>
          </cell>
          <cell r="G3130" t="str">
            <v>Real</v>
          </cell>
        </row>
        <row r="3131">
          <cell r="A3131" t="str">
            <v>BN</v>
          </cell>
          <cell r="B3131">
            <v>202502</v>
          </cell>
          <cell r="D3131" t="str">
            <v>Arte</v>
          </cell>
          <cell r="G3131" t="str">
            <v>Presupuesto</v>
          </cell>
        </row>
        <row r="3132">
          <cell r="A3132" t="str">
            <v>BN</v>
          </cell>
          <cell r="B3132">
            <v>202502</v>
          </cell>
          <cell r="D3132" t="str">
            <v>Autos</v>
          </cell>
          <cell r="G3132" t="str">
            <v>Presupuesto</v>
          </cell>
        </row>
        <row r="3133">
          <cell r="A3133" t="str">
            <v>BN</v>
          </cell>
          <cell r="B3133">
            <v>202502</v>
          </cell>
          <cell r="D3133" t="str">
            <v>Autos</v>
          </cell>
          <cell r="G3133" t="str">
            <v>Real</v>
          </cell>
        </row>
        <row r="3134">
          <cell r="A3134" t="str">
            <v>BN</v>
          </cell>
          <cell r="B3134">
            <v>202502</v>
          </cell>
          <cell r="D3134" t="str">
            <v>B2B2C</v>
          </cell>
          <cell r="G3134" t="str">
            <v>Presupuesto</v>
          </cell>
        </row>
        <row r="3135">
          <cell r="A3135" t="str">
            <v>BN</v>
          </cell>
          <cell r="B3135">
            <v>202502</v>
          </cell>
          <cell r="D3135" t="str">
            <v>Caución</v>
          </cell>
          <cell r="G3135" t="str">
            <v>Presupuesto</v>
          </cell>
        </row>
        <row r="3136">
          <cell r="A3136" t="str">
            <v>BN</v>
          </cell>
          <cell r="B3136">
            <v>202502</v>
          </cell>
          <cell r="D3136" t="str">
            <v>Caución</v>
          </cell>
          <cell r="G3136" t="str">
            <v>Real</v>
          </cell>
        </row>
        <row r="3137">
          <cell r="A3137" t="str">
            <v>BN</v>
          </cell>
          <cell r="B3137">
            <v>202502</v>
          </cell>
          <cell r="D3137" t="str">
            <v>Crédito Nacional</v>
          </cell>
          <cell r="G3137" t="str">
            <v>Real</v>
          </cell>
        </row>
        <row r="3138">
          <cell r="A3138" t="str">
            <v>BN</v>
          </cell>
          <cell r="B3138">
            <v>202502</v>
          </cell>
          <cell r="D3138" t="str">
            <v>Crédito Internacional</v>
          </cell>
          <cell r="G3138" t="str">
            <v>Presupuesto</v>
          </cell>
        </row>
        <row r="3139">
          <cell r="A3139" t="str">
            <v>BN</v>
          </cell>
          <cell r="B3139">
            <v>202502</v>
          </cell>
          <cell r="D3139" t="str">
            <v>Crédito Nacional</v>
          </cell>
          <cell r="G3139" t="str">
            <v>Presupuesto</v>
          </cell>
        </row>
        <row r="3140">
          <cell r="A3140" t="str">
            <v>BN</v>
          </cell>
          <cell r="B3140">
            <v>202502</v>
          </cell>
          <cell r="D3140" t="str">
            <v>Eventos</v>
          </cell>
          <cell r="G3140" t="str">
            <v>Presupuesto</v>
          </cell>
        </row>
        <row r="3141">
          <cell r="A3141" t="str">
            <v>BN</v>
          </cell>
          <cell r="B3141">
            <v>202502</v>
          </cell>
          <cell r="D3141" t="str">
            <v>Flotas</v>
          </cell>
          <cell r="G3141" t="str">
            <v>Presupuesto</v>
          </cell>
        </row>
        <row r="3142">
          <cell r="A3142" t="str">
            <v>BN</v>
          </cell>
          <cell r="B3142">
            <v>202502</v>
          </cell>
          <cell r="D3142" t="str">
            <v>Flotas</v>
          </cell>
          <cell r="G3142" t="str">
            <v>Real</v>
          </cell>
        </row>
        <row r="3143">
          <cell r="A3143" t="str">
            <v>BN</v>
          </cell>
          <cell r="B3143">
            <v>202502</v>
          </cell>
          <cell r="D3143" t="str">
            <v>Hogar</v>
          </cell>
          <cell r="G3143" t="str">
            <v>Presupuesto</v>
          </cell>
        </row>
        <row r="3144">
          <cell r="A3144" t="str">
            <v>BN</v>
          </cell>
          <cell r="B3144">
            <v>202502</v>
          </cell>
          <cell r="D3144" t="str">
            <v>Hogar</v>
          </cell>
          <cell r="G3144" t="str">
            <v>Real</v>
          </cell>
        </row>
        <row r="3145">
          <cell r="A3145" t="str">
            <v>BN</v>
          </cell>
          <cell r="B3145">
            <v>202502</v>
          </cell>
          <cell r="D3145" t="str">
            <v>Ingeniería</v>
          </cell>
          <cell r="G3145" t="str">
            <v>Presupuesto</v>
          </cell>
        </row>
        <row r="3146">
          <cell r="A3146" t="str">
            <v>BN</v>
          </cell>
          <cell r="B3146">
            <v>202502</v>
          </cell>
          <cell r="D3146" t="str">
            <v>Ingeniería</v>
          </cell>
          <cell r="G3146" t="str">
            <v>Real</v>
          </cell>
        </row>
        <row r="3147">
          <cell r="A3147" t="str">
            <v>BN</v>
          </cell>
          <cell r="B3147">
            <v>202502</v>
          </cell>
          <cell r="D3147" t="str">
            <v>Inmobiliario</v>
          </cell>
          <cell r="G3147" t="str">
            <v>Presupuesto</v>
          </cell>
        </row>
        <row r="3148">
          <cell r="A3148" t="str">
            <v>BN</v>
          </cell>
          <cell r="B3148">
            <v>202502</v>
          </cell>
          <cell r="D3148" t="str">
            <v>Inmobiliario</v>
          </cell>
          <cell r="G3148" t="str">
            <v>Real</v>
          </cell>
        </row>
        <row r="3149">
          <cell r="A3149" t="str">
            <v>BN</v>
          </cell>
          <cell r="B3149">
            <v>202502</v>
          </cell>
          <cell r="D3149" t="str">
            <v>Líneas Financieras</v>
          </cell>
          <cell r="G3149" t="str">
            <v>Presupuesto</v>
          </cell>
        </row>
        <row r="3150">
          <cell r="A3150" t="str">
            <v>BN</v>
          </cell>
          <cell r="B3150">
            <v>202502</v>
          </cell>
          <cell r="D3150" t="str">
            <v>Líneas Financieras</v>
          </cell>
          <cell r="G3150" t="str">
            <v>Real</v>
          </cell>
        </row>
        <row r="3151">
          <cell r="A3151" t="str">
            <v>BN</v>
          </cell>
          <cell r="B3151">
            <v>202502</v>
          </cell>
          <cell r="D3151" t="str">
            <v>Náutica</v>
          </cell>
          <cell r="G3151" t="str">
            <v>Presupuesto</v>
          </cell>
        </row>
        <row r="3152">
          <cell r="A3152" t="str">
            <v>BN</v>
          </cell>
          <cell r="B3152">
            <v>202502</v>
          </cell>
          <cell r="D3152" t="str">
            <v>Náutica</v>
          </cell>
          <cell r="G3152" t="str">
            <v>Real</v>
          </cell>
        </row>
        <row r="3153">
          <cell r="A3153" t="str">
            <v>BN</v>
          </cell>
          <cell r="B3153">
            <v>202502</v>
          </cell>
          <cell r="D3153" t="str">
            <v>Particulares Resto</v>
          </cell>
          <cell r="G3153" t="str">
            <v>Presupuesto</v>
          </cell>
        </row>
        <row r="3154">
          <cell r="A3154" t="str">
            <v>BN</v>
          </cell>
          <cell r="B3154">
            <v>202502</v>
          </cell>
          <cell r="D3154" t="str">
            <v>Particulares Resto</v>
          </cell>
          <cell r="G3154" t="str">
            <v>Real</v>
          </cell>
        </row>
        <row r="3155">
          <cell r="A3155" t="str">
            <v>BN</v>
          </cell>
          <cell r="B3155">
            <v>202502</v>
          </cell>
          <cell r="D3155" t="str">
            <v>Property</v>
          </cell>
          <cell r="G3155" t="str">
            <v>Presupuesto</v>
          </cell>
        </row>
        <row r="3156">
          <cell r="A3156" t="str">
            <v>BN</v>
          </cell>
          <cell r="B3156">
            <v>202502</v>
          </cell>
          <cell r="D3156" t="str">
            <v>Property</v>
          </cell>
          <cell r="G3156" t="str">
            <v>Real</v>
          </cell>
        </row>
        <row r="3157">
          <cell r="A3157" t="str">
            <v>BN</v>
          </cell>
          <cell r="B3157">
            <v>202502</v>
          </cell>
          <cell r="D3157" t="str">
            <v>RC</v>
          </cell>
          <cell r="G3157" t="str">
            <v>Presupuesto</v>
          </cell>
        </row>
        <row r="3158">
          <cell r="A3158" t="str">
            <v>BN</v>
          </cell>
          <cell r="B3158">
            <v>202502</v>
          </cell>
          <cell r="D3158" t="str">
            <v>RC</v>
          </cell>
          <cell r="G3158" t="str">
            <v>Real</v>
          </cell>
        </row>
        <row r="3159">
          <cell r="A3159" t="str">
            <v>BN</v>
          </cell>
          <cell r="B3159">
            <v>202502</v>
          </cell>
          <cell r="D3159" t="str">
            <v>Resto de lineas</v>
          </cell>
          <cell r="G3159" t="str">
            <v>Presupuesto</v>
          </cell>
        </row>
        <row r="3160">
          <cell r="A3160" t="str">
            <v>BN</v>
          </cell>
          <cell r="B3160">
            <v>202502</v>
          </cell>
          <cell r="D3160" t="str">
            <v>Resto de lineas</v>
          </cell>
          <cell r="G3160" t="str">
            <v>Real</v>
          </cell>
        </row>
        <row r="3161">
          <cell r="A3161" t="str">
            <v>BN</v>
          </cell>
          <cell r="B3161">
            <v>202502</v>
          </cell>
          <cell r="D3161" t="str">
            <v>Retirada</v>
          </cell>
          <cell r="G3161" t="str">
            <v>Presupuesto</v>
          </cell>
        </row>
        <row r="3162">
          <cell r="A3162" t="str">
            <v>BN</v>
          </cell>
          <cell r="B3162">
            <v>202502</v>
          </cell>
          <cell r="D3162" t="str">
            <v>Retirada</v>
          </cell>
          <cell r="G3162" t="str">
            <v>Real</v>
          </cell>
        </row>
        <row r="3163">
          <cell r="A3163" t="str">
            <v>BN</v>
          </cell>
          <cell r="B3163">
            <v>202502</v>
          </cell>
          <cell r="D3163" t="str">
            <v>Seguros Personales (No Vida) Colectivos</v>
          </cell>
          <cell r="G3163" t="str">
            <v>Presupuesto</v>
          </cell>
        </row>
        <row r="3164">
          <cell r="A3164" t="str">
            <v>BN</v>
          </cell>
          <cell r="B3164">
            <v>202502</v>
          </cell>
          <cell r="D3164" t="str">
            <v>Seguros Personales (No Vida) Colectivos</v>
          </cell>
          <cell r="G3164" t="str">
            <v>Real</v>
          </cell>
        </row>
        <row r="3165">
          <cell r="A3165" t="str">
            <v>BN</v>
          </cell>
          <cell r="B3165">
            <v>202502</v>
          </cell>
          <cell r="D3165" t="str">
            <v>Seguros Personales (No Vida) Particular</v>
          </cell>
          <cell r="G3165" t="str">
            <v>Presupuesto</v>
          </cell>
        </row>
        <row r="3166">
          <cell r="A3166" t="str">
            <v>BN</v>
          </cell>
          <cell r="B3166">
            <v>202502</v>
          </cell>
          <cell r="D3166" t="str">
            <v>Seguros Personales (No Vida) Particular</v>
          </cell>
          <cell r="G3166" t="str">
            <v>Real</v>
          </cell>
        </row>
        <row r="3167">
          <cell r="A3167" t="str">
            <v>BN</v>
          </cell>
          <cell r="B3167">
            <v>202502</v>
          </cell>
          <cell r="D3167" t="str">
            <v>Transporte</v>
          </cell>
          <cell r="G3167" t="str">
            <v>Presupuesto</v>
          </cell>
        </row>
        <row r="3168">
          <cell r="A3168" t="str">
            <v>BN</v>
          </cell>
          <cell r="B3168">
            <v>202502</v>
          </cell>
          <cell r="D3168" t="str">
            <v>Transporte</v>
          </cell>
          <cell r="G3168" t="str">
            <v>Real</v>
          </cell>
        </row>
        <row r="3169">
          <cell r="A3169" t="str">
            <v>BN</v>
          </cell>
          <cell r="B3169">
            <v>202502</v>
          </cell>
          <cell r="D3169" t="str">
            <v>Venta Cruzada</v>
          </cell>
          <cell r="G3169" t="str">
            <v>Presupuesto</v>
          </cell>
        </row>
        <row r="3170">
          <cell r="A3170" t="str">
            <v>BN</v>
          </cell>
          <cell r="B3170">
            <v>202502</v>
          </cell>
          <cell r="D3170" t="str">
            <v>Venta Cruzada</v>
          </cell>
          <cell r="G3170" t="str">
            <v>Real</v>
          </cell>
        </row>
        <row r="3171">
          <cell r="A3171" t="str">
            <v>BN</v>
          </cell>
          <cell r="B3171">
            <v>202502</v>
          </cell>
          <cell r="D3171" t="str">
            <v>Vida Ahorro Colectivo</v>
          </cell>
          <cell r="G3171" t="str">
            <v>Presupuesto</v>
          </cell>
        </row>
        <row r="3172">
          <cell r="A3172" t="str">
            <v>BN</v>
          </cell>
          <cell r="B3172">
            <v>202502</v>
          </cell>
          <cell r="D3172" t="str">
            <v>Vida Ahorro Colectivo</v>
          </cell>
          <cell r="G3172" t="str">
            <v>Real</v>
          </cell>
        </row>
        <row r="3173">
          <cell r="A3173" t="str">
            <v>BN</v>
          </cell>
          <cell r="B3173">
            <v>202502</v>
          </cell>
          <cell r="D3173" t="str">
            <v>Vida Ahorro Particular</v>
          </cell>
          <cell r="G3173" t="str">
            <v>Presupuesto</v>
          </cell>
        </row>
        <row r="3174">
          <cell r="A3174" t="str">
            <v>BN</v>
          </cell>
          <cell r="B3174">
            <v>202502</v>
          </cell>
          <cell r="D3174" t="str">
            <v>Vida Ahorro Particular</v>
          </cell>
          <cell r="G3174" t="str">
            <v>Real</v>
          </cell>
        </row>
        <row r="3175">
          <cell r="A3175" t="str">
            <v>BN</v>
          </cell>
          <cell r="B3175">
            <v>202502</v>
          </cell>
          <cell r="D3175" t="str">
            <v>Vida Ganado</v>
          </cell>
          <cell r="G3175" t="str">
            <v>Presupuesto</v>
          </cell>
        </row>
        <row r="3176">
          <cell r="A3176" t="str">
            <v>BN</v>
          </cell>
          <cell r="B3176">
            <v>202502</v>
          </cell>
          <cell r="D3176" t="str">
            <v>Vida Ganado</v>
          </cell>
          <cell r="G3176" t="str">
            <v>Real</v>
          </cell>
        </row>
        <row r="3177">
          <cell r="A3177" t="str">
            <v>BN</v>
          </cell>
          <cell r="B3177">
            <v>202502</v>
          </cell>
          <cell r="D3177" t="str">
            <v>Vida Riesgo Colectivo</v>
          </cell>
          <cell r="G3177" t="str">
            <v>Presupuesto</v>
          </cell>
        </row>
        <row r="3178">
          <cell r="A3178" t="str">
            <v>BN</v>
          </cell>
          <cell r="B3178">
            <v>202502</v>
          </cell>
          <cell r="D3178" t="str">
            <v>Vida Riesgo Colectivo</v>
          </cell>
          <cell r="G3178" t="str">
            <v>Real</v>
          </cell>
        </row>
        <row r="3179">
          <cell r="A3179" t="str">
            <v>BN</v>
          </cell>
          <cell r="B3179">
            <v>202502</v>
          </cell>
          <cell r="D3179" t="str">
            <v>Vida Riesgo Particular</v>
          </cell>
          <cell r="G3179" t="str">
            <v>Presupuesto</v>
          </cell>
        </row>
        <row r="3180">
          <cell r="A3180" t="str">
            <v>BN</v>
          </cell>
          <cell r="B3180">
            <v>202502</v>
          </cell>
          <cell r="D3180" t="str">
            <v>Vida Riesgo Particular</v>
          </cell>
          <cell r="G3180" t="str">
            <v>Real</v>
          </cell>
        </row>
        <row r="3181">
          <cell r="A3181" t="str">
            <v>BN</v>
          </cell>
          <cell r="B3181">
            <v>202503</v>
          </cell>
          <cell r="D3181" t="str">
            <v>--</v>
          </cell>
          <cell r="G3181" t="str">
            <v>Presupuesto</v>
          </cell>
        </row>
        <row r="3182">
          <cell r="A3182" t="str">
            <v>BN</v>
          </cell>
          <cell r="B3182">
            <v>202503</v>
          </cell>
          <cell r="D3182" t="str">
            <v>--</v>
          </cell>
          <cell r="G3182" t="str">
            <v>Real</v>
          </cell>
        </row>
        <row r="3183">
          <cell r="A3183" t="str">
            <v>BN</v>
          </cell>
          <cell r="B3183">
            <v>202503</v>
          </cell>
          <cell r="D3183" t="str">
            <v>--</v>
          </cell>
          <cell r="G3183" t="str">
            <v>Presupuesto</v>
          </cell>
        </row>
        <row r="3184">
          <cell r="A3184" t="str">
            <v>BN</v>
          </cell>
          <cell r="B3184">
            <v>202503</v>
          </cell>
          <cell r="D3184" t="str">
            <v>--</v>
          </cell>
          <cell r="G3184" t="str">
            <v>Real</v>
          </cell>
        </row>
        <row r="3185">
          <cell r="A3185" t="str">
            <v>BN</v>
          </cell>
          <cell r="B3185">
            <v>202503</v>
          </cell>
          <cell r="D3185" t="str">
            <v>Arte</v>
          </cell>
          <cell r="G3185" t="str">
            <v>Presupuesto</v>
          </cell>
        </row>
        <row r="3186">
          <cell r="A3186" t="str">
            <v>BN</v>
          </cell>
          <cell r="B3186">
            <v>202503</v>
          </cell>
          <cell r="D3186" t="str">
            <v>Autos</v>
          </cell>
          <cell r="G3186" t="str">
            <v>Presupuesto</v>
          </cell>
        </row>
        <row r="3187">
          <cell r="A3187" t="str">
            <v>BN</v>
          </cell>
          <cell r="B3187">
            <v>202503</v>
          </cell>
          <cell r="D3187" t="str">
            <v>Autos</v>
          </cell>
          <cell r="G3187" t="str">
            <v>Real</v>
          </cell>
        </row>
        <row r="3188">
          <cell r="A3188" t="str">
            <v>BN</v>
          </cell>
          <cell r="B3188">
            <v>202503</v>
          </cell>
          <cell r="D3188" t="str">
            <v>B2B2C</v>
          </cell>
          <cell r="G3188" t="str">
            <v>Presupuesto</v>
          </cell>
        </row>
        <row r="3189">
          <cell r="A3189" t="str">
            <v>BN</v>
          </cell>
          <cell r="B3189">
            <v>202503</v>
          </cell>
          <cell r="D3189" t="str">
            <v>Caución</v>
          </cell>
          <cell r="G3189" t="str">
            <v>Presupuesto</v>
          </cell>
        </row>
        <row r="3190">
          <cell r="A3190" t="str">
            <v>BN</v>
          </cell>
          <cell r="B3190">
            <v>202503</v>
          </cell>
          <cell r="D3190" t="str">
            <v>Caución</v>
          </cell>
          <cell r="G3190" t="str">
            <v>Real</v>
          </cell>
        </row>
        <row r="3191">
          <cell r="A3191" t="str">
            <v>BN</v>
          </cell>
          <cell r="B3191">
            <v>202503</v>
          </cell>
          <cell r="D3191" t="str">
            <v>Crédito Nacional</v>
          </cell>
          <cell r="G3191" t="str">
            <v>Real</v>
          </cell>
        </row>
        <row r="3192">
          <cell r="A3192" t="str">
            <v>BN</v>
          </cell>
          <cell r="B3192">
            <v>202503</v>
          </cell>
          <cell r="D3192" t="str">
            <v>Crédito Internacional</v>
          </cell>
          <cell r="G3192" t="str">
            <v>Presupuesto</v>
          </cell>
        </row>
        <row r="3193">
          <cell r="A3193" t="str">
            <v>BN</v>
          </cell>
          <cell r="B3193">
            <v>202503</v>
          </cell>
          <cell r="D3193" t="str">
            <v>Crédito Nacional</v>
          </cell>
          <cell r="G3193" t="str">
            <v>Presupuesto</v>
          </cell>
        </row>
        <row r="3194">
          <cell r="A3194" t="str">
            <v>BN</v>
          </cell>
          <cell r="B3194">
            <v>202503</v>
          </cell>
          <cell r="D3194" t="str">
            <v>Eventos</v>
          </cell>
          <cell r="G3194" t="str">
            <v>Presupuesto</v>
          </cell>
        </row>
        <row r="3195">
          <cell r="A3195" t="str">
            <v>BN</v>
          </cell>
          <cell r="B3195">
            <v>202503</v>
          </cell>
          <cell r="D3195" t="str">
            <v>Flotas</v>
          </cell>
          <cell r="G3195" t="str">
            <v>Presupuesto</v>
          </cell>
        </row>
        <row r="3196">
          <cell r="A3196" t="str">
            <v>BN</v>
          </cell>
          <cell r="B3196">
            <v>202503</v>
          </cell>
          <cell r="D3196" t="str">
            <v>Flotas</v>
          </cell>
          <cell r="G3196" t="str">
            <v>Real</v>
          </cell>
        </row>
        <row r="3197">
          <cell r="A3197" t="str">
            <v>BN</v>
          </cell>
          <cell r="B3197">
            <v>202503</v>
          </cell>
          <cell r="D3197" t="str">
            <v>Hogar</v>
          </cell>
          <cell r="G3197" t="str">
            <v>Presupuesto</v>
          </cell>
        </row>
        <row r="3198">
          <cell r="A3198" t="str">
            <v>BN</v>
          </cell>
          <cell r="B3198">
            <v>202503</v>
          </cell>
          <cell r="D3198" t="str">
            <v>Hogar</v>
          </cell>
          <cell r="G3198" t="str">
            <v>Real</v>
          </cell>
        </row>
        <row r="3199">
          <cell r="A3199" t="str">
            <v>BN</v>
          </cell>
          <cell r="B3199">
            <v>202503</v>
          </cell>
          <cell r="D3199" t="str">
            <v>Ingeniería</v>
          </cell>
          <cell r="G3199" t="str">
            <v>Presupuesto</v>
          </cell>
        </row>
        <row r="3200">
          <cell r="A3200" t="str">
            <v>BN</v>
          </cell>
          <cell r="B3200">
            <v>202503</v>
          </cell>
          <cell r="D3200" t="str">
            <v>Ingeniería</v>
          </cell>
          <cell r="G3200" t="str">
            <v>Real</v>
          </cell>
        </row>
        <row r="3201">
          <cell r="A3201" t="str">
            <v>BN</v>
          </cell>
          <cell r="B3201">
            <v>202503</v>
          </cell>
          <cell r="D3201" t="str">
            <v>Inmobiliario</v>
          </cell>
          <cell r="G3201" t="str">
            <v>Presupuesto</v>
          </cell>
        </row>
        <row r="3202">
          <cell r="A3202" t="str">
            <v>BN</v>
          </cell>
          <cell r="B3202">
            <v>202503</v>
          </cell>
          <cell r="D3202" t="str">
            <v>Inmobiliario</v>
          </cell>
          <cell r="G3202" t="str">
            <v>Real</v>
          </cell>
        </row>
        <row r="3203">
          <cell r="A3203" t="str">
            <v>BN</v>
          </cell>
          <cell r="B3203">
            <v>202503</v>
          </cell>
          <cell r="D3203" t="str">
            <v>Líneas Financieras</v>
          </cell>
          <cell r="G3203" t="str">
            <v>Presupuesto</v>
          </cell>
        </row>
        <row r="3204">
          <cell r="A3204" t="str">
            <v>BN</v>
          </cell>
          <cell r="B3204">
            <v>202503</v>
          </cell>
          <cell r="D3204" t="str">
            <v>Líneas Financieras</v>
          </cell>
          <cell r="G3204" t="str">
            <v>Real</v>
          </cell>
        </row>
        <row r="3205">
          <cell r="A3205" t="str">
            <v>BN</v>
          </cell>
          <cell r="B3205">
            <v>202503</v>
          </cell>
          <cell r="D3205" t="str">
            <v>Náutica</v>
          </cell>
          <cell r="G3205" t="str">
            <v>Presupuesto</v>
          </cell>
        </row>
        <row r="3206">
          <cell r="A3206" t="str">
            <v>BN</v>
          </cell>
          <cell r="B3206">
            <v>202503</v>
          </cell>
          <cell r="D3206" t="str">
            <v>Náutica</v>
          </cell>
          <cell r="G3206" t="str">
            <v>Real</v>
          </cell>
        </row>
        <row r="3207">
          <cell r="A3207" t="str">
            <v>BN</v>
          </cell>
          <cell r="B3207">
            <v>202503</v>
          </cell>
          <cell r="D3207" t="str">
            <v>Particulares Resto</v>
          </cell>
          <cell r="G3207" t="str">
            <v>Presupuesto</v>
          </cell>
        </row>
        <row r="3208">
          <cell r="A3208" t="str">
            <v>BN</v>
          </cell>
          <cell r="B3208">
            <v>202503</v>
          </cell>
          <cell r="D3208" t="str">
            <v>Particulares Resto</v>
          </cell>
          <cell r="G3208" t="str">
            <v>Real</v>
          </cell>
        </row>
        <row r="3209">
          <cell r="A3209" t="str">
            <v>BN</v>
          </cell>
          <cell r="B3209">
            <v>202503</v>
          </cell>
          <cell r="D3209" t="str">
            <v>Property</v>
          </cell>
          <cell r="G3209" t="str">
            <v>Presupuesto</v>
          </cell>
        </row>
        <row r="3210">
          <cell r="A3210" t="str">
            <v>BN</v>
          </cell>
          <cell r="B3210">
            <v>202503</v>
          </cell>
          <cell r="D3210" t="str">
            <v>Property</v>
          </cell>
          <cell r="G3210" t="str">
            <v>Real</v>
          </cell>
        </row>
        <row r="3211">
          <cell r="A3211" t="str">
            <v>BN</v>
          </cell>
          <cell r="B3211">
            <v>202503</v>
          </cell>
          <cell r="D3211" t="str">
            <v>RC</v>
          </cell>
          <cell r="G3211" t="str">
            <v>Presupuesto</v>
          </cell>
        </row>
        <row r="3212">
          <cell r="A3212" t="str">
            <v>BN</v>
          </cell>
          <cell r="B3212">
            <v>202503</v>
          </cell>
          <cell r="D3212" t="str">
            <v>RC</v>
          </cell>
          <cell r="G3212" t="str">
            <v>Real</v>
          </cell>
        </row>
        <row r="3213">
          <cell r="A3213" t="str">
            <v>BN</v>
          </cell>
          <cell r="B3213">
            <v>202503</v>
          </cell>
          <cell r="D3213" t="str">
            <v>Resto de lineas</v>
          </cell>
          <cell r="G3213" t="str">
            <v>Presupuesto</v>
          </cell>
        </row>
        <row r="3214">
          <cell r="A3214" t="str">
            <v>BN</v>
          </cell>
          <cell r="B3214">
            <v>202503</v>
          </cell>
          <cell r="D3214" t="str">
            <v>Resto de lineas</v>
          </cell>
          <cell r="G3214" t="str">
            <v>Real</v>
          </cell>
        </row>
        <row r="3215">
          <cell r="A3215" t="str">
            <v>BN</v>
          </cell>
          <cell r="B3215">
            <v>202503</v>
          </cell>
          <cell r="D3215" t="str">
            <v>Resto de lineas</v>
          </cell>
          <cell r="G3215" t="str">
            <v>Real</v>
          </cell>
        </row>
        <row r="3216">
          <cell r="A3216" t="str">
            <v>BN</v>
          </cell>
          <cell r="B3216">
            <v>202503</v>
          </cell>
          <cell r="D3216" t="str">
            <v>Retirada</v>
          </cell>
          <cell r="G3216" t="str">
            <v>Presupuesto</v>
          </cell>
        </row>
        <row r="3217">
          <cell r="A3217" t="str">
            <v>BN</v>
          </cell>
          <cell r="B3217">
            <v>202503</v>
          </cell>
          <cell r="D3217" t="str">
            <v>Retirada</v>
          </cell>
          <cell r="G3217" t="str">
            <v>Real</v>
          </cell>
        </row>
        <row r="3218">
          <cell r="A3218" t="str">
            <v>BN</v>
          </cell>
          <cell r="B3218">
            <v>202503</v>
          </cell>
          <cell r="D3218" t="str">
            <v>Seguros Personales (No Vida) Colectivos</v>
          </cell>
          <cell r="G3218" t="str">
            <v>Presupuesto</v>
          </cell>
        </row>
        <row r="3219">
          <cell r="A3219" t="str">
            <v>BN</v>
          </cell>
          <cell r="B3219">
            <v>202503</v>
          </cell>
          <cell r="D3219" t="str">
            <v>Seguros Personales (No Vida) Colectivos</v>
          </cell>
          <cell r="G3219" t="str">
            <v>Real</v>
          </cell>
        </row>
        <row r="3220">
          <cell r="A3220" t="str">
            <v>BN</v>
          </cell>
          <cell r="B3220">
            <v>202503</v>
          </cell>
          <cell r="D3220" t="str">
            <v>Seguros Personales (No Vida) Particular</v>
          </cell>
          <cell r="G3220" t="str">
            <v>Presupuesto</v>
          </cell>
        </row>
        <row r="3221">
          <cell r="A3221" t="str">
            <v>BN</v>
          </cell>
          <cell r="B3221">
            <v>202503</v>
          </cell>
          <cell r="D3221" t="str">
            <v>Seguros Personales (No Vida) Particular</v>
          </cell>
          <cell r="G3221" t="str">
            <v>Real</v>
          </cell>
        </row>
        <row r="3222">
          <cell r="A3222" t="str">
            <v>BN</v>
          </cell>
          <cell r="B3222">
            <v>202503</v>
          </cell>
          <cell r="D3222" t="str">
            <v>Transporte</v>
          </cell>
          <cell r="G3222" t="str">
            <v>Presupuesto</v>
          </cell>
        </row>
        <row r="3223">
          <cell r="A3223" t="str">
            <v>BN</v>
          </cell>
          <cell r="B3223">
            <v>202503</v>
          </cell>
          <cell r="D3223" t="str">
            <v>Transporte</v>
          </cell>
          <cell r="G3223" t="str">
            <v>Real</v>
          </cell>
        </row>
        <row r="3224">
          <cell r="A3224" t="str">
            <v>BN</v>
          </cell>
          <cell r="B3224">
            <v>202503</v>
          </cell>
          <cell r="D3224" t="str">
            <v>Venta Cruzada</v>
          </cell>
          <cell r="G3224" t="str">
            <v>Presupuesto</v>
          </cell>
        </row>
        <row r="3225">
          <cell r="A3225" t="str">
            <v>BN</v>
          </cell>
          <cell r="B3225">
            <v>202503</v>
          </cell>
          <cell r="D3225" t="str">
            <v>Venta Cruzada</v>
          </cell>
          <cell r="G3225" t="str">
            <v>Real</v>
          </cell>
        </row>
        <row r="3226">
          <cell r="A3226" t="str">
            <v>BN</v>
          </cell>
          <cell r="B3226">
            <v>202503</v>
          </cell>
          <cell r="D3226" t="str">
            <v>Vida Ahorro Colectivo</v>
          </cell>
          <cell r="G3226" t="str">
            <v>Presupuesto</v>
          </cell>
        </row>
        <row r="3227">
          <cell r="A3227" t="str">
            <v>BN</v>
          </cell>
          <cell r="B3227">
            <v>202503</v>
          </cell>
          <cell r="D3227" t="str">
            <v>Vida Ahorro Colectivo</v>
          </cell>
          <cell r="G3227" t="str">
            <v>Real</v>
          </cell>
        </row>
        <row r="3228">
          <cell r="A3228" t="str">
            <v>BN</v>
          </cell>
          <cell r="B3228">
            <v>202503</v>
          </cell>
          <cell r="D3228" t="str">
            <v>Vida Ahorro Particular</v>
          </cell>
          <cell r="G3228" t="str">
            <v>Presupuesto</v>
          </cell>
        </row>
        <row r="3229">
          <cell r="A3229" t="str">
            <v>BN</v>
          </cell>
          <cell r="B3229">
            <v>202503</v>
          </cell>
          <cell r="D3229" t="str">
            <v>Vida Ahorro Particular</v>
          </cell>
          <cell r="G3229" t="str">
            <v>Real</v>
          </cell>
        </row>
        <row r="3230">
          <cell r="A3230" t="str">
            <v>BN</v>
          </cell>
          <cell r="B3230">
            <v>202503</v>
          </cell>
          <cell r="D3230" t="str">
            <v>Vida Ganado</v>
          </cell>
          <cell r="G3230" t="str">
            <v>Presupuesto</v>
          </cell>
        </row>
        <row r="3231">
          <cell r="A3231" t="str">
            <v>BN</v>
          </cell>
          <cell r="B3231">
            <v>202503</v>
          </cell>
          <cell r="D3231" t="str">
            <v>Vida Ganado</v>
          </cell>
          <cell r="G3231" t="str">
            <v>Real</v>
          </cell>
        </row>
        <row r="3232">
          <cell r="A3232" t="str">
            <v>BN</v>
          </cell>
          <cell r="B3232">
            <v>202503</v>
          </cell>
          <cell r="D3232" t="str">
            <v>Vida Riesgo Colectivo</v>
          </cell>
          <cell r="G3232" t="str">
            <v>Presupuesto</v>
          </cell>
        </row>
        <row r="3233">
          <cell r="A3233" t="str">
            <v>BN</v>
          </cell>
          <cell r="B3233">
            <v>202503</v>
          </cell>
          <cell r="D3233" t="str">
            <v>Vida Riesgo Colectivo</v>
          </cell>
          <cell r="G3233" t="str">
            <v>Real</v>
          </cell>
        </row>
        <row r="3234">
          <cell r="A3234" t="str">
            <v>BN</v>
          </cell>
          <cell r="B3234">
            <v>202503</v>
          </cell>
          <cell r="D3234" t="str">
            <v>Vida Riesgo Particular</v>
          </cell>
          <cell r="G3234" t="str">
            <v>Presupuesto</v>
          </cell>
        </row>
        <row r="3235">
          <cell r="A3235" t="str">
            <v>BN</v>
          </cell>
          <cell r="B3235">
            <v>202503</v>
          </cell>
          <cell r="D3235" t="str">
            <v>Vida Riesgo Particular</v>
          </cell>
          <cell r="G3235" t="str">
            <v>Real</v>
          </cell>
        </row>
        <row r="3236">
          <cell r="A3236" t="str">
            <v>BN</v>
          </cell>
          <cell r="B3236">
            <v>202504</v>
          </cell>
          <cell r="D3236" t="str">
            <v>--</v>
          </cell>
          <cell r="G3236" t="str">
            <v>Presupuesto</v>
          </cell>
        </row>
        <row r="3237">
          <cell r="A3237" t="str">
            <v>BN</v>
          </cell>
          <cell r="B3237">
            <v>202504</v>
          </cell>
          <cell r="D3237" t="str">
            <v>--</v>
          </cell>
          <cell r="G3237" t="str">
            <v>Real</v>
          </cell>
        </row>
        <row r="3238">
          <cell r="A3238" t="str">
            <v>BN</v>
          </cell>
          <cell r="B3238">
            <v>202504</v>
          </cell>
          <cell r="D3238" t="str">
            <v>--</v>
          </cell>
          <cell r="G3238" t="str">
            <v>Presupuesto</v>
          </cell>
        </row>
        <row r="3239">
          <cell r="A3239" t="str">
            <v>BN</v>
          </cell>
          <cell r="B3239">
            <v>202504</v>
          </cell>
          <cell r="D3239" t="str">
            <v>--</v>
          </cell>
          <cell r="G3239" t="str">
            <v>Real</v>
          </cell>
        </row>
        <row r="3240">
          <cell r="A3240" t="str">
            <v>BN</v>
          </cell>
          <cell r="B3240">
            <v>202504</v>
          </cell>
          <cell r="D3240" t="str">
            <v>Arte</v>
          </cell>
          <cell r="G3240" t="str">
            <v>Presupuesto</v>
          </cell>
        </row>
        <row r="3241">
          <cell r="A3241" t="str">
            <v>BN</v>
          </cell>
          <cell r="B3241">
            <v>202504</v>
          </cell>
          <cell r="D3241" t="str">
            <v>Autos</v>
          </cell>
          <cell r="G3241" t="str">
            <v>Presupuesto</v>
          </cell>
        </row>
        <row r="3242">
          <cell r="A3242" t="str">
            <v>BN</v>
          </cell>
          <cell r="B3242">
            <v>202504</v>
          </cell>
          <cell r="D3242" t="str">
            <v>Autos</v>
          </cell>
          <cell r="G3242" t="str">
            <v>Real</v>
          </cell>
        </row>
        <row r="3243">
          <cell r="A3243" t="str">
            <v>BN</v>
          </cell>
          <cell r="B3243">
            <v>202504</v>
          </cell>
          <cell r="D3243" t="str">
            <v>B2B2C</v>
          </cell>
          <cell r="G3243" t="str">
            <v>Presupuesto</v>
          </cell>
        </row>
        <row r="3244">
          <cell r="A3244" t="str">
            <v>BN</v>
          </cell>
          <cell r="B3244">
            <v>202504</v>
          </cell>
          <cell r="D3244" t="str">
            <v>Caución</v>
          </cell>
          <cell r="G3244" t="str">
            <v>Presupuesto</v>
          </cell>
        </row>
        <row r="3245">
          <cell r="A3245" t="str">
            <v>BN</v>
          </cell>
          <cell r="B3245">
            <v>202504</v>
          </cell>
          <cell r="D3245" t="str">
            <v>Caución</v>
          </cell>
          <cell r="G3245" t="str">
            <v>Real</v>
          </cell>
        </row>
        <row r="3246">
          <cell r="A3246" t="str">
            <v>BN</v>
          </cell>
          <cell r="B3246">
            <v>202504</v>
          </cell>
          <cell r="D3246" t="str">
            <v>Crédito Nacional</v>
          </cell>
          <cell r="G3246" t="str">
            <v>Real</v>
          </cell>
        </row>
        <row r="3247">
          <cell r="A3247" t="str">
            <v>BN</v>
          </cell>
          <cell r="B3247">
            <v>202504</v>
          </cell>
          <cell r="D3247" t="str">
            <v>Crédito Internacional</v>
          </cell>
          <cell r="G3247" t="str">
            <v>Presupuesto</v>
          </cell>
        </row>
        <row r="3248">
          <cell r="A3248" t="str">
            <v>BN</v>
          </cell>
          <cell r="B3248">
            <v>202504</v>
          </cell>
          <cell r="D3248" t="str">
            <v>Crédito Nacional</v>
          </cell>
          <cell r="G3248" t="str">
            <v>Presupuesto</v>
          </cell>
        </row>
        <row r="3249">
          <cell r="A3249" t="str">
            <v>BN</v>
          </cell>
          <cell r="B3249">
            <v>202504</v>
          </cell>
          <cell r="D3249" t="str">
            <v>Eventos</v>
          </cell>
          <cell r="G3249" t="str">
            <v>Presupuesto</v>
          </cell>
        </row>
        <row r="3250">
          <cell r="A3250" t="str">
            <v>BN</v>
          </cell>
          <cell r="B3250">
            <v>202504</v>
          </cell>
          <cell r="D3250" t="str">
            <v>Flotas</v>
          </cell>
          <cell r="G3250" t="str">
            <v>Presupuesto</v>
          </cell>
        </row>
        <row r="3251">
          <cell r="A3251" t="str">
            <v>BN</v>
          </cell>
          <cell r="B3251">
            <v>202504</v>
          </cell>
          <cell r="D3251" t="str">
            <v>Flotas</v>
          </cell>
          <cell r="G3251" t="str">
            <v>Real</v>
          </cell>
        </row>
        <row r="3252">
          <cell r="A3252" t="str">
            <v>BN</v>
          </cell>
          <cell r="B3252">
            <v>202504</v>
          </cell>
          <cell r="D3252" t="str">
            <v>Hogar</v>
          </cell>
          <cell r="G3252" t="str">
            <v>Presupuesto</v>
          </cell>
        </row>
        <row r="3253">
          <cell r="A3253" t="str">
            <v>BN</v>
          </cell>
          <cell r="B3253">
            <v>202504</v>
          </cell>
          <cell r="D3253" t="str">
            <v>Hogar</v>
          </cell>
          <cell r="G3253" t="str">
            <v>Real</v>
          </cell>
        </row>
        <row r="3254">
          <cell r="A3254" t="str">
            <v>BN</v>
          </cell>
          <cell r="B3254">
            <v>202504</v>
          </cell>
          <cell r="D3254" t="str">
            <v>Ingeniería</v>
          </cell>
          <cell r="G3254" t="str">
            <v>Presupuesto</v>
          </cell>
        </row>
        <row r="3255">
          <cell r="A3255" t="str">
            <v>BN</v>
          </cell>
          <cell r="B3255">
            <v>202504</v>
          </cell>
          <cell r="D3255" t="str">
            <v>Ingeniería</v>
          </cell>
          <cell r="G3255" t="str">
            <v>Real</v>
          </cell>
        </row>
        <row r="3256">
          <cell r="A3256" t="str">
            <v>BN</v>
          </cell>
          <cell r="B3256">
            <v>202504</v>
          </cell>
          <cell r="D3256" t="str">
            <v>Inmobiliario</v>
          </cell>
          <cell r="G3256" t="str">
            <v>Presupuesto</v>
          </cell>
        </row>
        <row r="3257">
          <cell r="A3257" t="str">
            <v>BN</v>
          </cell>
          <cell r="B3257">
            <v>202504</v>
          </cell>
          <cell r="D3257" t="str">
            <v>Inmobiliario</v>
          </cell>
          <cell r="G3257" t="str">
            <v>Real</v>
          </cell>
        </row>
        <row r="3258">
          <cell r="A3258" t="str">
            <v>BN</v>
          </cell>
          <cell r="B3258">
            <v>202504</v>
          </cell>
          <cell r="D3258" t="str">
            <v>Líneas Financieras</v>
          </cell>
          <cell r="G3258" t="str">
            <v>Presupuesto</v>
          </cell>
        </row>
        <row r="3259">
          <cell r="A3259" t="str">
            <v>BN</v>
          </cell>
          <cell r="B3259">
            <v>202504</v>
          </cell>
          <cell r="D3259" t="str">
            <v>Líneas Financieras</v>
          </cell>
          <cell r="G3259" t="str">
            <v>Real</v>
          </cell>
        </row>
        <row r="3260">
          <cell r="A3260" t="str">
            <v>BN</v>
          </cell>
          <cell r="B3260">
            <v>202504</v>
          </cell>
          <cell r="D3260" t="str">
            <v>Náutica</v>
          </cell>
          <cell r="G3260" t="str">
            <v>Presupuesto</v>
          </cell>
        </row>
        <row r="3261">
          <cell r="A3261" t="str">
            <v>BN</v>
          </cell>
          <cell r="B3261">
            <v>202504</v>
          </cell>
          <cell r="D3261" t="str">
            <v>Náutica</v>
          </cell>
          <cell r="G3261" t="str">
            <v>Real</v>
          </cell>
        </row>
        <row r="3262">
          <cell r="A3262" t="str">
            <v>BN</v>
          </cell>
          <cell r="B3262">
            <v>202504</v>
          </cell>
          <cell r="D3262" t="str">
            <v>Particulares Resto</v>
          </cell>
          <cell r="G3262" t="str">
            <v>Presupuesto</v>
          </cell>
        </row>
        <row r="3263">
          <cell r="A3263" t="str">
            <v>BN</v>
          </cell>
          <cell r="B3263">
            <v>202504</v>
          </cell>
          <cell r="D3263" t="str">
            <v>Particulares Resto</v>
          </cell>
          <cell r="G3263" t="str">
            <v>Real</v>
          </cell>
        </row>
        <row r="3264">
          <cell r="A3264" t="str">
            <v>BN</v>
          </cell>
          <cell r="B3264">
            <v>202504</v>
          </cell>
          <cell r="D3264" t="str">
            <v>Property</v>
          </cell>
          <cell r="G3264" t="str">
            <v>Presupuesto</v>
          </cell>
        </row>
        <row r="3265">
          <cell r="A3265" t="str">
            <v>BN</v>
          </cell>
          <cell r="B3265">
            <v>202504</v>
          </cell>
          <cell r="D3265" t="str">
            <v>Property</v>
          </cell>
          <cell r="G3265" t="str">
            <v>Real</v>
          </cell>
        </row>
        <row r="3266">
          <cell r="A3266" t="str">
            <v>BN</v>
          </cell>
          <cell r="B3266">
            <v>202504</v>
          </cell>
          <cell r="D3266" t="str">
            <v>RC</v>
          </cell>
          <cell r="G3266" t="str">
            <v>Presupuesto</v>
          </cell>
        </row>
        <row r="3267">
          <cell r="A3267" t="str">
            <v>BN</v>
          </cell>
          <cell r="B3267">
            <v>202504</v>
          </cell>
          <cell r="D3267" t="str">
            <v>RC</v>
          </cell>
          <cell r="G3267" t="str">
            <v>Real</v>
          </cell>
        </row>
        <row r="3268">
          <cell r="A3268" t="str">
            <v>BN</v>
          </cell>
          <cell r="B3268">
            <v>202504</v>
          </cell>
          <cell r="D3268" t="str">
            <v>Resto de lineas</v>
          </cell>
          <cell r="G3268" t="str">
            <v>Presupuesto</v>
          </cell>
        </row>
        <row r="3269">
          <cell r="A3269" t="str">
            <v>BN</v>
          </cell>
          <cell r="B3269">
            <v>202504</v>
          </cell>
          <cell r="D3269" t="str">
            <v>Resto de lineas</v>
          </cell>
          <cell r="G3269" t="str">
            <v>Real</v>
          </cell>
        </row>
        <row r="3270">
          <cell r="A3270" t="str">
            <v>BN</v>
          </cell>
          <cell r="B3270">
            <v>202504</v>
          </cell>
          <cell r="D3270" t="str">
            <v>Resto de lineas</v>
          </cell>
          <cell r="G3270" t="str">
            <v>Real</v>
          </cell>
        </row>
        <row r="3271">
          <cell r="A3271" t="str">
            <v>BN</v>
          </cell>
          <cell r="B3271">
            <v>202504</v>
          </cell>
          <cell r="D3271" t="str">
            <v>Retirada</v>
          </cell>
          <cell r="G3271" t="str">
            <v>Presupuesto</v>
          </cell>
        </row>
        <row r="3272">
          <cell r="A3272" t="str">
            <v>BN</v>
          </cell>
          <cell r="B3272">
            <v>202504</v>
          </cell>
          <cell r="D3272" t="str">
            <v>Retirada</v>
          </cell>
          <cell r="G3272" t="str">
            <v>Real</v>
          </cell>
        </row>
        <row r="3273">
          <cell r="A3273" t="str">
            <v>BN</v>
          </cell>
          <cell r="B3273">
            <v>202504</v>
          </cell>
          <cell r="D3273" t="str">
            <v>Seguros Personales (No Vida) Colectivos</v>
          </cell>
          <cell r="G3273" t="str">
            <v>Presupuesto</v>
          </cell>
        </row>
        <row r="3274">
          <cell r="A3274" t="str">
            <v>BN</v>
          </cell>
          <cell r="B3274">
            <v>202504</v>
          </cell>
          <cell r="D3274" t="str">
            <v>Seguros Personales (No Vida) Colectivos</v>
          </cell>
          <cell r="G3274" t="str">
            <v>Real</v>
          </cell>
        </row>
        <row r="3275">
          <cell r="A3275" t="str">
            <v>BN</v>
          </cell>
          <cell r="B3275">
            <v>202504</v>
          </cell>
          <cell r="D3275" t="str">
            <v>Seguros Personales (No Vida) Particular</v>
          </cell>
          <cell r="G3275" t="str">
            <v>Presupuesto</v>
          </cell>
        </row>
        <row r="3276">
          <cell r="A3276" t="str">
            <v>BN</v>
          </cell>
          <cell r="B3276">
            <v>202504</v>
          </cell>
          <cell r="D3276" t="str">
            <v>Seguros Personales (No Vida) Particular</v>
          </cell>
          <cell r="G3276" t="str">
            <v>Real</v>
          </cell>
        </row>
        <row r="3277">
          <cell r="A3277" t="str">
            <v>BN</v>
          </cell>
          <cell r="B3277">
            <v>202504</v>
          </cell>
          <cell r="D3277" t="str">
            <v>Transporte</v>
          </cell>
          <cell r="G3277" t="str">
            <v>Presupuesto</v>
          </cell>
        </row>
        <row r="3278">
          <cell r="A3278" t="str">
            <v>BN</v>
          </cell>
          <cell r="B3278">
            <v>202504</v>
          </cell>
          <cell r="D3278" t="str">
            <v>Transporte</v>
          </cell>
          <cell r="G3278" t="str">
            <v>Real</v>
          </cell>
        </row>
        <row r="3279">
          <cell r="A3279" t="str">
            <v>BN</v>
          </cell>
          <cell r="B3279">
            <v>202504</v>
          </cell>
          <cell r="D3279" t="str">
            <v>Venta Cruzada</v>
          </cell>
          <cell r="G3279" t="str">
            <v>Presupuesto</v>
          </cell>
        </row>
        <row r="3280">
          <cell r="A3280" t="str">
            <v>BN</v>
          </cell>
          <cell r="B3280">
            <v>202504</v>
          </cell>
          <cell r="D3280" t="str">
            <v>Venta Cruzada</v>
          </cell>
          <cell r="G3280" t="str">
            <v>Real</v>
          </cell>
        </row>
        <row r="3281">
          <cell r="A3281" t="str">
            <v>BN</v>
          </cell>
          <cell r="B3281">
            <v>202504</v>
          </cell>
          <cell r="D3281" t="str">
            <v>Vida Ahorro Colectivo</v>
          </cell>
          <cell r="G3281" t="str">
            <v>Presupuesto</v>
          </cell>
        </row>
        <row r="3282">
          <cell r="A3282" t="str">
            <v>BN</v>
          </cell>
          <cell r="B3282">
            <v>202504</v>
          </cell>
          <cell r="D3282" t="str">
            <v>Vida Ahorro Colectivo</v>
          </cell>
          <cell r="G3282" t="str">
            <v>Real</v>
          </cell>
        </row>
        <row r="3283">
          <cell r="A3283" t="str">
            <v>BN</v>
          </cell>
          <cell r="B3283">
            <v>202504</v>
          </cell>
          <cell r="D3283" t="str">
            <v>Vida Ahorro Particular</v>
          </cell>
          <cell r="G3283" t="str">
            <v>Presupuesto</v>
          </cell>
        </row>
        <row r="3284">
          <cell r="A3284" t="str">
            <v>BN</v>
          </cell>
          <cell r="B3284">
            <v>202504</v>
          </cell>
          <cell r="D3284" t="str">
            <v>Vida Ahorro Particular</v>
          </cell>
          <cell r="G3284" t="str">
            <v>Real</v>
          </cell>
        </row>
        <row r="3285">
          <cell r="A3285" t="str">
            <v>BN</v>
          </cell>
          <cell r="B3285">
            <v>202504</v>
          </cell>
          <cell r="D3285" t="str">
            <v>Vida Ganado</v>
          </cell>
          <cell r="G3285" t="str">
            <v>Presupuesto</v>
          </cell>
        </row>
        <row r="3286">
          <cell r="A3286" t="str">
            <v>BN</v>
          </cell>
          <cell r="B3286">
            <v>202504</v>
          </cell>
          <cell r="D3286" t="str">
            <v>Vida Ganado</v>
          </cell>
          <cell r="G3286" t="str">
            <v>Real</v>
          </cell>
        </row>
        <row r="3287">
          <cell r="A3287" t="str">
            <v>BN</v>
          </cell>
          <cell r="B3287">
            <v>202504</v>
          </cell>
          <cell r="D3287" t="str">
            <v>Vida Riesgo Colectivo</v>
          </cell>
          <cell r="G3287" t="str">
            <v>Presupuesto</v>
          </cell>
        </row>
        <row r="3288">
          <cell r="A3288" t="str">
            <v>BN</v>
          </cell>
          <cell r="B3288">
            <v>202504</v>
          </cell>
          <cell r="D3288" t="str">
            <v>Vida Riesgo Colectivo</v>
          </cell>
          <cell r="G3288" t="str">
            <v>Real</v>
          </cell>
        </row>
        <row r="3289">
          <cell r="A3289" t="str">
            <v>BN</v>
          </cell>
          <cell r="B3289">
            <v>202504</v>
          </cell>
          <cell r="D3289" t="str">
            <v>Vida Riesgo Particular</v>
          </cell>
          <cell r="G3289" t="str">
            <v>Presupuesto</v>
          </cell>
        </row>
        <row r="3290">
          <cell r="A3290" t="str">
            <v>BN</v>
          </cell>
          <cell r="B3290">
            <v>202504</v>
          </cell>
          <cell r="D3290" t="str">
            <v>Vida Riesgo Particular</v>
          </cell>
          <cell r="G3290" t="str">
            <v>Real</v>
          </cell>
        </row>
        <row r="3291">
          <cell r="A3291" t="str">
            <v>BN</v>
          </cell>
          <cell r="B3291">
            <v>202505</v>
          </cell>
          <cell r="D3291" t="str">
            <v>--</v>
          </cell>
          <cell r="G3291" t="str">
            <v>Presupuesto</v>
          </cell>
        </row>
        <row r="3292">
          <cell r="A3292" t="str">
            <v>BN</v>
          </cell>
          <cell r="B3292">
            <v>202505</v>
          </cell>
          <cell r="D3292" t="str">
            <v>--</v>
          </cell>
          <cell r="G3292" t="str">
            <v>Real</v>
          </cell>
        </row>
        <row r="3293">
          <cell r="A3293" t="str">
            <v>BN</v>
          </cell>
          <cell r="B3293">
            <v>202505</v>
          </cell>
          <cell r="D3293" t="str">
            <v>--</v>
          </cell>
          <cell r="G3293" t="str">
            <v>Presupuesto</v>
          </cell>
        </row>
        <row r="3294">
          <cell r="A3294" t="str">
            <v>BN</v>
          </cell>
          <cell r="B3294">
            <v>202505</v>
          </cell>
          <cell r="D3294" t="str">
            <v>--</v>
          </cell>
          <cell r="G3294" t="str">
            <v>Real</v>
          </cell>
        </row>
        <row r="3295">
          <cell r="A3295" t="str">
            <v>BN</v>
          </cell>
          <cell r="B3295">
            <v>202505</v>
          </cell>
          <cell r="D3295" t="str">
            <v>Arte</v>
          </cell>
          <cell r="G3295" t="str">
            <v>Presupuesto</v>
          </cell>
        </row>
        <row r="3296">
          <cell r="A3296" t="str">
            <v>BN</v>
          </cell>
          <cell r="B3296">
            <v>202505</v>
          </cell>
          <cell r="D3296" t="str">
            <v>Arte</v>
          </cell>
          <cell r="G3296" t="str">
            <v>Real</v>
          </cell>
        </row>
        <row r="3297">
          <cell r="A3297" t="str">
            <v>BN</v>
          </cell>
          <cell r="B3297">
            <v>202505</v>
          </cell>
          <cell r="D3297" t="str">
            <v>Autos</v>
          </cell>
          <cell r="G3297" t="str">
            <v>Presupuesto</v>
          </cell>
        </row>
        <row r="3298">
          <cell r="A3298" t="str">
            <v>BN</v>
          </cell>
          <cell r="B3298">
            <v>202505</v>
          </cell>
          <cell r="D3298" t="str">
            <v>Autos</v>
          </cell>
          <cell r="G3298" t="str">
            <v>Real</v>
          </cell>
        </row>
        <row r="3299">
          <cell r="A3299" t="str">
            <v>BN</v>
          </cell>
          <cell r="B3299">
            <v>202505</v>
          </cell>
          <cell r="D3299" t="str">
            <v>B2B2C</v>
          </cell>
          <cell r="G3299" t="str">
            <v>Presupuesto</v>
          </cell>
        </row>
        <row r="3300">
          <cell r="A3300" t="str">
            <v>BN</v>
          </cell>
          <cell r="B3300">
            <v>202505</v>
          </cell>
          <cell r="D3300" t="str">
            <v>Caución</v>
          </cell>
          <cell r="G3300" t="str">
            <v>Presupuesto</v>
          </cell>
        </row>
        <row r="3301">
          <cell r="A3301" t="str">
            <v>BN</v>
          </cell>
          <cell r="B3301">
            <v>202505</v>
          </cell>
          <cell r="D3301" t="str">
            <v>Caución</v>
          </cell>
          <cell r="G3301" t="str">
            <v>Real</v>
          </cell>
        </row>
        <row r="3302">
          <cell r="A3302" t="str">
            <v>BN</v>
          </cell>
          <cell r="B3302">
            <v>202505</v>
          </cell>
          <cell r="D3302" t="str">
            <v>Crédito Nacional</v>
          </cell>
          <cell r="G3302" t="str">
            <v>Real</v>
          </cell>
        </row>
        <row r="3303">
          <cell r="A3303" t="str">
            <v>BN</v>
          </cell>
          <cell r="B3303">
            <v>202505</v>
          </cell>
          <cell r="D3303" t="str">
            <v>Crédito Internacional</v>
          </cell>
          <cell r="G3303" t="str">
            <v>Presupuesto</v>
          </cell>
        </row>
        <row r="3304">
          <cell r="A3304" t="str">
            <v>BN</v>
          </cell>
          <cell r="B3304">
            <v>202505</v>
          </cell>
          <cell r="D3304" t="str">
            <v>Crédito Nacional</v>
          </cell>
          <cell r="G3304" t="str">
            <v>Presupuesto</v>
          </cell>
        </row>
        <row r="3305">
          <cell r="A3305" t="str">
            <v>BN</v>
          </cell>
          <cell r="B3305">
            <v>202505</v>
          </cell>
          <cell r="D3305" t="str">
            <v>Eventos</v>
          </cell>
          <cell r="G3305" t="str">
            <v>Presupuesto</v>
          </cell>
        </row>
        <row r="3306">
          <cell r="A3306" t="str">
            <v>BN</v>
          </cell>
          <cell r="B3306">
            <v>202505</v>
          </cell>
          <cell r="D3306" t="str">
            <v>Flotas</v>
          </cell>
          <cell r="G3306" t="str">
            <v>Presupuesto</v>
          </cell>
        </row>
        <row r="3307">
          <cell r="A3307" t="str">
            <v>BN</v>
          </cell>
          <cell r="B3307">
            <v>202505</v>
          </cell>
          <cell r="D3307" t="str">
            <v>Flotas</v>
          </cell>
          <cell r="G3307" t="str">
            <v>Real</v>
          </cell>
        </row>
        <row r="3308">
          <cell r="A3308" t="str">
            <v>BN</v>
          </cell>
          <cell r="B3308">
            <v>202505</v>
          </cell>
          <cell r="D3308" t="str">
            <v>Hogar</v>
          </cell>
          <cell r="G3308" t="str">
            <v>Presupuesto</v>
          </cell>
        </row>
        <row r="3309">
          <cell r="A3309" t="str">
            <v>BN</v>
          </cell>
          <cell r="B3309">
            <v>202505</v>
          </cell>
          <cell r="D3309" t="str">
            <v>Hogar</v>
          </cell>
          <cell r="G3309" t="str">
            <v>Real</v>
          </cell>
        </row>
        <row r="3310">
          <cell r="A3310" t="str">
            <v>BN</v>
          </cell>
          <cell r="B3310">
            <v>202505</v>
          </cell>
          <cell r="D3310" t="str">
            <v>Ingeniería</v>
          </cell>
          <cell r="G3310" t="str">
            <v>Presupuesto</v>
          </cell>
        </row>
        <row r="3311">
          <cell r="A3311" t="str">
            <v>BN</v>
          </cell>
          <cell r="B3311">
            <v>202505</v>
          </cell>
          <cell r="D3311" t="str">
            <v>Ingeniería</v>
          </cell>
          <cell r="G3311" t="str">
            <v>Real</v>
          </cell>
        </row>
        <row r="3312">
          <cell r="A3312" t="str">
            <v>BN</v>
          </cell>
          <cell r="B3312">
            <v>202505</v>
          </cell>
          <cell r="D3312" t="str">
            <v>Inmobiliario</v>
          </cell>
          <cell r="G3312" t="str">
            <v>Presupuesto</v>
          </cell>
        </row>
        <row r="3313">
          <cell r="A3313" t="str">
            <v>BN</v>
          </cell>
          <cell r="B3313">
            <v>202505</v>
          </cell>
          <cell r="D3313" t="str">
            <v>Inmobiliario</v>
          </cell>
          <cell r="G3313" t="str">
            <v>Real</v>
          </cell>
        </row>
        <row r="3314">
          <cell r="A3314" t="str">
            <v>BN</v>
          </cell>
          <cell r="B3314">
            <v>202505</v>
          </cell>
          <cell r="D3314" t="str">
            <v>Líneas Financieras</v>
          </cell>
          <cell r="G3314" t="str">
            <v>Presupuesto</v>
          </cell>
        </row>
        <row r="3315">
          <cell r="A3315" t="str">
            <v>BN</v>
          </cell>
          <cell r="B3315">
            <v>202505</v>
          </cell>
          <cell r="D3315" t="str">
            <v>Líneas Financieras</v>
          </cell>
          <cell r="G3315" t="str">
            <v>Real</v>
          </cell>
        </row>
        <row r="3316">
          <cell r="A3316" t="str">
            <v>BN</v>
          </cell>
          <cell r="B3316">
            <v>202505</v>
          </cell>
          <cell r="D3316" t="str">
            <v>Náutica</v>
          </cell>
          <cell r="G3316" t="str">
            <v>Presupuesto</v>
          </cell>
        </row>
        <row r="3317">
          <cell r="A3317" t="str">
            <v>BN</v>
          </cell>
          <cell r="B3317">
            <v>202505</v>
          </cell>
          <cell r="D3317" t="str">
            <v>Náutica</v>
          </cell>
          <cell r="G3317" t="str">
            <v>Real</v>
          </cell>
        </row>
        <row r="3318">
          <cell r="A3318" t="str">
            <v>BN</v>
          </cell>
          <cell r="B3318">
            <v>202505</v>
          </cell>
          <cell r="D3318" t="str">
            <v>Particulares Resto</v>
          </cell>
          <cell r="G3318" t="str">
            <v>Presupuesto</v>
          </cell>
        </row>
        <row r="3319">
          <cell r="A3319" t="str">
            <v>BN</v>
          </cell>
          <cell r="B3319">
            <v>202505</v>
          </cell>
          <cell r="D3319" t="str">
            <v>Particulares Resto</v>
          </cell>
          <cell r="G3319" t="str">
            <v>Real</v>
          </cell>
        </row>
        <row r="3320">
          <cell r="A3320" t="str">
            <v>BN</v>
          </cell>
          <cell r="B3320">
            <v>202505</v>
          </cell>
          <cell r="D3320" t="str">
            <v>Property</v>
          </cell>
          <cell r="G3320" t="str">
            <v>Presupuesto</v>
          </cell>
        </row>
        <row r="3321">
          <cell r="A3321" t="str">
            <v>BN</v>
          </cell>
          <cell r="B3321">
            <v>202505</v>
          </cell>
          <cell r="D3321" t="str">
            <v>Property</v>
          </cell>
          <cell r="G3321" t="str">
            <v>Real</v>
          </cell>
        </row>
        <row r="3322">
          <cell r="A3322" t="str">
            <v>BN</v>
          </cell>
          <cell r="B3322">
            <v>202505</v>
          </cell>
          <cell r="D3322" t="str">
            <v>RC</v>
          </cell>
          <cell r="G3322" t="str">
            <v>Presupuesto</v>
          </cell>
        </row>
        <row r="3323">
          <cell r="A3323" t="str">
            <v>BN</v>
          </cell>
          <cell r="B3323">
            <v>202505</v>
          </cell>
          <cell r="D3323" t="str">
            <v>RC</v>
          </cell>
          <cell r="G3323" t="str">
            <v>Real</v>
          </cell>
        </row>
        <row r="3324">
          <cell r="A3324" t="str">
            <v>BN</v>
          </cell>
          <cell r="B3324">
            <v>202505</v>
          </cell>
          <cell r="D3324" t="str">
            <v>Resto de lineas</v>
          </cell>
          <cell r="G3324" t="str">
            <v>Presupuesto</v>
          </cell>
        </row>
        <row r="3325">
          <cell r="A3325" t="str">
            <v>BN</v>
          </cell>
          <cell r="B3325">
            <v>202505</v>
          </cell>
          <cell r="D3325" t="str">
            <v>Resto de lineas</v>
          </cell>
          <cell r="G3325" t="str">
            <v>Real</v>
          </cell>
        </row>
        <row r="3326">
          <cell r="A3326" t="str">
            <v>BN</v>
          </cell>
          <cell r="B3326">
            <v>202505</v>
          </cell>
          <cell r="D3326" t="str">
            <v>Resto de lineas</v>
          </cell>
          <cell r="G3326" t="str">
            <v>Real</v>
          </cell>
        </row>
        <row r="3327">
          <cell r="A3327" t="str">
            <v>BN</v>
          </cell>
          <cell r="B3327">
            <v>202505</v>
          </cell>
          <cell r="D3327" t="str">
            <v>Retirada</v>
          </cell>
          <cell r="G3327" t="str">
            <v>Presupuesto</v>
          </cell>
        </row>
        <row r="3328">
          <cell r="A3328" t="str">
            <v>BN</v>
          </cell>
          <cell r="B3328">
            <v>202505</v>
          </cell>
          <cell r="D3328" t="str">
            <v>Retirada</v>
          </cell>
          <cell r="G3328" t="str">
            <v>Real</v>
          </cell>
        </row>
        <row r="3329">
          <cell r="A3329" t="str">
            <v>BN</v>
          </cell>
          <cell r="B3329">
            <v>202505</v>
          </cell>
          <cell r="D3329" t="str">
            <v>Seguros Personales (No Vida) Colectivos</v>
          </cell>
          <cell r="G3329" t="str">
            <v>Presupuesto</v>
          </cell>
        </row>
        <row r="3330">
          <cell r="A3330" t="str">
            <v>BN</v>
          </cell>
          <cell r="B3330">
            <v>202505</v>
          </cell>
          <cell r="D3330" t="str">
            <v>Seguros Personales (No Vida) Colectivos</v>
          </cell>
          <cell r="G3330" t="str">
            <v>Real</v>
          </cell>
        </row>
        <row r="3331">
          <cell r="A3331" t="str">
            <v>BN</v>
          </cell>
          <cell r="B3331">
            <v>202505</v>
          </cell>
          <cell r="D3331" t="str">
            <v>Seguros Personales (No Vida) Particular</v>
          </cell>
          <cell r="G3331" t="str">
            <v>Presupuesto</v>
          </cell>
        </row>
        <row r="3332">
          <cell r="A3332" t="str">
            <v>BN</v>
          </cell>
          <cell r="B3332">
            <v>202505</v>
          </cell>
          <cell r="D3332" t="str">
            <v>Seguros Personales (No Vida) Particular</v>
          </cell>
          <cell r="G3332" t="str">
            <v>Real</v>
          </cell>
        </row>
        <row r="3333">
          <cell r="A3333" t="str">
            <v>BN</v>
          </cell>
          <cell r="B3333">
            <v>202505</v>
          </cell>
          <cell r="D3333" t="str">
            <v>Transporte</v>
          </cell>
          <cell r="G3333" t="str">
            <v>Presupuesto</v>
          </cell>
        </row>
        <row r="3334">
          <cell r="A3334" t="str">
            <v>BN</v>
          </cell>
          <cell r="B3334">
            <v>202505</v>
          </cell>
          <cell r="D3334" t="str">
            <v>Transporte</v>
          </cell>
          <cell r="G3334" t="str">
            <v>Real</v>
          </cell>
        </row>
        <row r="3335">
          <cell r="A3335" t="str">
            <v>BN</v>
          </cell>
          <cell r="B3335">
            <v>202505</v>
          </cell>
          <cell r="D3335" t="str">
            <v>Venta Cruzada</v>
          </cell>
          <cell r="G3335" t="str">
            <v>Presupuesto</v>
          </cell>
        </row>
        <row r="3336">
          <cell r="A3336" t="str">
            <v>BN</v>
          </cell>
          <cell r="B3336">
            <v>202505</v>
          </cell>
          <cell r="D3336" t="str">
            <v>Venta Cruzada</v>
          </cell>
          <cell r="G3336" t="str">
            <v>Real</v>
          </cell>
        </row>
        <row r="3337">
          <cell r="A3337" t="str">
            <v>BN</v>
          </cell>
          <cell r="B3337">
            <v>202505</v>
          </cell>
          <cell r="D3337" t="str">
            <v>Vida Ahorro Colectivo</v>
          </cell>
          <cell r="G3337" t="str">
            <v>Presupuesto</v>
          </cell>
        </row>
        <row r="3338">
          <cell r="A3338" t="str">
            <v>BN</v>
          </cell>
          <cell r="B3338">
            <v>202505</v>
          </cell>
          <cell r="D3338" t="str">
            <v>Vida Ahorro Colectivo</v>
          </cell>
          <cell r="G3338" t="str">
            <v>Real</v>
          </cell>
        </row>
        <row r="3339">
          <cell r="A3339" t="str">
            <v>BN</v>
          </cell>
          <cell r="B3339">
            <v>202505</v>
          </cell>
          <cell r="D3339" t="str">
            <v>Vida Ahorro Particular</v>
          </cell>
          <cell r="G3339" t="str">
            <v>Presupuesto</v>
          </cell>
        </row>
        <row r="3340">
          <cell r="A3340" t="str">
            <v>BN</v>
          </cell>
          <cell r="B3340">
            <v>202505</v>
          </cell>
          <cell r="D3340" t="str">
            <v>Vida Ahorro Particular</v>
          </cell>
          <cell r="G3340" t="str">
            <v>Real</v>
          </cell>
        </row>
        <row r="3341">
          <cell r="A3341" t="str">
            <v>BN</v>
          </cell>
          <cell r="B3341">
            <v>202505</v>
          </cell>
          <cell r="D3341" t="str">
            <v>Vida Ganado</v>
          </cell>
          <cell r="G3341" t="str">
            <v>Presupuesto</v>
          </cell>
        </row>
        <row r="3342">
          <cell r="A3342" t="str">
            <v>BN</v>
          </cell>
          <cell r="B3342">
            <v>202505</v>
          </cell>
          <cell r="D3342" t="str">
            <v>Vida Ganado</v>
          </cell>
          <cell r="G3342" t="str">
            <v>Real</v>
          </cell>
        </row>
        <row r="3343">
          <cell r="A3343" t="str">
            <v>BN</v>
          </cell>
          <cell r="B3343">
            <v>202505</v>
          </cell>
          <cell r="D3343" t="str">
            <v>Vida Riesgo Colectivo</v>
          </cell>
          <cell r="G3343" t="str">
            <v>Presupuesto</v>
          </cell>
        </row>
        <row r="3344">
          <cell r="A3344" t="str">
            <v>BN</v>
          </cell>
          <cell r="B3344">
            <v>202505</v>
          </cell>
          <cell r="D3344" t="str">
            <v>Vida Riesgo Colectivo</v>
          </cell>
          <cell r="G3344" t="str">
            <v>Real</v>
          </cell>
        </row>
        <row r="3345">
          <cell r="A3345" t="str">
            <v>BN</v>
          </cell>
          <cell r="B3345">
            <v>202505</v>
          </cell>
          <cell r="D3345" t="str">
            <v>Vida Riesgo Particular</v>
          </cell>
          <cell r="G3345" t="str">
            <v>Presupuesto</v>
          </cell>
        </row>
        <row r="3346">
          <cell r="A3346" t="str">
            <v>BN</v>
          </cell>
          <cell r="B3346">
            <v>202505</v>
          </cell>
          <cell r="D3346" t="str">
            <v>Vida Riesgo Particular</v>
          </cell>
          <cell r="G3346" t="str">
            <v>Real</v>
          </cell>
        </row>
        <row r="3347">
          <cell r="A3347" t="str">
            <v>BN</v>
          </cell>
          <cell r="B3347">
            <v>202506</v>
          </cell>
          <cell r="D3347" t="str">
            <v>--</v>
          </cell>
          <cell r="G3347" t="str">
            <v>Presupuesto</v>
          </cell>
        </row>
        <row r="3348">
          <cell r="A3348" t="str">
            <v>BN</v>
          </cell>
          <cell r="B3348">
            <v>202506</v>
          </cell>
          <cell r="D3348" t="str">
            <v>--</v>
          </cell>
          <cell r="G3348" t="str">
            <v>Real</v>
          </cell>
        </row>
        <row r="3349">
          <cell r="A3349" t="str">
            <v>BN</v>
          </cell>
          <cell r="B3349">
            <v>202506</v>
          </cell>
          <cell r="D3349" t="str">
            <v>--</v>
          </cell>
          <cell r="G3349" t="str">
            <v>Presupuesto</v>
          </cell>
        </row>
        <row r="3350">
          <cell r="A3350" t="str">
            <v>BN</v>
          </cell>
          <cell r="B3350">
            <v>202506</v>
          </cell>
          <cell r="D3350" t="str">
            <v>--</v>
          </cell>
          <cell r="G3350" t="str">
            <v>Real</v>
          </cell>
        </row>
        <row r="3351">
          <cell r="A3351" t="str">
            <v>BN</v>
          </cell>
          <cell r="B3351">
            <v>202506</v>
          </cell>
          <cell r="D3351" t="str">
            <v>Resto de Lineas</v>
          </cell>
          <cell r="G3351" t="str">
            <v>Real</v>
          </cell>
        </row>
        <row r="3352">
          <cell r="A3352" t="str">
            <v>BN</v>
          </cell>
          <cell r="B3352">
            <v>202506</v>
          </cell>
          <cell r="D3352" t="str">
            <v>Arte</v>
          </cell>
          <cell r="G3352" t="str">
            <v>Presupuesto</v>
          </cell>
        </row>
        <row r="3353">
          <cell r="A3353" t="str">
            <v>BN</v>
          </cell>
          <cell r="B3353">
            <v>202506</v>
          </cell>
          <cell r="D3353" t="str">
            <v>Arte</v>
          </cell>
          <cell r="G3353" t="str">
            <v>Real</v>
          </cell>
        </row>
        <row r="3354">
          <cell r="A3354" t="str">
            <v>BN</v>
          </cell>
          <cell r="B3354">
            <v>202506</v>
          </cell>
          <cell r="D3354" t="str">
            <v>Autos</v>
          </cell>
          <cell r="G3354" t="str">
            <v>Presupuesto</v>
          </cell>
        </row>
        <row r="3355">
          <cell r="A3355" t="str">
            <v>BN</v>
          </cell>
          <cell r="B3355">
            <v>202506</v>
          </cell>
          <cell r="D3355" t="str">
            <v>Autos</v>
          </cell>
          <cell r="G3355" t="str">
            <v>Real</v>
          </cell>
        </row>
        <row r="3356">
          <cell r="A3356" t="str">
            <v>BN</v>
          </cell>
          <cell r="B3356">
            <v>202506</v>
          </cell>
          <cell r="D3356" t="str">
            <v>B2B2C</v>
          </cell>
          <cell r="G3356" t="str">
            <v>Presupuesto</v>
          </cell>
        </row>
        <row r="3357">
          <cell r="A3357" t="str">
            <v>BN</v>
          </cell>
          <cell r="B3357">
            <v>202506</v>
          </cell>
          <cell r="D3357" t="str">
            <v>Caución</v>
          </cell>
          <cell r="G3357" t="str">
            <v>Presupuesto</v>
          </cell>
        </row>
        <row r="3358">
          <cell r="A3358" t="str">
            <v>BN</v>
          </cell>
          <cell r="B3358">
            <v>202506</v>
          </cell>
          <cell r="D3358" t="str">
            <v>Caución</v>
          </cell>
          <cell r="G3358" t="str">
            <v>Real</v>
          </cell>
        </row>
        <row r="3359">
          <cell r="A3359" t="str">
            <v>BN</v>
          </cell>
          <cell r="B3359">
            <v>202506</v>
          </cell>
          <cell r="D3359" t="str">
            <v>Crédito Nacional</v>
          </cell>
          <cell r="G3359" t="str">
            <v>Real</v>
          </cell>
        </row>
        <row r="3360">
          <cell r="A3360" t="str">
            <v>BN</v>
          </cell>
          <cell r="B3360">
            <v>202506</v>
          </cell>
          <cell r="D3360" t="str">
            <v>Crédito Internacional</v>
          </cell>
          <cell r="G3360" t="str">
            <v>Presupuesto</v>
          </cell>
        </row>
        <row r="3361">
          <cell r="A3361" t="str">
            <v>BN</v>
          </cell>
          <cell r="B3361">
            <v>202506</v>
          </cell>
          <cell r="D3361" t="str">
            <v>Crédito Nacional</v>
          </cell>
          <cell r="G3361" t="str">
            <v>Presupuesto</v>
          </cell>
        </row>
        <row r="3362">
          <cell r="A3362" t="str">
            <v>BN</v>
          </cell>
          <cell r="B3362">
            <v>202506</v>
          </cell>
          <cell r="D3362" t="str">
            <v>Eventos</v>
          </cell>
          <cell r="G3362" t="str">
            <v>Presupuesto</v>
          </cell>
        </row>
        <row r="3363">
          <cell r="A3363" t="str">
            <v>BN</v>
          </cell>
          <cell r="B3363">
            <v>202506</v>
          </cell>
          <cell r="D3363" t="str">
            <v>Flotas</v>
          </cell>
          <cell r="G3363" t="str">
            <v>Presupuesto</v>
          </cell>
        </row>
        <row r="3364">
          <cell r="A3364" t="str">
            <v>BN</v>
          </cell>
          <cell r="B3364">
            <v>202506</v>
          </cell>
          <cell r="D3364" t="str">
            <v>Flotas</v>
          </cell>
          <cell r="G3364" t="str">
            <v>Real</v>
          </cell>
        </row>
        <row r="3365">
          <cell r="A3365" t="str">
            <v>BN</v>
          </cell>
          <cell r="B3365">
            <v>202506</v>
          </cell>
          <cell r="D3365" t="str">
            <v>Hogar</v>
          </cell>
          <cell r="G3365" t="str">
            <v>Presupuesto</v>
          </cell>
        </row>
        <row r="3366">
          <cell r="A3366" t="str">
            <v>BN</v>
          </cell>
          <cell r="B3366">
            <v>202506</v>
          </cell>
          <cell r="D3366" t="str">
            <v>Hogar</v>
          </cell>
          <cell r="G3366" t="str">
            <v>Real</v>
          </cell>
        </row>
        <row r="3367">
          <cell r="A3367" t="str">
            <v>BN</v>
          </cell>
          <cell r="B3367">
            <v>202506</v>
          </cell>
          <cell r="D3367" t="str">
            <v>Ingeniería</v>
          </cell>
          <cell r="G3367" t="str">
            <v>Presupuesto</v>
          </cell>
        </row>
        <row r="3368">
          <cell r="A3368" t="str">
            <v>BN</v>
          </cell>
          <cell r="B3368">
            <v>202506</v>
          </cell>
          <cell r="D3368" t="str">
            <v>Ingeniería</v>
          </cell>
          <cell r="G3368" t="str">
            <v>Real</v>
          </cell>
        </row>
        <row r="3369">
          <cell r="A3369" t="str">
            <v>BN</v>
          </cell>
          <cell r="B3369">
            <v>202506</v>
          </cell>
          <cell r="D3369" t="str">
            <v>Inmobiliario</v>
          </cell>
          <cell r="G3369" t="str">
            <v>Presupuesto</v>
          </cell>
        </row>
        <row r="3370">
          <cell r="A3370" t="str">
            <v>BN</v>
          </cell>
          <cell r="B3370">
            <v>202506</v>
          </cell>
          <cell r="D3370" t="str">
            <v>Inmobiliario</v>
          </cell>
          <cell r="G3370" t="str">
            <v>Real</v>
          </cell>
        </row>
        <row r="3371">
          <cell r="A3371" t="str">
            <v>BN</v>
          </cell>
          <cell r="B3371">
            <v>202506</v>
          </cell>
          <cell r="D3371" t="str">
            <v>Líneas Financieras</v>
          </cell>
          <cell r="G3371" t="str">
            <v>Presupuesto</v>
          </cell>
        </row>
        <row r="3372">
          <cell r="A3372" t="str">
            <v>BN</v>
          </cell>
          <cell r="B3372">
            <v>202506</v>
          </cell>
          <cell r="D3372" t="str">
            <v>Líneas Financieras</v>
          </cell>
          <cell r="G3372" t="str">
            <v>Real</v>
          </cell>
        </row>
        <row r="3373">
          <cell r="A3373" t="str">
            <v>BN</v>
          </cell>
          <cell r="B3373">
            <v>202506</v>
          </cell>
          <cell r="D3373" t="str">
            <v>Náutica</v>
          </cell>
          <cell r="G3373" t="str">
            <v>Presupuesto</v>
          </cell>
        </row>
        <row r="3374">
          <cell r="A3374" t="str">
            <v>BN</v>
          </cell>
          <cell r="B3374">
            <v>202506</v>
          </cell>
          <cell r="D3374" t="str">
            <v>Náutica</v>
          </cell>
          <cell r="G3374" t="str">
            <v>Real</v>
          </cell>
        </row>
        <row r="3375">
          <cell r="A3375" t="str">
            <v>BN</v>
          </cell>
          <cell r="B3375">
            <v>202506</v>
          </cell>
          <cell r="D3375" t="str">
            <v>Particulares Resto</v>
          </cell>
          <cell r="G3375" t="str">
            <v>Presupuesto</v>
          </cell>
        </row>
        <row r="3376">
          <cell r="A3376" t="str">
            <v>BN</v>
          </cell>
          <cell r="B3376">
            <v>202506</v>
          </cell>
          <cell r="D3376" t="str">
            <v>Particulares Resto</v>
          </cell>
          <cell r="G3376" t="str">
            <v>Real</v>
          </cell>
        </row>
        <row r="3377">
          <cell r="A3377" t="str">
            <v>BN</v>
          </cell>
          <cell r="B3377">
            <v>202506</v>
          </cell>
          <cell r="D3377" t="str">
            <v>Property</v>
          </cell>
          <cell r="G3377" t="str">
            <v>Presupuesto</v>
          </cell>
        </row>
        <row r="3378">
          <cell r="A3378" t="str">
            <v>BN</v>
          </cell>
          <cell r="B3378">
            <v>202506</v>
          </cell>
          <cell r="D3378" t="str">
            <v>Property</v>
          </cell>
          <cell r="G3378" t="str">
            <v>Real</v>
          </cell>
        </row>
        <row r="3379">
          <cell r="A3379" t="str">
            <v>BN</v>
          </cell>
          <cell r="B3379">
            <v>202506</v>
          </cell>
          <cell r="D3379" t="str">
            <v>RC</v>
          </cell>
          <cell r="G3379" t="str">
            <v>Presupuesto</v>
          </cell>
        </row>
        <row r="3380">
          <cell r="A3380" t="str">
            <v>BN</v>
          </cell>
          <cell r="B3380">
            <v>202506</v>
          </cell>
          <cell r="D3380" t="str">
            <v>RC</v>
          </cell>
          <cell r="G3380" t="str">
            <v>Real</v>
          </cell>
        </row>
        <row r="3381">
          <cell r="A3381" t="str">
            <v>BN</v>
          </cell>
          <cell r="B3381">
            <v>202506</v>
          </cell>
          <cell r="D3381" t="str">
            <v>Resto de lineas</v>
          </cell>
          <cell r="G3381" t="str">
            <v>Presupuesto</v>
          </cell>
        </row>
        <row r="3382">
          <cell r="A3382" t="str">
            <v>BN</v>
          </cell>
          <cell r="B3382">
            <v>202506</v>
          </cell>
          <cell r="D3382" t="str">
            <v>Resto de lineas</v>
          </cell>
          <cell r="G3382" t="str">
            <v>Real</v>
          </cell>
        </row>
        <row r="3383">
          <cell r="A3383" t="str">
            <v>BN</v>
          </cell>
          <cell r="B3383">
            <v>202506</v>
          </cell>
          <cell r="D3383" t="str">
            <v>Resto de lineas</v>
          </cell>
          <cell r="G3383" t="str">
            <v>Real</v>
          </cell>
        </row>
        <row r="3384">
          <cell r="A3384" t="str">
            <v>BN</v>
          </cell>
          <cell r="B3384">
            <v>202506</v>
          </cell>
          <cell r="D3384" t="str">
            <v>Retirada</v>
          </cell>
          <cell r="G3384" t="str">
            <v>Presupuesto</v>
          </cell>
        </row>
        <row r="3385">
          <cell r="A3385" t="str">
            <v>BN</v>
          </cell>
          <cell r="B3385">
            <v>202506</v>
          </cell>
          <cell r="D3385" t="str">
            <v>Retirada</v>
          </cell>
          <cell r="G3385" t="str">
            <v>Real</v>
          </cell>
        </row>
        <row r="3386">
          <cell r="A3386" t="str">
            <v>BN</v>
          </cell>
          <cell r="B3386">
            <v>202506</v>
          </cell>
          <cell r="D3386" t="str">
            <v>Seguros Personales (No Vida) Colectivos</v>
          </cell>
          <cell r="G3386" t="str">
            <v>Presupuesto</v>
          </cell>
        </row>
        <row r="3387">
          <cell r="A3387" t="str">
            <v>BN</v>
          </cell>
          <cell r="B3387">
            <v>202506</v>
          </cell>
          <cell r="D3387" t="str">
            <v>Seguros Personales (No Vida) Colectivos</v>
          </cell>
          <cell r="G3387" t="str">
            <v>Real</v>
          </cell>
        </row>
        <row r="3388">
          <cell r="A3388" t="str">
            <v>BN</v>
          </cell>
          <cell r="B3388">
            <v>202506</v>
          </cell>
          <cell r="D3388" t="str">
            <v>Seguros Personales (No Vida) Particular</v>
          </cell>
          <cell r="G3388" t="str">
            <v>Presupuesto</v>
          </cell>
        </row>
        <row r="3389">
          <cell r="A3389" t="str">
            <v>BN</v>
          </cell>
          <cell r="B3389">
            <v>202506</v>
          </cell>
          <cell r="D3389" t="str">
            <v>Seguros Personales (No Vida) Particular</v>
          </cell>
          <cell r="G3389" t="str">
            <v>Real</v>
          </cell>
        </row>
        <row r="3390">
          <cell r="A3390" t="str">
            <v>BN</v>
          </cell>
          <cell r="B3390">
            <v>202506</v>
          </cell>
          <cell r="D3390" t="str">
            <v>Transporte</v>
          </cell>
          <cell r="G3390" t="str">
            <v>Presupuesto</v>
          </cell>
        </row>
        <row r="3391">
          <cell r="A3391" t="str">
            <v>BN</v>
          </cell>
          <cell r="B3391">
            <v>202506</v>
          </cell>
          <cell r="D3391" t="str">
            <v>Transporte</v>
          </cell>
          <cell r="G3391" t="str">
            <v>Real</v>
          </cell>
        </row>
        <row r="3392">
          <cell r="A3392" t="str">
            <v>BN</v>
          </cell>
          <cell r="B3392">
            <v>202506</v>
          </cell>
          <cell r="D3392" t="str">
            <v>Venta Cruzada</v>
          </cell>
          <cell r="G3392" t="str">
            <v>Presupuesto</v>
          </cell>
        </row>
        <row r="3393">
          <cell r="A3393" t="str">
            <v>BN</v>
          </cell>
          <cell r="B3393">
            <v>202506</v>
          </cell>
          <cell r="D3393" t="str">
            <v>Venta Cruzada</v>
          </cell>
          <cell r="G3393" t="str">
            <v>Real</v>
          </cell>
        </row>
        <row r="3394">
          <cell r="A3394" t="str">
            <v>BN</v>
          </cell>
          <cell r="B3394">
            <v>202506</v>
          </cell>
          <cell r="D3394" t="str">
            <v>Vida Ahorro Colectivo</v>
          </cell>
          <cell r="G3394" t="str">
            <v>Presupuesto</v>
          </cell>
        </row>
        <row r="3395">
          <cell r="A3395" t="str">
            <v>BN</v>
          </cell>
          <cell r="B3395">
            <v>202506</v>
          </cell>
          <cell r="D3395" t="str">
            <v>Vida Ahorro Colectivo</v>
          </cell>
          <cell r="G3395" t="str">
            <v>Real</v>
          </cell>
        </row>
        <row r="3396">
          <cell r="A3396" t="str">
            <v>BN</v>
          </cell>
          <cell r="B3396">
            <v>202506</v>
          </cell>
          <cell r="D3396" t="str">
            <v>Vida Ahorro Particular</v>
          </cell>
          <cell r="G3396" t="str">
            <v>Presupuesto</v>
          </cell>
        </row>
        <row r="3397">
          <cell r="A3397" t="str">
            <v>BN</v>
          </cell>
          <cell r="B3397">
            <v>202506</v>
          </cell>
          <cell r="D3397" t="str">
            <v>Vida Ahorro Particular</v>
          </cell>
          <cell r="G3397" t="str">
            <v>Real</v>
          </cell>
        </row>
        <row r="3398">
          <cell r="A3398" t="str">
            <v>BN</v>
          </cell>
          <cell r="B3398">
            <v>202506</v>
          </cell>
          <cell r="D3398" t="str">
            <v>Vida Ganado</v>
          </cell>
          <cell r="G3398" t="str">
            <v>Presupuesto</v>
          </cell>
        </row>
        <row r="3399">
          <cell r="A3399" t="str">
            <v>BN</v>
          </cell>
          <cell r="B3399">
            <v>202506</v>
          </cell>
          <cell r="D3399" t="str">
            <v>Vida Ganado</v>
          </cell>
          <cell r="G3399" t="str">
            <v>Real</v>
          </cell>
        </row>
        <row r="3400">
          <cell r="A3400" t="str">
            <v>BN</v>
          </cell>
          <cell r="B3400">
            <v>202506</v>
          </cell>
          <cell r="D3400" t="str">
            <v>Vida Riesgo Colectivo</v>
          </cell>
          <cell r="G3400" t="str">
            <v>Presupuesto</v>
          </cell>
        </row>
        <row r="3401">
          <cell r="A3401" t="str">
            <v>BN</v>
          </cell>
          <cell r="B3401">
            <v>202506</v>
          </cell>
          <cell r="D3401" t="str">
            <v>Vida Riesgo Colectivo</v>
          </cell>
          <cell r="G3401" t="str">
            <v>Real</v>
          </cell>
        </row>
        <row r="3402">
          <cell r="A3402" t="str">
            <v>BN</v>
          </cell>
          <cell r="B3402">
            <v>202506</v>
          </cell>
          <cell r="D3402" t="str">
            <v>Vida Riesgo Particular</v>
          </cell>
          <cell r="G3402" t="str">
            <v>Presupuesto</v>
          </cell>
        </row>
        <row r="3403">
          <cell r="A3403" t="str">
            <v>BN</v>
          </cell>
          <cell r="B3403">
            <v>202506</v>
          </cell>
          <cell r="D3403" t="str">
            <v>Vida Riesgo Particular</v>
          </cell>
          <cell r="G3403" t="str">
            <v>Real</v>
          </cell>
        </row>
        <row r="3404">
          <cell r="A3404" t="str">
            <v>BN</v>
          </cell>
          <cell r="B3404">
            <v>202507</v>
          </cell>
          <cell r="D3404" t="str">
            <v>--</v>
          </cell>
          <cell r="G3404" t="str">
            <v>Presupuesto</v>
          </cell>
        </row>
        <row r="3405">
          <cell r="A3405" t="str">
            <v>BN</v>
          </cell>
          <cell r="B3405">
            <v>202507</v>
          </cell>
          <cell r="D3405" t="str">
            <v>--</v>
          </cell>
          <cell r="G3405" t="str">
            <v>Real</v>
          </cell>
        </row>
        <row r="3406">
          <cell r="A3406" t="str">
            <v>BN</v>
          </cell>
          <cell r="B3406">
            <v>202507</v>
          </cell>
          <cell r="D3406" t="str">
            <v>--</v>
          </cell>
          <cell r="G3406" t="str">
            <v>Presupuesto</v>
          </cell>
        </row>
        <row r="3407">
          <cell r="A3407" t="str">
            <v>BN</v>
          </cell>
          <cell r="B3407">
            <v>202507</v>
          </cell>
          <cell r="D3407" t="str">
            <v>--</v>
          </cell>
          <cell r="G3407" t="str">
            <v>Real</v>
          </cell>
        </row>
        <row r="3408">
          <cell r="A3408" t="str">
            <v>BN</v>
          </cell>
          <cell r="B3408">
            <v>202507</v>
          </cell>
          <cell r="D3408" t="str">
            <v>Resto de Lineas</v>
          </cell>
          <cell r="G3408" t="str">
            <v>Real</v>
          </cell>
        </row>
        <row r="3409">
          <cell r="A3409" t="str">
            <v>BN</v>
          </cell>
          <cell r="B3409">
            <v>202507</v>
          </cell>
          <cell r="D3409" t="str">
            <v>Arte</v>
          </cell>
          <cell r="G3409" t="str">
            <v>Presupuesto</v>
          </cell>
        </row>
        <row r="3410">
          <cell r="A3410" t="str">
            <v>BN</v>
          </cell>
          <cell r="B3410">
            <v>202507</v>
          </cell>
          <cell r="D3410" t="str">
            <v>Arte</v>
          </cell>
          <cell r="G3410" t="str">
            <v>Real</v>
          </cell>
        </row>
        <row r="3411">
          <cell r="A3411" t="str">
            <v>BN</v>
          </cell>
          <cell r="B3411">
            <v>202507</v>
          </cell>
          <cell r="D3411" t="str">
            <v>Autos</v>
          </cell>
          <cell r="G3411" t="str">
            <v>Presupuesto</v>
          </cell>
        </row>
        <row r="3412">
          <cell r="A3412" t="str">
            <v>BN</v>
          </cell>
          <cell r="B3412">
            <v>202507</v>
          </cell>
          <cell r="D3412" t="str">
            <v>Autos</v>
          </cell>
          <cell r="G3412" t="str">
            <v>Real</v>
          </cell>
        </row>
        <row r="3413">
          <cell r="A3413" t="str">
            <v>BN</v>
          </cell>
          <cell r="B3413">
            <v>202507</v>
          </cell>
          <cell r="D3413" t="str">
            <v>B2B2C</v>
          </cell>
          <cell r="G3413" t="str">
            <v>Presupuesto</v>
          </cell>
        </row>
        <row r="3414">
          <cell r="A3414" t="str">
            <v>BN</v>
          </cell>
          <cell r="B3414">
            <v>202507</v>
          </cell>
          <cell r="D3414" t="str">
            <v>Caución</v>
          </cell>
          <cell r="G3414" t="str">
            <v>Presupuesto</v>
          </cell>
        </row>
        <row r="3415">
          <cell r="A3415" t="str">
            <v>BN</v>
          </cell>
          <cell r="B3415">
            <v>202507</v>
          </cell>
          <cell r="D3415" t="str">
            <v>Caución</v>
          </cell>
          <cell r="G3415" t="str">
            <v>Real</v>
          </cell>
        </row>
        <row r="3416">
          <cell r="A3416" t="str">
            <v>BN</v>
          </cell>
          <cell r="B3416">
            <v>202507</v>
          </cell>
          <cell r="D3416" t="str">
            <v>Crédito Nacional</v>
          </cell>
          <cell r="G3416" t="str">
            <v>Real</v>
          </cell>
        </row>
        <row r="3417">
          <cell r="A3417" t="str">
            <v>BN</v>
          </cell>
          <cell r="B3417">
            <v>202507</v>
          </cell>
          <cell r="D3417" t="str">
            <v>Crédito Internacional</v>
          </cell>
          <cell r="G3417" t="str">
            <v>Presupuesto</v>
          </cell>
        </row>
        <row r="3418">
          <cell r="A3418" t="str">
            <v>BN</v>
          </cell>
          <cell r="B3418">
            <v>202507</v>
          </cell>
          <cell r="D3418" t="str">
            <v>Crédito Nacional</v>
          </cell>
          <cell r="G3418" t="str">
            <v>Presupuesto</v>
          </cell>
        </row>
        <row r="3419">
          <cell r="A3419" t="str">
            <v>BN</v>
          </cell>
          <cell r="B3419">
            <v>202507</v>
          </cell>
          <cell r="D3419" t="str">
            <v>Eventos</v>
          </cell>
          <cell r="G3419" t="str">
            <v>Presupuesto</v>
          </cell>
        </row>
        <row r="3420">
          <cell r="A3420" t="str">
            <v>BN</v>
          </cell>
          <cell r="B3420">
            <v>202507</v>
          </cell>
          <cell r="D3420" t="str">
            <v>Eventos</v>
          </cell>
          <cell r="G3420" t="str">
            <v>Real</v>
          </cell>
        </row>
        <row r="3421">
          <cell r="A3421" t="str">
            <v>BN</v>
          </cell>
          <cell r="B3421">
            <v>202507</v>
          </cell>
          <cell r="D3421" t="str">
            <v>Flotas</v>
          </cell>
          <cell r="G3421" t="str">
            <v>Presupuesto</v>
          </cell>
        </row>
        <row r="3422">
          <cell r="A3422" t="str">
            <v>BN</v>
          </cell>
          <cell r="B3422">
            <v>202507</v>
          </cell>
          <cell r="D3422" t="str">
            <v>Flotas</v>
          </cell>
          <cell r="G3422" t="str">
            <v>Real</v>
          </cell>
        </row>
        <row r="3423">
          <cell r="A3423" t="str">
            <v>BN</v>
          </cell>
          <cell r="B3423">
            <v>202507</v>
          </cell>
          <cell r="D3423" t="str">
            <v>Hogar</v>
          </cell>
          <cell r="G3423" t="str">
            <v>Presupuesto</v>
          </cell>
        </row>
        <row r="3424">
          <cell r="A3424" t="str">
            <v>BN</v>
          </cell>
          <cell r="B3424">
            <v>202507</v>
          </cell>
          <cell r="D3424" t="str">
            <v>Hogar</v>
          </cell>
          <cell r="G3424" t="str">
            <v>Real</v>
          </cell>
        </row>
        <row r="3425">
          <cell r="A3425" t="str">
            <v>BN</v>
          </cell>
          <cell r="B3425">
            <v>202507</v>
          </cell>
          <cell r="D3425" t="str">
            <v>Ingeniería</v>
          </cell>
          <cell r="G3425" t="str">
            <v>Presupuesto</v>
          </cell>
        </row>
        <row r="3426">
          <cell r="A3426" t="str">
            <v>BN</v>
          </cell>
          <cell r="B3426">
            <v>202507</v>
          </cell>
          <cell r="D3426" t="str">
            <v>Ingeniería</v>
          </cell>
          <cell r="G3426" t="str">
            <v>Real</v>
          </cell>
        </row>
        <row r="3427">
          <cell r="A3427" t="str">
            <v>BN</v>
          </cell>
          <cell r="B3427">
            <v>202507</v>
          </cell>
          <cell r="D3427" t="str">
            <v>Inmobiliario</v>
          </cell>
          <cell r="G3427" t="str">
            <v>Presupuesto</v>
          </cell>
        </row>
        <row r="3428">
          <cell r="A3428" t="str">
            <v>BN</v>
          </cell>
          <cell r="B3428">
            <v>202507</v>
          </cell>
          <cell r="D3428" t="str">
            <v>Inmobiliario</v>
          </cell>
          <cell r="G3428" t="str">
            <v>Real</v>
          </cell>
        </row>
        <row r="3429">
          <cell r="A3429" t="str">
            <v>BN</v>
          </cell>
          <cell r="B3429">
            <v>202507</v>
          </cell>
          <cell r="D3429" t="str">
            <v>Líneas Financieras</v>
          </cell>
          <cell r="G3429" t="str">
            <v>Presupuesto</v>
          </cell>
        </row>
        <row r="3430">
          <cell r="A3430" t="str">
            <v>BN</v>
          </cell>
          <cell r="B3430">
            <v>202507</v>
          </cell>
          <cell r="D3430" t="str">
            <v>Líneas Financieras</v>
          </cell>
          <cell r="G3430" t="str">
            <v>Real</v>
          </cell>
        </row>
        <row r="3431">
          <cell r="A3431" t="str">
            <v>BN</v>
          </cell>
          <cell r="B3431">
            <v>202507</v>
          </cell>
          <cell r="D3431" t="str">
            <v>Náutica</v>
          </cell>
          <cell r="G3431" t="str">
            <v>Presupuesto</v>
          </cell>
        </row>
        <row r="3432">
          <cell r="A3432" t="str">
            <v>BN</v>
          </cell>
          <cell r="B3432">
            <v>202507</v>
          </cell>
          <cell r="D3432" t="str">
            <v>Náutica</v>
          </cell>
          <cell r="G3432" t="str">
            <v>Real</v>
          </cell>
        </row>
        <row r="3433">
          <cell r="A3433" t="str">
            <v>BN</v>
          </cell>
          <cell r="B3433">
            <v>202507</v>
          </cell>
          <cell r="D3433" t="str">
            <v>Particulares Resto</v>
          </cell>
          <cell r="G3433" t="str">
            <v>Presupuesto</v>
          </cell>
        </row>
        <row r="3434">
          <cell r="A3434" t="str">
            <v>BN</v>
          </cell>
          <cell r="B3434">
            <v>202507</v>
          </cell>
          <cell r="D3434" t="str">
            <v>Particulares Resto</v>
          </cell>
          <cell r="G3434" t="str">
            <v>Real</v>
          </cell>
        </row>
        <row r="3435">
          <cell r="A3435" t="str">
            <v>BN</v>
          </cell>
          <cell r="B3435">
            <v>202507</v>
          </cell>
          <cell r="D3435" t="str">
            <v>Property</v>
          </cell>
          <cell r="G3435" t="str">
            <v>Presupuesto</v>
          </cell>
        </row>
        <row r="3436">
          <cell r="A3436" t="str">
            <v>BN</v>
          </cell>
          <cell r="B3436">
            <v>202507</v>
          </cell>
          <cell r="D3436" t="str">
            <v>Property</v>
          </cell>
          <cell r="G3436" t="str">
            <v>Real</v>
          </cell>
        </row>
        <row r="3437">
          <cell r="A3437" t="str">
            <v>BN</v>
          </cell>
          <cell r="B3437">
            <v>202507</v>
          </cell>
          <cell r="D3437" t="str">
            <v>RC</v>
          </cell>
          <cell r="G3437" t="str">
            <v>Presupuesto</v>
          </cell>
        </row>
        <row r="3438">
          <cell r="A3438" t="str">
            <v>BN</v>
          </cell>
          <cell r="B3438">
            <v>202507</v>
          </cell>
          <cell r="D3438" t="str">
            <v>RC</v>
          </cell>
          <cell r="G3438" t="str">
            <v>Real</v>
          </cell>
        </row>
        <row r="3439">
          <cell r="A3439" t="str">
            <v>BN</v>
          </cell>
          <cell r="B3439">
            <v>202507</v>
          </cell>
          <cell r="D3439" t="str">
            <v>Resto de lineas</v>
          </cell>
          <cell r="G3439" t="str">
            <v>Presupuesto</v>
          </cell>
        </row>
        <row r="3440">
          <cell r="A3440" t="str">
            <v>BN</v>
          </cell>
          <cell r="B3440">
            <v>202507</v>
          </cell>
          <cell r="D3440" t="str">
            <v>Resto de lineas</v>
          </cell>
          <cell r="G3440" t="str">
            <v>Real</v>
          </cell>
        </row>
        <row r="3441">
          <cell r="A3441" t="str">
            <v>BN</v>
          </cell>
          <cell r="B3441">
            <v>202507</v>
          </cell>
          <cell r="D3441" t="str">
            <v>Retirada</v>
          </cell>
          <cell r="G3441" t="str">
            <v>Presupuesto</v>
          </cell>
        </row>
        <row r="3442">
          <cell r="A3442" t="str">
            <v>BN</v>
          </cell>
          <cell r="B3442">
            <v>202507</v>
          </cell>
          <cell r="D3442" t="str">
            <v>Retirada</v>
          </cell>
          <cell r="G3442" t="str">
            <v>Real</v>
          </cell>
        </row>
        <row r="3443">
          <cell r="A3443" t="str">
            <v>BN</v>
          </cell>
          <cell r="B3443">
            <v>202507</v>
          </cell>
          <cell r="D3443" t="str">
            <v>Seguros Personales (No Vida) Colectivos</v>
          </cell>
          <cell r="G3443" t="str">
            <v>Presupuesto</v>
          </cell>
        </row>
        <row r="3444">
          <cell r="A3444" t="str">
            <v>BN</v>
          </cell>
          <cell r="B3444">
            <v>202507</v>
          </cell>
          <cell r="D3444" t="str">
            <v>Seguros Personales (No Vida) Colectivos</v>
          </cell>
          <cell r="G3444" t="str">
            <v>Real</v>
          </cell>
        </row>
        <row r="3445">
          <cell r="A3445" t="str">
            <v>BN</v>
          </cell>
          <cell r="B3445">
            <v>202507</v>
          </cell>
          <cell r="D3445" t="str">
            <v>Seguros Personales (No Vida) Particular</v>
          </cell>
          <cell r="G3445" t="str">
            <v>Presupuesto</v>
          </cell>
        </row>
        <row r="3446">
          <cell r="A3446" t="str">
            <v>BN</v>
          </cell>
          <cell r="B3446">
            <v>202507</v>
          </cell>
          <cell r="D3446" t="str">
            <v>Seguros Personales (No Vida) Particular</v>
          </cell>
          <cell r="G3446" t="str">
            <v>Real</v>
          </cell>
        </row>
        <row r="3447">
          <cell r="A3447" t="str">
            <v>BN</v>
          </cell>
          <cell r="B3447">
            <v>202507</v>
          </cell>
          <cell r="D3447" t="str">
            <v>Transporte</v>
          </cell>
          <cell r="G3447" t="str">
            <v>Presupuesto</v>
          </cell>
        </row>
        <row r="3448">
          <cell r="A3448" t="str">
            <v>BN</v>
          </cell>
          <cell r="B3448">
            <v>202507</v>
          </cell>
          <cell r="D3448" t="str">
            <v>Transporte</v>
          </cell>
          <cell r="G3448" t="str">
            <v>Real</v>
          </cell>
        </row>
        <row r="3449">
          <cell r="A3449" t="str">
            <v>BN</v>
          </cell>
          <cell r="B3449">
            <v>202507</v>
          </cell>
          <cell r="D3449" t="str">
            <v>Venta Cruzada</v>
          </cell>
          <cell r="G3449" t="str">
            <v>Presupuesto</v>
          </cell>
        </row>
        <row r="3450">
          <cell r="A3450" t="str">
            <v>BN</v>
          </cell>
          <cell r="B3450">
            <v>202507</v>
          </cell>
          <cell r="D3450" t="str">
            <v>Venta Cruzada</v>
          </cell>
          <cell r="G3450" t="str">
            <v>Real</v>
          </cell>
        </row>
        <row r="3451">
          <cell r="A3451" t="str">
            <v>BN</v>
          </cell>
          <cell r="B3451">
            <v>202507</v>
          </cell>
          <cell r="D3451" t="str">
            <v>Vida Ahorro Colectivo</v>
          </cell>
          <cell r="G3451" t="str">
            <v>Presupuesto</v>
          </cell>
        </row>
        <row r="3452">
          <cell r="A3452" t="str">
            <v>BN</v>
          </cell>
          <cell r="B3452">
            <v>202507</v>
          </cell>
          <cell r="D3452" t="str">
            <v>Vida Ahorro Colectivo</v>
          </cell>
          <cell r="G3452" t="str">
            <v>Real</v>
          </cell>
        </row>
        <row r="3453">
          <cell r="A3453" t="str">
            <v>BN</v>
          </cell>
          <cell r="B3453">
            <v>202507</v>
          </cell>
          <cell r="D3453" t="str">
            <v>Vida Ahorro Particular</v>
          </cell>
          <cell r="G3453" t="str">
            <v>Presupuesto</v>
          </cell>
        </row>
        <row r="3454">
          <cell r="A3454" t="str">
            <v>BN</v>
          </cell>
          <cell r="B3454">
            <v>202507</v>
          </cell>
          <cell r="D3454" t="str">
            <v>Vida Ahorro Particular</v>
          </cell>
          <cell r="G3454" t="str">
            <v>Real</v>
          </cell>
        </row>
        <row r="3455">
          <cell r="A3455" t="str">
            <v>BN</v>
          </cell>
          <cell r="B3455">
            <v>202507</v>
          </cell>
          <cell r="D3455" t="str">
            <v>Vida Ganado</v>
          </cell>
          <cell r="G3455" t="str">
            <v>Presupuesto</v>
          </cell>
        </row>
        <row r="3456">
          <cell r="A3456" t="str">
            <v>BN</v>
          </cell>
          <cell r="B3456">
            <v>202507</v>
          </cell>
          <cell r="D3456" t="str">
            <v>Vida Ganado</v>
          </cell>
          <cell r="G3456" t="str">
            <v>Real</v>
          </cell>
        </row>
        <row r="3457">
          <cell r="A3457" t="str">
            <v>BN</v>
          </cell>
          <cell r="B3457">
            <v>202507</v>
          </cell>
          <cell r="D3457" t="str">
            <v>Vida Riesgo Colectivo</v>
          </cell>
          <cell r="G3457" t="str">
            <v>Presupuesto</v>
          </cell>
        </row>
        <row r="3458">
          <cell r="A3458" t="str">
            <v>BN</v>
          </cell>
          <cell r="B3458">
            <v>202507</v>
          </cell>
          <cell r="D3458" t="str">
            <v>Vida Riesgo Colectivo</v>
          </cell>
          <cell r="G3458" t="str">
            <v>Real</v>
          </cell>
        </row>
        <row r="3459">
          <cell r="A3459" t="str">
            <v>BN</v>
          </cell>
          <cell r="B3459">
            <v>202507</v>
          </cell>
          <cell r="D3459" t="str">
            <v>Vida Riesgo Particular</v>
          </cell>
          <cell r="G3459" t="str">
            <v>Presupuesto</v>
          </cell>
        </row>
        <row r="3460">
          <cell r="A3460" t="str">
            <v>BN</v>
          </cell>
          <cell r="B3460">
            <v>202507</v>
          </cell>
          <cell r="D3460" t="str">
            <v>Vida Riesgo Particular</v>
          </cell>
          <cell r="G3460" t="str">
            <v>Real</v>
          </cell>
        </row>
        <row r="3461">
          <cell r="A3461" t="str">
            <v>BN</v>
          </cell>
          <cell r="B3461">
            <v>202508</v>
          </cell>
          <cell r="D3461" t="str">
            <v>--</v>
          </cell>
          <cell r="G3461" t="str">
            <v>Presupuesto</v>
          </cell>
        </row>
        <row r="3462">
          <cell r="A3462" t="str">
            <v>BN</v>
          </cell>
          <cell r="B3462">
            <v>202508</v>
          </cell>
          <cell r="D3462" t="str">
            <v>--</v>
          </cell>
          <cell r="G3462" t="str">
            <v>Real</v>
          </cell>
        </row>
        <row r="3463">
          <cell r="A3463" t="str">
            <v>BN</v>
          </cell>
          <cell r="B3463">
            <v>202508</v>
          </cell>
          <cell r="D3463" t="str">
            <v>--</v>
          </cell>
          <cell r="G3463" t="str">
            <v>Presupuesto</v>
          </cell>
        </row>
        <row r="3464">
          <cell r="A3464" t="str">
            <v>BN</v>
          </cell>
          <cell r="B3464">
            <v>202508</v>
          </cell>
          <cell r="D3464" t="str">
            <v>--</v>
          </cell>
          <cell r="G3464" t="str">
            <v>Real</v>
          </cell>
        </row>
        <row r="3465">
          <cell r="A3465" t="str">
            <v>BN</v>
          </cell>
          <cell r="B3465">
            <v>202508</v>
          </cell>
          <cell r="D3465" t="str">
            <v>Resto de Lineas</v>
          </cell>
          <cell r="G3465" t="str">
            <v>Real</v>
          </cell>
        </row>
        <row r="3466">
          <cell r="A3466" t="str">
            <v>BN</v>
          </cell>
          <cell r="B3466">
            <v>202508</v>
          </cell>
          <cell r="D3466" t="str">
            <v>Resto de Lineas</v>
          </cell>
          <cell r="G3466" t="str">
            <v>Real</v>
          </cell>
        </row>
        <row r="3467">
          <cell r="A3467" t="str">
            <v>BN</v>
          </cell>
          <cell r="B3467">
            <v>202508</v>
          </cell>
          <cell r="D3467" t="str">
            <v>Arte</v>
          </cell>
          <cell r="G3467" t="str">
            <v>Presupuesto</v>
          </cell>
        </row>
        <row r="3468">
          <cell r="A3468" t="str">
            <v>BN</v>
          </cell>
          <cell r="B3468">
            <v>202508</v>
          </cell>
          <cell r="D3468" t="str">
            <v>Arte</v>
          </cell>
          <cell r="G3468" t="str">
            <v>Real</v>
          </cell>
        </row>
        <row r="3469">
          <cell r="A3469" t="str">
            <v>BN</v>
          </cell>
          <cell r="B3469">
            <v>202508</v>
          </cell>
          <cell r="D3469" t="str">
            <v>Autos</v>
          </cell>
          <cell r="G3469" t="str">
            <v>Presupuesto</v>
          </cell>
        </row>
        <row r="3470">
          <cell r="A3470" t="str">
            <v>BN</v>
          </cell>
          <cell r="B3470">
            <v>202508</v>
          </cell>
          <cell r="D3470" t="str">
            <v>Autos</v>
          </cell>
          <cell r="G3470" t="str">
            <v>Real</v>
          </cell>
        </row>
        <row r="3471">
          <cell r="A3471" t="str">
            <v>BN</v>
          </cell>
          <cell r="B3471">
            <v>202508</v>
          </cell>
          <cell r="D3471" t="str">
            <v>B2B2C</v>
          </cell>
          <cell r="G3471" t="str">
            <v>Presupuesto</v>
          </cell>
        </row>
        <row r="3472">
          <cell r="A3472" t="str">
            <v>BN</v>
          </cell>
          <cell r="B3472">
            <v>202508</v>
          </cell>
          <cell r="D3472" t="str">
            <v>Caución</v>
          </cell>
          <cell r="G3472" t="str">
            <v>Presupuesto</v>
          </cell>
        </row>
        <row r="3473">
          <cell r="A3473" t="str">
            <v>BN</v>
          </cell>
          <cell r="B3473">
            <v>202508</v>
          </cell>
          <cell r="D3473" t="str">
            <v>Caución</v>
          </cell>
          <cell r="G3473" t="str">
            <v>Real</v>
          </cell>
        </row>
        <row r="3474">
          <cell r="A3474" t="str">
            <v>BN</v>
          </cell>
          <cell r="B3474">
            <v>202508</v>
          </cell>
          <cell r="D3474" t="str">
            <v>Crédito Nacional</v>
          </cell>
          <cell r="G3474" t="str">
            <v>Real</v>
          </cell>
        </row>
        <row r="3475">
          <cell r="A3475" t="str">
            <v>BN</v>
          </cell>
          <cell r="B3475">
            <v>202508</v>
          </cell>
          <cell r="D3475" t="str">
            <v>Crédito Internacional</v>
          </cell>
          <cell r="G3475" t="str">
            <v>Presupuesto</v>
          </cell>
        </row>
        <row r="3476">
          <cell r="A3476" t="str">
            <v>BN</v>
          </cell>
          <cell r="B3476">
            <v>202508</v>
          </cell>
          <cell r="D3476" t="str">
            <v>Crédito Nacional</v>
          </cell>
          <cell r="G3476" t="str">
            <v>Presupuesto</v>
          </cell>
        </row>
        <row r="3477">
          <cell r="A3477" t="str">
            <v>BN</v>
          </cell>
          <cell r="B3477">
            <v>202508</v>
          </cell>
          <cell r="D3477" t="str">
            <v>Eventos</v>
          </cell>
          <cell r="G3477" t="str">
            <v>Presupuesto</v>
          </cell>
        </row>
        <row r="3478">
          <cell r="A3478" t="str">
            <v>BN</v>
          </cell>
          <cell r="B3478">
            <v>202508</v>
          </cell>
          <cell r="D3478" t="str">
            <v>Eventos</v>
          </cell>
          <cell r="G3478" t="str">
            <v>Real</v>
          </cell>
        </row>
        <row r="3479">
          <cell r="A3479" t="str">
            <v>BN</v>
          </cell>
          <cell r="B3479">
            <v>202508</v>
          </cell>
          <cell r="D3479" t="str">
            <v>Flotas</v>
          </cell>
          <cell r="G3479" t="str">
            <v>Presupuesto</v>
          </cell>
        </row>
        <row r="3480">
          <cell r="A3480" t="str">
            <v>BN</v>
          </cell>
          <cell r="B3480">
            <v>202508</v>
          </cell>
          <cell r="D3480" t="str">
            <v>Flotas</v>
          </cell>
          <cell r="G3480" t="str">
            <v>Real</v>
          </cell>
        </row>
        <row r="3481">
          <cell r="A3481" t="str">
            <v>BN</v>
          </cell>
          <cell r="B3481">
            <v>202508</v>
          </cell>
          <cell r="D3481" t="str">
            <v>Hogar</v>
          </cell>
          <cell r="G3481" t="str">
            <v>Presupuesto</v>
          </cell>
        </row>
        <row r="3482">
          <cell r="A3482" t="str">
            <v>BN</v>
          </cell>
          <cell r="B3482">
            <v>202508</v>
          </cell>
          <cell r="D3482" t="str">
            <v>Hogar</v>
          </cell>
          <cell r="G3482" t="str">
            <v>Real</v>
          </cell>
        </row>
        <row r="3483">
          <cell r="A3483" t="str">
            <v>BN</v>
          </cell>
          <cell r="B3483">
            <v>202508</v>
          </cell>
          <cell r="D3483" t="str">
            <v>Ingeniería</v>
          </cell>
          <cell r="G3483" t="str">
            <v>Presupuesto</v>
          </cell>
        </row>
        <row r="3484">
          <cell r="A3484" t="str">
            <v>BN</v>
          </cell>
          <cell r="B3484">
            <v>202508</v>
          </cell>
          <cell r="D3484" t="str">
            <v>Ingeniería</v>
          </cell>
          <cell r="G3484" t="str">
            <v>Real</v>
          </cell>
        </row>
        <row r="3485">
          <cell r="A3485" t="str">
            <v>BN</v>
          </cell>
          <cell r="B3485">
            <v>202508</v>
          </cell>
          <cell r="D3485" t="str">
            <v>Inmobiliario</v>
          </cell>
          <cell r="G3485" t="str">
            <v>Presupuesto</v>
          </cell>
        </row>
        <row r="3486">
          <cell r="A3486" t="str">
            <v>BN</v>
          </cell>
          <cell r="B3486">
            <v>202508</v>
          </cell>
          <cell r="D3486" t="str">
            <v>Inmobiliario</v>
          </cell>
          <cell r="G3486" t="str">
            <v>Real</v>
          </cell>
        </row>
        <row r="3487">
          <cell r="A3487" t="str">
            <v>BN</v>
          </cell>
          <cell r="B3487">
            <v>202508</v>
          </cell>
          <cell r="D3487" t="str">
            <v>Líneas Financieras</v>
          </cell>
          <cell r="G3487" t="str">
            <v>Presupuesto</v>
          </cell>
        </row>
        <row r="3488">
          <cell r="A3488" t="str">
            <v>BN</v>
          </cell>
          <cell r="B3488">
            <v>202508</v>
          </cell>
          <cell r="D3488" t="str">
            <v>Líneas Financieras</v>
          </cell>
          <cell r="G3488" t="str">
            <v>Real</v>
          </cell>
        </row>
        <row r="3489">
          <cell r="A3489" t="str">
            <v>BN</v>
          </cell>
          <cell r="B3489">
            <v>202508</v>
          </cell>
          <cell r="D3489" t="str">
            <v>Náutica</v>
          </cell>
          <cell r="G3489" t="str">
            <v>Presupuesto</v>
          </cell>
        </row>
        <row r="3490">
          <cell r="A3490" t="str">
            <v>BN</v>
          </cell>
          <cell r="B3490">
            <v>202508</v>
          </cell>
          <cell r="D3490" t="str">
            <v>Náutica</v>
          </cell>
          <cell r="G3490" t="str">
            <v>Real</v>
          </cell>
        </row>
        <row r="3491">
          <cell r="A3491" t="str">
            <v>BN</v>
          </cell>
          <cell r="B3491">
            <v>202508</v>
          </cell>
          <cell r="D3491" t="str">
            <v>Particulares Resto</v>
          </cell>
          <cell r="G3491" t="str">
            <v>Presupuesto</v>
          </cell>
        </row>
        <row r="3492">
          <cell r="A3492" t="str">
            <v>BN</v>
          </cell>
          <cell r="B3492">
            <v>202508</v>
          </cell>
          <cell r="D3492" t="str">
            <v>Particulares Resto</v>
          </cell>
          <cell r="G3492" t="str">
            <v>Real</v>
          </cell>
        </row>
        <row r="3493">
          <cell r="A3493" t="str">
            <v>BN</v>
          </cell>
          <cell r="B3493">
            <v>202508</v>
          </cell>
          <cell r="D3493" t="str">
            <v>Property</v>
          </cell>
          <cell r="G3493" t="str">
            <v>Presupuesto</v>
          </cell>
        </row>
        <row r="3494">
          <cell r="A3494" t="str">
            <v>BN</v>
          </cell>
          <cell r="B3494">
            <v>202508</v>
          </cell>
          <cell r="D3494" t="str">
            <v>Property</v>
          </cell>
          <cell r="G3494" t="str">
            <v>Real</v>
          </cell>
        </row>
        <row r="3495">
          <cell r="A3495" t="str">
            <v>BN</v>
          </cell>
          <cell r="B3495">
            <v>202508</v>
          </cell>
          <cell r="D3495" t="str">
            <v>RC</v>
          </cell>
          <cell r="G3495" t="str">
            <v>Presupuesto</v>
          </cell>
        </row>
        <row r="3496">
          <cell r="A3496" t="str">
            <v>BN</v>
          </cell>
          <cell r="B3496">
            <v>202508</v>
          </cell>
          <cell r="D3496" t="str">
            <v>RC</v>
          </cell>
          <cell r="G3496" t="str">
            <v>Real</v>
          </cell>
        </row>
        <row r="3497">
          <cell r="A3497" t="str">
            <v>BN</v>
          </cell>
          <cell r="B3497">
            <v>202508</v>
          </cell>
          <cell r="D3497" t="str">
            <v>Resto de lineas</v>
          </cell>
          <cell r="G3497" t="str">
            <v>Presupuesto</v>
          </cell>
        </row>
        <row r="3498">
          <cell r="A3498" t="str">
            <v>BN</v>
          </cell>
          <cell r="B3498">
            <v>202508</v>
          </cell>
          <cell r="D3498" t="str">
            <v>Resto de lineas</v>
          </cell>
          <cell r="G3498" t="str">
            <v>Real</v>
          </cell>
        </row>
        <row r="3499">
          <cell r="A3499" t="str">
            <v>BN</v>
          </cell>
          <cell r="B3499">
            <v>202508</v>
          </cell>
          <cell r="D3499" t="str">
            <v>Retirada</v>
          </cell>
          <cell r="G3499" t="str">
            <v>Presupuesto</v>
          </cell>
        </row>
        <row r="3500">
          <cell r="A3500" t="str">
            <v>BN</v>
          </cell>
          <cell r="B3500">
            <v>202508</v>
          </cell>
          <cell r="D3500" t="str">
            <v>Retirada</v>
          </cell>
          <cell r="G3500" t="str">
            <v>Real</v>
          </cell>
        </row>
        <row r="3501">
          <cell r="A3501" t="str">
            <v>BN</v>
          </cell>
          <cell r="B3501">
            <v>202508</v>
          </cell>
          <cell r="D3501" t="str">
            <v>Seguros Personales (No Vida) Colectivos</v>
          </cell>
          <cell r="G3501" t="str">
            <v>Presupuesto</v>
          </cell>
        </row>
        <row r="3502">
          <cell r="A3502" t="str">
            <v>BN</v>
          </cell>
          <cell r="B3502">
            <v>202508</v>
          </cell>
          <cell r="D3502" t="str">
            <v>Seguros Personales (No Vida) Colectivos</v>
          </cell>
          <cell r="G3502" t="str">
            <v>Real</v>
          </cell>
        </row>
        <row r="3503">
          <cell r="A3503" t="str">
            <v>BN</v>
          </cell>
          <cell r="B3503">
            <v>202508</v>
          </cell>
          <cell r="D3503" t="str">
            <v>Seguros Personales (No Vida) Particular</v>
          </cell>
          <cell r="G3503" t="str">
            <v>Presupuesto</v>
          </cell>
        </row>
        <row r="3504">
          <cell r="A3504" t="str">
            <v>BN</v>
          </cell>
          <cell r="B3504">
            <v>202508</v>
          </cell>
          <cell r="D3504" t="str">
            <v>Seguros Personales (No Vida) Particular</v>
          </cell>
          <cell r="G3504" t="str">
            <v>Real</v>
          </cell>
        </row>
        <row r="3505">
          <cell r="A3505" t="str">
            <v>BN</v>
          </cell>
          <cell r="B3505">
            <v>202508</v>
          </cell>
          <cell r="D3505" t="str">
            <v>Transporte</v>
          </cell>
          <cell r="G3505" t="str">
            <v>Presupuesto</v>
          </cell>
        </row>
        <row r="3506">
          <cell r="A3506" t="str">
            <v>BN</v>
          </cell>
          <cell r="B3506">
            <v>202508</v>
          </cell>
          <cell r="D3506" t="str">
            <v>Transporte</v>
          </cell>
          <cell r="G3506" t="str">
            <v>Real</v>
          </cell>
        </row>
        <row r="3507">
          <cell r="A3507" t="str">
            <v>BN</v>
          </cell>
          <cell r="B3507">
            <v>202508</v>
          </cell>
          <cell r="D3507" t="str">
            <v>Venta Cruzada</v>
          </cell>
          <cell r="G3507" t="str">
            <v>Presupuesto</v>
          </cell>
        </row>
        <row r="3508">
          <cell r="A3508" t="str">
            <v>BN</v>
          </cell>
          <cell r="B3508">
            <v>202508</v>
          </cell>
          <cell r="D3508" t="str">
            <v>Venta Cruzada</v>
          </cell>
          <cell r="G3508" t="str">
            <v>Real</v>
          </cell>
        </row>
        <row r="3509">
          <cell r="A3509" t="str">
            <v>BN</v>
          </cell>
          <cell r="B3509">
            <v>202508</v>
          </cell>
          <cell r="D3509" t="str">
            <v>Vida Ahorro Colectivo</v>
          </cell>
          <cell r="G3509" t="str">
            <v>Presupuesto</v>
          </cell>
        </row>
        <row r="3510">
          <cell r="A3510" t="str">
            <v>BN</v>
          </cell>
          <cell r="B3510">
            <v>202508</v>
          </cell>
          <cell r="D3510" t="str">
            <v>Vida Ahorro Colectivo</v>
          </cell>
          <cell r="G3510" t="str">
            <v>Real</v>
          </cell>
        </row>
        <row r="3511">
          <cell r="A3511" t="str">
            <v>BN</v>
          </cell>
          <cell r="B3511">
            <v>202508</v>
          </cell>
          <cell r="D3511" t="str">
            <v>Vida Ahorro Particular</v>
          </cell>
          <cell r="G3511" t="str">
            <v>Presupuesto</v>
          </cell>
        </row>
        <row r="3512">
          <cell r="A3512" t="str">
            <v>BN</v>
          </cell>
          <cell r="B3512">
            <v>202508</v>
          </cell>
          <cell r="D3512" t="str">
            <v>Vida Ahorro Particular</v>
          </cell>
          <cell r="G3512" t="str">
            <v>Real</v>
          </cell>
        </row>
        <row r="3513">
          <cell r="A3513" t="str">
            <v>BN</v>
          </cell>
          <cell r="B3513">
            <v>202508</v>
          </cell>
          <cell r="D3513" t="str">
            <v>Vida Ganado</v>
          </cell>
          <cell r="G3513" t="str">
            <v>Presupuesto</v>
          </cell>
        </row>
        <row r="3514">
          <cell r="A3514" t="str">
            <v>BN</v>
          </cell>
          <cell r="B3514">
            <v>202508</v>
          </cell>
          <cell r="D3514" t="str">
            <v>Vida Ganado</v>
          </cell>
          <cell r="G3514" t="str">
            <v>Real</v>
          </cell>
        </row>
        <row r="3515">
          <cell r="A3515" t="str">
            <v>BN</v>
          </cell>
          <cell r="B3515">
            <v>202508</v>
          </cell>
          <cell r="D3515" t="str">
            <v>Vida Riesgo Colectivo</v>
          </cell>
          <cell r="G3515" t="str">
            <v>Presupuesto</v>
          </cell>
        </row>
        <row r="3516">
          <cell r="A3516" t="str">
            <v>BN</v>
          </cell>
          <cell r="B3516">
            <v>202508</v>
          </cell>
          <cell r="D3516" t="str">
            <v>Vida Riesgo Colectivo</v>
          </cell>
          <cell r="G3516" t="str">
            <v>Real</v>
          </cell>
        </row>
        <row r="3517">
          <cell r="A3517" t="str">
            <v>BN</v>
          </cell>
          <cell r="B3517">
            <v>202508</v>
          </cell>
          <cell r="D3517" t="str">
            <v>Vida Riesgo Particular</v>
          </cell>
          <cell r="G3517" t="str">
            <v>Presupuesto</v>
          </cell>
        </row>
        <row r="3518">
          <cell r="A3518" t="str">
            <v>BN</v>
          </cell>
          <cell r="B3518">
            <v>202508</v>
          </cell>
          <cell r="D3518" t="str">
            <v>Vida Riesgo Particular</v>
          </cell>
          <cell r="G3518" t="str">
            <v>Real</v>
          </cell>
        </row>
        <row r="3519">
          <cell r="A3519" t="str">
            <v>BN</v>
          </cell>
          <cell r="B3519">
            <v>202509</v>
          </cell>
          <cell r="D3519" t="str">
            <v>--</v>
          </cell>
          <cell r="G3519" t="str">
            <v>Presupuesto</v>
          </cell>
        </row>
        <row r="3520">
          <cell r="A3520" t="str">
            <v>BN</v>
          </cell>
          <cell r="B3520">
            <v>202509</v>
          </cell>
          <cell r="D3520" t="str">
            <v>--</v>
          </cell>
          <cell r="G3520" t="str">
            <v>Real</v>
          </cell>
        </row>
        <row r="3521">
          <cell r="A3521" t="str">
            <v>BN</v>
          </cell>
          <cell r="B3521">
            <v>202509</v>
          </cell>
          <cell r="D3521" t="str">
            <v>--</v>
          </cell>
          <cell r="G3521" t="str">
            <v>Presupuesto</v>
          </cell>
        </row>
        <row r="3522">
          <cell r="A3522" t="str">
            <v>BN</v>
          </cell>
          <cell r="B3522">
            <v>202509</v>
          </cell>
          <cell r="D3522" t="str">
            <v>--</v>
          </cell>
          <cell r="G3522" t="str">
            <v>Real</v>
          </cell>
        </row>
        <row r="3523">
          <cell r="A3523" t="str">
            <v>BN</v>
          </cell>
          <cell r="B3523">
            <v>202509</v>
          </cell>
          <cell r="D3523" t="str">
            <v>Resto de Lineas</v>
          </cell>
          <cell r="G3523" t="str">
            <v>Real</v>
          </cell>
        </row>
        <row r="3524">
          <cell r="A3524" t="str">
            <v>BN</v>
          </cell>
          <cell r="B3524">
            <v>202509</v>
          </cell>
          <cell r="D3524" t="str">
            <v>Resto de Lineas</v>
          </cell>
          <cell r="G3524" t="str">
            <v>Real</v>
          </cell>
        </row>
        <row r="3525">
          <cell r="A3525" t="str">
            <v>BN</v>
          </cell>
          <cell r="B3525">
            <v>202509</v>
          </cell>
          <cell r="D3525" t="str">
            <v>Arte</v>
          </cell>
          <cell r="G3525" t="str">
            <v>Presupuesto</v>
          </cell>
        </row>
        <row r="3526">
          <cell r="A3526" t="str">
            <v>BN</v>
          </cell>
          <cell r="B3526">
            <v>202509</v>
          </cell>
          <cell r="D3526" t="str">
            <v>Arte</v>
          </cell>
          <cell r="G3526" t="str">
            <v>Real</v>
          </cell>
        </row>
        <row r="3527">
          <cell r="A3527" t="str">
            <v>BN</v>
          </cell>
          <cell r="B3527">
            <v>202509</v>
          </cell>
          <cell r="D3527" t="str">
            <v>Autos</v>
          </cell>
          <cell r="G3527" t="str">
            <v>Presupuesto</v>
          </cell>
        </row>
        <row r="3528">
          <cell r="A3528" t="str">
            <v>BN</v>
          </cell>
          <cell r="B3528">
            <v>202509</v>
          </cell>
          <cell r="D3528" t="str">
            <v>Autos</v>
          </cell>
          <cell r="G3528" t="str">
            <v>Real</v>
          </cell>
        </row>
        <row r="3529">
          <cell r="A3529" t="str">
            <v>BN</v>
          </cell>
          <cell r="B3529">
            <v>202509</v>
          </cell>
          <cell r="D3529" t="str">
            <v>B2B2C</v>
          </cell>
          <cell r="G3529" t="str">
            <v>Presupuesto</v>
          </cell>
        </row>
        <row r="3530">
          <cell r="A3530" t="str">
            <v>BN</v>
          </cell>
          <cell r="B3530">
            <v>202509</v>
          </cell>
          <cell r="D3530" t="str">
            <v>Caución</v>
          </cell>
          <cell r="G3530" t="str">
            <v>Presupuesto</v>
          </cell>
        </row>
        <row r="3531">
          <cell r="A3531" t="str">
            <v>BN</v>
          </cell>
          <cell r="B3531">
            <v>202509</v>
          </cell>
          <cell r="D3531" t="str">
            <v>Caución</v>
          </cell>
          <cell r="G3531" t="str">
            <v>Real</v>
          </cell>
        </row>
        <row r="3532">
          <cell r="A3532" t="str">
            <v>BN</v>
          </cell>
          <cell r="B3532">
            <v>202509</v>
          </cell>
          <cell r="D3532" t="str">
            <v>Crédito Nacional</v>
          </cell>
          <cell r="G3532" t="str">
            <v>Real</v>
          </cell>
        </row>
        <row r="3533">
          <cell r="A3533" t="str">
            <v>BN</v>
          </cell>
          <cell r="B3533">
            <v>202509</v>
          </cell>
          <cell r="D3533" t="str">
            <v>Crédito Internacional</v>
          </cell>
          <cell r="G3533" t="str">
            <v>Presupuesto</v>
          </cell>
        </row>
        <row r="3534">
          <cell r="A3534" t="str">
            <v>BN</v>
          </cell>
          <cell r="B3534">
            <v>202509</v>
          </cell>
          <cell r="D3534" t="str">
            <v>Crédito Nacional</v>
          </cell>
          <cell r="G3534" t="str">
            <v>Presupuesto</v>
          </cell>
        </row>
        <row r="3535">
          <cell r="A3535" t="str">
            <v>BN</v>
          </cell>
          <cell r="B3535">
            <v>202509</v>
          </cell>
          <cell r="D3535" t="str">
            <v>Eventos</v>
          </cell>
          <cell r="G3535" t="str">
            <v>Presupuesto</v>
          </cell>
        </row>
        <row r="3536">
          <cell r="A3536" t="str">
            <v>BN</v>
          </cell>
          <cell r="B3536">
            <v>202509</v>
          </cell>
          <cell r="D3536" t="str">
            <v>Eventos</v>
          </cell>
          <cell r="G3536" t="str">
            <v>Real</v>
          </cell>
        </row>
        <row r="3537">
          <cell r="A3537" t="str">
            <v>BN</v>
          </cell>
          <cell r="B3537">
            <v>202509</v>
          </cell>
          <cell r="D3537" t="str">
            <v>Flotas</v>
          </cell>
          <cell r="G3537" t="str">
            <v>Presupuesto</v>
          </cell>
        </row>
        <row r="3538">
          <cell r="A3538" t="str">
            <v>BN</v>
          </cell>
          <cell r="B3538">
            <v>202509</v>
          </cell>
          <cell r="D3538" t="str">
            <v>Flotas</v>
          </cell>
          <cell r="G3538" t="str">
            <v>Real</v>
          </cell>
        </row>
        <row r="3539">
          <cell r="A3539" t="str">
            <v>BN</v>
          </cell>
          <cell r="B3539">
            <v>202509</v>
          </cell>
          <cell r="D3539" t="str">
            <v>Hogar</v>
          </cell>
          <cell r="G3539" t="str">
            <v>Presupuesto</v>
          </cell>
        </row>
        <row r="3540">
          <cell r="A3540" t="str">
            <v>BN</v>
          </cell>
          <cell r="B3540">
            <v>202509</v>
          </cell>
          <cell r="D3540" t="str">
            <v>Hogar</v>
          </cell>
          <cell r="G3540" t="str">
            <v>Real</v>
          </cell>
        </row>
        <row r="3541">
          <cell r="A3541" t="str">
            <v>BN</v>
          </cell>
          <cell r="B3541">
            <v>202509</v>
          </cell>
          <cell r="D3541" t="str">
            <v>Ingeniería</v>
          </cell>
          <cell r="G3541" t="str">
            <v>Presupuesto</v>
          </cell>
        </row>
        <row r="3542">
          <cell r="A3542" t="str">
            <v>BN</v>
          </cell>
          <cell r="B3542">
            <v>202509</v>
          </cell>
          <cell r="D3542" t="str">
            <v>Ingeniería</v>
          </cell>
          <cell r="G3542" t="str">
            <v>Real</v>
          </cell>
        </row>
        <row r="3543">
          <cell r="A3543" t="str">
            <v>BN</v>
          </cell>
          <cell r="B3543">
            <v>202509</v>
          </cell>
          <cell r="D3543" t="str">
            <v>Inmobiliario</v>
          </cell>
          <cell r="G3543" t="str">
            <v>Presupuesto</v>
          </cell>
        </row>
        <row r="3544">
          <cell r="A3544" t="str">
            <v>BN</v>
          </cell>
          <cell r="B3544">
            <v>202509</v>
          </cell>
          <cell r="D3544" t="str">
            <v>Inmobiliario</v>
          </cell>
          <cell r="G3544" t="str">
            <v>Real</v>
          </cell>
        </row>
        <row r="3545">
          <cell r="A3545" t="str">
            <v>BN</v>
          </cell>
          <cell r="B3545">
            <v>202509</v>
          </cell>
          <cell r="D3545" t="str">
            <v>Líneas Financieras</v>
          </cell>
          <cell r="G3545" t="str">
            <v>Presupuesto</v>
          </cell>
        </row>
        <row r="3546">
          <cell r="A3546" t="str">
            <v>BN</v>
          </cell>
          <cell r="B3546">
            <v>202509</v>
          </cell>
          <cell r="D3546" t="str">
            <v>Líneas Financieras</v>
          </cell>
          <cell r="G3546" t="str">
            <v>Real</v>
          </cell>
        </row>
        <row r="3547">
          <cell r="A3547" t="str">
            <v>BN</v>
          </cell>
          <cell r="B3547">
            <v>202509</v>
          </cell>
          <cell r="D3547" t="str">
            <v>Náutica</v>
          </cell>
          <cell r="G3547" t="str">
            <v>Presupuesto</v>
          </cell>
        </row>
        <row r="3548">
          <cell r="A3548" t="str">
            <v>BN</v>
          </cell>
          <cell r="B3548">
            <v>202509</v>
          </cell>
          <cell r="D3548" t="str">
            <v>Náutica</v>
          </cell>
          <cell r="G3548" t="str">
            <v>Real</v>
          </cell>
        </row>
        <row r="3549">
          <cell r="A3549" t="str">
            <v>BN</v>
          </cell>
          <cell r="B3549">
            <v>202509</v>
          </cell>
          <cell r="D3549" t="str">
            <v>Particulares Resto</v>
          </cell>
          <cell r="G3549" t="str">
            <v>Presupuesto</v>
          </cell>
        </row>
        <row r="3550">
          <cell r="A3550" t="str">
            <v>BN</v>
          </cell>
          <cell r="B3550">
            <v>202509</v>
          </cell>
          <cell r="D3550" t="str">
            <v>Particulares Resto</v>
          </cell>
          <cell r="G3550" t="str">
            <v>Real</v>
          </cell>
        </row>
        <row r="3551">
          <cell r="A3551" t="str">
            <v>BN</v>
          </cell>
          <cell r="B3551">
            <v>202509</v>
          </cell>
          <cell r="D3551" t="str">
            <v>Property</v>
          </cell>
          <cell r="G3551" t="str">
            <v>Presupuesto</v>
          </cell>
        </row>
        <row r="3552">
          <cell r="A3552" t="str">
            <v>BN</v>
          </cell>
          <cell r="B3552">
            <v>202509</v>
          </cell>
          <cell r="D3552" t="str">
            <v>Property</v>
          </cell>
          <cell r="G3552" t="str">
            <v>Real</v>
          </cell>
        </row>
        <row r="3553">
          <cell r="A3553" t="str">
            <v>BN</v>
          </cell>
          <cell r="B3553">
            <v>202509</v>
          </cell>
          <cell r="D3553" t="str">
            <v>RC</v>
          </cell>
          <cell r="G3553" t="str">
            <v>Presupuesto</v>
          </cell>
        </row>
        <row r="3554">
          <cell r="A3554" t="str">
            <v>BN</v>
          </cell>
          <cell r="B3554">
            <v>202509</v>
          </cell>
          <cell r="D3554" t="str">
            <v>RC</v>
          </cell>
          <cell r="G3554" t="str">
            <v>Real</v>
          </cell>
        </row>
        <row r="3555">
          <cell r="A3555" t="str">
            <v>BN</v>
          </cell>
          <cell r="B3555">
            <v>202509</v>
          </cell>
          <cell r="D3555" t="str">
            <v>Resto de lineas</v>
          </cell>
          <cell r="G3555" t="str">
            <v>Presupuesto</v>
          </cell>
        </row>
        <row r="3556">
          <cell r="A3556" t="str">
            <v>BN</v>
          </cell>
          <cell r="B3556">
            <v>202509</v>
          </cell>
          <cell r="D3556" t="str">
            <v>Resto de lineas</v>
          </cell>
          <cell r="G3556" t="str">
            <v>Real</v>
          </cell>
        </row>
        <row r="3557">
          <cell r="A3557" t="str">
            <v>BN</v>
          </cell>
          <cell r="B3557">
            <v>202509</v>
          </cell>
          <cell r="D3557" t="str">
            <v>Retirada</v>
          </cell>
          <cell r="G3557" t="str">
            <v>Presupuesto</v>
          </cell>
        </row>
        <row r="3558">
          <cell r="A3558" t="str">
            <v>BN</v>
          </cell>
          <cell r="B3558">
            <v>202509</v>
          </cell>
          <cell r="D3558" t="str">
            <v>Retirada</v>
          </cell>
          <cell r="G3558" t="str">
            <v>Real</v>
          </cell>
        </row>
        <row r="3559">
          <cell r="A3559" t="str">
            <v>BN</v>
          </cell>
          <cell r="B3559">
            <v>202509</v>
          </cell>
          <cell r="D3559" t="str">
            <v>Seguros Personales (No Vida) Colectivos</v>
          </cell>
          <cell r="G3559" t="str">
            <v>Presupuesto</v>
          </cell>
        </row>
        <row r="3560">
          <cell r="A3560" t="str">
            <v>BN</v>
          </cell>
          <cell r="B3560">
            <v>202509</v>
          </cell>
          <cell r="D3560" t="str">
            <v>Seguros Personales (No Vida) Colectivos</v>
          </cell>
          <cell r="G3560" t="str">
            <v>Real</v>
          </cell>
        </row>
        <row r="3561">
          <cell r="A3561" t="str">
            <v>BN</v>
          </cell>
          <cell r="B3561">
            <v>202509</v>
          </cell>
          <cell r="D3561" t="str">
            <v>Seguros Personales (No Vida) Particular</v>
          </cell>
          <cell r="G3561" t="str">
            <v>Presupuesto</v>
          </cell>
        </row>
        <row r="3562">
          <cell r="A3562" t="str">
            <v>BN</v>
          </cell>
          <cell r="B3562">
            <v>202509</v>
          </cell>
          <cell r="D3562" t="str">
            <v>Seguros Personales (No Vida) Particular</v>
          </cell>
          <cell r="G3562" t="str">
            <v>Real</v>
          </cell>
        </row>
        <row r="3563">
          <cell r="A3563" t="str">
            <v>BN</v>
          </cell>
          <cell r="B3563">
            <v>202509</v>
          </cell>
          <cell r="D3563" t="str">
            <v>Transporte</v>
          </cell>
          <cell r="G3563" t="str">
            <v>Presupuesto</v>
          </cell>
        </row>
        <row r="3564">
          <cell r="A3564" t="str">
            <v>BN</v>
          </cell>
          <cell r="B3564">
            <v>202509</v>
          </cell>
          <cell r="D3564" t="str">
            <v>Transporte</v>
          </cell>
          <cell r="G3564" t="str">
            <v>Real</v>
          </cell>
        </row>
        <row r="3565">
          <cell r="A3565" t="str">
            <v>BN</v>
          </cell>
          <cell r="B3565">
            <v>202509</v>
          </cell>
          <cell r="D3565" t="str">
            <v>Venta Cruzada</v>
          </cell>
          <cell r="G3565" t="str">
            <v>Presupuesto</v>
          </cell>
        </row>
        <row r="3566">
          <cell r="A3566" t="str">
            <v>BN</v>
          </cell>
          <cell r="B3566">
            <v>202509</v>
          </cell>
          <cell r="D3566" t="str">
            <v>Venta Cruzada</v>
          </cell>
          <cell r="G3566" t="str">
            <v>Real</v>
          </cell>
        </row>
        <row r="3567">
          <cell r="A3567" t="str">
            <v>BN</v>
          </cell>
          <cell r="B3567">
            <v>202509</v>
          </cell>
          <cell r="D3567" t="str">
            <v>Vida Ahorro Colectivo</v>
          </cell>
          <cell r="G3567" t="str">
            <v>Presupuesto</v>
          </cell>
        </row>
        <row r="3568">
          <cell r="A3568" t="str">
            <v>BN</v>
          </cell>
          <cell r="B3568">
            <v>202509</v>
          </cell>
          <cell r="D3568" t="str">
            <v>Vida Ahorro Colectivo</v>
          </cell>
          <cell r="G3568" t="str">
            <v>Real</v>
          </cell>
        </row>
        <row r="3569">
          <cell r="A3569" t="str">
            <v>BN</v>
          </cell>
          <cell r="B3569">
            <v>202509</v>
          </cell>
          <cell r="D3569" t="str">
            <v>Vida Ahorro Particular</v>
          </cell>
          <cell r="G3569" t="str">
            <v>Presupuesto</v>
          </cell>
        </row>
        <row r="3570">
          <cell r="A3570" t="str">
            <v>BN</v>
          </cell>
          <cell r="B3570">
            <v>202509</v>
          </cell>
          <cell r="D3570" t="str">
            <v>Vida Ahorro Particular</v>
          </cell>
          <cell r="G3570" t="str">
            <v>Real</v>
          </cell>
        </row>
        <row r="3571">
          <cell r="A3571" t="str">
            <v>BN</v>
          </cell>
          <cell r="B3571">
            <v>202509</v>
          </cell>
          <cell r="D3571" t="str">
            <v>Vida Ganado</v>
          </cell>
          <cell r="G3571" t="str">
            <v>Presupuesto</v>
          </cell>
        </row>
        <row r="3572">
          <cell r="A3572" t="str">
            <v>BN</v>
          </cell>
          <cell r="B3572">
            <v>202509</v>
          </cell>
          <cell r="D3572" t="str">
            <v>Vida Ganado</v>
          </cell>
          <cell r="G3572" t="str">
            <v>Real</v>
          </cell>
        </row>
        <row r="3573">
          <cell r="A3573" t="str">
            <v>BN</v>
          </cell>
          <cell r="B3573">
            <v>202509</v>
          </cell>
          <cell r="D3573" t="str">
            <v>Vida Riesgo Colectivo</v>
          </cell>
          <cell r="G3573" t="str">
            <v>Presupuesto</v>
          </cell>
        </row>
        <row r="3574">
          <cell r="A3574" t="str">
            <v>BN</v>
          </cell>
          <cell r="B3574">
            <v>202509</v>
          </cell>
          <cell r="D3574" t="str">
            <v>Vida Riesgo Colectivo</v>
          </cell>
          <cell r="G3574" t="str">
            <v>Real</v>
          </cell>
        </row>
        <row r="3575">
          <cell r="A3575" t="str">
            <v>BN</v>
          </cell>
          <cell r="B3575">
            <v>202509</v>
          </cell>
          <cell r="D3575" t="str">
            <v>Vida Riesgo Particular</v>
          </cell>
          <cell r="G3575" t="str">
            <v>Presupuesto</v>
          </cell>
        </row>
        <row r="3576">
          <cell r="A3576" t="str">
            <v>BN</v>
          </cell>
          <cell r="B3576">
            <v>202509</v>
          </cell>
          <cell r="D3576" t="str">
            <v>Vida Riesgo Particular</v>
          </cell>
          <cell r="G3576" t="str">
            <v>Real</v>
          </cell>
        </row>
        <row r="3577">
          <cell r="A3577" t="str">
            <v>BN</v>
          </cell>
          <cell r="B3577">
            <v>202510</v>
          </cell>
          <cell r="D3577" t="str">
            <v>--</v>
          </cell>
          <cell r="G3577" t="str">
            <v>Presupuesto</v>
          </cell>
        </row>
        <row r="3578">
          <cell r="A3578" t="str">
            <v>BN</v>
          </cell>
          <cell r="B3578">
            <v>202510</v>
          </cell>
          <cell r="D3578" t="str">
            <v>--</v>
          </cell>
          <cell r="G3578" t="str">
            <v>Real</v>
          </cell>
        </row>
        <row r="3579">
          <cell r="A3579" t="str">
            <v>BN</v>
          </cell>
          <cell r="B3579">
            <v>202510</v>
          </cell>
          <cell r="D3579" t="str">
            <v>--</v>
          </cell>
          <cell r="G3579" t="str">
            <v>Presupuesto</v>
          </cell>
        </row>
        <row r="3580">
          <cell r="A3580" t="str">
            <v>BN</v>
          </cell>
          <cell r="B3580">
            <v>202510</v>
          </cell>
          <cell r="D3580" t="str">
            <v>--</v>
          </cell>
          <cell r="G3580" t="str">
            <v>Real</v>
          </cell>
        </row>
        <row r="3581">
          <cell r="A3581" t="str">
            <v>BN</v>
          </cell>
          <cell r="B3581">
            <v>202510</v>
          </cell>
          <cell r="D3581" t="str">
            <v>Arte</v>
          </cell>
          <cell r="G3581" t="str">
            <v>Presupuesto</v>
          </cell>
        </row>
        <row r="3582">
          <cell r="A3582" t="str">
            <v>BN</v>
          </cell>
          <cell r="B3582">
            <v>202510</v>
          </cell>
          <cell r="D3582" t="str">
            <v>Arte</v>
          </cell>
          <cell r="G3582" t="str">
            <v>Real</v>
          </cell>
        </row>
        <row r="3583">
          <cell r="A3583" t="str">
            <v>BN</v>
          </cell>
          <cell r="B3583">
            <v>202510</v>
          </cell>
          <cell r="D3583" t="str">
            <v>Autos</v>
          </cell>
          <cell r="G3583" t="str">
            <v>Presupuesto</v>
          </cell>
        </row>
        <row r="3584">
          <cell r="A3584" t="str">
            <v>BN</v>
          </cell>
          <cell r="B3584">
            <v>202510</v>
          </cell>
          <cell r="D3584" t="str">
            <v>Autos</v>
          </cell>
          <cell r="G3584" t="str">
            <v>Real</v>
          </cell>
        </row>
        <row r="3585">
          <cell r="A3585" t="str">
            <v>BN</v>
          </cell>
          <cell r="B3585">
            <v>202510</v>
          </cell>
          <cell r="D3585" t="str">
            <v>B2B2C</v>
          </cell>
          <cell r="G3585" t="str">
            <v>Presupuesto</v>
          </cell>
        </row>
        <row r="3586">
          <cell r="A3586" t="str">
            <v>BN</v>
          </cell>
          <cell r="B3586">
            <v>202510</v>
          </cell>
          <cell r="D3586" t="str">
            <v>Caución</v>
          </cell>
          <cell r="G3586" t="str">
            <v>Presupuesto</v>
          </cell>
        </row>
        <row r="3587">
          <cell r="A3587" t="str">
            <v>BN</v>
          </cell>
          <cell r="B3587">
            <v>202510</v>
          </cell>
          <cell r="D3587" t="str">
            <v>Caución</v>
          </cell>
          <cell r="G3587" t="str">
            <v>Real</v>
          </cell>
        </row>
        <row r="3588">
          <cell r="A3588" t="str">
            <v>BN</v>
          </cell>
          <cell r="B3588">
            <v>202510</v>
          </cell>
          <cell r="D3588" t="str">
            <v>Crédito Nacional</v>
          </cell>
          <cell r="G3588" t="str">
            <v>Real</v>
          </cell>
        </row>
        <row r="3589">
          <cell r="A3589" t="str">
            <v>BN</v>
          </cell>
          <cell r="B3589">
            <v>202510</v>
          </cell>
          <cell r="D3589" t="str">
            <v>Crédito Internacional</v>
          </cell>
          <cell r="G3589" t="str">
            <v>Presupuesto</v>
          </cell>
        </row>
        <row r="3590">
          <cell r="A3590" t="str">
            <v>BN</v>
          </cell>
          <cell r="B3590">
            <v>202510</v>
          </cell>
          <cell r="D3590" t="str">
            <v>Crédito Nacional</v>
          </cell>
          <cell r="G3590" t="str">
            <v>Presupuesto</v>
          </cell>
        </row>
        <row r="3591">
          <cell r="A3591" t="str">
            <v>BN</v>
          </cell>
          <cell r="B3591">
            <v>202510</v>
          </cell>
          <cell r="D3591" t="str">
            <v>Eventos</v>
          </cell>
          <cell r="G3591" t="str">
            <v>Presupuesto</v>
          </cell>
        </row>
        <row r="3592">
          <cell r="A3592" t="str">
            <v>BN</v>
          </cell>
          <cell r="B3592">
            <v>202510</v>
          </cell>
          <cell r="D3592" t="str">
            <v>Eventos</v>
          </cell>
          <cell r="G3592" t="str">
            <v>Real</v>
          </cell>
        </row>
        <row r="3593">
          <cell r="A3593" t="str">
            <v>BN</v>
          </cell>
          <cell r="B3593">
            <v>202510</v>
          </cell>
          <cell r="D3593" t="str">
            <v>Flotas</v>
          </cell>
          <cell r="G3593" t="str">
            <v>Presupuesto</v>
          </cell>
        </row>
        <row r="3594">
          <cell r="A3594" t="str">
            <v>BN</v>
          </cell>
          <cell r="B3594">
            <v>202510</v>
          </cell>
          <cell r="D3594" t="str">
            <v>Flotas</v>
          </cell>
          <cell r="G3594" t="str">
            <v>Real</v>
          </cell>
        </row>
        <row r="3595">
          <cell r="A3595" t="str">
            <v>BN</v>
          </cell>
          <cell r="B3595">
            <v>202510</v>
          </cell>
          <cell r="D3595" t="str">
            <v>Hogar</v>
          </cell>
          <cell r="G3595" t="str">
            <v>Presupuesto</v>
          </cell>
        </row>
        <row r="3596">
          <cell r="A3596" t="str">
            <v>BN</v>
          </cell>
          <cell r="B3596">
            <v>202510</v>
          </cell>
          <cell r="D3596" t="str">
            <v>Hogar</v>
          </cell>
          <cell r="G3596" t="str">
            <v>Real</v>
          </cell>
        </row>
        <row r="3597">
          <cell r="A3597" t="str">
            <v>BN</v>
          </cell>
          <cell r="B3597">
            <v>202510</v>
          </cell>
          <cell r="D3597" t="str">
            <v>Ingeniería</v>
          </cell>
          <cell r="G3597" t="str">
            <v>Presupuesto</v>
          </cell>
        </row>
        <row r="3598">
          <cell r="A3598" t="str">
            <v>BN</v>
          </cell>
          <cell r="B3598">
            <v>202510</v>
          </cell>
          <cell r="D3598" t="str">
            <v>Ingeniería</v>
          </cell>
          <cell r="G3598" t="str">
            <v>Real</v>
          </cell>
        </row>
        <row r="3599">
          <cell r="A3599" t="str">
            <v>BN</v>
          </cell>
          <cell r="B3599">
            <v>202510</v>
          </cell>
          <cell r="D3599" t="str">
            <v>Inmobiliario</v>
          </cell>
          <cell r="G3599" t="str">
            <v>Presupuesto</v>
          </cell>
        </row>
        <row r="3600">
          <cell r="A3600" t="str">
            <v>BN</v>
          </cell>
          <cell r="B3600">
            <v>202510</v>
          </cell>
          <cell r="D3600" t="str">
            <v>Inmobiliario</v>
          </cell>
          <cell r="G3600" t="str">
            <v>Real</v>
          </cell>
        </row>
        <row r="3601">
          <cell r="A3601" t="str">
            <v>BN</v>
          </cell>
          <cell r="B3601">
            <v>202510</v>
          </cell>
          <cell r="D3601" t="str">
            <v>Líneas Financieras</v>
          </cell>
          <cell r="G3601" t="str">
            <v>Presupuesto</v>
          </cell>
        </row>
        <row r="3602">
          <cell r="A3602" t="str">
            <v>BN</v>
          </cell>
          <cell r="B3602">
            <v>202510</v>
          </cell>
          <cell r="D3602" t="str">
            <v>Líneas Financieras</v>
          </cell>
          <cell r="G3602" t="str">
            <v>Real</v>
          </cell>
        </row>
        <row r="3603">
          <cell r="A3603" t="str">
            <v>BN</v>
          </cell>
          <cell r="B3603">
            <v>202510</v>
          </cell>
          <cell r="D3603" t="str">
            <v>Náutica</v>
          </cell>
          <cell r="G3603" t="str">
            <v>Presupuesto</v>
          </cell>
        </row>
        <row r="3604">
          <cell r="A3604" t="str">
            <v>BN</v>
          </cell>
          <cell r="B3604">
            <v>202510</v>
          </cell>
          <cell r="D3604" t="str">
            <v>Náutica</v>
          </cell>
          <cell r="G3604" t="str">
            <v>Real</v>
          </cell>
        </row>
        <row r="3605">
          <cell r="A3605" t="str">
            <v>BN</v>
          </cell>
          <cell r="B3605">
            <v>202510</v>
          </cell>
          <cell r="D3605" t="str">
            <v>Particulares Resto</v>
          </cell>
          <cell r="G3605" t="str">
            <v>Presupuesto</v>
          </cell>
        </row>
        <row r="3606">
          <cell r="A3606" t="str">
            <v>BN</v>
          </cell>
          <cell r="B3606">
            <v>202510</v>
          </cell>
          <cell r="D3606" t="str">
            <v>Particulares Resto</v>
          </cell>
          <cell r="G3606" t="str">
            <v>Real</v>
          </cell>
        </row>
        <row r="3607">
          <cell r="A3607" t="str">
            <v>BN</v>
          </cell>
          <cell r="B3607">
            <v>202510</v>
          </cell>
          <cell r="D3607" t="str">
            <v>Property</v>
          </cell>
          <cell r="G3607" t="str">
            <v>Presupuesto</v>
          </cell>
        </row>
        <row r="3608">
          <cell r="A3608" t="str">
            <v>BN</v>
          </cell>
          <cell r="B3608">
            <v>202510</v>
          </cell>
          <cell r="D3608" t="str">
            <v>Property</v>
          </cell>
          <cell r="G3608" t="str">
            <v>Real</v>
          </cell>
        </row>
        <row r="3609">
          <cell r="A3609" t="str">
            <v>BN</v>
          </cell>
          <cell r="B3609">
            <v>202510</v>
          </cell>
          <cell r="D3609" t="str">
            <v>RC</v>
          </cell>
          <cell r="G3609" t="str">
            <v>Presupuesto</v>
          </cell>
        </row>
        <row r="3610">
          <cell r="A3610" t="str">
            <v>BN</v>
          </cell>
          <cell r="B3610">
            <v>202510</v>
          </cell>
          <cell r="D3610" t="str">
            <v>RC</v>
          </cell>
          <cell r="G3610" t="str">
            <v>Real</v>
          </cell>
        </row>
        <row r="3611">
          <cell r="A3611" t="str">
            <v>BN</v>
          </cell>
          <cell r="B3611">
            <v>202510</v>
          </cell>
          <cell r="D3611" t="str">
            <v>Resto de lineas</v>
          </cell>
          <cell r="G3611" t="str">
            <v>Presupuesto</v>
          </cell>
        </row>
        <row r="3612">
          <cell r="A3612" t="str">
            <v>BN</v>
          </cell>
          <cell r="B3612">
            <v>202510</v>
          </cell>
          <cell r="D3612" t="str">
            <v>Resto de lineas</v>
          </cell>
          <cell r="G3612" t="str">
            <v>Real</v>
          </cell>
        </row>
        <row r="3613">
          <cell r="A3613" t="str">
            <v>BN</v>
          </cell>
          <cell r="B3613">
            <v>202510</v>
          </cell>
          <cell r="D3613" t="str">
            <v>Retirada</v>
          </cell>
          <cell r="G3613" t="str">
            <v>Presupuesto</v>
          </cell>
        </row>
        <row r="3614">
          <cell r="A3614" t="str">
            <v>BN</v>
          </cell>
          <cell r="B3614">
            <v>202510</v>
          </cell>
          <cell r="D3614" t="str">
            <v>Retirada</v>
          </cell>
          <cell r="G3614" t="str">
            <v>Real</v>
          </cell>
        </row>
        <row r="3615">
          <cell r="A3615" t="str">
            <v>BN</v>
          </cell>
          <cell r="B3615">
            <v>202510</v>
          </cell>
          <cell r="D3615" t="str">
            <v>Seguros Personales (No Vida) Colectivos</v>
          </cell>
          <cell r="G3615" t="str">
            <v>Presupuesto</v>
          </cell>
        </row>
        <row r="3616">
          <cell r="A3616" t="str">
            <v>BN</v>
          </cell>
          <cell r="B3616">
            <v>202510</v>
          </cell>
          <cell r="D3616" t="str">
            <v>Seguros Personales (No Vida) Colectivos</v>
          </cell>
          <cell r="G3616" t="str">
            <v>Real</v>
          </cell>
        </row>
        <row r="3617">
          <cell r="A3617" t="str">
            <v>BN</v>
          </cell>
          <cell r="B3617">
            <v>202510</v>
          </cell>
          <cell r="D3617" t="str">
            <v>Seguros Personales (No Vida) Particular</v>
          </cell>
          <cell r="G3617" t="str">
            <v>Presupuesto</v>
          </cell>
        </row>
        <row r="3618">
          <cell r="A3618" t="str">
            <v>BN</v>
          </cell>
          <cell r="B3618">
            <v>202510</v>
          </cell>
          <cell r="D3618" t="str">
            <v>Seguros Personales (No Vida) Particular</v>
          </cell>
          <cell r="G3618" t="str">
            <v>Real</v>
          </cell>
        </row>
        <row r="3619">
          <cell r="A3619" t="str">
            <v>BN</v>
          </cell>
          <cell r="B3619">
            <v>202510</v>
          </cell>
          <cell r="D3619" t="str">
            <v>Transporte</v>
          </cell>
          <cell r="G3619" t="str">
            <v>Presupuesto</v>
          </cell>
        </row>
        <row r="3620">
          <cell r="A3620" t="str">
            <v>BN</v>
          </cell>
          <cell r="B3620">
            <v>202510</v>
          </cell>
          <cell r="D3620" t="str">
            <v>Transporte</v>
          </cell>
          <cell r="G3620" t="str">
            <v>Real</v>
          </cell>
        </row>
        <row r="3621">
          <cell r="A3621" t="str">
            <v>BN</v>
          </cell>
          <cell r="B3621">
            <v>202510</v>
          </cell>
          <cell r="D3621" t="str">
            <v>Venta Cruzada</v>
          </cell>
          <cell r="G3621" t="str">
            <v>Presupuesto</v>
          </cell>
        </row>
        <row r="3622">
          <cell r="A3622" t="str">
            <v>BN</v>
          </cell>
          <cell r="B3622">
            <v>202510</v>
          </cell>
          <cell r="D3622" t="str">
            <v>Venta Cruzada</v>
          </cell>
          <cell r="G3622" t="str">
            <v>Real</v>
          </cell>
        </row>
        <row r="3623">
          <cell r="A3623" t="str">
            <v>BN</v>
          </cell>
          <cell r="B3623">
            <v>202510</v>
          </cell>
          <cell r="D3623" t="str">
            <v>Vida Ahorro Colectivo</v>
          </cell>
          <cell r="G3623" t="str">
            <v>Presupuesto</v>
          </cell>
        </row>
        <row r="3624">
          <cell r="A3624" t="str">
            <v>BN</v>
          </cell>
          <cell r="B3624">
            <v>202510</v>
          </cell>
          <cell r="D3624" t="str">
            <v>Vida Ahorro Colectivo</v>
          </cell>
          <cell r="G3624" t="str">
            <v>Real</v>
          </cell>
        </row>
        <row r="3625">
          <cell r="A3625" t="str">
            <v>BN</v>
          </cell>
          <cell r="B3625">
            <v>202510</v>
          </cell>
          <cell r="D3625" t="str">
            <v>Vida Ahorro Particular</v>
          </cell>
          <cell r="G3625" t="str">
            <v>Presupuesto</v>
          </cell>
        </row>
        <row r="3626">
          <cell r="A3626" t="str">
            <v>BN</v>
          </cell>
          <cell r="B3626">
            <v>202510</v>
          </cell>
          <cell r="D3626" t="str">
            <v>Vida Ahorro Particular</v>
          </cell>
          <cell r="G3626" t="str">
            <v>Real</v>
          </cell>
        </row>
        <row r="3627">
          <cell r="A3627" t="str">
            <v>BN</v>
          </cell>
          <cell r="B3627">
            <v>202510</v>
          </cell>
          <cell r="D3627" t="str">
            <v>Vida Ganado</v>
          </cell>
          <cell r="G3627" t="str">
            <v>Presupuesto</v>
          </cell>
        </row>
        <row r="3628">
          <cell r="A3628" t="str">
            <v>BN</v>
          </cell>
          <cell r="B3628">
            <v>202510</v>
          </cell>
          <cell r="D3628" t="str">
            <v>Vida Ganado</v>
          </cell>
          <cell r="G3628" t="str">
            <v>Real</v>
          </cell>
        </row>
        <row r="3629">
          <cell r="A3629" t="str">
            <v>BN</v>
          </cell>
          <cell r="B3629">
            <v>202510</v>
          </cell>
          <cell r="D3629" t="str">
            <v>Vida Riesgo Colectivo</v>
          </cell>
          <cell r="G3629" t="str">
            <v>Presupuesto</v>
          </cell>
        </row>
        <row r="3630">
          <cell r="A3630" t="str">
            <v>BN</v>
          </cell>
          <cell r="B3630">
            <v>202510</v>
          </cell>
          <cell r="D3630" t="str">
            <v>Vida Riesgo Colectivo</v>
          </cell>
          <cell r="G3630" t="str">
            <v>Real</v>
          </cell>
        </row>
        <row r="3631">
          <cell r="A3631" t="str">
            <v>BN</v>
          </cell>
          <cell r="B3631">
            <v>202510</v>
          </cell>
          <cell r="D3631" t="str">
            <v>Vida Riesgo Particular</v>
          </cell>
          <cell r="G3631" t="str">
            <v>Presupuesto</v>
          </cell>
        </row>
        <row r="3632">
          <cell r="A3632" t="str">
            <v>BN</v>
          </cell>
          <cell r="B3632">
            <v>202510</v>
          </cell>
          <cell r="D3632" t="str">
            <v>Vida Riesgo Particular</v>
          </cell>
          <cell r="G3632" t="str">
            <v>Real</v>
          </cell>
        </row>
        <row r="3633">
          <cell r="A3633" t="str">
            <v>BN</v>
          </cell>
          <cell r="B3633">
            <v>202511</v>
          </cell>
          <cell r="D3633" t="str">
            <v>--</v>
          </cell>
          <cell r="G3633" t="str">
            <v>Presupuesto</v>
          </cell>
        </row>
        <row r="3634">
          <cell r="A3634" t="str">
            <v>BN</v>
          </cell>
          <cell r="B3634">
            <v>202511</v>
          </cell>
          <cell r="D3634" t="str">
            <v>--</v>
          </cell>
          <cell r="G3634" t="str">
            <v>Real</v>
          </cell>
        </row>
        <row r="3635">
          <cell r="A3635" t="str">
            <v>BN</v>
          </cell>
          <cell r="B3635">
            <v>202511</v>
          </cell>
          <cell r="D3635" t="str">
            <v>--</v>
          </cell>
          <cell r="G3635" t="str">
            <v>Presupuesto</v>
          </cell>
        </row>
        <row r="3636">
          <cell r="A3636" t="str">
            <v>BN</v>
          </cell>
          <cell r="B3636">
            <v>202511</v>
          </cell>
          <cell r="D3636" t="str">
            <v>--</v>
          </cell>
          <cell r="G3636" t="str">
            <v>Real</v>
          </cell>
        </row>
        <row r="3637">
          <cell r="A3637" t="str">
            <v>BN</v>
          </cell>
          <cell r="B3637">
            <v>202511</v>
          </cell>
          <cell r="D3637" t="str">
            <v>Arte</v>
          </cell>
          <cell r="G3637" t="str">
            <v>Presupuesto</v>
          </cell>
        </row>
        <row r="3638">
          <cell r="A3638" t="str">
            <v>BN</v>
          </cell>
          <cell r="B3638">
            <v>202511</v>
          </cell>
          <cell r="D3638" t="str">
            <v>Arte</v>
          </cell>
          <cell r="G3638" t="str">
            <v>Real</v>
          </cell>
        </row>
        <row r="3639">
          <cell r="A3639" t="str">
            <v>BN</v>
          </cell>
          <cell r="B3639">
            <v>202511</v>
          </cell>
          <cell r="D3639" t="str">
            <v>Autos</v>
          </cell>
          <cell r="G3639" t="str">
            <v>Presupuesto</v>
          </cell>
        </row>
        <row r="3640">
          <cell r="A3640" t="str">
            <v>BN</v>
          </cell>
          <cell r="B3640">
            <v>202511</v>
          </cell>
          <cell r="D3640" t="str">
            <v>Autos</v>
          </cell>
          <cell r="G3640" t="str">
            <v>Real</v>
          </cell>
        </row>
        <row r="3641">
          <cell r="A3641" t="str">
            <v>BN</v>
          </cell>
          <cell r="B3641">
            <v>202511</v>
          </cell>
          <cell r="D3641" t="str">
            <v>B2B2C</v>
          </cell>
          <cell r="G3641" t="str">
            <v>Presupuesto</v>
          </cell>
        </row>
        <row r="3642">
          <cell r="A3642" t="str">
            <v>BN</v>
          </cell>
          <cell r="B3642">
            <v>202511</v>
          </cell>
          <cell r="D3642" t="str">
            <v>Caución</v>
          </cell>
          <cell r="G3642" t="str">
            <v>Presupuesto</v>
          </cell>
        </row>
        <row r="3643">
          <cell r="A3643" t="str">
            <v>BN</v>
          </cell>
          <cell r="B3643">
            <v>202511</v>
          </cell>
          <cell r="D3643" t="str">
            <v>Caución</v>
          </cell>
          <cell r="G3643" t="str">
            <v>Real</v>
          </cell>
        </row>
        <row r="3644">
          <cell r="A3644" t="str">
            <v>BN</v>
          </cell>
          <cell r="B3644">
            <v>202511</v>
          </cell>
          <cell r="D3644" t="str">
            <v>Crédito Nacional</v>
          </cell>
          <cell r="G3644" t="str">
            <v>Real</v>
          </cell>
        </row>
        <row r="3645">
          <cell r="A3645" t="str">
            <v>BN</v>
          </cell>
          <cell r="B3645">
            <v>202511</v>
          </cell>
          <cell r="D3645" t="str">
            <v>Crédito Internacional</v>
          </cell>
          <cell r="G3645" t="str">
            <v>Presupuesto</v>
          </cell>
        </row>
        <row r="3646">
          <cell r="A3646" t="str">
            <v>BN</v>
          </cell>
          <cell r="B3646">
            <v>202511</v>
          </cell>
          <cell r="D3646" t="str">
            <v>Crédito Nacional</v>
          </cell>
          <cell r="G3646" t="str">
            <v>Presupuesto</v>
          </cell>
        </row>
        <row r="3647">
          <cell r="A3647" t="str">
            <v>BN</v>
          </cell>
          <cell r="B3647">
            <v>202511</v>
          </cell>
          <cell r="D3647" t="str">
            <v>Eventos</v>
          </cell>
          <cell r="G3647" t="str">
            <v>Presupuesto</v>
          </cell>
        </row>
        <row r="3648">
          <cell r="A3648" t="str">
            <v>BN</v>
          </cell>
          <cell r="B3648">
            <v>202511</v>
          </cell>
          <cell r="D3648" t="str">
            <v>Eventos</v>
          </cell>
          <cell r="G3648" t="str">
            <v>Real</v>
          </cell>
        </row>
        <row r="3649">
          <cell r="A3649" t="str">
            <v>BN</v>
          </cell>
          <cell r="B3649">
            <v>202511</v>
          </cell>
          <cell r="D3649" t="str">
            <v>Flotas</v>
          </cell>
          <cell r="G3649" t="str">
            <v>Presupuesto</v>
          </cell>
        </row>
        <row r="3650">
          <cell r="A3650" t="str">
            <v>BN</v>
          </cell>
          <cell r="B3650">
            <v>202511</v>
          </cell>
          <cell r="D3650" t="str">
            <v>Flotas</v>
          </cell>
          <cell r="G3650" t="str">
            <v>Real</v>
          </cell>
        </row>
        <row r="3651">
          <cell r="A3651" t="str">
            <v>BN</v>
          </cell>
          <cell r="B3651">
            <v>202511</v>
          </cell>
          <cell r="D3651" t="str">
            <v>Hogar</v>
          </cell>
          <cell r="G3651" t="str">
            <v>Presupuesto</v>
          </cell>
        </row>
        <row r="3652">
          <cell r="A3652" t="str">
            <v>BN</v>
          </cell>
          <cell r="B3652">
            <v>202511</v>
          </cell>
          <cell r="D3652" t="str">
            <v>Hogar</v>
          </cell>
          <cell r="G3652" t="str">
            <v>Real</v>
          </cell>
        </row>
        <row r="3653">
          <cell r="A3653" t="str">
            <v>BN</v>
          </cell>
          <cell r="B3653">
            <v>202511</v>
          </cell>
          <cell r="D3653" t="str">
            <v>Ingeniería</v>
          </cell>
          <cell r="G3653" t="str">
            <v>Presupuesto</v>
          </cell>
        </row>
        <row r="3654">
          <cell r="A3654" t="str">
            <v>BN</v>
          </cell>
          <cell r="B3654">
            <v>202511</v>
          </cell>
          <cell r="D3654" t="str">
            <v>Ingeniería</v>
          </cell>
          <cell r="G3654" t="str">
            <v>Real</v>
          </cell>
        </row>
        <row r="3655">
          <cell r="A3655" t="str">
            <v>BN</v>
          </cell>
          <cell r="B3655">
            <v>202511</v>
          </cell>
          <cell r="D3655" t="str">
            <v>Inmobiliario</v>
          </cell>
          <cell r="G3655" t="str">
            <v>Presupuesto</v>
          </cell>
        </row>
        <row r="3656">
          <cell r="A3656" t="str">
            <v>BN</v>
          </cell>
          <cell r="B3656">
            <v>202511</v>
          </cell>
          <cell r="D3656" t="str">
            <v>Inmobiliario</v>
          </cell>
          <cell r="G3656" t="str">
            <v>Real</v>
          </cell>
        </row>
        <row r="3657">
          <cell r="A3657" t="str">
            <v>BN</v>
          </cell>
          <cell r="B3657">
            <v>202511</v>
          </cell>
          <cell r="D3657" t="str">
            <v>Líneas Financieras</v>
          </cell>
          <cell r="G3657" t="str">
            <v>Presupuesto</v>
          </cell>
        </row>
        <row r="3658">
          <cell r="A3658" t="str">
            <v>BN</v>
          </cell>
          <cell r="B3658">
            <v>202511</v>
          </cell>
          <cell r="D3658" t="str">
            <v>Líneas Financieras</v>
          </cell>
          <cell r="G3658" t="str">
            <v>Real</v>
          </cell>
        </row>
        <row r="3659">
          <cell r="A3659" t="str">
            <v>BN</v>
          </cell>
          <cell r="B3659">
            <v>202511</v>
          </cell>
          <cell r="D3659" t="str">
            <v>Náutica</v>
          </cell>
          <cell r="G3659" t="str">
            <v>Presupuesto</v>
          </cell>
        </row>
        <row r="3660">
          <cell r="A3660" t="str">
            <v>BN</v>
          </cell>
          <cell r="B3660">
            <v>202511</v>
          </cell>
          <cell r="D3660" t="str">
            <v>Náutica</v>
          </cell>
          <cell r="G3660" t="str">
            <v>Real</v>
          </cell>
        </row>
        <row r="3661">
          <cell r="A3661" t="str">
            <v>BN</v>
          </cell>
          <cell r="B3661">
            <v>202511</v>
          </cell>
          <cell r="D3661" t="str">
            <v>Particulares Resto</v>
          </cell>
          <cell r="G3661" t="str">
            <v>Presupuesto</v>
          </cell>
        </row>
        <row r="3662">
          <cell r="A3662" t="str">
            <v>BN</v>
          </cell>
          <cell r="B3662">
            <v>202511</v>
          </cell>
          <cell r="D3662" t="str">
            <v>Particulares Resto</v>
          </cell>
          <cell r="G3662" t="str">
            <v>Real</v>
          </cell>
        </row>
        <row r="3663">
          <cell r="A3663" t="str">
            <v>BN</v>
          </cell>
          <cell r="B3663">
            <v>202511</v>
          </cell>
          <cell r="D3663" t="str">
            <v>Property</v>
          </cell>
          <cell r="G3663" t="str">
            <v>Presupuesto</v>
          </cell>
        </row>
        <row r="3664">
          <cell r="A3664" t="str">
            <v>BN</v>
          </cell>
          <cell r="B3664">
            <v>202511</v>
          </cell>
          <cell r="D3664" t="str">
            <v>Property</v>
          </cell>
          <cell r="G3664" t="str">
            <v>Real</v>
          </cell>
        </row>
        <row r="3665">
          <cell r="A3665" t="str">
            <v>BN</v>
          </cell>
          <cell r="B3665">
            <v>202511</v>
          </cell>
          <cell r="D3665" t="str">
            <v>RC</v>
          </cell>
          <cell r="G3665" t="str">
            <v>Presupuesto</v>
          </cell>
        </row>
        <row r="3666">
          <cell r="A3666" t="str">
            <v>BN</v>
          </cell>
          <cell r="B3666">
            <v>202511</v>
          </cell>
          <cell r="D3666" t="str">
            <v>RC</v>
          </cell>
          <cell r="G3666" t="str">
            <v>Real</v>
          </cell>
        </row>
        <row r="3667">
          <cell r="A3667" t="str">
            <v>BN</v>
          </cell>
          <cell r="B3667">
            <v>202511</v>
          </cell>
          <cell r="D3667" t="str">
            <v>Resto de lineas</v>
          </cell>
          <cell r="G3667" t="str">
            <v>Presupuesto</v>
          </cell>
        </row>
        <row r="3668">
          <cell r="A3668" t="str">
            <v>BN</v>
          </cell>
          <cell r="B3668">
            <v>202511</v>
          </cell>
          <cell r="D3668" t="str">
            <v>Resto de lineas</v>
          </cell>
          <cell r="G3668" t="str">
            <v>Real</v>
          </cell>
        </row>
        <row r="3669">
          <cell r="A3669" t="str">
            <v>BN</v>
          </cell>
          <cell r="B3669">
            <v>202511</v>
          </cell>
          <cell r="D3669" t="str">
            <v>Retirada</v>
          </cell>
          <cell r="G3669" t="str">
            <v>Presupuesto</v>
          </cell>
        </row>
        <row r="3670">
          <cell r="A3670" t="str">
            <v>BN</v>
          </cell>
          <cell r="B3670">
            <v>202511</v>
          </cell>
          <cell r="D3670" t="str">
            <v>Retirada</v>
          </cell>
          <cell r="G3670" t="str">
            <v>Real</v>
          </cell>
        </row>
        <row r="3671">
          <cell r="A3671" t="str">
            <v>BN</v>
          </cell>
          <cell r="B3671">
            <v>202511</v>
          </cell>
          <cell r="D3671" t="str">
            <v>Seguros Personales (No Vida) Colectivos</v>
          </cell>
          <cell r="G3671" t="str">
            <v>Presupuesto</v>
          </cell>
        </row>
        <row r="3672">
          <cell r="A3672" t="str">
            <v>BN</v>
          </cell>
          <cell r="B3672">
            <v>202511</v>
          </cell>
          <cell r="D3672" t="str">
            <v>Seguros Personales (No Vida) Colectivos</v>
          </cell>
          <cell r="G3672" t="str">
            <v>Real</v>
          </cell>
        </row>
        <row r="3673">
          <cell r="A3673" t="str">
            <v>BN</v>
          </cell>
          <cell r="B3673">
            <v>202511</v>
          </cell>
          <cell r="D3673" t="str">
            <v>Seguros Personales (No Vida) Particular</v>
          </cell>
          <cell r="G3673" t="str">
            <v>Presupuesto</v>
          </cell>
        </row>
        <row r="3674">
          <cell r="A3674" t="str">
            <v>BN</v>
          </cell>
          <cell r="B3674">
            <v>202511</v>
          </cell>
          <cell r="D3674" t="str">
            <v>Seguros Personales (No Vida) Particular</v>
          </cell>
          <cell r="G3674" t="str">
            <v>Real</v>
          </cell>
        </row>
        <row r="3675">
          <cell r="A3675" t="str">
            <v>BN</v>
          </cell>
          <cell r="B3675">
            <v>202511</v>
          </cell>
          <cell r="D3675" t="str">
            <v>Transporte</v>
          </cell>
          <cell r="G3675" t="str">
            <v>Presupuesto</v>
          </cell>
        </row>
        <row r="3676">
          <cell r="A3676" t="str">
            <v>BN</v>
          </cell>
          <cell r="B3676">
            <v>202511</v>
          </cell>
          <cell r="D3676" t="str">
            <v>Transporte</v>
          </cell>
          <cell r="G3676" t="str">
            <v>Real</v>
          </cell>
        </row>
        <row r="3677">
          <cell r="A3677" t="str">
            <v>BN</v>
          </cell>
          <cell r="B3677">
            <v>202511</v>
          </cell>
          <cell r="D3677" t="str">
            <v>Venta Cruzada</v>
          </cell>
          <cell r="G3677" t="str">
            <v>Presupuesto</v>
          </cell>
        </row>
        <row r="3678">
          <cell r="A3678" t="str">
            <v>BN</v>
          </cell>
          <cell r="B3678">
            <v>202511</v>
          </cell>
          <cell r="D3678" t="str">
            <v>Venta Cruzada</v>
          </cell>
          <cell r="G3678" t="str">
            <v>Real</v>
          </cell>
        </row>
        <row r="3679">
          <cell r="A3679" t="str">
            <v>BN</v>
          </cell>
          <cell r="B3679">
            <v>202511</v>
          </cell>
          <cell r="D3679" t="str">
            <v>Vida Ahorro Colectivo</v>
          </cell>
          <cell r="G3679" t="str">
            <v>Presupuesto</v>
          </cell>
        </row>
        <row r="3680">
          <cell r="A3680" t="str">
            <v>BN</v>
          </cell>
          <cell r="B3680">
            <v>202511</v>
          </cell>
          <cell r="D3680" t="str">
            <v>Vida Ahorro Colectivo</v>
          </cell>
          <cell r="G3680" t="str">
            <v>Real</v>
          </cell>
        </row>
        <row r="3681">
          <cell r="A3681" t="str">
            <v>BN</v>
          </cell>
          <cell r="B3681">
            <v>202511</v>
          </cell>
          <cell r="D3681" t="str">
            <v>Vida Ahorro Particular</v>
          </cell>
          <cell r="G3681" t="str">
            <v>Presupuesto</v>
          </cell>
        </row>
        <row r="3682">
          <cell r="A3682" t="str">
            <v>BN</v>
          </cell>
          <cell r="B3682">
            <v>202511</v>
          </cell>
          <cell r="D3682" t="str">
            <v>Vida Ahorro Particular</v>
          </cell>
          <cell r="G3682" t="str">
            <v>Real</v>
          </cell>
        </row>
        <row r="3683">
          <cell r="A3683" t="str">
            <v>BN</v>
          </cell>
          <cell r="B3683">
            <v>202511</v>
          </cell>
          <cell r="D3683" t="str">
            <v>Vida Ganado</v>
          </cell>
          <cell r="G3683" t="str">
            <v>Presupuesto</v>
          </cell>
        </row>
        <row r="3684">
          <cell r="A3684" t="str">
            <v>BN</v>
          </cell>
          <cell r="B3684">
            <v>202511</v>
          </cell>
          <cell r="D3684" t="str">
            <v>Vida Ganado</v>
          </cell>
          <cell r="G3684" t="str">
            <v>Real</v>
          </cell>
        </row>
        <row r="3685">
          <cell r="A3685" t="str">
            <v>BN</v>
          </cell>
          <cell r="B3685">
            <v>202511</v>
          </cell>
          <cell r="D3685" t="str">
            <v>Vida Riesgo Colectivo</v>
          </cell>
          <cell r="G3685" t="str">
            <v>Presupuesto</v>
          </cell>
        </row>
        <row r="3686">
          <cell r="A3686" t="str">
            <v>BN</v>
          </cell>
          <cell r="B3686">
            <v>202511</v>
          </cell>
          <cell r="D3686" t="str">
            <v>Vida Riesgo Colectivo</v>
          </cell>
          <cell r="G3686" t="str">
            <v>Real</v>
          </cell>
        </row>
        <row r="3687">
          <cell r="A3687" t="str">
            <v>BN</v>
          </cell>
          <cell r="B3687">
            <v>202511</v>
          </cell>
          <cell r="D3687" t="str">
            <v>Vida Riesgo Particular</v>
          </cell>
          <cell r="G3687" t="str">
            <v>Presupuesto</v>
          </cell>
        </row>
        <row r="3688">
          <cell r="A3688" t="str">
            <v>BN</v>
          </cell>
          <cell r="B3688">
            <v>202511</v>
          </cell>
          <cell r="D3688" t="str">
            <v>Vida Riesgo Particular</v>
          </cell>
          <cell r="G3688" t="str">
            <v>Real</v>
          </cell>
        </row>
        <row r="3689">
          <cell r="A3689" t="str">
            <v>BN</v>
          </cell>
          <cell r="B3689">
            <v>202512</v>
          </cell>
          <cell r="D3689" t="str">
            <v>--</v>
          </cell>
          <cell r="G3689" t="str">
            <v>Presupuesto</v>
          </cell>
        </row>
        <row r="3690">
          <cell r="A3690" t="str">
            <v>BN</v>
          </cell>
          <cell r="B3690">
            <v>202512</v>
          </cell>
          <cell r="D3690" t="str">
            <v>--</v>
          </cell>
          <cell r="G3690" t="str">
            <v>Real</v>
          </cell>
        </row>
        <row r="3691">
          <cell r="A3691" t="str">
            <v>BN</v>
          </cell>
          <cell r="B3691">
            <v>202512</v>
          </cell>
          <cell r="D3691" t="str">
            <v>--</v>
          </cell>
          <cell r="G3691" t="str">
            <v>Presupuesto</v>
          </cell>
        </row>
        <row r="3692">
          <cell r="A3692" t="str">
            <v>BN</v>
          </cell>
          <cell r="B3692">
            <v>202512</v>
          </cell>
          <cell r="D3692" t="str">
            <v>--</v>
          </cell>
          <cell r="G3692" t="str">
            <v>Real</v>
          </cell>
        </row>
        <row r="3693">
          <cell r="A3693" t="str">
            <v>BN</v>
          </cell>
          <cell r="B3693">
            <v>202512</v>
          </cell>
          <cell r="D3693" t="str">
            <v>Arte</v>
          </cell>
          <cell r="G3693" t="str">
            <v>Presupuesto</v>
          </cell>
        </row>
        <row r="3694">
          <cell r="A3694" t="str">
            <v>BN</v>
          </cell>
          <cell r="B3694">
            <v>202512</v>
          </cell>
          <cell r="D3694" t="str">
            <v>Arte</v>
          </cell>
          <cell r="G3694" t="str">
            <v>Real</v>
          </cell>
        </row>
        <row r="3695">
          <cell r="A3695" t="str">
            <v>BN</v>
          </cell>
          <cell r="B3695">
            <v>202512</v>
          </cell>
          <cell r="D3695" t="str">
            <v>Autos</v>
          </cell>
          <cell r="G3695" t="str">
            <v>Presupuesto</v>
          </cell>
        </row>
        <row r="3696">
          <cell r="A3696" t="str">
            <v>BN</v>
          </cell>
          <cell r="B3696">
            <v>202512</v>
          </cell>
          <cell r="D3696" t="str">
            <v>Autos</v>
          </cell>
          <cell r="G3696" t="str">
            <v>Real</v>
          </cell>
        </row>
        <row r="3697">
          <cell r="A3697" t="str">
            <v>BN</v>
          </cell>
          <cell r="B3697">
            <v>202512</v>
          </cell>
          <cell r="D3697" t="str">
            <v>B2B2C</v>
          </cell>
          <cell r="G3697" t="str">
            <v>Presupuesto</v>
          </cell>
        </row>
        <row r="3698">
          <cell r="A3698" t="str">
            <v>BN</v>
          </cell>
          <cell r="B3698">
            <v>202512</v>
          </cell>
          <cell r="D3698" t="str">
            <v>Caución</v>
          </cell>
          <cell r="G3698" t="str">
            <v>Presupuesto</v>
          </cell>
        </row>
        <row r="3699">
          <cell r="A3699" t="str">
            <v>BN</v>
          </cell>
          <cell r="B3699">
            <v>202512</v>
          </cell>
          <cell r="D3699" t="str">
            <v>Caución</v>
          </cell>
          <cell r="G3699" t="str">
            <v>Real</v>
          </cell>
        </row>
        <row r="3700">
          <cell r="A3700" t="str">
            <v>BN</v>
          </cell>
          <cell r="B3700">
            <v>202512</v>
          </cell>
          <cell r="D3700" t="str">
            <v>Crédito Nacional</v>
          </cell>
          <cell r="G3700" t="str">
            <v>Real</v>
          </cell>
        </row>
        <row r="3701">
          <cell r="A3701" t="str">
            <v>BN</v>
          </cell>
          <cell r="B3701">
            <v>202512</v>
          </cell>
          <cell r="D3701" t="str">
            <v>Crédito Internacional</v>
          </cell>
          <cell r="G3701" t="str">
            <v>Presupuesto</v>
          </cell>
        </row>
        <row r="3702">
          <cell r="A3702" t="str">
            <v>BN</v>
          </cell>
          <cell r="B3702">
            <v>202512</v>
          </cell>
          <cell r="D3702" t="str">
            <v>Crédito Nacional</v>
          </cell>
          <cell r="G3702" t="str">
            <v>Presupuesto</v>
          </cell>
        </row>
        <row r="3703">
          <cell r="A3703" t="str">
            <v>BN</v>
          </cell>
          <cell r="B3703">
            <v>202512</v>
          </cell>
          <cell r="D3703" t="str">
            <v>Eventos</v>
          </cell>
          <cell r="G3703" t="str">
            <v>Presupuesto</v>
          </cell>
        </row>
        <row r="3704">
          <cell r="A3704" t="str">
            <v>BN</v>
          </cell>
          <cell r="B3704">
            <v>202512</v>
          </cell>
          <cell r="D3704" t="str">
            <v>Eventos</v>
          </cell>
          <cell r="G3704" t="str">
            <v>Real</v>
          </cell>
        </row>
        <row r="3705">
          <cell r="A3705" t="str">
            <v>BN</v>
          </cell>
          <cell r="B3705">
            <v>202512</v>
          </cell>
          <cell r="D3705" t="str">
            <v>Flotas</v>
          </cell>
          <cell r="G3705" t="str">
            <v>Presupuesto</v>
          </cell>
        </row>
        <row r="3706">
          <cell r="A3706" t="str">
            <v>BN</v>
          </cell>
          <cell r="B3706">
            <v>202512</v>
          </cell>
          <cell r="D3706" t="str">
            <v>Flotas</v>
          </cell>
          <cell r="G3706" t="str">
            <v>Real</v>
          </cell>
        </row>
        <row r="3707">
          <cell r="A3707" t="str">
            <v>BN</v>
          </cell>
          <cell r="B3707">
            <v>202512</v>
          </cell>
          <cell r="D3707" t="str">
            <v>Hogar</v>
          </cell>
          <cell r="G3707" t="str">
            <v>Presupuesto</v>
          </cell>
        </row>
        <row r="3708">
          <cell r="A3708" t="str">
            <v>BN</v>
          </cell>
          <cell r="B3708">
            <v>202512</v>
          </cell>
          <cell r="D3708" t="str">
            <v>Hogar</v>
          </cell>
          <cell r="G3708" t="str">
            <v>Real</v>
          </cell>
        </row>
        <row r="3709">
          <cell r="A3709" t="str">
            <v>BN</v>
          </cell>
          <cell r="B3709">
            <v>202512</v>
          </cell>
          <cell r="D3709" t="str">
            <v>Ingeniería</v>
          </cell>
          <cell r="G3709" t="str">
            <v>Presupuesto</v>
          </cell>
        </row>
        <row r="3710">
          <cell r="A3710" t="str">
            <v>BN</v>
          </cell>
          <cell r="B3710">
            <v>202512</v>
          </cell>
          <cell r="D3710" t="str">
            <v>Ingeniería</v>
          </cell>
          <cell r="G3710" t="str">
            <v>Real</v>
          </cell>
        </row>
        <row r="3711">
          <cell r="A3711" t="str">
            <v>BN</v>
          </cell>
          <cell r="B3711">
            <v>202512</v>
          </cell>
          <cell r="D3711" t="str">
            <v>Inmobiliario</v>
          </cell>
          <cell r="G3711" t="str">
            <v>Presupuesto</v>
          </cell>
        </row>
        <row r="3712">
          <cell r="A3712" t="str">
            <v>BN</v>
          </cell>
          <cell r="B3712">
            <v>202512</v>
          </cell>
          <cell r="D3712" t="str">
            <v>Líneas Financieras</v>
          </cell>
          <cell r="G3712" t="str">
            <v>Presupuesto</v>
          </cell>
        </row>
        <row r="3713">
          <cell r="A3713" t="str">
            <v>BN</v>
          </cell>
          <cell r="B3713">
            <v>202512</v>
          </cell>
          <cell r="D3713" t="str">
            <v>Líneas Financieras</v>
          </cell>
          <cell r="G3713" t="str">
            <v>Real</v>
          </cell>
        </row>
        <row r="3714">
          <cell r="A3714" t="str">
            <v>BN</v>
          </cell>
          <cell r="B3714">
            <v>202512</v>
          </cell>
          <cell r="D3714" t="str">
            <v>Náutica</v>
          </cell>
          <cell r="G3714" t="str">
            <v>Presupuesto</v>
          </cell>
        </row>
        <row r="3715">
          <cell r="A3715" t="str">
            <v>BN</v>
          </cell>
          <cell r="B3715">
            <v>202512</v>
          </cell>
          <cell r="D3715" t="str">
            <v>Náutica</v>
          </cell>
          <cell r="G3715" t="str">
            <v>Real</v>
          </cell>
        </row>
        <row r="3716">
          <cell r="A3716" t="str">
            <v>BN</v>
          </cell>
          <cell r="B3716">
            <v>202512</v>
          </cell>
          <cell r="D3716" t="str">
            <v>Particulares Resto</v>
          </cell>
          <cell r="G3716" t="str">
            <v>Presupuesto</v>
          </cell>
        </row>
        <row r="3717">
          <cell r="A3717" t="str">
            <v>BN</v>
          </cell>
          <cell r="B3717">
            <v>202512</v>
          </cell>
          <cell r="D3717" t="str">
            <v>Particulares Resto</v>
          </cell>
          <cell r="G3717" t="str">
            <v>Real</v>
          </cell>
        </row>
        <row r="3718">
          <cell r="A3718" t="str">
            <v>BN</v>
          </cell>
          <cell r="B3718">
            <v>202512</v>
          </cell>
          <cell r="D3718" t="str">
            <v>Property</v>
          </cell>
          <cell r="G3718" t="str">
            <v>Presupuesto</v>
          </cell>
        </row>
        <row r="3719">
          <cell r="A3719" t="str">
            <v>BN</v>
          </cell>
          <cell r="B3719">
            <v>202512</v>
          </cell>
          <cell r="D3719" t="str">
            <v>Property</v>
          </cell>
          <cell r="G3719" t="str">
            <v>Real</v>
          </cell>
        </row>
        <row r="3720">
          <cell r="A3720" t="str">
            <v>BN</v>
          </cell>
          <cell r="B3720">
            <v>202512</v>
          </cell>
          <cell r="D3720" t="str">
            <v>RC</v>
          </cell>
          <cell r="G3720" t="str">
            <v>Presupuesto</v>
          </cell>
        </row>
        <row r="3721">
          <cell r="A3721" t="str">
            <v>BN</v>
          </cell>
          <cell r="B3721">
            <v>202512</v>
          </cell>
          <cell r="D3721" t="str">
            <v>RC</v>
          </cell>
          <cell r="G3721" t="str">
            <v>Real</v>
          </cell>
        </row>
        <row r="3722">
          <cell r="A3722" t="str">
            <v>BN</v>
          </cell>
          <cell r="B3722">
            <v>202512</v>
          </cell>
          <cell r="D3722" t="str">
            <v>Resto de lineas</v>
          </cell>
          <cell r="G3722" t="str">
            <v>Presupuesto</v>
          </cell>
        </row>
        <row r="3723">
          <cell r="A3723" t="str">
            <v>BN</v>
          </cell>
          <cell r="B3723">
            <v>202512</v>
          </cell>
          <cell r="D3723" t="str">
            <v>Resto de lineas</v>
          </cell>
          <cell r="G3723" t="str">
            <v>Real</v>
          </cell>
        </row>
        <row r="3724">
          <cell r="A3724" t="str">
            <v>BN</v>
          </cell>
          <cell r="B3724">
            <v>202512</v>
          </cell>
          <cell r="D3724" t="str">
            <v>Retirada</v>
          </cell>
          <cell r="G3724" t="str">
            <v>Presupuesto</v>
          </cell>
        </row>
        <row r="3725">
          <cell r="A3725" t="str">
            <v>BN</v>
          </cell>
          <cell r="B3725">
            <v>202512</v>
          </cell>
          <cell r="D3725" t="str">
            <v>Retirada</v>
          </cell>
          <cell r="G3725" t="str">
            <v>Real</v>
          </cell>
        </row>
        <row r="3726">
          <cell r="A3726" t="str">
            <v>BN</v>
          </cell>
          <cell r="B3726">
            <v>202512</v>
          </cell>
          <cell r="D3726" t="str">
            <v>Seguros Personales (No Vida) Colectivos</v>
          </cell>
          <cell r="G3726" t="str">
            <v>Presupuesto</v>
          </cell>
        </row>
        <row r="3727">
          <cell r="A3727" t="str">
            <v>BN</v>
          </cell>
          <cell r="B3727">
            <v>202512</v>
          </cell>
          <cell r="D3727" t="str">
            <v>Seguros Personales (No Vida) Colectivos</v>
          </cell>
          <cell r="G3727" t="str">
            <v>Real</v>
          </cell>
        </row>
        <row r="3728">
          <cell r="A3728" t="str">
            <v>BN</v>
          </cell>
          <cell r="B3728">
            <v>202512</v>
          </cell>
          <cell r="D3728" t="str">
            <v>Seguros Personales (No Vida) Particular</v>
          </cell>
          <cell r="G3728" t="str">
            <v>Presupuesto</v>
          </cell>
        </row>
        <row r="3729">
          <cell r="A3729" t="str">
            <v>BN</v>
          </cell>
          <cell r="B3729">
            <v>202512</v>
          </cell>
          <cell r="D3729" t="str">
            <v>Seguros Personales (No Vida) Particular</v>
          </cell>
          <cell r="G3729" t="str">
            <v>Real</v>
          </cell>
        </row>
        <row r="3730">
          <cell r="A3730" t="str">
            <v>BN</v>
          </cell>
          <cell r="B3730">
            <v>202512</v>
          </cell>
          <cell r="D3730" t="str">
            <v>Transporte</v>
          </cell>
          <cell r="G3730" t="str">
            <v>Presupuesto</v>
          </cell>
        </row>
        <row r="3731">
          <cell r="A3731" t="str">
            <v>BN</v>
          </cell>
          <cell r="B3731">
            <v>202512</v>
          </cell>
          <cell r="D3731" t="str">
            <v>Transporte</v>
          </cell>
          <cell r="G3731" t="str">
            <v>Real</v>
          </cell>
        </row>
        <row r="3732">
          <cell r="A3732" t="str">
            <v>BN</v>
          </cell>
          <cell r="B3732">
            <v>202512</v>
          </cell>
          <cell r="D3732" t="str">
            <v>Venta Cruzada</v>
          </cell>
          <cell r="G3732" t="str">
            <v>Presupuesto</v>
          </cell>
        </row>
        <row r="3733">
          <cell r="A3733" t="str">
            <v>BN</v>
          </cell>
          <cell r="B3733">
            <v>202512</v>
          </cell>
          <cell r="D3733" t="str">
            <v>Venta Cruzada</v>
          </cell>
          <cell r="G3733" t="str">
            <v>Real</v>
          </cell>
        </row>
        <row r="3734">
          <cell r="A3734" t="str">
            <v>BN</v>
          </cell>
          <cell r="B3734">
            <v>202512</v>
          </cell>
          <cell r="D3734" t="str">
            <v>Vida Ahorro Colectivo</v>
          </cell>
          <cell r="G3734" t="str">
            <v>Presupuesto</v>
          </cell>
        </row>
        <row r="3735">
          <cell r="A3735" t="str">
            <v>BN</v>
          </cell>
          <cell r="B3735">
            <v>202512</v>
          </cell>
          <cell r="D3735" t="str">
            <v>Vida Ahorro Colectivo</v>
          </cell>
          <cell r="G3735" t="str">
            <v>Real</v>
          </cell>
        </row>
        <row r="3736">
          <cell r="A3736" t="str">
            <v>BN</v>
          </cell>
          <cell r="B3736">
            <v>202512</v>
          </cell>
          <cell r="D3736" t="str">
            <v>Vida Ahorro Particular</v>
          </cell>
          <cell r="G3736" t="str">
            <v>Presupuesto</v>
          </cell>
        </row>
        <row r="3737">
          <cell r="A3737" t="str">
            <v>BN</v>
          </cell>
          <cell r="B3737">
            <v>202512</v>
          </cell>
          <cell r="D3737" t="str">
            <v>Vida Ahorro Particular</v>
          </cell>
          <cell r="G3737" t="str">
            <v>Real</v>
          </cell>
        </row>
        <row r="3738">
          <cell r="A3738" t="str">
            <v>BN</v>
          </cell>
          <cell r="B3738">
            <v>202512</v>
          </cell>
          <cell r="D3738" t="str">
            <v>Vida Ganado</v>
          </cell>
          <cell r="G3738" t="str">
            <v>Presupuesto</v>
          </cell>
        </row>
        <row r="3739">
          <cell r="A3739" t="str">
            <v>BN</v>
          </cell>
          <cell r="B3739">
            <v>202512</v>
          </cell>
          <cell r="D3739" t="str">
            <v>Vida Ganado</v>
          </cell>
          <cell r="G3739" t="str">
            <v>Real</v>
          </cell>
        </row>
        <row r="3740">
          <cell r="A3740" t="str">
            <v>BN</v>
          </cell>
          <cell r="B3740">
            <v>202512</v>
          </cell>
          <cell r="D3740" t="str">
            <v>Vida Riesgo Colectivo</v>
          </cell>
          <cell r="G3740" t="str">
            <v>Presupuesto</v>
          </cell>
        </row>
        <row r="3741">
          <cell r="A3741" t="str">
            <v>BN</v>
          </cell>
          <cell r="B3741">
            <v>202512</v>
          </cell>
          <cell r="D3741" t="str">
            <v>Vida Riesgo Colectivo</v>
          </cell>
          <cell r="G3741" t="str">
            <v>Real</v>
          </cell>
        </row>
        <row r="3742">
          <cell r="A3742" t="str">
            <v>BN</v>
          </cell>
          <cell r="B3742">
            <v>202512</v>
          </cell>
          <cell r="D3742" t="str">
            <v>Vida Riesgo Particular</v>
          </cell>
          <cell r="G3742" t="str">
            <v>Presupuesto</v>
          </cell>
        </row>
        <row r="3743">
          <cell r="A3743" t="str">
            <v>BN</v>
          </cell>
          <cell r="B3743">
            <v>202512</v>
          </cell>
          <cell r="D3743" t="str">
            <v>Vida Riesgo Particular</v>
          </cell>
          <cell r="G3743" t="str">
            <v>Real</v>
          </cell>
        </row>
        <row r="3744">
          <cell r="A3744" t="str">
            <v>BRC</v>
          </cell>
          <cell r="B3744">
            <v>202301</v>
          </cell>
          <cell r="D3744" t="str">
            <v>--</v>
          </cell>
          <cell r="G3744" t="str">
            <v>Real</v>
          </cell>
        </row>
        <row r="3745">
          <cell r="A3745" t="str">
            <v>BRC</v>
          </cell>
          <cell r="B3745">
            <v>202301</v>
          </cell>
          <cell r="D3745" t="str">
            <v>Resto de lineas</v>
          </cell>
          <cell r="G3745" t="str">
            <v>Real</v>
          </cell>
        </row>
        <row r="3746">
          <cell r="A3746" t="str">
            <v>BRC</v>
          </cell>
          <cell r="B3746">
            <v>202301</v>
          </cell>
          <cell r="D3746" t="str">
            <v>Retirada</v>
          </cell>
          <cell r="G3746" t="str">
            <v>Real</v>
          </cell>
        </row>
        <row r="3747">
          <cell r="A3747" t="str">
            <v>BRC</v>
          </cell>
          <cell r="B3747">
            <v>202302</v>
          </cell>
          <cell r="D3747" t="str">
            <v>--</v>
          </cell>
          <cell r="G3747" t="str">
            <v>Real</v>
          </cell>
        </row>
        <row r="3748">
          <cell r="A3748" t="str">
            <v>BRC</v>
          </cell>
          <cell r="B3748">
            <v>202302</v>
          </cell>
          <cell r="D3748" t="str">
            <v>--</v>
          </cell>
          <cell r="G3748" t="str">
            <v>Real</v>
          </cell>
        </row>
        <row r="3749">
          <cell r="A3749" t="str">
            <v>BRC</v>
          </cell>
          <cell r="B3749">
            <v>202302</v>
          </cell>
          <cell r="D3749" t="str">
            <v>Resto de lineas</v>
          </cell>
          <cell r="G3749" t="str">
            <v>Real</v>
          </cell>
        </row>
        <row r="3750">
          <cell r="A3750" t="str">
            <v>BRC</v>
          </cell>
          <cell r="B3750">
            <v>202302</v>
          </cell>
          <cell r="D3750" t="str">
            <v>Retirada</v>
          </cell>
          <cell r="G3750" t="str">
            <v>Real</v>
          </cell>
        </row>
        <row r="3751">
          <cell r="A3751" t="str">
            <v>BRC</v>
          </cell>
          <cell r="B3751">
            <v>202303</v>
          </cell>
          <cell r="D3751" t="str">
            <v>--</v>
          </cell>
          <cell r="G3751" t="str">
            <v>Real</v>
          </cell>
        </row>
        <row r="3752">
          <cell r="A3752" t="str">
            <v>BRC</v>
          </cell>
          <cell r="B3752">
            <v>202303</v>
          </cell>
          <cell r="D3752" t="str">
            <v>Resto de lineas</v>
          </cell>
          <cell r="G3752" t="str">
            <v>Real</v>
          </cell>
        </row>
        <row r="3753">
          <cell r="A3753" t="str">
            <v>BRC</v>
          </cell>
          <cell r="B3753">
            <v>202303</v>
          </cell>
          <cell r="D3753" t="str">
            <v>Retirada</v>
          </cell>
          <cell r="G3753" t="str">
            <v>Real</v>
          </cell>
        </row>
        <row r="3754">
          <cell r="A3754" t="str">
            <v>BRC</v>
          </cell>
          <cell r="B3754">
            <v>202303</v>
          </cell>
          <cell r="D3754" t="str">
            <v>Vida Ganado</v>
          </cell>
          <cell r="G3754" t="str">
            <v>Real</v>
          </cell>
        </row>
        <row r="3755">
          <cell r="A3755" t="str">
            <v>BRC</v>
          </cell>
          <cell r="B3755">
            <v>202304</v>
          </cell>
          <cell r="D3755" t="str">
            <v>--</v>
          </cell>
          <cell r="G3755" t="str">
            <v>Real</v>
          </cell>
        </row>
        <row r="3756">
          <cell r="A3756" t="str">
            <v>BRC</v>
          </cell>
          <cell r="B3756">
            <v>202304</v>
          </cell>
          <cell r="D3756" t="str">
            <v>Resto de lineas</v>
          </cell>
          <cell r="G3756" t="str">
            <v>Real</v>
          </cell>
        </row>
        <row r="3757">
          <cell r="A3757" t="str">
            <v>BRC</v>
          </cell>
          <cell r="B3757">
            <v>202304</v>
          </cell>
          <cell r="D3757" t="str">
            <v>Retirada</v>
          </cell>
          <cell r="G3757" t="str">
            <v>Real</v>
          </cell>
        </row>
        <row r="3758">
          <cell r="A3758" t="str">
            <v>BRC</v>
          </cell>
          <cell r="B3758">
            <v>202305</v>
          </cell>
          <cell r="D3758" t="str">
            <v>--</v>
          </cell>
          <cell r="G3758" t="str">
            <v>Real</v>
          </cell>
        </row>
        <row r="3759">
          <cell r="A3759" t="str">
            <v>BRC</v>
          </cell>
          <cell r="B3759">
            <v>202305</v>
          </cell>
          <cell r="D3759" t="str">
            <v>Resto de lineas</v>
          </cell>
          <cell r="G3759" t="str">
            <v>Real</v>
          </cell>
        </row>
        <row r="3760">
          <cell r="A3760" t="str">
            <v>BRC</v>
          </cell>
          <cell r="B3760">
            <v>202305</v>
          </cell>
          <cell r="D3760" t="str">
            <v>Retirada</v>
          </cell>
          <cell r="G3760" t="str">
            <v>Real</v>
          </cell>
        </row>
        <row r="3761">
          <cell r="A3761" t="str">
            <v>BRC</v>
          </cell>
          <cell r="B3761">
            <v>202306</v>
          </cell>
          <cell r="D3761" t="str">
            <v>--</v>
          </cell>
          <cell r="G3761" t="str">
            <v>Real</v>
          </cell>
        </row>
        <row r="3762">
          <cell r="A3762" t="str">
            <v>BRC</v>
          </cell>
          <cell r="B3762">
            <v>202306</v>
          </cell>
          <cell r="D3762" t="str">
            <v>Resto de lineas</v>
          </cell>
          <cell r="G3762" t="str">
            <v>Real</v>
          </cell>
        </row>
        <row r="3763">
          <cell r="A3763" t="str">
            <v>BRC</v>
          </cell>
          <cell r="B3763">
            <v>202307</v>
          </cell>
          <cell r="D3763" t="str">
            <v>--</v>
          </cell>
          <cell r="G3763" t="str">
            <v>Real</v>
          </cell>
        </row>
        <row r="3764">
          <cell r="A3764" t="str">
            <v>BRC</v>
          </cell>
          <cell r="B3764">
            <v>202307</v>
          </cell>
          <cell r="D3764" t="str">
            <v>Retirada</v>
          </cell>
          <cell r="G3764" t="str">
            <v>Real</v>
          </cell>
        </row>
        <row r="3765">
          <cell r="A3765" t="str">
            <v>BRC</v>
          </cell>
          <cell r="B3765">
            <v>202307</v>
          </cell>
          <cell r="D3765" t="str">
            <v>Vida Ganado</v>
          </cell>
          <cell r="G3765" t="str">
            <v>Real</v>
          </cell>
        </row>
        <row r="3766">
          <cell r="A3766" t="str">
            <v>BRC</v>
          </cell>
          <cell r="B3766">
            <v>202308</v>
          </cell>
          <cell r="D3766" t="str">
            <v>--</v>
          </cell>
          <cell r="G3766" t="str">
            <v>Real</v>
          </cell>
        </row>
        <row r="3767">
          <cell r="A3767" t="str">
            <v>BRC</v>
          </cell>
          <cell r="B3767">
            <v>202308</v>
          </cell>
          <cell r="D3767" t="str">
            <v>Retirada</v>
          </cell>
          <cell r="G3767" t="str">
            <v>Real</v>
          </cell>
        </row>
        <row r="3768">
          <cell r="A3768" t="str">
            <v>BRC</v>
          </cell>
          <cell r="B3768">
            <v>202309</v>
          </cell>
          <cell r="D3768" t="str">
            <v>--</v>
          </cell>
          <cell r="G3768" t="str">
            <v>Real</v>
          </cell>
        </row>
        <row r="3769">
          <cell r="A3769" t="str">
            <v>BRC</v>
          </cell>
          <cell r="B3769">
            <v>202309</v>
          </cell>
          <cell r="D3769" t="str">
            <v>Resto de lineas</v>
          </cell>
          <cell r="G3769" t="str">
            <v>Real</v>
          </cell>
        </row>
        <row r="3770">
          <cell r="A3770" t="str">
            <v>BRC</v>
          </cell>
          <cell r="B3770">
            <v>202309</v>
          </cell>
          <cell r="D3770" t="str">
            <v>Retirada</v>
          </cell>
          <cell r="G3770" t="str">
            <v>Real</v>
          </cell>
        </row>
        <row r="3771">
          <cell r="A3771" t="str">
            <v>BRC</v>
          </cell>
          <cell r="B3771">
            <v>202310</v>
          </cell>
          <cell r="D3771" t="str">
            <v>--</v>
          </cell>
          <cell r="G3771" t="str">
            <v>Real</v>
          </cell>
        </row>
        <row r="3772">
          <cell r="A3772" t="str">
            <v>BRC</v>
          </cell>
          <cell r="B3772">
            <v>202310</v>
          </cell>
          <cell r="D3772" t="str">
            <v>Resto de lineas</v>
          </cell>
          <cell r="G3772" t="str">
            <v>Real</v>
          </cell>
        </row>
        <row r="3773">
          <cell r="A3773" t="str">
            <v>BRC</v>
          </cell>
          <cell r="B3773">
            <v>202310</v>
          </cell>
          <cell r="D3773" t="str">
            <v>Retirada</v>
          </cell>
          <cell r="G3773" t="str">
            <v>Real</v>
          </cell>
        </row>
        <row r="3774">
          <cell r="A3774" t="str">
            <v>BRC</v>
          </cell>
          <cell r="B3774">
            <v>202311</v>
          </cell>
          <cell r="D3774" t="str">
            <v>--</v>
          </cell>
          <cell r="G3774" t="str">
            <v>Real</v>
          </cell>
        </row>
        <row r="3775">
          <cell r="A3775" t="str">
            <v>BRC</v>
          </cell>
          <cell r="B3775">
            <v>202311</v>
          </cell>
          <cell r="D3775" t="str">
            <v>Resto de lineas</v>
          </cell>
          <cell r="G3775" t="str">
            <v>Real</v>
          </cell>
        </row>
        <row r="3776">
          <cell r="A3776" t="str">
            <v>BRC</v>
          </cell>
          <cell r="B3776">
            <v>202311</v>
          </cell>
          <cell r="D3776" t="str">
            <v>Retirada</v>
          </cell>
          <cell r="G3776" t="str">
            <v>Real</v>
          </cell>
        </row>
        <row r="3777">
          <cell r="A3777" t="str">
            <v>BRC</v>
          </cell>
          <cell r="B3777">
            <v>202311</v>
          </cell>
          <cell r="D3777" t="str">
            <v>Vida Ganado</v>
          </cell>
          <cell r="G3777" t="str">
            <v>Real</v>
          </cell>
        </row>
        <row r="3778">
          <cell r="A3778" t="str">
            <v>BRC</v>
          </cell>
          <cell r="B3778">
            <v>202312</v>
          </cell>
          <cell r="D3778" t="str">
            <v>--</v>
          </cell>
          <cell r="G3778" t="str">
            <v>Real</v>
          </cell>
        </row>
        <row r="3779">
          <cell r="A3779" t="str">
            <v>BRC</v>
          </cell>
          <cell r="B3779">
            <v>202312</v>
          </cell>
          <cell r="D3779" t="str">
            <v>Resto de lineas</v>
          </cell>
          <cell r="G3779" t="str">
            <v>Real</v>
          </cell>
        </row>
        <row r="3780">
          <cell r="A3780" t="str">
            <v>BRC</v>
          </cell>
          <cell r="B3780">
            <v>202312</v>
          </cell>
          <cell r="D3780" t="str">
            <v>Retirada</v>
          </cell>
          <cell r="G3780" t="str">
            <v>Real</v>
          </cell>
        </row>
        <row r="3781">
          <cell r="A3781" t="str">
            <v>BRC</v>
          </cell>
          <cell r="B3781">
            <v>202401</v>
          </cell>
          <cell r="D3781" t="str">
            <v>--</v>
          </cell>
          <cell r="G3781" t="str">
            <v>Real</v>
          </cell>
        </row>
        <row r="3782">
          <cell r="A3782" t="str">
            <v>BRC</v>
          </cell>
          <cell r="B3782">
            <v>202401</v>
          </cell>
          <cell r="D3782" t="str">
            <v>Autos</v>
          </cell>
          <cell r="G3782" t="str">
            <v>Real</v>
          </cell>
        </row>
        <row r="3783">
          <cell r="A3783" t="str">
            <v>BRC</v>
          </cell>
          <cell r="B3783">
            <v>202401</v>
          </cell>
          <cell r="D3783" t="str">
            <v>Flotas</v>
          </cell>
          <cell r="G3783" t="str">
            <v>Real</v>
          </cell>
        </row>
        <row r="3784">
          <cell r="A3784" t="str">
            <v>BRC</v>
          </cell>
          <cell r="B3784">
            <v>202401</v>
          </cell>
          <cell r="D3784" t="str">
            <v>Hogar</v>
          </cell>
          <cell r="G3784" t="str">
            <v>Real</v>
          </cell>
        </row>
        <row r="3785">
          <cell r="A3785" t="str">
            <v>BRC</v>
          </cell>
          <cell r="B3785">
            <v>202401</v>
          </cell>
          <cell r="D3785" t="str">
            <v>Property</v>
          </cell>
          <cell r="G3785" t="str">
            <v>Real</v>
          </cell>
        </row>
        <row r="3786">
          <cell r="A3786" t="str">
            <v>BRC</v>
          </cell>
          <cell r="B3786">
            <v>202401</v>
          </cell>
          <cell r="D3786" t="str">
            <v>RC</v>
          </cell>
          <cell r="G3786" t="str">
            <v>Real</v>
          </cell>
        </row>
        <row r="3787">
          <cell r="A3787" t="str">
            <v>BRC</v>
          </cell>
          <cell r="B3787">
            <v>202401</v>
          </cell>
          <cell r="D3787" t="str">
            <v>Resto de lineas</v>
          </cell>
          <cell r="G3787" t="str">
            <v>Real</v>
          </cell>
        </row>
        <row r="3788">
          <cell r="A3788" t="str">
            <v>BRC</v>
          </cell>
          <cell r="B3788">
            <v>202401</v>
          </cell>
          <cell r="D3788" t="str">
            <v>Retirada</v>
          </cell>
          <cell r="G3788" t="str">
            <v>Real</v>
          </cell>
        </row>
        <row r="3789">
          <cell r="A3789" t="str">
            <v>BRC</v>
          </cell>
          <cell r="B3789">
            <v>202401</v>
          </cell>
          <cell r="D3789" t="str">
            <v>Seguros Personales (No Vida) Colectivos</v>
          </cell>
          <cell r="G3789" t="str">
            <v>Real</v>
          </cell>
        </row>
        <row r="3790">
          <cell r="A3790" t="str">
            <v>BRC</v>
          </cell>
          <cell r="B3790">
            <v>202401</v>
          </cell>
          <cell r="D3790" t="str">
            <v>Seguros Personales (No Vida) Particular</v>
          </cell>
          <cell r="G3790" t="str">
            <v>Real</v>
          </cell>
        </row>
        <row r="3791">
          <cell r="A3791" t="str">
            <v>BRC</v>
          </cell>
          <cell r="B3791">
            <v>202401</v>
          </cell>
          <cell r="D3791" t="str">
            <v>Vida Riesgo Particular</v>
          </cell>
          <cell r="G3791" t="str">
            <v>Real</v>
          </cell>
        </row>
        <row r="3792">
          <cell r="A3792" t="str">
            <v>BRC</v>
          </cell>
          <cell r="B3792">
            <v>202402</v>
          </cell>
          <cell r="D3792" t="str">
            <v>--</v>
          </cell>
          <cell r="G3792" t="str">
            <v>Real</v>
          </cell>
        </row>
        <row r="3793">
          <cell r="A3793" t="str">
            <v>BRC</v>
          </cell>
          <cell r="B3793">
            <v>202402</v>
          </cell>
          <cell r="D3793" t="str">
            <v>Autos</v>
          </cell>
          <cell r="G3793" t="str">
            <v>Real</v>
          </cell>
        </row>
        <row r="3794">
          <cell r="A3794" t="str">
            <v>BRC</v>
          </cell>
          <cell r="B3794">
            <v>202402</v>
          </cell>
          <cell r="D3794" t="str">
            <v>Flotas</v>
          </cell>
          <cell r="G3794" t="str">
            <v>Real</v>
          </cell>
        </row>
        <row r="3795">
          <cell r="A3795" t="str">
            <v>BRC</v>
          </cell>
          <cell r="B3795">
            <v>202402</v>
          </cell>
          <cell r="D3795" t="str">
            <v>Hogar</v>
          </cell>
          <cell r="G3795" t="str">
            <v>Real</v>
          </cell>
        </row>
        <row r="3796">
          <cell r="A3796" t="str">
            <v>BRC</v>
          </cell>
          <cell r="B3796">
            <v>202402</v>
          </cell>
          <cell r="D3796" t="str">
            <v>Particulares Resto</v>
          </cell>
          <cell r="G3796" t="str">
            <v>Real</v>
          </cell>
        </row>
        <row r="3797">
          <cell r="A3797" t="str">
            <v>BRC</v>
          </cell>
          <cell r="B3797">
            <v>202402</v>
          </cell>
          <cell r="D3797" t="str">
            <v>Property</v>
          </cell>
          <cell r="G3797" t="str">
            <v>Real</v>
          </cell>
        </row>
        <row r="3798">
          <cell r="A3798" t="str">
            <v>BRC</v>
          </cell>
          <cell r="B3798">
            <v>202402</v>
          </cell>
          <cell r="D3798" t="str">
            <v>RC</v>
          </cell>
          <cell r="G3798" t="str">
            <v>Real</v>
          </cell>
        </row>
        <row r="3799">
          <cell r="A3799" t="str">
            <v>BRC</v>
          </cell>
          <cell r="B3799">
            <v>202402</v>
          </cell>
          <cell r="D3799" t="str">
            <v>Resto de lineas</v>
          </cell>
          <cell r="G3799" t="str">
            <v>Real</v>
          </cell>
        </row>
        <row r="3800">
          <cell r="A3800" t="str">
            <v>BRC</v>
          </cell>
          <cell r="B3800">
            <v>202402</v>
          </cell>
          <cell r="D3800" t="str">
            <v>Retirada</v>
          </cell>
          <cell r="G3800" t="str">
            <v>Real</v>
          </cell>
        </row>
        <row r="3801">
          <cell r="A3801" t="str">
            <v>BRC</v>
          </cell>
          <cell r="B3801">
            <v>202402</v>
          </cell>
          <cell r="D3801" t="str">
            <v>Seguros Personales (No Vida) Colectivos</v>
          </cell>
          <cell r="G3801" t="str">
            <v>Real</v>
          </cell>
        </row>
        <row r="3802">
          <cell r="A3802" t="str">
            <v>BRC</v>
          </cell>
          <cell r="B3802">
            <v>202402</v>
          </cell>
          <cell r="D3802" t="str">
            <v>Seguros Personales (No Vida) Particular</v>
          </cell>
          <cell r="G3802" t="str">
            <v>Real</v>
          </cell>
        </row>
        <row r="3803">
          <cell r="A3803" t="str">
            <v>BRC</v>
          </cell>
          <cell r="B3803">
            <v>202402</v>
          </cell>
          <cell r="D3803" t="str">
            <v>Vida Riesgo Particular</v>
          </cell>
          <cell r="G3803" t="str">
            <v>Real</v>
          </cell>
        </row>
        <row r="3804">
          <cell r="A3804" t="str">
            <v>BRC</v>
          </cell>
          <cell r="B3804">
            <v>202403</v>
          </cell>
          <cell r="D3804" t="str">
            <v>--</v>
          </cell>
          <cell r="G3804" t="str">
            <v>Real</v>
          </cell>
        </row>
        <row r="3805">
          <cell r="A3805" t="str">
            <v>BRC</v>
          </cell>
          <cell r="B3805">
            <v>202403</v>
          </cell>
          <cell r="D3805" t="str">
            <v>Autos</v>
          </cell>
          <cell r="G3805" t="str">
            <v>Real</v>
          </cell>
        </row>
        <row r="3806">
          <cell r="A3806" t="str">
            <v>BRC</v>
          </cell>
          <cell r="B3806">
            <v>202403</v>
          </cell>
          <cell r="D3806" t="str">
            <v>Flotas</v>
          </cell>
          <cell r="G3806" t="str">
            <v>Real</v>
          </cell>
        </row>
        <row r="3807">
          <cell r="A3807" t="str">
            <v>BRC</v>
          </cell>
          <cell r="B3807">
            <v>202403</v>
          </cell>
          <cell r="D3807" t="str">
            <v>Hogar</v>
          </cell>
          <cell r="G3807" t="str">
            <v>Real</v>
          </cell>
        </row>
        <row r="3808">
          <cell r="A3808" t="str">
            <v>BRC</v>
          </cell>
          <cell r="B3808">
            <v>202403</v>
          </cell>
          <cell r="D3808" t="str">
            <v>Property</v>
          </cell>
          <cell r="G3808" t="str">
            <v>Real</v>
          </cell>
        </row>
        <row r="3809">
          <cell r="A3809" t="str">
            <v>BRC</v>
          </cell>
          <cell r="B3809">
            <v>202403</v>
          </cell>
          <cell r="D3809" t="str">
            <v>RC</v>
          </cell>
          <cell r="G3809" t="str">
            <v>Real</v>
          </cell>
        </row>
        <row r="3810">
          <cell r="A3810" t="str">
            <v>BRC</v>
          </cell>
          <cell r="B3810">
            <v>202403</v>
          </cell>
          <cell r="D3810" t="str">
            <v>Resto de lineas</v>
          </cell>
          <cell r="G3810" t="str">
            <v>Real</v>
          </cell>
        </row>
        <row r="3811">
          <cell r="A3811" t="str">
            <v>BRC</v>
          </cell>
          <cell r="B3811">
            <v>202403</v>
          </cell>
          <cell r="D3811" t="str">
            <v>Retirada</v>
          </cell>
          <cell r="G3811" t="str">
            <v>Real</v>
          </cell>
        </row>
        <row r="3812">
          <cell r="A3812" t="str">
            <v>BRC</v>
          </cell>
          <cell r="B3812">
            <v>202403</v>
          </cell>
          <cell r="D3812" t="str">
            <v>Seguros Personales (No Vida) Colectivos</v>
          </cell>
          <cell r="G3812" t="str">
            <v>Real</v>
          </cell>
        </row>
        <row r="3813">
          <cell r="A3813" t="str">
            <v>BRC</v>
          </cell>
          <cell r="B3813">
            <v>202403</v>
          </cell>
          <cell r="D3813" t="str">
            <v>Seguros Personales (No Vida) Particular</v>
          </cell>
          <cell r="G3813" t="str">
            <v>Real</v>
          </cell>
        </row>
        <row r="3814">
          <cell r="A3814" t="str">
            <v>BRC</v>
          </cell>
          <cell r="B3814">
            <v>202403</v>
          </cell>
          <cell r="D3814" t="str">
            <v>Vida Ganado</v>
          </cell>
          <cell r="G3814" t="str">
            <v>Real</v>
          </cell>
        </row>
        <row r="3815">
          <cell r="A3815" t="str">
            <v>BRC</v>
          </cell>
          <cell r="B3815">
            <v>202403</v>
          </cell>
          <cell r="D3815" t="str">
            <v>Vida Riesgo Particular</v>
          </cell>
          <cell r="G3815" t="str">
            <v>Real</v>
          </cell>
        </row>
        <row r="3816">
          <cell r="A3816" t="str">
            <v>BRC</v>
          </cell>
          <cell r="B3816">
            <v>202404</v>
          </cell>
          <cell r="D3816" t="str">
            <v>--</v>
          </cell>
          <cell r="G3816" t="str">
            <v>Real</v>
          </cell>
        </row>
        <row r="3817">
          <cell r="A3817" t="str">
            <v>BRC</v>
          </cell>
          <cell r="B3817">
            <v>202404</v>
          </cell>
          <cell r="D3817" t="str">
            <v>Resto de Lineas</v>
          </cell>
          <cell r="G3817" t="str">
            <v>Real</v>
          </cell>
        </row>
        <row r="3818">
          <cell r="A3818" t="str">
            <v>BRC</v>
          </cell>
          <cell r="B3818">
            <v>202404</v>
          </cell>
          <cell r="D3818" t="str">
            <v>Autos</v>
          </cell>
          <cell r="G3818" t="str">
            <v>Real</v>
          </cell>
        </row>
        <row r="3819">
          <cell r="A3819" t="str">
            <v>BRC</v>
          </cell>
          <cell r="B3819">
            <v>202404</v>
          </cell>
          <cell r="D3819" t="str">
            <v>Flotas</v>
          </cell>
          <cell r="G3819" t="str">
            <v>Real</v>
          </cell>
        </row>
        <row r="3820">
          <cell r="A3820" t="str">
            <v>BRC</v>
          </cell>
          <cell r="B3820">
            <v>202404</v>
          </cell>
          <cell r="D3820" t="str">
            <v>Hogar</v>
          </cell>
          <cell r="G3820" t="str">
            <v>Real</v>
          </cell>
        </row>
        <row r="3821">
          <cell r="A3821" t="str">
            <v>BRC</v>
          </cell>
          <cell r="B3821">
            <v>202404</v>
          </cell>
          <cell r="D3821" t="str">
            <v>Property</v>
          </cell>
          <cell r="G3821" t="str">
            <v>Real</v>
          </cell>
        </row>
        <row r="3822">
          <cell r="A3822" t="str">
            <v>BRC</v>
          </cell>
          <cell r="B3822">
            <v>202404</v>
          </cell>
          <cell r="D3822" t="str">
            <v>RC</v>
          </cell>
          <cell r="G3822" t="str">
            <v>Real</v>
          </cell>
        </row>
        <row r="3823">
          <cell r="A3823" t="str">
            <v>BRC</v>
          </cell>
          <cell r="B3823">
            <v>202404</v>
          </cell>
          <cell r="D3823" t="str">
            <v>Resto de lineas</v>
          </cell>
          <cell r="G3823" t="str">
            <v>Real</v>
          </cell>
        </row>
        <row r="3824">
          <cell r="A3824" t="str">
            <v>BRC</v>
          </cell>
          <cell r="B3824">
            <v>202404</v>
          </cell>
          <cell r="D3824" t="str">
            <v>Retirada</v>
          </cell>
          <cell r="G3824" t="str">
            <v>Real</v>
          </cell>
        </row>
        <row r="3825">
          <cell r="A3825" t="str">
            <v>BRC</v>
          </cell>
          <cell r="B3825">
            <v>202404</v>
          </cell>
          <cell r="D3825" t="str">
            <v>Seguros Personales (No Vida) Colectivos</v>
          </cell>
          <cell r="G3825" t="str">
            <v>Real</v>
          </cell>
        </row>
        <row r="3826">
          <cell r="A3826" t="str">
            <v>BRC</v>
          </cell>
          <cell r="B3826">
            <v>202404</v>
          </cell>
          <cell r="D3826" t="str">
            <v>Seguros Personales (No Vida) Particular</v>
          </cell>
          <cell r="G3826" t="str">
            <v>Real</v>
          </cell>
        </row>
        <row r="3827">
          <cell r="A3827" t="str">
            <v>BRC</v>
          </cell>
          <cell r="B3827">
            <v>202404</v>
          </cell>
          <cell r="D3827" t="str">
            <v>Vida Riesgo Particular</v>
          </cell>
          <cell r="G3827" t="str">
            <v>Real</v>
          </cell>
        </row>
        <row r="3828">
          <cell r="A3828" t="str">
            <v>BRC</v>
          </cell>
          <cell r="B3828">
            <v>202405</v>
          </cell>
          <cell r="D3828" t="str">
            <v>--</v>
          </cell>
          <cell r="G3828" t="str">
            <v>Real</v>
          </cell>
        </row>
        <row r="3829">
          <cell r="A3829" t="str">
            <v>BRC</v>
          </cell>
          <cell r="B3829">
            <v>202405</v>
          </cell>
          <cell r="D3829" t="str">
            <v>--</v>
          </cell>
          <cell r="G3829" t="str">
            <v>Real</v>
          </cell>
        </row>
        <row r="3830">
          <cell r="A3830" t="str">
            <v>BRC</v>
          </cell>
          <cell r="B3830">
            <v>202405</v>
          </cell>
          <cell r="D3830" t="str">
            <v>Autos</v>
          </cell>
          <cell r="G3830" t="str">
            <v>Real</v>
          </cell>
        </row>
        <row r="3831">
          <cell r="A3831" t="str">
            <v>BRC</v>
          </cell>
          <cell r="B3831">
            <v>202405</v>
          </cell>
          <cell r="D3831" t="str">
            <v>Flotas</v>
          </cell>
          <cell r="G3831" t="str">
            <v>Real</v>
          </cell>
        </row>
        <row r="3832">
          <cell r="A3832" t="str">
            <v>BRC</v>
          </cell>
          <cell r="B3832">
            <v>202405</v>
          </cell>
          <cell r="D3832" t="str">
            <v>Hogar</v>
          </cell>
          <cell r="G3832" t="str">
            <v>Real</v>
          </cell>
        </row>
        <row r="3833">
          <cell r="A3833" t="str">
            <v>BRC</v>
          </cell>
          <cell r="B3833">
            <v>202405</v>
          </cell>
          <cell r="D3833" t="str">
            <v>Property</v>
          </cell>
          <cell r="G3833" t="str">
            <v>Real</v>
          </cell>
        </row>
        <row r="3834">
          <cell r="A3834" t="str">
            <v>BRC</v>
          </cell>
          <cell r="B3834">
            <v>202405</v>
          </cell>
          <cell r="D3834" t="str">
            <v>RC</v>
          </cell>
          <cell r="G3834" t="str">
            <v>Real</v>
          </cell>
        </row>
        <row r="3835">
          <cell r="A3835" t="str">
            <v>BRC</v>
          </cell>
          <cell r="B3835">
            <v>202405</v>
          </cell>
          <cell r="D3835" t="str">
            <v>Resto de lineas</v>
          </cell>
          <cell r="G3835" t="str">
            <v>Real</v>
          </cell>
        </row>
        <row r="3836">
          <cell r="A3836" t="str">
            <v>BRC</v>
          </cell>
          <cell r="B3836">
            <v>202405</v>
          </cell>
          <cell r="D3836" t="str">
            <v>Retirada</v>
          </cell>
          <cell r="G3836" t="str">
            <v>Real</v>
          </cell>
        </row>
        <row r="3837">
          <cell r="A3837" t="str">
            <v>BRC</v>
          </cell>
          <cell r="B3837">
            <v>202405</v>
          </cell>
          <cell r="D3837" t="str">
            <v>Seguros Personales (No Vida) Colectivos</v>
          </cell>
          <cell r="G3837" t="str">
            <v>Real</v>
          </cell>
        </row>
        <row r="3838">
          <cell r="A3838" t="str">
            <v>BRC</v>
          </cell>
          <cell r="B3838">
            <v>202405</v>
          </cell>
          <cell r="D3838" t="str">
            <v>Seguros Personales (No Vida) Particular</v>
          </cell>
          <cell r="G3838" t="str">
            <v>Real</v>
          </cell>
        </row>
        <row r="3839">
          <cell r="A3839" t="str">
            <v>BRC</v>
          </cell>
          <cell r="B3839">
            <v>202405</v>
          </cell>
          <cell r="D3839" t="str">
            <v>Vida Riesgo Particular</v>
          </cell>
          <cell r="G3839" t="str">
            <v>Real</v>
          </cell>
        </row>
        <row r="3840">
          <cell r="A3840" t="str">
            <v>BRC</v>
          </cell>
          <cell r="B3840">
            <v>202406</v>
          </cell>
          <cell r="D3840" t="str">
            <v>--</v>
          </cell>
          <cell r="G3840" t="str">
            <v>Real</v>
          </cell>
        </row>
        <row r="3841">
          <cell r="A3841" t="str">
            <v>BRC</v>
          </cell>
          <cell r="B3841">
            <v>202406</v>
          </cell>
          <cell r="D3841" t="str">
            <v>Resto de Lineas</v>
          </cell>
          <cell r="G3841" t="str">
            <v>Real</v>
          </cell>
        </row>
        <row r="3842">
          <cell r="A3842" t="str">
            <v>BRC</v>
          </cell>
          <cell r="B3842">
            <v>202406</v>
          </cell>
          <cell r="D3842" t="str">
            <v>Autos</v>
          </cell>
          <cell r="G3842" t="str">
            <v>Real</v>
          </cell>
        </row>
        <row r="3843">
          <cell r="A3843" t="str">
            <v>BRC</v>
          </cell>
          <cell r="B3843">
            <v>202406</v>
          </cell>
          <cell r="D3843" t="str">
            <v>Flotas</v>
          </cell>
          <cell r="G3843" t="str">
            <v>Real</v>
          </cell>
        </row>
        <row r="3844">
          <cell r="A3844" t="str">
            <v>BRC</v>
          </cell>
          <cell r="B3844">
            <v>202406</v>
          </cell>
          <cell r="D3844" t="str">
            <v>Hogar</v>
          </cell>
          <cell r="G3844" t="str">
            <v>Real</v>
          </cell>
        </row>
        <row r="3845">
          <cell r="A3845" t="str">
            <v>BRC</v>
          </cell>
          <cell r="B3845">
            <v>202406</v>
          </cell>
          <cell r="D3845" t="str">
            <v>Líneas Financieras</v>
          </cell>
          <cell r="G3845" t="str">
            <v>Real</v>
          </cell>
        </row>
        <row r="3846">
          <cell r="A3846" t="str">
            <v>BRC</v>
          </cell>
          <cell r="B3846">
            <v>202406</v>
          </cell>
          <cell r="D3846" t="str">
            <v>Náutica</v>
          </cell>
          <cell r="G3846" t="str">
            <v>Real</v>
          </cell>
        </row>
        <row r="3847">
          <cell r="A3847" t="str">
            <v>BRC</v>
          </cell>
          <cell r="B3847">
            <v>202406</v>
          </cell>
          <cell r="D3847" t="str">
            <v>Property</v>
          </cell>
          <cell r="G3847" t="str">
            <v>Real</v>
          </cell>
        </row>
        <row r="3848">
          <cell r="A3848" t="str">
            <v>BRC</v>
          </cell>
          <cell r="B3848">
            <v>202406</v>
          </cell>
          <cell r="D3848" t="str">
            <v>RC</v>
          </cell>
          <cell r="G3848" t="str">
            <v>Real</v>
          </cell>
        </row>
        <row r="3849">
          <cell r="A3849" t="str">
            <v>BRC</v>
          </cell>
          <cell r="B3849">
            <v>202406</v>
          </cell>
          <cell r="D3849" t="str">
            <v>Resto de lineas</v>
          </cell>
          <cell r="G3849" t="str">
            <v>Real</v>
          </cell>
        </row>
        <row r="3850">
          <cell r="A3850" t="str">
            <v>BRC</v>
          </cell>
          <cell r="B3850">
            <v>202406</v>
          </cell>
          <cell r="D3850" t="str">
            <v>Seguros Personales (No Vida) Colectivos</v>
          </cell>
          <cell r="G3850" t="str">
            <v>Real</v>
          </cell>
        </row>
        <row r="3851">
          <cell r="A3851" t="str">
            <v>BRC</v>
          </cell>
          <cell r="B3851">
            <v>202406</v>
          </cell>
          <cell r="D3851" t="str">
            <v>Seguros Personales (No Vida) Particular</v>
          </cell>
          <cell r="G3851" t="str">
            <v>Real</v>
          </cell>
        </row>
        <row r="3852">
          <cell r="A3852" t="str">
            <v>BRC</v>
          </cell>
          <cell r="B3852">
            <v>202406</v>
          </cell>
          <cell r="D3852" t="str">
            <v>Vida Riesgo Particular</v>
          </cell>
          <cell r="G3852" t="str">
            <v>Real</v>
          </cell>
        </row>
        <row r="3853">
          <cell r="A3853" t="str">
            <v>BRC</v>
          </cell>
          <cell r="B3853">
            <v>202407</v>
          </cell>
          <cell r="D3853" t="str">
            <v>--</v>
          </cell>
          <cell r="G3853" t="str">
            <v>Real</v>
          </cell>
        </row>
        <row r="3854">
          <cell r="A3854" t="str">
            <v>BRC</v>
          </cell>
          <cell r="B3854">
            <v>202407</v>
          </cell>
          <cell r="D3854" t="str">
            <v>Autos</v>
          </cell>
          <cell r="G3854" t="str">
            <v>Real</v>
          </cell>
        </row>
        <row r="3855">
          <cell r="A3855" t="str">
            <v>BRC</v>
          </cell>
          <cell r="B3855">
            <v>202407</v>
          </cell>
          <cell r="D3855" t="str">
            <v>Flotas</v>
          </cell>
          <cell r="G3855" t="str">
            <v>Real</v>
          </cell>
        </row>
        <row r="3856">
          <cell r="A3856" t="str">
            <v>BRC</v>
          </cell>
          <cell r="B3856">
            <v>202407</v>
          </cell>
          <cell r="D3856" t="str">
            <v>Hogar</v>
          </cell>
          <cell r="G3856" t="str">
            <v>Real</v>
          </cell>
        </row>
        <row r="3857">
          <cell r="A3857" t="str">
            <v>BRC</v>
          </cell>
          <cell r="B3857">
            <v>202407</v>
          </cell>
          <cell r="D3857" t="str">
            <v>Líneas Financieras</v>
          </cell>
          <cell r="G3857" t="str">
            <v>Real</v>
          </cell>
        </row>
        <row r="3858">
          <cell r="A3858" t="str">
            <v>BRC</v>
          </cell>
          <cell r="B3858">
            <v>202407</v>
          </cell>
          <cell r="D3858" t="str">
            <v>Náutica</v>
          </cell>
          <cell r="G3858" t="str">
            <v>Real</v>
          </cell>
        </row>
        <row r="3859">
          <cell r="A3859" t="str">
            <v>BRC</v>
          </cell>
          <cell r="B3859">
            <v>202407</v>
          </cell>
          <cell r="D3859" t="str">
            <v>Property</v>
          </cell>
          <cell r="G3859" t="str">
            <v>Real</v>
          </cell>
        </row>
        <row r="3860">
          <cell r="A3860" t="str">
            <v>BRC</v>
          </cell>
          <cell r="B3860">
            <v>202407</v>
          </cell>
          <cell r="D3860" t="str">
            <v>RC</v>
          </cell>
          <cell r="G3860" t="str">
            <v>Real</v>
          </cell>
        </row>
        <row r="3861">
          <cell r="A3861" t="str">
            <v>BRC</v>
          </cell>
          <cell r="B3861">
            <v>202407</v>
          </cell>
          <cell r="D3861" t="str">
            <v>Retirada</v>
          </cell>
          <cell r="G3861" t="str">
            <v>Real</v>
          </cell>
        </row>
        <row r="3862">
          <cell r="A3862" t="str">
            <v>BRC</v>
          </cell>
          <cell r="B3862">
            <v>202407</v>
          </cell>
          <cell r="D3862" t="str">
            <v>Seguros Personales (No Vida) Colectivos</v>
          </cell>
          <cell r="G3862" t="str">
            <v>Real</v>
          </cell>
        </row>
        <row r="3863">
          <cell r="A3863" t="str">
            <v>BRC</v>
          </cell>
          <cell r="B3863">
            <v>202407</v>
          </cell>
          <cell r="D3863" t="str">
            <v>Seguros Personales (No Vida) Particular</v>
          </cell>
          <cell r="G3863" t="str">
            <v>Real</v>
          </cell>
        </row>
        <row r="3864">
          <cell r="A3864" t="str">
            <v>BRC</v>
          </cell>
          <cell r="B3864">
            <v>202407</v>
          </cell>
          <cell r="D3864" t="str">
            <v>Vida Ahorro Particular</v>
          </cell>
          <cell r="G3864" t="str">
            <v>Real</v>
          </cell>
        </row>
        <row r="3865">
          <cell r="A3865" t="str">
            <v>BRC</v>
          </cell>
          <cell r="B3865">
            <v>202407</v>
          </cell>
          <cell r="D3865" t="str">
            <v>Vida Riesgo Particular</v>
          </cell>
          <cell r="G3865" t="str">
            <v>Real</v>
          </cell>
        </row>
        <row r="3866">
          <cell r="A3866" t="str">
            <v>BRC</v>
          </cell>
          <cell r="B3866">
            <v>202408</v>
          </cell>
          <cell r="D3866" t="str">
            <v>--</v>
          </cell>
          <cell r="G3866" t="str">
            <v>Real</v>
          </cell>
        </row>
        <row r="3867">
          <cell r="A3867" t="str">
            <v>BRC</v>
          </cell>
          <cell r="B3867">
            <v>202408</v>
          </cell>
          <cell r="D3867" t="str">
            <v>Autos</v>
          </cell>
          <cell r="G3867" t="str">
            <v>Real</v>
          </cell>
        </row>
        <row r="3868">
          <cell r="A3868" t="str">
            <v>BRC</v>
          </cell>
          <cell r="B3868">
            <v>202408</v>
          </cell>
          <cell r="D3868" t="str">
            <v>Flotas</v>
          </cell>
          <cell r="G3868" t="str">
            <v>Real</v>
          </cell>
        </row>
        <row r="3869">
          <cell r="A3869" t="str">
            <v>BRC</v>
          </cell>
          <cell r="B3869">
            <v>202408</v>
          </cell>
          <cell r="D3869" t="str">
            <v>Hogar</v>
          </cell>
          <cell r="G3869" t="str">
            <v>Real</v>
          </cell>
        </row>
        <row r="3870">
          <cell r="A3870" t="str">
            <v>BRC</v>
          </cell>
          <cell r="B3870">
            <v>202408</v>
          </cell>
          <cell r="D3870" t="str">
            <v>Náutica</v>
          </cell>
          <cell r="G3870" t="str">
            <v>Real</v>
          </cell>
        </row>
        <row r="3871">
          <cell r="A3871" t="str">
            <v>BRC</v>
          </cell>
          <cell r="B3871">
            <v>202408</v>
          </cell>
          <cell r="D3871" t="str">
            <v>Particulares Resto</v>
          </cell>
          <cell r="G3871" t="str">
            <v>Real</v>
          </cell>
        </row>
        <row r="3872">
          <cell r="A3872" t="str">
            <v>BRC</v>
          </cell>
          <cell r="B3872">
            <v>202408</v>
          </cell>
          <cell r="D3872" t="str">
            <v>Property</v>
          </cell>
          <cell r="G3872" t="str">
            <v>Real</v>
          </cell>
        </row>
        <row r="3873">
          <cell r="A3873" t="str">
            <v>BRC</v>
          </cell>
          <cell r="B3873">
            <v>202408</v>
          </cell>
          <cell r="D3873" t="str">
            <v>RC</v>
          </cell>
          <cell r="G3873" t="str">
            <v>Real</v>
          </cell>
        </row>
        <row r="3874">
          <cell r="A3874" t="str">
            <v>BRC</v>
          </cell>
          <cell r="B3874">
            <v>202408</v>
          </cell>
          <cell r="D3874" t="str">
            <v>Retirada</v>
          </cell>
          <cell r="G3874" t="str">
            <v>Real</v>
          </cell>
        </row>
        <row r="3875">
          <cell r="A3875" t="str">
            <v>BRC</v>
          </cell>
          <cell r="B3875">
            <v>202408</v>
          </cell>
          <cell r="D3875" t="str">
            <v>Seguros Personales (No Vida) Colectivos</v>
          </cell>
          <cell r="G3875" t="str">
            <v>Real</v>
          </cell>
        </row>
        <row r="3876">
          <cell r="A3876" t="str">
            <v>BRC</v>
          </cell>
          <cell r="B3876">
            <v>202408</v>
          </cell>
          <cell r="D3876" t="str">
            <v>Seguros Personales (No Vida) Particular</v>
          </cell>
          <cell r="G3876" t="str">
            <v>Real</v>
          </cell>
        </row>
        <row r="3877">
          <cell r="A3877" t="str">
            <v>BRC</v>
          </cell>
          <cell r="B3877">
            <v>202408</v>
          </cell>
          <cell r="D3877" t="str">
            <v>Vida Ahorro Colectivo</v>
          </cell>
          <cell r="G3877" t="str">
            <v>Real</v>
          </cell>
        </row>
        <row r="3878">
          <cell r="A3878" t="str">
            <v>BRC</v>
          </cell>
          <cell r="B3878">
            <v>202408</v>
          </cell>
          <cell r="D3878" t="str">
            <v>Vida Riesgo Particular</v>
          </cell>
          <cell r="G3878" t="str">
            <v>Real</v>
          </cell>
        </row>
        <row r="3879">
          <cell r="A3879" t="str">
            <v>BRC</v>
          </cell>
          <cell r="B3879">
            <v>202409</v>
          </cell>
          <cell r="D3879" t="str">
            <v>--</v>
          </cell>
          <cell r="G3879" t="str">
            <v>Real</v>
          </cell>
        </row>
        <row r="3880">
          <cell r="A3880" t="str">
            <v>BRC</v>
          </cell>
          <cell r="B3880">
            <v>202409</v>
          </cell>
          <cell r="D3880" t="str">
            <v>--</v>
          </cell>
          <cell r="G3880" t="str">
            <v>Real</v>
          </cell>
        </row>
        <row r="3881">
          <cell r="A3881" t="str">
            <v>BRC</v>
          </cell>
          <cell r="B3881">
            <v>202409</v>
          </cell>
          <cell r="D3881" t="str">
            <v>Autos</v>
          </cell>
          <cell r="G3881" t="str">
            <v>Real</v>
          </cell>
        </row>
        <row r="3882">
          <cell r="A3882" t="str">
            <v>BRC</v>
          </cell>
          <cell r="B3882">
            <v>202409</v>
          </cell>
          <cell r="D3882" t="str">
            <v>Flotas</v>
          </cell>
          <cell r="G3882" t="str">
            <v>Real</v>
          </cell>
        </row>
        <row r="3883">
          <cell r="A3883" t="str">
            <v>BRC</v>
          </cell>
          <cell r="B3883">
            <v>202409</v>
          </cell>
          <cell r="D3883" t="str">
            <v>Hogar</v>
          </cell>
          <cell r="G3883" t="str">
            <v>Real</v>
          </cell>
        </row>
        <row r="3884">
          <cell r="A3884" t="str">
            <v>BRC</v>
          </cell>
          <cell r="B3884">
            <v>202409</v>
          </cell>
          <cell r="D3884" t="str">
            <v>Líneas Financieras</v>
          </cell>
          <cell r="G3884" t="str">
            <v>Real</v>
          </cell>
        </row>
        <row r="3885">
          <cell r="A3885" t="str">
            <v>BRC</v>
          </cell>
          <cell r="B3885">
            <v>202409</v>
          </cell>
          <cell r="D3885" t="str">
            <v>Náutica</v>
          </cell>
          <cell r="G3885" t="str">
            <v>Real</v>
          </cell>
        </row>
        <row r="3886">
          <cell r="A3886" t="str">
            <v>BRC</v>
          </cell>
          <cell r="B3886">
            <v>202409</v>
          </cell>
          <cell r="D3886" t="str">
            <v>Particulares Resto</v>
          </cell>
          <cell r="G3886" t="str">
            <v>Real</v>
          </cell>
        </row>
        <row r="3887">
          <cell r="A3887" t="str">
            <v>BRC</v>
          </cell>
          <cell r="B3887">
            <v>202409</v>
          </cell>
          <cell r="D3887" t="str">
            <v>Property</v>
          </cell>
          <cell r="G3887" t="str">
            <v>Real</v>
          </cell>
        </row>
        <row r="3888">
          <cell r="A3888" t="str">
            <v>BRC</v>
          </cell>
          <cell r="B3888">
            <v>202409</v>
          </cell>
          <cell r="D3888" t="str">
            <v>RC</v>
          </cell>
          <cell r="G3888" t="str">
            <v>Real</v>
          </cell>
        </row>
        <row r="3889">
          <cell r="A3889" t="str">
            <v>BRC</v>
          </cell>
          <cell r="B3889">
            <v>202409</v>
          </cell>
          <cell r="D3889" t="str">
            <v>Resto de lineas</v>
          </cell>
          <cell r="G3889" t="str">
            <v>Real</v>
          </cell>
        </row>
        <row r="3890">
          <cell r="A3890" t="str">
            <v>BRC</v>
          </cell>
          <cell r="B3890">
            <v>202409</v>
          </cell>
          <cell r="D3890" t="str">
            <v>Retirada</v>
          </cell>
          <cell r="G3890" t="str">
            <v>Real</v>
          </cell>
        </row>
        <row r="3891">
          <cell r="A3891" t="str">
            <v>BRC</v>
          </cell>
          <cell r="B3891">
            <v>202409</v>
          </cell>
          <cell r="D3891" t="str">
            <v>Seguros Personales (No Vida) Colectivos</v>
          </cell>
          <cell r="G3891" t="str">
            <v>Real</v>
          </cell>
        </row>
        <row r="3892">
          <cell r="A3892" t="str">
            <v>BRC</v>
          </cell>
          <cell r="B3892">
            <v>202409</v>
          </cell>
          <cell r="D3892" t="str">
            <v>Seguros Personales (No Vida) Particular</v>
          </cell>
          <cell r="G3892" t="str">
            <v>Real</v>
          </cell>
        </row>
        <row r="3893">
          <cell r="A3893" t="str">
            <v>BRC</v>
          </cell>
          <cell r="B3893">
            <v>202409</v>
          </cell>
          <cell r="D3893" t="str">
            <v>Transporte</v>
          </cell>
          <cell r="G3893" t="str">
            <v>Real</v>
          </cell>
        </row>
        <row r="3894">
          <cell r="A3894" t="str">
            <v>BRC</v>
          </cell>
          <cell r="B3894">
            <v>202409</v>
          </cell>
          <cell r="D3894" t="str">
            <v>Vida Riesgo Particular</v>
          </cell>
          <cell r="G3894" t="str">
            <v>Real</v>
          </cell>
        </row>
        <row r="3895">
          <cell r="A3895" t="str">
            <v>BRC</v>
          </cell>
          <cell r="B3895">
            <v>202410</v>
          </cell>
          <cell r="D3895" t="str">
            <v>--</v>
          </cell>
          <cell r="G3895" t="str">
            <v>Real</v>
          </cell>
        </row>
        <row r="3896">
          <cell r="A3896" t="str">
            <v>BRC</v>
          </cell>
          <cell r="B3896">
            <v>202410</v>
          </cell>
          <cell r="D3896" t="str">
            <v>Resto de Lineas</v>
          </cell>
          <cell r="G3896" t="str">
            <v>Real</v>
          </cell>
        </row>
        <row r="3897">
          <cell r="A3897" t="str">
            <v>BRC</v>
          </cell>
          <cell r="B3897">
            <v>202410</v>
          </cell>
          <cell r="D3897" t="str">
            <v>Autos</v>
          </cell>
          <cell r="G3897" t="str">
            <v>Real</v>
          </cell>
        </row>
        <row r="3898">
          <cell r="A3898" t="str">
            <v>BRC</v>
          </cell>
          <cell r="B3898">
            <v>202410</v>
          </cell>
          <cell r="D3898" t="str">
            <v>Flotas</v>
          </cell>
          <cell r="G3898" t="str">
            <v>Real</v>
          </cell>
        </row>
        <row r="3899">
          <cell r="A3899" t="str">
            <v>BRC</v>
          </cell>
          <cell r="B3899">
            <v>202410</v>
          </cell>
          <cell r="D3899" t="str">
            <v>Hogar</v>
          </cell>
          <cell r="G3899" t="str">
            <v>Real</v>
          </cell>
        </row>
        <row r="3900">
          <cell r="A3900" t="str">
            <v>BRC</v>
          </cell>
          <cell r="B3900">
            <v>202410</v>
          </cell>
          <cell r="D3900" t="str">
            <v>Particulares Resto</v>
          </cell>
          <cell r="G3900" t="str">
            <v>Real</v>
          </cell>
        </row>
        <row r="3901">
          <cell r="A3901" t="str">
            <v>BRC</v>
          </cell>
          <cell r="B3901">
            <v>202410</v>
          </cell>
          <cell r="D3901" t="str">
            <v>Property</v>
          </cell>
          <cell r="G3901" t="str">
            <v>Real</v>
          </cell>
        </row>
        <row r="3902">
          <cell r="A3902" t="str">
            <v>BRC</v>
          </cell>
          <cell r="B3902">
            <v>202410</v>
          </cell>
          <cell r="D3902" t="str">
            <v>RC</v>
          </cell>
          <cell r="G3902" t="str">
            <v>Real</v>
          </cell>
        </row>
        <row r="3903">
          <cell r="A3903" t="str">
            <v>BRC</v>
          </cell>
          <cell r="B3903">
            <v>202410</v>
          </cell>
          <cell r="D3903" t="str">
            <v>Resto de lineas</v>
          </cell>
          <cell r="G3903" t="str">
            <v>Real</v>
          </cell>
        </row>
        <row r="3904">
          <cell r="A3904" t="str">
            <v>BRC</v>
          </cell>
          <cell r="B3904">
            <v>202410</v>
          </cell>
          <cell r="D3904" t="str">
            <v>Retirada</v>
          </cell>
          <cell r="G3904" t="str">
            <v>Real</v>
          </cell>
        </row>
        <row r="3905">
          <cell r="A3905" t="str">
            <v>BRC</v>
          </cell>
          <cell r="B3905">
            <v>202410</v>
          </cell>
          <cell r="D3905" t="str">
            <v>Seguros Personales (No Vida) Colectivos</v>
          </cell>
          <cell r="G3905" t="str">
            <v>Real</v>
          </cell>
        </row>
        <row r="3906">
          <cell r="A3906" t="str">
            <v>BRC</v>
          </cell>
          <cell r="B3906">
            <v>202410</v>
          </cell>
          <cell r="D3906" t="str">
            <v>Seguros Personales (No Vida) Particular</v>
          </cell>
          <cell r="G3906" t="str">
            <v>Real</v>
          </cell>
        </row>
        <row r="3907">
          <cell r="A3907" t="str">
            <v>BRC</v>
          </cell>
          <cell r="B3907">
            <v>202410</v>
          </cell>
          <cell r="D3907" t="str">
            <v>Vida Riesgo Particular</v>
          </cell>
          <cell r="G3907" t="str">
            <v>Real</v>
          </cell>
        </row>
        <row r="3908">
          <cell r="A3908" t="str">
            <v>BRC</v>
          </cell>
          <cell r="B3908">
            <v>202411</v>
          </cell>
          <cell r="D3908" t="str">
            <v>--</v>
          </cell>
          <cell r="G3908" t="str">
            <v>Real</v>
          </cell>
        </row>
        <row r="3909">
          <cell r="A3909" t="str">
            <v>BRC</v>
          </cell>
          <cell r="B3909">
            <v>202411</v>
          </cell>
          <cell r="D3909" t="str">
            <v>Autos</v>
          </cell>
          <cell r="G3909" t="str">
            <v>Real</v>
          </cell>
        </row>
        <row r="3910">
          <cell r="A3910" t="str">
            <v>BRC</v>
          </cell>
          <cell r="B3910">
            <v>202411</v>
          </cell>
          <cell r="D3910" t="str">
            <v>Flotas</v>
          </cell>
          <cell r="G3910" t="str">
            <v>Real</v>
          </cell>
        </row>
        <row r="3911">
          <cell r="A3911" t="str">
            <v>BRC</v>
          </cell>
          <cell r="B3911">
            <v>202411</v>
          </cell>
          <cell r="D3911" t="str">
            <v>Hogar</v>
          </cell>
          <cell r="G3911" t="str">
            <v>Real</v>
          </cell>
        </row>
        <row r="3912">
          <cell r="A3912" t="str">
            <v>BRC</v>
          </cell>
          <cell r="B3912">
            <v>202411</v>
          </cell>
          <cell r="D3912" t="str">
            <v>Particulares Resto</v>
          </cell>
          <cell r="G3912" t="str">
            <v>Real</v>
          </cell>
        </row>
        <row r="3913">
          <cell r="A3913" t="str">
            <v>BRC</v>
          </cell>
          <cell r="B3913">
            <v>202411</v>
          </cell>
          <cell r="D3913" t="str">
            <v>Property</v>
          </cell>
          <cell r="G3913" t="str">
            <v>Real</v>
          </cell>
        </row>
        <row r="3914">
          <cell r="A3914" t="str">
            <v>BRC</v>
          </cell>
          <cell r="B3914">
            <v>202411</v>
          </cell>
          <cell r="D3914" t="str">
            <v>RC</v>
          </cell>
          <cell r="G3914" t="str">
            <v>Real</v>
          </cell>
        </row>
        <row r="3915">
          <cell r="A3915" t="str">
            <v>BRC</v>
          </cell>
          <cell r="B3915">
            <v>202411</v>
          </cell>
          <cell r="D3915" t="str">
            <v>Resto de lineas</v>
          </cell>
          <cell r="G3915" t="str">
            <v>Real</v>
          </cell>
        </row>
        <row r="3916">
          <cell r="A3916" t="str">
            <v>BRC</v>
          </cell>
          <cell r="B3916">
            <v>202411</v>
          </cell>
          <cell r="D3916" t="str">
            <v>Retirada</v>
          </cell>
          <cell r="G3916" t="str">
            <v>Real</v>
          </cell>
        </row>
        <row r="3917">
          <cell r="A3917" t="str">
            <v>BRC</v>
          </cell>
          <cell r="B3917">
            <v>202411</v>
          </cell>
          <cell r="D3917" t="str">
            <v>Seguros Personales (No Vida) Colectivos</v>
          </cell>
          <cell r="G3917" t="str">
            <v>Real</v>
          </cell>
        </row>
        <row r="3918">
          <cell r="A3918" t="str">
            <v>BRC</v>
          </cell>
          <cell r="B3918">
            <v>202411</v>
          </cell>
          <cell r="D3918" t="str">
            <v>Seguros Personales (No Vida) Particular</v>
          </cell>
          <cell r="G3918" t="str">
            <v>Real</v>
          </cell>
        </row>
        <row r="3919">
          <cell r="A3919" t="str">
            <v>BRC</v>
          </cell>
          <cell r="B3919">
            <v>202411</v>
          </cell>
          <cell r="D3919" t="str">
            <v>Transporte</v>
          </cell>
          <cell r="G3919" t="str">
            <v>Real</v>
          </cell>
        </row>
        <row r="3920">
          <cell r="A3920" t="str">
            <v>BRC</v>
          </cell>
          <cell r="B3920">
            <v>202411</v>
          </cell>
          <cell r="D3920" t="str">
            <v>Venta Cruzada</v>
          </cell>
          <cell r="G3920" t="str">
            <v>Real</v>
          </cell>
        </row>
        <row r="3921">
          <cell r="A3921" t="str">
            <v>BRC</v>
          </cell>
          <cell r="B3921">
            <v>202411</v>
          </cell>
          <cell r="D3921" t="str">
            <v>Vida Ahorro Particular</v>
          </cell>
          <cell r="G3921" t="str">
            <v>Real</v>
          </cell>
        </row>
        <row r="3922">
          <cell r="A3922" t="str">
            <v>BRC</v>
          </cell>
          <cell r="B3922">
            <v>202411</v>
          </cell>
          <cell r="D3922" t="str">
            <v>Vida Ganado</v>
          </cell>
          <cell r="G3922" t="str">
            <v>Real</v>
          </cell>
        </row>
        <row r="3923">
          <cell r="A3923" t="str">
            <v>BRC</v>
          </cell>
          <cell r="B3923">
            <v>202411</v>
          </cell>
          <cell r="D3923" t="str">
            <v>Vida Riesgo Particular</v>
          </cell>
          <cell r="G3923" t="str">
            <v>Real</v>
          </cell>
        </row>
        <row r="3924">
          <cell r="A3924" t="str">
            <v>BRC</v>
          </cell>
          <cell r="B3924">
            <v>202412</v>
          </cell>
          <cell r="D3924" t="str">
            <v>--</v>
          </cell>
          <cell r="G3924" t="str">
            <v>Real</v>
          </cell>
        </row>
        <row r="3925">
          <cell r="A3925" t="str">
            <v>BRC</v>
          </cell>
          <cell r="B3925">
            <v>202412</v>
          </cell>
          <cell r="D3925" t="str">
            <v>--</v>
          </cell>
          <cell r="G3925" t="str">
            <v>Real</v>
          </cell>
        </row>
        <row r="3926">
          <cell r="A3926" t="str">
            <v>BRC</v>
          </cell>
          <cell r="B3926">
            <v>202412</v>
          </cell>
          <cell r="D3926" t="str">
            <v>Resto de Lineas</v>
          </cell>
          <cell r="G3926" t="str">
            <v>Real</v>
          </cell>
        </row>
        <row r="3927">
          <cell r="A3927" t="str">
            <v>BRC</v>
          </cell>
          <cell r="B3927">
            <v>202412</v>
          </cell>
          <cell r="D3927" t="str">
            <v>Autos</v>
          </cell>
          <cell r="G3927" t="str">
            <v>Real</v>
          </cell>
        </row>
        <row r="3928">
          <cell r="A3928" t="str">
            <v>BRC</v>
          </cell>
          <cell r="B3928">
            <v>202412</v>
          </cell>
          <cell r="D3928" t="str">
            <v>Crédito Nacional</v>
          </cell>
          <cell r="G3928" t="str">
            <v>Real</v>
          </cell>
        </row>
        <row r="3929">
          <cell r="A3929" t="str">
            <v>BRC</v>
          </cell>
          <cell r="B3929">
            <v>202412</v>
          </cell>
          <cell r="D3929" t="str">
            <v>Flotas</v>
          </cell>
          <cell r="G3929" t="str">
            <v>Real</v>
          </cell>
        </row>
        <row r="3930">
          <cell r="A3930" t="str">
            <v>BRC</v>
          </cell>
          <cell r="B3930">
            <v>202412</v>
          </cell>
          <cell r="D3930" t="str">
            <v>Hogar</v>
          </cell>
          <cell r="G3930" t="str">
            <v>Real</v>
          </cell>
        </row>
        <row r="3931">
          <cell r="A3931" t="str">
            <v>BRC</v>
          </cell>
          <cell r="B3931">
            <v>202412</v>
          </cell>
          <cell r="D3931" t="str">
            <v>Particulares Resto</v>
          </cell>
          <cell r="G3931" t="str">
            <v>Real</v>
          </cell>
        </row>
        <row r="3932">
          <cell r="A3932" t="str">
            <v>BRC</v>
          </cell>
          <cell r="B3932">
            <v>202412</v>
          </cell>
          <cell r="D3932" t="str">
            <v>Property</v>
          </cell>
          <cell r="G3932" t="str">
            <v>Real</v>
          </cell>
        </row>
        <row r="3933">
          <cell r="A3933" t="str">
            <v>BRC</v>
          </cell>
          <cell r="B3933">
            <v>202412</v>
          </cell>
          <cell r="D3933" t="str">
            <v>RC</v>
          </cell>
          <cell r="G3933" t="str">
            <v>Real</v>
          </cell>
        </row>
        <row r="3934">
          <cell r="A3934" t="str">
            <v>BRC</v>
          </cell>
          <cell r="B3934">
            <v>202412</v>
          </cell>
          <cell r="D3934" t="str">
            <v>Seguros Personales (No Vida) Colectivos</v>
          </cell>
          <cell r="G3934" t="str">
            <v>Real</v>
          </cell>
        </row>
        <row r="3935">
          <cell r="A3935" t="str">
            <v>BRC</v>
          </cell>
          <cell r="B3935">
            <v>202412</v>
          </cell>
          <cell r="D3935" t="str">
            <v>Seguros Personales (No Vida) Particular</v>
          </cell>
          <cell r="G3935" t="str">
            <v>Real</v>
          </cell>
        </row>
        <row r="3936">
          <cell r="A3936" t="str">
            <v>BRC</v>
          </cell>
          <cell r="B3936">
            <v>202412</v>
          </cell>
          <cell r="D3936" t="str">
            <v>Transporte</v>
          </cell>
          <cell r="G3936" t="str">
            <v>Real</v>
          </cell>
        </row>
        <row r="3937">
          <cell r="A3937" t="str">
            <v>BRC</v>
          </cell>
          <cell r="B3937">
            <v>202412</v>
          </cell>
          <cell r="D3937" t="str">
            <v>Vida Riesgo Particular</v>
          </cell>
          <cell r="G3937" t="str">
            <v>Real</v>
          </cell>
        </row>
        <row r="3938">
          <cell r="A3938" t="str">
            <v>BRC</v>
          </cell>
          <cell r="B3938">
            <v>202501</v>
          </cell>
          <cell r="D3938" t="str">
            <v>--</v>
          </cell>
          <cell r="G3938" t="str">
            <v>Presupuesto</v>
          </cell>
        </row>
        <row r="3939">
          <cell r="A3939" t="str">
            <v>BRC</v>
          </cell>
          <cell r="B3939">
            <v>202501</v>
          </cell>
          <cell r="D3939" t="str">
            <v>--</v>
          </cell>
          <cell r="G3939" t="str">
            <v>Real</v>
          </cell>
        </row>
        <row r="3940">
          <cell r="A3940" t="str">
            <v>BRC</v>
          </cell>
          <cell r="B3940">
            <v>202501</v>
          </cell>
          <cell r="D3940" t="str">
            <v>--</v>
          </cell>
          <cell r="G3940" t="str">
            <v>Presupuesto</v>
          </cell>
        </row>
        <row r="3941">
          <cell r="A3941" t="str">
            <v>BRC</v>
          </cell>
          <cell r="B3941">
            <v>202501</v>
          </cell>
          <cell r="D3941" t="str">
            <v>Arte</v>
          </cell>
          <cell r="G3941" t="str">
            <v>Presupuesto</v>
          </cell>
        </row>
        <row r="3942">
          <cell r="A3942" t="str">
            <v>BRC</v>
          </cell>
          <cell r="B3942">
            <v>202501</v>
          </cell>
          <cell r="D3942" t="str">
            <v>Autos</v>
          </cell>
          <cell r="G3942" t="str">
            <v>Presupuesto</v>
          </cell>
        </row>
        <row r="3943">
          <cell r="A3943" t="str">
            <v>BRC</v>
          </cell>
          <cell r="B3943">
            <v>202501</v>
          </cell>
          <cell r="D3943" t="str">
            <v>Autos</v>
          </cell>
          <cell r="G3943" t="str">
            <v>Real</v>
          </cell>
        </row>
        <row r="3944">
          <cell r="A3944" t="str">
            <v>BRC</v>
          </cell>
          <cell r="B3944">
            <v>202501</v>
          </cell>
          <cell r="D3944" t="str">
            <v>B2B2C</v>
          </cell>
          <cell r="G3944" t="str">
            <v>Presupuesto</v>
          </cell>
        </row>
        <row r="3945">
          <cell r="A3945" t="str">
            <v>BRC</v>
          </cell>
          <cell r="B3945">
            <v>202501</v>
          </cell>
          <cell r="D3945" t="str">
            <v>Caución</v>
          </cell>
          <cell r="G3945" t="str">
            <v>Presupuesto</v>
          </cell>
        </row>
        <row r="3946">
          <cell r="A3946" t="str">
            <v>BRC</v>
          </cell>
          <cell r="B3946">
            <v>202501</v>
          </cell>
          <cell r="D3946" t="str">
            <v>Crédito Internacional</v>
          </cell>
          <cell r="G3946" t="str">
            <v>Presupuesto</v>
          </cell>
        </row>
        <row r="3947">
          <cell r="A3947" t="str">
            <v>BRC</v>
          </cell>
          <cell r="B3947">
            <v>202501</v>
          </cell>
          <cell r="D3947" t="str">
            <v>Crédito Nacional</v>
          </cell>
          <cell r="G3947" t="str">
            <v>Presupuesto</v>
          </cell>
        </row>
        <row r="3948">
          <cell r="A3948" t="str">
            <v>BRC</v>
          </cell>
          <cell r="B3948">
            <v>202501</v>
          </cell>
          <cell r="D3948" t="str">
            <v>Eventos</v>
          </cell>
          <cell r="G3948" t="str">
            <v>Presupuesto</v>
          </cell>
        </row>
        <row r="3949">
          <cell r="A3949" t="str">
            <v>BRC</v>
          </cell>
          <cell r="B3949">
            <v>202501</v>
          </cell>
          <cell r="D3949" t="str">
            <v>Flotas</v>
          </cell>
          <cell r="G3949" t="str">
            <v>Presupuesto</v>
          </cell>
        </row>
        <row r="3950">
          <cell r="A3950" t="str">
            <v>BRC</v>
          </cell>
          <cell r="B3950">
            <v>202501</v>
          </cell>
          <cell r="D3950" t="str">
            <v>Flotas</v>
          </cell>
          <cell r="G3950" t="str">
            <v>Real</v>
          </cell>
        </row>
        <row r="3951">
          <cell r="A3951" t="str">
            <v>BRC</v>
          </cell>
          <cell r="B3951">
            <v>202501</v>
          </cell>
          <cell r="D3951" t="str">
            <v>Hogar</v>
          </cell>
          <cell r="G3951" t="str">
            <v>Presupuesto</v>
          </cell>
        </row>
        <row r="3952">
          <cell r="A3952" t="str">
            <v>BRC</v>
          </cell>
          <cell r="B3952">
            <v>202501</v>
          </cell>
          <cell r="D3952" t="str">
            <v>Hogar</v>
          </cell>
          <cell r="G3952" t="str">
            <v>Real</v>
          </cell>
        </row>
        <row r="3953">
          <cell r="A3953" t="str">
            <v>BRC</v>
          </cell>
          <cell r="B3953">
            <v>202501</v>
          </cell>
          <cell r="D3953" t="str">
            <v>Ingeniería</v>
          </cell>
          <cell r="G3953" t="str">
            <v>Presupuesto</v>
          </cell>
        </row>
        <row r="3954">
          <cell r="A3954" t="str">
            <v>BRC</v>
          </cell>
          <cell r="B3954">
            <v>202501</v>
          </cell>
          <cell r="D3954" t="str">
            <v>Inmobiliario</v>
          </cell>
          <cell r="G3954" t="str">
            <v>Presupuesto</v>
          </cell>
        </row>
        <row r="3955">
          <cell r="A3955" t="str">
            <v>BRC</v>
          </cell>
          <cell r="B3955">
            <v>202501</v>
          </cell>
          <cell r="D3955" t="str">
            <v>Líneas Financieras</v>
          </cell>
          <cell r="G3955" t="str">
            <v>Presupuesto</v>
          </cell>
        </row>
        <row r="3956">
          <cell r="A3956" t="str">
            <v>BRC</v>
          </cell>
          <cell r="B3956">
            <v>202501</v>
          </cell>
          <cell r="D3956" t="str">
            <v>Náutica</v>
          </cell>
          <cell r="G3956" t="str">
            <v>Presupuesto</v>
          </cell>
        </row>
        <row r="3957">
          <cell r="A3957" t="str">
            <v>BRC</v>
          </cell>
          <cell r="B3957">
            <v>202501</v>
          </cell>
          <cell r="D3957" t="str">
            <v>Particulares Resto</v>
          </cell>
          <cell r="G3957" t="str">
            <v>Presupuesto</v>
          </cell>
        </row>
        <row r="3958">
          <cell r="A3958" t="str">
            <v>BRC</v>
          </cell>
          <cell r="B3958">
            <v>202501</v>
          </cell>
          <cell r="D3958" t="str">
            <v>Property</v>
          </cell>
          <cell r="G3958" t="str">
            <v>Presupuesto</v>
          </cell>
        </row>
        <row r="3959">
          <cell r="A3959" t="str">
            <v>BRC</v>
          </cell>
          <cell r="B3959">
            <v>202501</v>
          </cell>
          <cell r="D3959" t="str">
            <v>Property</v>
          </cell>
          <cell r="G3959" t="str">
            <v>Real</v>
          </cell>
        </row>
        <row r="3960">
          <cell r="A3960" t="str">
            <v>BRC</v>
          </cell>
          <cell r="B3960">
            <v>202501</v>
          </cell>
          <cell r="D3960" t="str">
            <v>RC</v>
          </cell>
          <cell r="G3960" t="str">
            <v>Presupuesto</v>
          </cell>
        </row>
        <row r="3961">
          <cell r="A3961" t="str">
            <v>BRC</v>
          </cell>
          <cell r="B3961">
            <v>202501</v>
          </cell>
          <cell r="D3961" t="str">
            <v>RC</v>
          </cell>
          <cell r="G3961" t="str">
            <v>Real</v>
          </cell>
        </row>
        <row r="3962">
          <cell r="A3962" t="str">
            <v>BRC</v>
          </cell>
          <cell r="B3962">
            <v>202501</v>
          </cell>
          <cell r="D3962" t="str">
            <v>Resto de lineas</v>
          </cell>
          <cell r="G3962" t="str">
            <v>Presupuesto</v>
          </cell>
        </row>
        <row r="3963">
          <cell r="A3963" t="str">
            <v>BRC</v>
          </cell>
          <cell r="B3963">
            <v>202501</v>
          </cell>
          <cell r="D3963" t="str">
            <v>Resto de lineas</v>
          </cell>
          <cell r="G3963" t="str">
            <v>Real</v>
          </cell>
        </row>
        <row r="3964">
          <cell r="A3964" t="str">
            <v>BRC</v>
          </cell>
          <cell r="B3964">
            <v>202501</v>
          </cell>
          <cell r="D3964" t="str">
            <v>Retirada</v>
          </cell>
          <cell r="G3964" t="str">
            <v>Presupuesto</v>
          </cell>
        </row>
        <row r="3965">
          <cell r="A3965" t="str">
            <v>BRC</v>
          </cell>
          <cell r="B3965">
            <v>202501</v>
          </cell>
          <cell r="D3965" t="str">
            <v>Seguros Personales (No Vida) Colectivos</v>
          </cell>
          <cell r="G3965" t="str">
            <v>Presupuesto</v>
          </cell>
        </row>
        <row r="3966">
          <cell r="A3966" t="str">
            <v>BRC</v>
          </cell>
          <cell r="B3966">
            <v>202501</v>
          </cell>
          <cell r="D3966" t="str">
            <v>Seguros Personales (No Vida) Colectivos</v>
          </cell>
          <cell r="G3966" t="str">
            <v>Real</v>
          </cell>
        </row>
        <row r="3967">
          <cell r="A3967" t="str">
            <v>BRC</v>
          </cell>
          <cell r="B3967">
            <v>202501</v>
          </cell>
          <cell r="D3967" t="str">
            <v>Seguros Personales (No Vida) Particular</v>
          </cell>
          <cell r="G3967" t="str">
            <v>Presupuesto</v>
          </cell>
        </row>
        <row r="3968">
          <cell r="A3968" t="str">
            <v>BRC</v>
          </cell>
          <cell r="B3968">
            <v>202501</v>
          </cell>
          <cell r="D3968" t="str">
            <v>Seguros Personales (No Vida) Particular</v>
          </cell>
          <cell r="G3968" t="str">
            <v>Real</v>
          </cell>
        </row>
        <row r="3969">
          <cell r="A3969" t="str">
            <v>BRC</v>
          </cell>
          <cell r="B3969">
            <v>202501</v>
          </cell>
          <cell r="D3969" t="str">
            <v>Transporte</v>
          </cell>
          <cell r="G3969" t="str">
            <v>Presupuesto</v>
          </cell>
        </row>
        <row r="3970">
          <cell r="A3970" t="str">
            <v>BRC</v>
          </cell>
          <cell r="B3970">
            <v>202501</v>
          </cell>
          <cell r="D3970" t="str">
            <v>Venta Cruzada</v>
          </cell>
          <cell r="G3970" t="str">
            <v>Presupuesto</v>
          </cell>
        </row>
        <row r="3971">
          <cell r="A3971" t="str">
            <v>BRC</v>
          </cell>
          <cell r="B3971">
            <v>202501</v>
          </cell>
          <cell r="D3971" t="str">
            <v>Vida Ahorro Colectivo</v>
          </cell>
          <cell r="G3971" t="str">
            <v>Presupuesto</v>
          </cell>
        </row>
        <row r="3972">
          <cell r="A3972" t="str">
            <v>BRC</v>
          </cell>
          <cell r="B3972">
            <v>202501</v>
          </cell>
          <cell r="D3972" t="str">
            <v>Vida Ahorro Particular</v>
          </cell>
          <cell r="G3972" t="str">
            <v>Presupuesto</v>
          </cell>
        </row>
        <row r="3973">
          <cell r="A3973" t="str">
            <v>BRC</v>
          </cell>
          <cell r="B3973">
            <v>202501</v>
          </cell>
          <cell r="D3973" t="str">
            <v>Vida Ganado</v>
          </cell>
          <cell r="G3973" t="str">
            <v>Presupuesto</v>
          </cell>
        </row>
        <row r="3974">
          <cell r="A3974" t="str">
            <v>BRC</v>
          </cell>
          <cell r="B3974">
            <v>202501</v>
          </cell>
          <cell r="D3974" t="str">
            <v>Vida Riesgo Colectivo</v>
          </cell>
          <cell r="G3974" t="str">
            <v>Presupuesto</v>
          </cell>
        </row>
        <row r="3975">
          <cell r="A3975" t="str">
            <v>BRC</v>
          </cell>
          <cell r="B3975">
            <v>202501</v>
          </cell>
          <cell r="D3975" t="str">
            <v>Vida Riesgo Particular</v>
          </cell>
          <cell r="G3975" t="str">
            <v>Presupuesto</v>
          </cell>
        </row>
        <row r="3976">
          <cell r="A3976" t="str">
            <v>BRC</v>
          </cell>
          <cell r="B3976">
            <v>202501</v>
          </cell>
          <cell r="D3976" t="str">
            <v>Vida Riesgo Particular</v>
          </cell>
          <cell r="G3976" t="str">
            <v>Real</v>
          </cell>
        </row>
        <row r="3977">
          <cell r="A3977" t="str">
            <v>BRC</v>
          </cell>
          <cell r="B3977">
            <v>202502</v>
          </cell>
          <cell r="D3977" t="str">
            <v>--</v>
          </cell>
          <cell r="G3977" t="str">
            <v>Presupuesto</v>
          </cell>
        </row>
        <row r="3978">
          <cell r="A3978" t="str">
            <v>BRC</v>
          </cell>
          <cell r="B3978">
            <v>202502</v>
          </cell>
          <cell r="D3978" t="str">
            <v>--</v>
          </cell>
          <cell r="G3978" t="str">
            <v>Real</v>
          </cell>
        </row>
        <row r="3979">
          <cell r="A3979" t="str">
            <v>BRC</v>
          </cell>
          <cell r="B3979">
            <v>202502</v>
          </cell>
          <cell r="D3979" t="str">
            <v>--</v>
          </cell>
          <cell r="G3979" t="str">
            <v>Presupuesto</v>
          </cell>
        </row>
        <row r="3980">
          <cell r="A3980" t="str">
            <v>BRC</v>
          </cell>
          <cell r="B3980">
            <v>202502</v>
          </cell>
          <cell r="D3980" t="str">
            <v>Arte</v>
          </cell>
          <cell r="G3980" t="str">
            <v>Presupuesto</v>
          </cell>
        </row>
        <row r="3981">
          <cell r="A3981" t="str">
            <v>BRC</v>
          </cell>
          <cell r="B3981">
            <v>202502</v>
          </cell>
          <cell r="D3981" t="str">
            <v>Autos</v>
          </cell>
          <cell r="G3981" t="str">
            <v>Presupuesto</v>
          </cell>
        </row>
        <row r="3982">
          <cell r="A3982" t="str">
            <v>BRC</v>
          </cell>
          <cell r="B3982">
            <v>202502</v>
          </cell>
          <cell r="D3982" t="str">
            <v>Autos</v>
          </cell>
          <cell r="G3982" t="str">
            <v>Real</v>
          </cell>
        </row>
        <row r="3983">
          <cell r="A3983" t="str">
            <v>BRC</v>
          </cell>
          <cell r="B3983">
            <v>202502</v>
          </cell>
          <cell r="D3983" t="str">
            <v>B2B2C</v>
          </cell>
          <cell r="G3983" t="str">
            <v>Presupuesto</v>
          </cell>
        </row>
        <row r="3984">
          <cell r="A3984" t="str">
            <v>BRC</v>
          </cell>
          <cell r="B3984">
            <v>202502</v>
          </cell>
          <cell r="D3984" t="str">
            <v>Caución</v>
          </cell>
          <cell r="G3984" t="str">
            <v>Presupuesto</v>
          </cell>
        </row>
        <row r="3985">
          <cell r="A3985" t="str">
            <v>BRC</v>
          </cell>
          <cell r="B3985">
            <v>202502</v>
          </cell>
          <cell r="D3985" t="str">
            <v>Crédito Internacional</v>
          </cell>
          <cell r="G3985" t="str">
            <v>Presupuesto</v>
          </cell>
        </row>
        <row r="3986">
          <cell r="A3986" t="str">
            <v>BRC</v>
          </cell>
          <cell r="B3986">
            <v>202502</v>
          </cell>
          <cell r="D3986" t="str">
            <v>Crédito Nacional</v>
          </cell>
          <cell r="G3986" t="str">
            <v>Presupuesto</v>
          </cell>
        </row>
        <row r="3987">
          <cell r="A3987" t="str">
            <v>BRC</v>
          </cell>
          <cell r="B3987">
            <v>202502</v>
          </cell>
          <cell r="D3987" t="str">
            <v>Eventos</v>
          </cell>
          <cell r="G3987" t="str">
            <v>Presupuesto</v>
          </cell>
        </row>
        <row r="3988">
          <cell r="A3988" t="str">
            <v>BRC</v>
          </cell>
          <cell r="B3988">
            <v>202502</v>
          </cell>
          <cell r="D3988" t="str">
            <v>Flotas</v>
          </cell>
          <cell r="G3988" t="str">
            <v>Presupuesto</v>
          </cell>
        </row>
        <row r="3989">
          <cell r="A3989" t="str">
            <v>BRC</v>
          </cell>
          <cell r="B3989">
            <v>202502</v>
          </cell>
          <cell r="D3989" t="str">
            <v>Hogar</v>
          </cell>
          <cell r="G3989" t="str">
            <v>Presupuesto</v>
          </cell>
        </row>
        <row r="3990">
          <cell r="A3990" t="str">
            <v>BRC</v>
          </cell>
          <cell r="B3990">
            <v>202502</v>
          </cell>
          <cell r="D3990" t="str">
            <v>Hogar</v>
          </cell>
          <cell r="G3990" t="str">
            <v>Real</v>
          </cell>
        </row>
        <row r="3991">
          <cell r="A3991" t="str">
            <v>BRC</v>
          </cell>
          <cell r="B3991">
            <v>202502</v>
          </cell>
          <cell r="D3991" t="str">
            <v>Ingeniería</v>
          </cell>
          <cell r="G3991" t="str">
            <v>Presupuesto</v>
          </cell>
        </row>
        <row r="3992">
          <cell r="A3992" t="str">
            <v>BRC</v>
          </cell>
          <cell r="B3992">
            <v>202502</v>
          </cell>
          <cell r="D3992" t="str">
            <v>Inmobiliario</v>
          </cell>
          <cell r="G3992" t="str">
            <v>Presupuesto</v>
          </cell>
        </row>
        <row r="3993">
          <cell r="A3993" t="str">
            <v>BRC</v>
          </cell>
          <cell r="B3993">
            <v>202502</v>
          </cell>
          <cell r="D3993" t="str">
            <v>Líneas Financieras</v>
          </cell>
          <cell r="G3993" t="str">
            <v>Presupuesto</v>
          </cell>
        </row>
        <row r="3994">
          <cell r="A3994" t="str">
            <v>BRC</v>
          </cell>
          <cell r="B3994">
            <v>202502</v>
          </cell>
          <cell r="D3994" t="str">
            <v>Náutica</v>
          </cell>
          <cell r="G3994" t="str">
            <v>Presupuesto</v>
          </cell>
        </row>
        <row r="3995">
          <cell r="A3995" t="str">
            <v>BRC</v>
          </cell>
          <cell r="B3995">
            <v>202502</v>
          </cell>
          <cell r="D3995" t="str">
            <v>Particulares Resto</v>
          </cell>
          <cell r="G3995" t="str">
            <v>Presupuesto</v>
          </cell>
        </row>
        <row r="3996">
          <cell r="A3996" t="str">
            <v>BRC</v>
          </cell>
          <cell r="B3996">
            <v>202502</v>
          </cell>
          <cell r="D3996" t="str">
            <v>Property</v>
          </cell>
          <cell r="G3996" t="str">
            <v>Presupuesto</v>
          </cell>
        </row>
        <row r="3997">
          <cell r="A3997" t="str">
            <v>BRC</v>
          </cell>
          <cell r="B3997">
            <v>202502</v>
          </cell>
          <cell r="D3997" t="str">
            <v>Property</v>
          </cell>
          <cell r="G3997" t="str">
            <v>Real</v>
          </cell>
        </row>
        <row r="3998">
          <cell r="A3998" t="str">
            <v>BRC</v>
          </cell>
          <cell r="B3998">
            <v>202502</v>
          </cell>
          <cell r="D3998" t="str">
            <v>RC</v>
          </cell>
          <cell r="G3998" t="str">
            <v>Presupuesto</v>
          </cell>
        </row>
        <row r="3999">
          <cell r="A3999" t="str">
            <v>BRC</v>
          </cell>
          <cell r="B3999">
            <v>202502</v>
          </cell>
          <cell r="D3999" t="str">
            <v>Resto de lineas</v>
          </cell>
          <cell r="G3999" t="str">
            <v>Presupuesto</v>
          </cell>
        </row>
        <row r="4000">
          <cell r="A4000" t="str">
            <v>BRC</v>
          </cell>
          <cell r="B4000">
            <v>202502</v>
          </cell>
          <cell r="D4000" t="str">
            <v>Resto de lineas</v>
          </cell>
          <cell r="G4000" t="str">
            <v>Real</v>
          </cell>
        </row>
        <row r="4001">
          <cell r="A4001" t="str">
            <v>BRC</v>
          </cell>
          <cell r="B4001">
            <v>202502</v>
          </cell>
          <cell r="D4001" t="str">
            <v>Retirada</v>
          </cell>
          <cell r="G4001" t="str">
            <v>Presupuesto</v>
          </cell>
        </row>
        <row r="4002">
          <cell r="A4002" t="str">
            <v>BRC</v>
          </cell>
          <cell r="B4002">
            <v>202502</v>
          </cell>
          <cell r="D4002" t="str">
            <v>Seguros Personales (No Vida) Colectivos</v>
          </cell>
          <cell r="G4002" t="str">
            <v>Presupuesto</v>
          </cell>
        </row>
        <row r="4003">
          <cell r="A4003" t="str">
            <v>BRC</v>
          </cell>
          <cell r="B4003">
            <v>202502</v>
          </cell>
          <cell r="D4003" t="str">
            <v>Seguros Personales (No Vida) Particular</v>
          </cell>
          <cell r="G4003" t="str">
            <v>Presupuesto</v>
          </cell>
        </row>
        <row r="4004">
          <cell r="A4004" t="str">
            <v>BRC</v>
          </cell>
          <cell r="B4004">
            <v>202502</v>
          </cell>
          <cell r="D4004" t="str">
            <v>Transporte</v>
          </cell>
          <cell r="G4004" t="str">
            <v>Presupuesto</v>
          </cell>
        </row>
        <row r="4005">
          <cell r="A4005" t="str">
            <v>BRC</v>
          </cell>
          <cell r="B4005">
            <v>202502</v>
          </cell>
          <cell r="D4005" t="str">
            <v>Venta Cruzada</v>
          </cell>
          <cell r="G4005" t="str">
            <v>Presupuesto</v>
          </cell>
        </row>
        <row r="4006">
          <cell r="A4006" t="str">
            <v>BRC</v>
          </cell>
          <cell r="B4006">
            <v>202502</v>
          </cell>
          <cell r="D4006" t="str">
            <v>Vida Ahorro Colectivo</v>
          </cell>
          <cell r="G4006" t="str">
            <v>Presupuesto</v>
          </cell>
        </row>
        <row r="4007">
          <cell r="A4007" t="str">
            <v>BRC</v>
          </cell>
          <cell r="B4007">
            <v>202502</v>
          </cell>
          <cell r="D4007" t="str">
            <v>Vida Ahorro Particular</v>
          </cell>
          <cell r="G4007" t="str">
            <v>Presupuesto</v>
          </cell>
        </row>
        <row r="4008">
          <cell r="A4008" t="str">
            <v>BRC</v>
          </cell>
          <cell r="B4008">
            <v>202502</v>
          </cell>
          <cell r="D4008" t="str">
            <v>Vida Ganado</v>
          </cell>
          <cell r="G4008" t="str">
            <v>Presupuesto</v>
          </cell>
        </row>
        <row r="4009">
          <cell r="A4009" t="str">
            <v>BRC</v>
          </cell>
          <cell r="B4009">
            <v>202502</v>
          </cell>
          <cell r="D4009" t="str">
            <v>Vida Riesgo Colectivo</v>
          </cell>
          <cell r="G4009" t="str">
            <v>Presupuesto</v>
          </cell>
        </row>
        <row r="4010">
          <cell r="A4010" t="str">
            <v>BRC</v>
          </cell>
          <cell r="B4010">
            <v>202502</v>
          </cell>
          <cell r="D4010" t="str">
            <v>Vida Riesgo Particular</v>
          </cell>
          <cell r="G4010" t="str">
            <v>Presupuesto</v>
          </cell>
        </row>
        <row r="4011">
          <cell r="A4011" t="str">
            <v>BRC</v>
          </cell>
          <cell r="B4011">
            <v>202503</v>
          </cell>
          <cell r="D4011" t="str">
            <v>--</v>
          </cell>
          <cell r="G4011" t="str">
            <v>Presupuesto</v>
          </cell>
        </row>
        <row r="4012">
          <cell r="A4012" t="str">
            <v>BRC</v>
          </cell>
          <cell r="B4012">
            <v>202503</v>
          </cell>
          <cell r="D4012" t="str">
            <v>--</v>
          </cell>
          <cell r="G4012" t="str">
            <v>Real</v>
          </cell>
        </row>
        <row r="4013">
          <cell r="A4013" t="str">
            <v>BRC</v>
          </cell>
          <cell r="B4013">
            <v>202503</v>
          </cell>
          <cell r="D4013" t="str">
            <v>--</v>
          </cell>
          <cell r="G4013" t="str">
            <v>Presupuesto</v>
          </cell>
        </row>
        <row r="4014">
          <cell r="A4014" t="str">
            <v>BRC</v>
          </cell>
          <cell r="B4014">
            <v>202503</v>
          </cell>
          <cell r="D4014" t="str">
            <v>Arte</v>
          </cell>
          <cell r="G4014" t="str">
            <v>Presupuesto</v>
          </cell>
        </row>
        <row r="4015">
          <cell r="A4015" t="str">
            <v>BRC</v>
          </cell>
          <cell r="B4015">
            <v>202503</v>
          </cell>
          <cell r="D4015" t="str">
            <v>Autos</v>
          </cell>
          <cell r="G4015" t="str">
            <v>Presupuesto</v>
          </cell>
        </row>
        <row r="4016">
          <cell r="A4016" t="str">
            <v>BRC</v>
          </cell>
          <cell r="B4016">
            <v>202503</v>
          </cell>
          <cell r="D4016" t="str">
            <v>Autos</v>
          </cell>
          <cell r="G4016" t="str">
            <v>Real</v>
          </cell>
        </row>
        <row r="4017">
          <cell r="A4017" t="str">
            <v>BRC</v>
          </cell>
          <cell r="B4017">
            <v>202503</v>
          </cell>
          <cell r="D4017" t="str">
            <v>B2B2C</v>
          </cell>
          <cell r="G4017" t="str">
            <v>Presupuesto</v>
          </cell>
        </row>
        <row r="4018">
          <cell r="A4018" t="str">
            <v>BRC</v>
          </cell>
          <cell r="B4018">
            <v>202503</v>
          </cell>
          <cell r="D4018" t="str">
            <v>Caución</v>
          </cell>
          <cell r="G4018" t="str">
            <v>Presupuesto</v>
          </cell>
        </row>
        <row r="4019">
          <cell r="A4019" t="str">
            <v>BRC</v>
          </cell>
          <cell r="B4019">
            <v>202503</v>
          </cell>
          <cell r="D4019" t="str">
            <v>Crédito Internacional</v>
          </cell>
          <cell r="G4019" t="str">
            <v>Presupuesto</v>
          </cell>
        </row>
        <row r="4020">
          <cell r="A4020" t="str">
            <v>BRC</v>
          </cell>
          <cell r="B4020">
            <v>202503</v>
          </cell>
          <cell r="D4020" t="str">
            <v>Crédito Nacional</v>
          </cell>
          <cell r="G4020" t="str">
            <v>Presupuesto</v>
          </cell>
        </row>
        <row r="4021">
          <cell r="A4021" t="str">
            <v>BRC</v>
          </cell>
          <cell r="B4021">
            <v>202503</v>
          </cell>
          <cell r="D4021" t="str">
            <v>Eventos</v>
          </cell>
          <cell r="G4021" t="str">
            <v>Presupuesto</v>
          </cell>
        </row>
        <row r="4022">
          <cell r="A4022" t="str">
            <v>BRC</v>
          </cell>
          <cell r="B4022">
            <v>202503</v>
          </cell>
          <cell r="D4022" t="str">
            <v>Flotas</v>
          </cell>
          <cell r="G4022" t="str">
            <v>Presupuesto</v>
          </cell>
        </row>
        <row r="4023">
          <cell r="A4023" t="str">
            <v>BRC</v>
          </cell>
          <cell r="B4023">
            <v>202503</v>
          </cell>
          <cell r="D4023" t="str">
            <v>Flotas</v>
          </cell>
          <cell r="G4023" t="str">
            <v>Real</v>
          </cell>
        </row>
        <row r="4024">
          <cell r="A4024" t="str">
            <v>BRC</v>
          </cell>
          <cell r="B4024">
            <v>202503</v>
          </cell>
          <cell r="D4024" t="str">
            <v>Hogar</v>
          </cell>
          <cell r="G4024" t="str">
            <v>Presupuesto</v>
          </cell>
        </row>
        <row r="4025">
          <cell r="A4025" t="str">
            <v>BRC</v>
          </cell>
          <cell r="B4025">
            <v>202503</v>
          </cell>
          <cell r="D4025" t="str">
            <v>Hogar</v>
          </cell>
          <cell r="G4025" t="str">
            <v>Real</v>
          </cell>
        </row>
        <row r="4026">
          <cell r="A4026" t="str">
            <v>BRC</v>
          </cell>
          <cell r="B4026">
            <v>202503</v>
          </cell>
          <cell r="D4026" t="str">
            <v>Ingeniería</v>
          </cell>
          <cell r="G4026" t="str">
            <v>Presupuesto</v>
          </cell>
        </row>
        <row r="4027">
          <cell r="A4027" t="str">
            <v>BRC</v>
          </cell>
          <cell r="B4027">
            <v>202503</v>
          </cell>
          <cell r="D4027" t="str">
            <v>Inmobiliario</v>
          </cell>
          <cell r="G4027" t="str">
            <v>Presupuesto</v>
          </cell>
        </row>
        <row r="4028">
          <cell r="A4028" t="str">
            <v>BRC</v>
          </cell>
          <cell r="B4028">
            <v>202503</v>
          </cell>
          <cell r="D4028" t="str">
            <v>Líneas Financieras</v>
          </cell>
          <cell r="G4028" t="str">
            <v>Presupuesto</v>
          </cell>
        </row>
        <row r="4029">
          <cell r="A4029" t="str">
            <v>BRC</v>
          </cell>
          <cell r="B4029">
            <v>202503</v>
          </cell>
          <cell r="D4029" t="str">
            <v>Náutica</v>
          </cell>
          <cell r="G4029" t="str">
            <v>Presupuesto</v>
          </cell>
        </row>
        <row r="4030">
          <cell r="A4030" t="str">
            <v>BRC</v>
          </cell>
          <cell r="B4030">
            <v>202503</v>
          </cell>
          <cell r="D4030" t="str">
            <v>Náutica</v>
          </cell>
          <cell r="G4030" t="str">
            <v>Real</v>
          </cell>
        </row>
        <row r="4031">
          <cell r="A4031" t="str">
            <v>BRC</v>
          </cell>
          <cell r="B4031">
            <v>202503</v>
          </cell>
          <cell r="D4031" t="str">
            <v>Particulares Resto</v>
          </cell>
          <cell r="G4031" t="str">
            <v>Presupuesto</v>
          </cell>
        </row>
        <row r="4032">
          <cell r="A4032" t="str">
            <v>BRC</v>
          </cell>
          <cell r="B4032">
            <v>202503</v>
          </cell>
          <cell r="D4032" t="str">
            <v>Particulares Resto</v>
          </cell>
          <cell r="G4032" t="str">
            <v>Real</v>
          </cell>
        </row>
        <row r="4033">
          <cell r="A4033" t="str">
            <v>BRC</v>
          </cell>
          <cell r="B4033">
            <v>202503</v>
          </cell>
          <cell r="D4033" t="str">
            <v>Property</v>
          </cell>
          <cell r="G4033" t="str">
            <v>Presupuesto</v>
          </cell>
        </row>
        <row r="4034">
          <cell r="A4034" t="str">
            <v>BRC</v>
          </cell>
          <cell r="B4034">
            <v>202503</v>
          </cell>
          <cell r="D4034" t="str">
            <v>Property</v>
          </cell>
          <cell r="G4034" t="str">
            <v>Real</v>
          </cell>
        </row>
        <row r="4035">
          <cell r="A4035" t="str">
            <v>BRC</v>
          </cell>
          <cell r="B4035">
            <v>202503</v>
          </cell>
          <cell r="D4035" t="str">
            <v>RC</v>
          </cell>
          <cell r="G4035" t="str">
            <v>Presupuesto</v>
          </cell>
        </row>
        <row r="4036">
          <cell r="A4036" t="str">
            <v>BRC</v>
          </cell>
          <cell r="B4036">
            <v>202503</v>
          </cell>
          <cell r="D4036" t="str">
            <v>RC</v>
          </cell>
          <cell r="G4036" t="str">
            <v>Real</v>
          </cell>
        </row>
        <row r="4037">
          <cell r="A4037" t="str">
            <v>BRC</v>
          </cell>
          <cell r="B4037">
            <v>202503</v>
          </cell>
          <cell r="D4037" t="str">
            <v>Resto de lineas</v>
          </cell>
          <cell r="G4037" t="str">
            <v>Presupuesto</v>
          </cell>
        </row>
        <row r="4038">
          <cell r="A4038" t="str">
            <v>BRC</v>
          </cell>
          <cell r="B4038">
            <v>202503</v>
          </cell>
          <cell r="D4038" t="str">
            <v>Resto de lineas</v>
          </cell>
          <cell r="G4038" t="str">
            <v>Real</v>
          </cell>
        </row>
        <row r="4039">
          <cell r="A4039" t="str">
            <v>BRC</v>
          </cell>
          <cell r="B4039">
            <v>202503</v>
          </cell>
          <cell r="D4039" t="str">
            <v>Resto de lineas</v>
          </cell>
          <cell r="G4039" t="str">
            <v>Real</v>
          </cell>
        </row>
        <row r="4040">
          <cell r="A4040" t="str">
            <v>BRC</v>
          </cell>
          <cell r="B4040">
            <v>202503</v>
          </cell>
          <cell r="D4040" t="str">
            <v>Retirada</v>
          </cell>
          <cell r="G4040" t="str">
            <v>Presupuesto</v>
          </cell>
        </row>
        <row r="4041">
          <cell r="A4041" t="str">
            <v>BRC</v>
          </cell>
          <cell r="B4041">
            <v>202503</v>
          </cell>
          <cell r="D4041" t="str">
            <v>Retirada</v>
          </cell>
          <cell r="G4041" t="str">
            <v>Real</v>
          </cell>
        </row>
        <row r="4042">
          <cell r="A4042" t="str">
            <v>BRC</v>
          </cell>
          <cell r="B4042">
            <v>202503</v>
          </cell>
          <cell r="D4042" t="str">
            <v>Retirada</v>
          </cell>
          <cell r="G4042" t="str">
            <v>Real</v>
          </cell>
        </row>
        <row r="4043">
          <cell r="A4043" t="str">
            <v>BRC</v>
          </cell>
          <cell r="B4043">
            <v>202503</v>
          </cell>
          <cell r="D4043" t="str">
            <v>Seguros Personales (No Vida) Colectivos</v>
          </cell>
          <cell r="G4043" t="str">
            <v>Presupuesto</v>
          </cell>
        </row>
        <row r="4044">
          <cell r="A4044" t="str">
            <v>BRC</v>
          </cell>
          <cell r="B4044">
            <v>202503</v>
          </cell>
          <cell r="D4044" t="str">
            <v>Seguros Personales (No Vida) Colectivos</v>
          </cell>
          <cell r="G4044" t="str">
            <v>Real</v>
          </cell>
        </row>
        <row r="4045">
          <cell r="A4045" t="str">
            <v>BRC</v>
          </cell>
          <cell r="B4045">
            <v>202503</v>
          </cell>
          <cell r="D4045" t="str">
            <v>Seguros Personales (No Vida) Particular</v>
          </cell>
          <cell r="G4045" t="str">
            <v>Presupuesto</v>
          </cell>
        </row>
        <row r="4046">
          <cell r="A4046" t="str">
            <v>BRC</v>
          </cell>
          <cell r="B4046">
            <v>202503</v>
          </cell>
          <cell r="D4046" t="str">
            <v>Seguros Personales (No Vida) Particular</v>
          </cell>
          <cell r="G4046" t="str">
            <v>Real</v>
          </cell>
        </row>
        <row r="4047">
          <cell r="A4047" t="str">
            <v>BRC</v>
          </cell>
          <cell r="B4047">
            <v>202503</v>
          </cell>
          <cell r="D4047" t="str">
            <v>Transporte</v>
          </cell>
          <cell r="G4047" t="str">
            <v>Presupuesto</v>
          </cell>
        </row>
        <row r="4048">
          <cell r="A4048" t="str">
            <v>BRC</v>
          </cell>
          <cell r="B4048">
            <v>202503</v>
          </cell>
          <cell r="D4048" t="str">
            <v>Transporte</v>
          </cell>
          <cell r="G4048" t="str">
            <v>Real</v>
          </cell>
        </row>
        <row r="4049">
          <cell r="A4049" t="str">
            <v>BRC</v>
          </cell>
          <cell r="B4049">
            <v>202503</v>
          </cell>
          <cell r="D4049" t="str">
            <v>Venta Cruzada</v>
          </cell>
          <cell r="G4049" t="str">
            <v>Presupuesto</v>
          </cell>
        </row>
        <row r="4050">
          <cell r="A4050" t="str">
            <v>BRC</v>
          </cell>
          <cell r="B4050">
            <v>202503</v>
          </cell>
          <cell r="D4050" t="str">
            <v>Venta Cruzada</v>
          </cell>
          <cell r="G4050" t="str">
            <v>Real</v>
          </cell>
        </row>
        <row r="4051">
          <cell r="A4051" t="str">
            <v>BRC</v>
          </cell>
          <cell r="B4051">
            <v>202503</v>
          </cell>
          <cell r="D4051" t="str">
            <v>Vida Ahorro Colectivo</v>
          </cell>
          <cell r="G4051" t="str">
            <v>Presupuesto</v>
          </cell>
        </row>
        <row r="4052">
          <cell r="A4052" t="str">
            <v>BRC</v>
          </cell>
          <cell r="B4052">
            <v>202503</v>
          </cell>
          <cell r="D4052" t="str">
            <v>Vida Ahorro Particular</v>
          </cell>
          <cell r="G4052" t="str">
            <v>Presupuesto</v>
          </cell>
        </row>
        <row r="4053">
          <cell r="A4053" t="str">
            <v>BRC</v>
          </cell>
          <cell r="B4053">
            <v>202503</v>
          </cell>
          <cell r="D4053" t="str">
            <v>Vida Ganado</v>
          </cell>
          <cell r="G4053" t="str">
            <v>Presupuesto</v>
          </cell>
        </row>
        <row r="4054">
          <cell r="A4054" t="str">
            <v>BRC</v>
          </cell>
          <cell r="B4054">
            <v>202503</v>
          </cell>
          <cell r="D4054" t="str">
            <v>Vida Ganado</v>
          </cell>
          <cell r="G4054" t="str">
            <v>Real</v>
          </cell>
        </row>
        <row r="4055">
          <cell r="A4055" t="str">
            <v>BRC</v>
          </cell>
          <cell r="B4055">
            <v>202503</v>
          </cell>
          <cell r="D4055" t="str">
            <v>Vida Riesgo Colectivo</v>
          </cell>
          <cell r="G4055" t="str">
            <v>Presupuesto</v>
          </cell>
        </row>
        <row r="4056">
          <cell r="A4056" t="str">
            <v>BRC</v>
          </cell>
          <cell r="B4056">
            <v>202503</v>
          </cell>
          <cell r="D4056" t="str">
            <v>Vida Riesgo Particular</v>
          </cell>
          <cell r="G4056" t="str">
            <v>Presupuesto</v>
          </cell>
        </row>
        <row r="4057">
          <cell r="A4057" t="str">
            <v>BRC</v>
          </cell>
          <cell r="B4057">
            <v>202503</v>
          </cell>
          <cell r="D4057" t="str">
            <v>Vida Riesgo Particular</v>
          </cell>
          <cell r="G4057" t="str">
            <v>Real</v>
          </cell>
        </row>
        <row r="4058">
          <cell r="A4058" t="str">
            <v>BRC</v>
          </cell>
          <cell r="B4058">
            <v>202504</v>
          </cell>
          <cell r="D4058" t="str">
            <v>--</v>
          </cell>
          <cell r="G4058" t="str">
            <v>Presupuesto</v>
          </cell>
        </row>
        <row r="4059">
          <cell r="A4059" t="str">
            <v>BRC</v>
          </cell>
          <cell r="B4059">
            <v>202504</v>
          </cell>
          <cell r="D4059" t="str">
            <v>--</v>
          </cell>
          <cell r="G4059" t="str">
            <v>Real</v>
          </cell>
        </row>
        <row r="4060">
          <cell r="A4060" t="str">
            <v>BRC</v>
          </cell>
          <cell r="B4060">
            <v>202504</v>
          </cell>
          <cell r="D4060" t="str">
            <v>--</v>
          </cell>
          <cell r="G4060" t="str">
            <v>Presupuesto</v>
          </cell>
        </row>
        <row r="4061">
          <cell r="A4061" t="str">
            <v>BRC</v>
          </cell>
          <cell r="B4061">
            <v>202504</v>
          </cell>
          <cell r="D4061" t="str">
            <v>--</v>
          </cell>
          <cell r="G4061" t="str">
            <v>Real</v>
          </cell>
        </row>
        <row r="4062">
          <cell r="A4062" t="str">
            <v>BRC</v>
          </cell>
          <cell r="B4062">
            <v>202504</v>
          </cell>
          <cell r="D4062" t="str">
            <v>Arte</v>
          </cell>
          <cell r="G4062" t="str">
            <v>Presupuesto</v>
          </cell>
        </row>
        <row r="4063">
          <cell r="A4063" t="str">
            <v>BRC</v>
          </cell>
          <cell r="B4063">
            <v>202504</v>
          </cell>
          <cell r="D4063" t="str">
            <v>Autos</v>
          </cell>
          <cell r="G4063" t="str">
            <v>Presupuesto</v>
          </cell>
        </row>
        <row r="4064">
          <cell r="A4064" t="str">
            <v>BRC</v>
          </cell>
          <cell r="B4064">
            <v>202504</v>
          </cell>
          <cell r="D4064" t="str">
            <v>Autos</v>
          </cell>
          <cell r="G4064" t="str">
            <v>Real</v>
          </cell>
        </row>
        <row r="4065">
          <cell r="A4065" t="str">
            <v>BRC</v>
          </cell>
          <cell r="B4065">
            <v>202504</v>
          </cell>
          <cell r="D4065" t="str">
            <v>B2B2C</v>
          </cell>
          <cell r="G4065" t="str">
            <v>Presupuesto</v>
          </cell>
        </row>
        <row r="4066">
          <cell r="A4066" t="str">
            <v>BRC</v>
          </cell>
          <cell r="B4066">
            <v>202504</v>
          </cell>
          <cell r="D4066" t="str">
            <v>Caución</v>
          </cell>
          <cell r="G4066" t="str">
            <v>Presupuesto</v>
          </cell>
        </row>
        <row r="4067">
          <cell r="A4067" t="str">
            <v>BRC</v>
          </cell>
          <cell r="B4067">
            <v>202504</v>
          </cell>
          <cell r="D4067" t="str">
            <v>Crédito Internacional</v>
          </cell>
          <cell r="G4067" t="str">
            <v>Presupuesto</v>
          </cell>
        </row>
        <row r="4068">
          <cell r="A4068" t="str">
            <v>BRC</v>
          </cell>
          <cell r="B4068">
            <v>202504</v>
          </cell>
          <cell r="D4068" t="str">
            <v>Crédito Nacional</v>
          </cell>
          <cell r="G4068" t="str">
            <v>Presupuesto</v>
          </cell>
        </row>
        <row r="4069">
          <cell r="A4069" t="str">
            <v>BRC</v>
          </cell>
          <cell r="B4069">
            <v>202504</v>
          </cell>
          <cell r="D4069" t="str">
            <v>Eventos</v>
          </cell>
          <cell r="G4069" t="str">
            <v>Presupuesto</v>
          </cell>
        </row>
        <row r="4070">
          <cell r="A4070" t="str">
            <v>BRC</v>
          </cell>
          <cell r="B4070">
            <v>202504</v>
          </cell>
          <cell r="D4070" t="str">
            <v>Flotas</v>
          </cell>
          <cell r="G4070" t="str">
            <v>Presupuesto</v>
          </cell>
        </row>
        <row r="4071">
          <cell r="A4071" t="str">
            <v>BRC</v>
          </cell>
          <cell r="B4071">
            <v>202504</v>
          </cell>
          <cell r="D4071" t="str">
            <v>Flotas</v>
          </cell>
          <cell r="G4071" t="str">
            <v>Real</v>
          </cell>
        </row>
        <row r="4072">
          <cell r="A4072" t="str">
            <v>BRC</v>
          </cell>
          <cell r="B4072">
            <v>202504</v>
          </cell>
          <cell r="D4072" t="str">
            <v>Hogar</v>
          </cell>
          <cell r="G4072" t="str">
            <v>Presupuesto</v>
          </cell>
        </row>
        <row r="4073">
          <cell r="A4073" t="str">
            <v>BRC</v>
          </cell>
          <cell r="B4073">
            <v>202504</v>
          </cell>
          <cell r="D4073" t="str">
            <v>Hogar</v>
          </cell>
          <cell r="G4073" t="str">
            <v>Real</v>
          </cell>
        </row>
        <row r="4074">
          <cell r="A4074" t="str">
            <v>BRC</v>
          </cell>
          <cell r="B4074">
            <v>202504</v>
          </cell>
          <cell r="D4074" t="str">
            <v>Ingeniería</v>
          </cell>
          <cell r="G4074" t="str">
            <v>Presupuesto</v>
          </cell>
        </row>
        <row r="4075">
          <cell r="A4075" t="str">
            <v>BRC</v>
          </cell>
          <cell r="B4075">
            <v>202504</v>
          </cell>
          <cell r="D4075" t="str">
            <v>Inmobiliario</v>
          </cell>
          <cell r="G4075" t="str">
            <v>Presupuesto</v>
          </cell>
        </row>
        <row r="4076">
          <cell r="A4076" t="str">
            <v>BRC</v>
          </cell>
          <cell r="B4076">
            <v>202504</v>
          </cell>
          <cell r="D4076" t="str">
            <v>Líneas Financieras</v>
          </cell>
          <cell r="G4076" t="str">
            <v>Presupuesto</v>
          </cell>
        </row>
        <row r="4077">
          <cell r="A4077" t="str">
            <v>BRC</v>
          </cell>
          <cell r="B4077">
            <v>202504</v>
          </cell>
          <cell r="D4077" t="str">
            <v>Náutica</v>
          </cell>
          <cell r="G4077" t="str">
            <v>Presupuesto</v>
          </cell>
        </row>
        <row r="4078">
          <cell r="A4078" t="str">
            <v>BRC</v>
          </cell>
          <cell r="B4078">
            <v>202504</v>
          </cell>
          <cell r="D4078" t="str">
            <v>Náutica</v>
          </cell>
          <cell r="G4078" t="str">
            <v>Real</v>
          </cell>
        </row>
        <row r="4079">
          <cell r="A4079" t="str">
            <v>BRC</v>
          </cell>
          <cell r="B4079">
            <v>202504</v>
          </cell>
          <cell r="D4079" t="str">
            <v>Particulares Resto</v>
          </cell>
          <cell r="G4079" t="str">
            <v>Presupuesto</v>
          </cell>
        </row>
        <row r="4080">
          <cell r="A4080" t="str">
            <v>BRC</v>
          </cell>
          <cell r="B4080">
            <v>202504</v>
          </cell>
          <cell r="D4080" t="str">
            <v>Particulares Resto</v>
          </cell>
          <cell r="G4080" t="str">
            <v>Real</v>
          </cell>
        </row>
        <row r="4081">
          <cell r="A4081" t="str">
            <v>BRC</v>
          </cell>
          <cell r="B4081">
            <v>202504</v>
          </cell>
          <cell r="D4081" t="str">
            <v>Property</v>
          </cell>
          <cell r="G4081" t="str">
            <v>Presupuesto</v>
          </cell>
        </row>
        <row r="4082">
          <cell r="A4082" t="str">
            <v>BRC</v>
          </cell>
          <cell r="B4082">
            <v>202504</v>
          </cell>
          <cell r="D4082" t="str">
            <v>Property</v>
          </cell>
          <cell r="G4082" t="str">
            <v>Real</v>
          </cell>
        </row>
        <row r="4083">
          <cell r="A4083" t="str">
            <v>BRC</v>
          </cell>
          <cell r="B4083">
            <v>202504</v>
          </cell>
          <cell r="D4083" t="str">
            <v>RC</v>
          </cell>
          <cell r="G4083" t="str">
            <v>Presupuesto</v>
          </cell>
        </row>
        <row r="4084">
          <cell r="A4084" t="str">
            <v>BRC</v>
          </cell>
          <cell r="B4084">
            <v>202504</v>
          </cell>
          <cell r="D4084" t="str">
            <v>RC</v>
          </cell>
          <cell r="G4084" t="str">
            <v>Real</v>
          </cell>
        </row>
        <row r="4085">
          <cell r="A4085" t="str">
            <v>BRC</v>
          </cell>
          <cell r="B4085">
            <v>202504</v>
          </cell>
          <cell r="D4085" t="str">
            <v>Resto de lineas</v>
          </cell>
          <cell r="G4085" t="str">
            <v>Presupuesto</v>
          </cell>
        </row>
        <row r="4086">
          <cell r="A4086" t="str">
            <v>BRC</v>
          </cell>
          <cell r="B4086">
            <v>202504</v>
          </cell>
          <cell r="D4086" t="str">
            <v>Resto de lineas</v>
          </cell>
          <cell r="G4086" t="str">
            <v>Real</v>
          </cell>
        </row>
        <row r="4087">
          <cell r="A4087" t="str">
            <v>BRC</v>
          </cell>
          <cell r="B4087">
            <v>202504</v>
          </cell>
          <cell r="D4087" t="str">
            <v>Resto de lineas</v>
          </cell>
          <cell r="G4087" t="str">
            <v>Real</v>
          </cell>
        </row>
        <row r="4088">
          <cell r="A4088" t="str">
            <v>BRC</v>
          </cell>
          <cell r="B4088">
            <v>202504</v>
          </cell>
          <cell r="D4088" t="str">
            <v>Retirada</v>
          </cell>
          <cell r="G4088" t="str">
            <v>Presupuesto</v>
          </cell>
        </row>
        <row r="4089">
          <cell r="A4089" t="str">
            <v>BRC</v>
          </cell>
          <cell r="B4089">
            <v>202504</v>
          </cell>
          <cell r="D4089" t="str">
            <v>Retirada</v>
          </cell>
          <cell r="G4089" t="str">
            <v>Real</v>
          </cell>
        </row>
        <row r="4090">
          <cell r="A4090" t="str">
            <v>BRC</v>
          </cell>
          <cell r="B4090">
            <v>202504</v>
          </cell>
          <cell r="D4090" t="str">
            <v>Seguros Personales (No Vida) Colectivos</v>
          </cell>
          <cell r="G4090" t="str">
            <v>Presupuesto</v>
          </cell>
        </row>
        <row r="4091">
          <cell r="A4091" t="str">
            <v>BRC</v>
          </cell>
          <cell r="B4091">
            <v>202504</v>
          </cell>
          <cell r="D4091" t="str">
            <v>Seguros Personales (No Vida) Colectivos</v>
          </cell>
          <cell r="G4091" t="str">
            <v>Real</v>
          </cell>
        </row>
        <row r="4092">
          <cell r="A4092" t="str">
            <v>BRC</v>
          </cell>
          <cell r="B4092">
            <v>202504</v>
          </cell>
          <cell r="D4092" t="str">
            <v>Seguros Personales (No Vida) Particular</v>
          </cell>
          <cell r="G4092" t="str">
            <v>Presupuesto</v>
          </cell>
        </row>
        <row r="4093">
          <cell r="A4093" t="str">
            <v>BRC</v>
          </cell>
          <cell r="B4093">
            <v>202504</v>
          </cell>
          <cell r="D4093" t="str">
            <v>Seguros Personales (No Vida) Particular</v>
          </cell>
          <cell r="G4093" t="str">
            <v>Real</v>
          </cell>
        </row>
        <row r="4094">
          <cell r="A4094" t="str">
            <v>BRC</v>
          </cell>
          <cell r="B4094">
            <v>202504</v>
          </cell>
          <cell r="D4094" t="str">
            <v>Transporte</v>
          </cell>
          <cell r="G4094" t="str">
            <v>Presupuesto</v>
          </cell>
        </row>
        <row r="4095">
          <cell r="A4095" t="str">
            <v>BRC</v>
          </cell>
          <cell r="B4095">
            <v>202504</v>
          </cell>
          <cell r="D4095" t="str">
            <v>Transporte</v>
          </cell>
          <cell r="G4095" t="str">
            <v>Real</v>
          </cell>
        </row>
        <row r="4096">
          <cell r="A4096" t="str">
            <v>BRC</v>
          </cell>
          <cell r="B4096">
            <v>202504</v>
          </cell>
          <cell r="D4096" t="str">
            <v>Venta Cruzada</v>
          </cell>
          <cell r="G4096" t="str">
            <v>Presupuesto</v>
          </cell>
        </row>
        <row r="4097">
          <cell r="A4097" t="str">
            <v>BRC</v>
          </cell>
          <cell r="B4097">
            <v>202504</v>
          </cell>
          <cell r="D4097" t="str">
            <v>Venta Cruzada</v>
          </cell>
          <cell r="G4097" t="str">
            <v>Real</v>
          </cell>
        </row>
        <row r="4098">
          <cell r="A4098" t="str">
            <v>BRC</v>
          </cell>
          <cell r="B4098">
            <v>202504</v>
          </cell>
          <cell r="D4098" t="str">
            <v>Vida Ahorro Colectivo</v>
          </cell>
          <cell r="G4098" t="str">
            <v>Presupuesto</v>
          </cell>
        </row>
        <row r="4099">
          <cell r="A4099" t="str">
            <v>BRC</v>
          </cell>
          <cell r="B4099">
            <v>202504</v>
          </cell>
          <cell r="D4099" t="str">
            <v>Vida Ahorro Particular</v>
          </cell>
          <cell r="G4099" t="str">
            <v>Presupuesto</v>
          </cell>
        </row>
        <row r="4100">
          <cell r="A4100" t="str">
            <v>BRC</v>
          </cell>
          <cell r="B4100">
            <v>202504</v>
          </cell>
          <cell r="D4100" t="str">
            <v>Vida Ganado</v>
          </cell>
          <cell r="G4100" t="str">
            <v>Presupuesto</v>
          </cell>
        </row>
        <row r="4101">
          <cell r="A4101" t="str">
            <v>BRC</v>
          </cell>
          <cell r="B4101">
            <v>202504</v>
          </cell>
          <cell r="D4101" t="str">
            <v>Vida Riesgo Colectivo</v>
          </cell>
          <cell r="G4101" t="str">
            <v>Presupuesto</v>
          </cell>
        </row>
        <row r="4102">
          <cell r="A4102" t="str">
            <v>BRC</v>
          </cell>
          <cell r="B4102">
            <v>202504</v>
          </cell>
          <cell r="D4102" t="str">
            <v>Vida Riesgo Particular</v>
          </cell>
          <cell r="G4102" t="str">
            <v>Presupuesto</v>
          </cell>
        </row>
        <row r="4103">
          <cell r="A4103" t="str">
            <v>BRC</v>
          </cell>
          <cell r="B4103">
            <v>202504</v>
          </cell>
          <cell r="D4103" t="str">
            <v>Vida Riesgo Particular</v>
          </cell>
          <cell r="G4103" t="str">
            <v>Real</v>
          </cell>
        </row>
        <row r="4104">
          <cell r="A4104" t="str">
            <v>BRC</v>
          </cell>
          <cell r="B4104">
            <v>202505</v>
          </cell>
          <cell r="D4104" t="str">
            <v>--</v>
          </cell>
          <cell r="G4104" t="str">
            <v>Presupuesto</v>
          </cell>
        </row>
        <row r="4105">
          <cell r="A4105" t="str">
            <v>BRC</v>
          </cell>
          <cell r="B4105">
            <v>202505</v>
          </cell>
          <cell r="D4105" t="str">
            <v>--</v>
          </cell>
          <cell r="G4105" t="str">
            <v>Real</v>
          </cell>
        </row>
        <row r="4106">
          <cell r="A4106" t="str">
            <v>BRC</v>
          </cell>
          <cell r="B4106">
            <v>202505</v>
          </cell>
          <cell r="D4106" t="str">
            <v>--</v>
          </cell>
          <cell r="G4106" t="str">
            <v>Presupuesto</v>
          </cell>
        </row>
        <row r="4107">
          <cell r="A4107" t="str">
            <v>BRC</v>
          </cell>
          <cell r="B4107">
            <v>202505</v>
          </cell>
          <cell r="D4107" t="str">
            <v>--</v>
          </cell>
          <cell r="G4107" t="str">
            <v>Real</v>
          </cell>
        </row>
        <row r="4108">
          <cell r="A4108" t="str">
            <v>BRC</v>
          </cell>
          <cell r="B4108">
            <v>202505</v>
          </cell>
          <cell r="D4108" t="str">
            <v>Arte</v>
          </cell>
          <cell r="G4108" t="str">
            <v>Presupuesto</v>
          </cell>
        </row>
        <row r="4109">
          <cell r="A4109" t="str">
            <v>BRC</v>
          </cell>
          <cell r="B4109">
            <v>202505</v>
          </cell>
          <cell r="D4109" t="str">
            <v>Autos</v>
          </cell>
          <cell r="G4109" t="str">
            <v>Presupuesto</v>
          </cell>
        </row>
        <row r="4110">
          <cell r="A4110" t="str">
            <v>BRC</v>
          </cell>
          <cell r="B4110">
            <v>202505</v>
          </cell>
          <cell r="D4110" t="str">
            <v>Autos</v>
          </cell>
          <cell r="G4110" t="str">
            <v>Real</v>
          </cell>
        </row>
        <row r="4111">
          <cell r="A4111" t="str">
            <v>BRC</v>
          </cell>
          <cell r="B4111">
            <v>202505</v>
          </cell>
          <cell r="D4111" t="str">
            <v>B2B2C</v>
          </cell>
          <cell r="G4111" t="str">
            <v>Presupuesto</v>
          </cell>
        </row>
        <row r="4112">
          <cell r="A4112" t="str">
            <v>BRC</v>
          </cell>
          <cell r="B4112">
            <v>202505</v>
          </cell>
          <cell r="D4112" t="str">
            <v>Caución</v>
          </cell>
          <cell r="G4112" t="str">
            <v>Presupuesto</v>
          </cell>
        </row>
        <row r="4113">
          <cell r="A4113" t="str">
            <v>BRC</v>
          </cell>
          <cell r="B4113">
            <v>202505</v>
          </cell>
          <cell r="D4113" t="str">
            <v>Crédito Internacional</v>
          </cell>
          <cell r="G4113" t="str">
            <v>Presupuesto</v>
          </cell>
        </row>
        <row r="4114">
          <cell r="A4114" t="str">
            <v>BRC</v>
          </cell>
          <cell r="B4114">
            <v>202505</v>
          </cell>
          <cell r="D4114" t="str">
            <v>Crédito Nacional</v>
          </cell>
          <cell r="G4114" t="str">
            <v>Presupuesto</v>
          </cell>
        </row>
        <row r="4115">
          <cell r="A4115" t="str">
            <v>BRC</v>
          </cell>
          <cell r="B4115">
            <v>202505</v>
          </cell>
          <cell r="D4115" t="str">
            <v>Eventos</v>
          </cell>
          <cell r="G4115" t="str">
            <v>Presupuesto</v>
          </cell>
        </row>
        <row r="4116">
          <cell r="A4116" t="str">
            <v>BRC</v>
          </cell>
          <cell r="B4116">
            <v>202505</v>
          </cell>
          <cell r="D4116" t="str">
            <v>Flotas</v>
          </cell>
          <cell r="G4116" t="str">
            <v>Presupuesto</v>
          </cell>
        </row>
        <row r="4117">
          <cell r="A4117" t="str">
            <v>BRC</v>
          </cell>
          <cell r="B4117">
            <v>202505</v>
          </cell>
          <cell r="D4117" t="str">
            <v>Flotas</v>
          </cell>
          <cell r="G4117" t="str">
            <v>Real</v>
          </cell>
        </row>
        <row r="4118">
          <cell r="A4118" t="str">
            <v>BRC</v>
          </cell>
          <cell r="B4118">
            <v>202505</v>
          </cell>
          <cell r="D4118" t="str">
            <v>Hogar</v>
          </cell>
          <cell r="G4118" t="str">
            <v>Presupuesto</v>
          </cell>
        </row>
        <row r="4119">
          <cell r="A4119" t="str">
            <v>BRC</v>
          </cell>
          <cell r="B4119">
            <v>202505</v>
          </cell>
          <cell r="D4119" t="str">
            <v>Hogar</v>
          </cell>
          <cell r="G4119" t="str">
            <v>Real</v>
          </cell>
        </row>
        <row r="4120">
          <cell r="A4120" t="str">
            <v>BRC</v>
          </cell>
          <cell r="B4120">
            <v>202505</v>
          </cell>
          <cell r="D4120" t="str">
            <v>Ingeniería</v>
          </cell>
          <cell r="G4120" t="str">
            <v>Presupuesto</v>
          </cell>
        </row>
        <row r="4121">
          <cell r="A4121" t="str">
            <v>BRC</v>
          </cell>
          <cell r="B4121">
            <v>202505</v>
          </cell>
          <cell r="D4121" t="str">
            <v>Inmobiliario</v>
          </cell>
          <cell r="G4121" t="str">
            <v>Presupuesto</v>
          </cell>
        </row>
        <row r="4122">
          <cell r="A4122" t="str">
            <v>BRC</v>
          </cell>
          <cell r="B4122">
            <v>202505</v>
          </cell>
          <cell r="D4122" t="str">
            <v>Líneas Financieras</v>
          </cell>
          <cell r="G4122" t="str">
            <v>Presupuesto</v>
          </cell>
        </row>
        <row r="4123">
          <cell r="A4123" t="str">
            <v>BRC</v>
          </cell>
          <cell r="B4123">
            <v>202505</v>
          </cell>
          <cell r="D4123" t="str">
            <v>Líneas Financieras</v>
          </cell>
          <cell r="G4123" t="str">
            <v>Real</v>
          </cell>
        </row>
        <row r="4124">
          <cell r="A4124" t="str">
            <v>BRC</v>
          </cell>
          <cell r="B4124">
            <v>202505</v>
          </cell>
          <cell r="D4124" t="str">
            <v>Náutica</v>
          </cell>
          <cell r="G4124" t="str">
            <v>Presupuesto</v>
          </cell>
        </row>
        <row r="4125">
          <cell r="A4125" t="str">
            <v>BRC</v>
          </cell>
          <cell r="B4125">
            <v>202505</v>
          </cell>
          <cell r="D4125" t="str">
            <v>Náutica</v>
          </cell>
          <cell r="G4125" t="str">
            <v>Real</v>
          </cell>
        </row>
        <row r="4126">
          <cell r="A4126" t="str">
            <v>BRC</v>
          </cell>
          <cell r="B4126">
            <v>202505</v>
          </cell>
          <cell r="D4126" t="str">
            <v>Particulares Resto</v>
          </cell>
          <cell r="G4126" t="str">
            <v>Presupuesto</v>
          </cell>
        </row>
        <row r="4127">
          <cell r="A4127" t="str">
            <v>BRC</v>
          </cell>
          <cell r="B4127">
            <v>202505</v>
          </cell>
          <cell r="D4127" t="str">
            <v>Particulares Resto</v>
          </cell>
          <cell r="G4127" t="str">
            <v>Real</v>
          </cell>
        </row>
        <row r="4128">
          <cell r="A4128" t="str">
            <v>BRC</v>
          </cell>
          <cell r="B4128">
            <v>202505</v>
          </cell>
          <cell r="D4128" t="str">
            <v>Property</v>
          </cell>
          <cell r="G4128" t="str">
            <v>Presupuesto</v>
          </cell>
        </row>
        <row r="4129">
          <cell r="A4129" t="str">
            <v>BRC</v>
          </cell>
          <cell r="B4129">
            <v>202505</v>
          </cell>
          <cell r="D4129" t="str">
            <v>Property</v>
          </cell>
          <cell r="G4129" t="str">
            <v>Real</v>
          </cell>
        </row>
        <row r="4130">
          <cell r="A4130" t="str">
            <v>BRC</v>
          </cell>
          <cell r="B4130">
            <v>202505</v>
          </cell>
          <cell r="D4130" t="str">
            <v>RC</v>
          </cell>
          <cell r="G4130" t="str">
            <v>Presupuesto</v>
          </cell>
        </row>
        <row r="4131">
          <cell r="A4131" t="str">
            <v>BRC</v>
          </cell>
          <cell r="B4131">
            <v>202505</v>
          </cell>
          <cell r="D4131" t="str">
            <v>RC</v>
          </cell>
          <cell r="G4131" t="str">
            <v>Real</v>
          </cell>
        </row>
        <row r="4132">
          <cell r="A4132" t="str">
            <v>BRC</v>
          </cell>
          <cell r="B4132">
            <v>202505</v>
          </cell>
          <cell r="D4132" t="str">
            <v>Resto de lineas</v>
          </cell>
          <cell r="G4132" t="str">
            <v>Presupuesto</v>
          </cell>
        </row>
        <row r="4133">
          <cell r="A4133" t="str">
            <v>BRC</v>
          </cell>
          <cell r="B4133">
            <v>202505</v>
          </cell>
          <cell r="D4133" t="str">
            <v>Resto de lineas</v>
          </cell>
          <cell r="G4133" t="str">
            <v>Real</v>
          </cell>
        </row>
        <row r="4134">
          <cell r="A4134" t="str">
            <v>BRC</v>
          </cell>
          <cell r="B4134">
            <v>202505</v>
          </cell>
          <cell r="D4134" t="str">
            <v>Resto de lineas</v>
          </cell>
          <cell r="G4134" t="str">
            <v>Real</v>
          </cell>
        </row>
        <row r="4135">
          <cell r="A4135" t="str">
            <v>BRC</v>
          </cell>
          <cell r="B4135">
            <v>202505</v>
          </cell>
          <cell r="D4135" t="str">
            <v>Retirada</v>
          </cell>
          <cell r="G4135" t="str">
            <v>Presupuesto</v>
          </cell>
        </row>
        <row r="4136">
          <cell r="A4136" t="str">
            <v>BRC</v>
          </cell>
          <cell r="B4136">
            <v>202505</v>
          </cell>
          <cell r="D4136" t="str">
            <v>Retirada</v>
          </cell>
          <cell r="G4136" t="str">
            <v>Real</v>
          </cell>
        </row>
        <row r="4137">
          <cell r="A4137" t="str">
            <v>BRC</v>
          </cell>
          <cell r="B4137">
            <v>202505</v>
          </cell>
          <cell r="D4137" t="str">
            <v>Seguros Personales (No Vida) Colectivos</v>
          </cell>
          <cell r="G4137" t="str">
            <v>Presupuesto</v>
          </cell>
        </row>
        <row r="4138">
          <cell r="A4138" t="str">
            <v>BRC</v>
          </cell>
          <cell r="B4138">
            <v>202505</v>
          </cell>
          <cell r="D4138" t="str">
            <v>Seguros Personales (No Vida) Colectivos</v>
          </cell>
          <cell r="G4138" t="str">
            <v>Real</v>
          </cell>
        </row>
        <row r="4139">
          <cell r="A4139" t="str">
            <v>BRC</v>
          </cell>
          <cell r="B4139">
            <v>202505</v>
          </cell>
          <cell r="D4139" t="str">
            <v>Seguros Personales (No Vida) Particular</v>
          </cell>
          <cell r="G4139" t="str">
            <v>Presupuesto</v>
          </cell>
        </row>
        <row r="4140">
          <cell r="A4140" t="str">
            <v>BRC</v>
          </cell>
          <cell r="B4140">
            <v>202505</v>
          </cell>
          <cell r="D4140" t="str">
            <v>Seguros Personales (No Vida) Particular</v>
          </cell>
          <cell r="G4140" t="str">
            <v>Real</v>
          </cell>
        </row>
        <row r="4141">
          <cell r="A4141" t="str">
            <v>BRC</v>
          </cell>
          <cell r="B4141">
            <v>202505</v>
          </cell>
          <cell r="D4141" t="str">
            <v>Transporte</v>
          </cell>
          <cell r="G4141" t="str">
            <v>Presupuesto</v>
          </cell>
        </row>
        <row r="4142">
          <cell r="A4142" t="str">
            <v>BRC</v>
          </cell>
          <cell r="B4142">
            <v>202505</v>
          </cell>
          <cell r="D4142" t="str">
            <v>Transporte</v>
          </cell>
          <cell r="G4142" t="str">
            <v>Real</v>
          </cell>
        </row>
        <row r="4143">
          <cell r="A4143" t="str">
            <v>BRC</v>
          </cell>
          <cell r="B4143">
            <v>202505</v>
          </cell>
          <cell r="D4143" t="str">
            <v>Venta Cruzada</v>
          </cell>
          <cell r="G4143" t="str">
            <v>Presupuesto</v>
          </cell>
        </row>
        <row r="4144">
          <cell r="A4144" t="str">
            <v>BRC</v>
          </cell>
          <cell r="B4144">
            <v>202505</v>
          </cell>
          <cell r="D4144" t="str">
            <v>Venta Cruzada</v>
          </cell>
          <cell r="G4144" t="str">
            <v>Real</v>
          </cell>
        </row>
        <row r="4145">
          <cell r="A4145" t="str">
            <v>BRC</v>
          </cell>
          <cell r="B4145">
            <v>202505</v>
          </cell>
          <cell r="D4145" t="str">
            <v>Vida Ahorro Colectivo</v>
          </cell>
          <cell r="G4145" t="str">
            <v>Presupuesto</v>
          </cell>
        </row>
        <row r="4146">
          <cell r="A4146" t="str">
            <v>BRC</v>
          </cell>
          <cell r="B4146">
            <v>202505</v>
          </cell>
          <cell r="D4146" t="str">
            <v>Vida Ahorro Particular</v>
          </cell>
          <cell r="G4146" t="str">
            <v>Presupuesto</v>
          </cell>
        </row>
        <row r="4147">
          <cell r="A4147" t="str">
            <v>BRC</v>
          </cell>
          <cell r="B4147">
            <v>202505</v>
          </cell>
          <cell r="D4147" t="str">
            <v>Vida Ganado</v>
          </cell>
          <cell r="G4147" t="str">
            <v>Presupuesto</v>
          </cell>
        </row>
        <row r="4148">
          <cell r="A4148" t="str">
            <v>BRC</v>
          </cell>
          <cell r="B4148">
            <v>202505</v>
          </cell>
          <cell r="D4148" t="str">
            <v>Vida Riesgo Colectivo</v>
          </cell>
          <cell r="G4148" t="str">
            <v>Presupuesto</v>
          </cell>
        </row>
        <row r="4149">
          <cell r="A4149" t="str">
            <v>BRC</v>
          </cell>
          <cell r="B4149">
            <v>202505</v>
          </cell>
          <cell r="D4149" t="str">
            <v>Vida Riesgo Particular</v>
          </cell>
          <cell r="G4149" t="str">
            <v>Presupuesto</v>
          </cell>
        </row>
        <row r="4150">
          <cell r="A4150" t="str">
            <v>BRC</v>
          </cell>
          <cell r="B4150">
            <v>202505</v>
          </cell>
          <cell r="D4150" t="str">
            <v>Vida Riesgo Particular</v>
          </cell>
          <cell r="G4150" t="str">
            <v>Real</v>
          </cell>
        </row>
        <row r="4151">
          <cell r="A4151" t="str">
            <v>BRC</v>
          </cell>
          <cell r="B4151">
            <v>202506</v>
          </cell>
          <cell r="D4151" t="str">
            <v>--</v>
          </cell>
          <cell r="G4151" t="str">
            <v>Presupuesto</v>
          </cell>
        </row>
        <row r="4152">
          <cell r="A4152" t="str">
            <v>BRC</v>
          </cell>
          <cell r="B4152">
            <v>202506</v>
          </cell>
          <cell r="D4152" t="str">
            <v>--</v>
          </cell>
          <cell r="G4152" t="str">
            <v>Real</v>
          </cell>
        </row>
        <row r="4153">
          <cell r="A4153" t="str">
            <v>BRC</v>
          </cell>
          <cell r="B4153">
            <v>202506</v>
          </cell>
          <cell r="D4153" t="str">
            <v>--</v>
          </cell>
          <cell r="G4153" t="str">
            <v>Presupuesto</v>
          </cell>
        </row>
        <row r="4154">
          <cell r="A4154" t="str">
            <v>BRC</v>
          </cell>
          <cell r="B4154">
            <v>202506</v>
          </cell>
          <cell r="D4154" t="str">
            <v>--</v>
          </cell>
          <cell r="G4154" t="str">
            <v>Real</v>
          </cell>
        </row>
        <row r="4155">
          <cell r="A4155" t="str">
            <v>BRC</v>
          </cell>
          <cell r="B4155">
            <v>202506</v>
          </cell>
          <cell r="D4155" t="str">
            <v>Resto de Lineas</v>
          </cell>
          <cell r="G4155" t="str">
            <v>Real</v>
          </cell>
        </row>
        <row r="4156">
          <cell r="A4156" t="str">
            <v>BRC</v>
          </cell>
          <cell r="B4156">
            <v>202506</v>
          </cell>
          <cell r="D4156" t="str">
            <v>Arte</v>
          </cell>
          <cell r="G4156" t="str">
            <v>Presupuesto</v>
          </cell>
        </row>
        <row r="4157">
          <cell r="A4157" t="str">
            <v>BRC</v>
          </cell>
          <cell r="B4157">
            <v>202506</v>
          </cell>
          <cell r="D4157" t="str">
            <v>Autos</v>
          </cell>
          <cell r="G4157" t="str">
            <v>Presupuesto</v>
          </cell>
        </row>
        <row r="4158">
          <cell r="A4158" t="str">
            <v>BRC</v>
          </cell>
          <cell r="B4158">
            <v>202506</v>
          </cell>
          <cell r="D4158" t="str">
            <v>Autos</v>
          </cell>
          <cell r="G4158" t="str">
            <v>Real</v>
          </cell>
        </row>
        <row r="4159">
          <cell r="A4159" t="str">
            <v>BRC</v>
          </cell>
          <cell r="B4159">
            <v>202506</v>
          </cell>
          <cell r="D4159" t="str">
            <v>B2B2C</v>
          </cell>
          <cell r="G4159" t="str">
            <v>Presupuesto</v>
          </cell>
        </row>
        <row r="4160">
          <cell r="A4160" t="str">
            <v>BRC</v>
          </cell>
          <cell r="B4160">
            <v>202506</v>
          </cell>
          <cell r="D4160" t="str">
            <v>Caución</v>
          </cell>
          <cell r="G4160" t="str">
            <v>Presupuesto</v>
          </cell>
        </row>
        <row r="4161">
          <cell r="A4161" t="str">
            <v>BRC</v>
          </cell>
          <cell r="B4161">
            <v>202506</v>
          </cell>
          <cell r="D4161" t="str">
            <v>Crédito Internacional</v>
          </cell>
          <cell r="G4161" t="str">
            <v>Presupuesto</v>
          </cell>
        </row>
        <row r="4162">
          <cell r="A4162" t="str">
            <v>BRC</v>
          </cell>
          <cell r="B4162">
            <v>202506</v>
          </cell>
          <cell r="D4162" t="str">
            <v>Crédito Nacional</v>
          </cell>
          <cell r="G4162" t="str">
            <v>Presupuesto</v>
          </cell>
        </row>
        <row r="4163">
          <cell r="A4163" t="str">
            <v>BRC</v>
          </cell>
          <cell r="B4163">
            <v>202506</v>
          </cell>
          <cell r="D4163" t="str">
            <v>Eventos</v>
          </cell>
          <cell r="G4163" t="str">
            <v>Presupuesto</v>
          </cell>
        </row>
        <row r="4164">
          <cell r="A4164" t="str">
            <v>BRC</v>
          </cell>
          <cell r="B4164">
            <v>202506</v>
          </cell>
          <cell r="D4164" t="str">
            <v>Flotas</v>
          </cell>
          <cell r="G4164" t="str">
            <v>Presupuesto</v>
          </cell>
        </row>
        <row r="4165">
          <cell r="A4165" t="str">
            <v>BRC</v>
          </cell>
          <cell r="B4165">
            <v>202506</v>
          </cell>
          <cell r="D4165" t="str">
            <v>Flotas</v>
          </cell>
          <cell r="G4165" t="str">
            <v>Real</v>
          </cell>
        </row>
        <row r="4166">
          <cell r="A4166" t="str">
            <v>BRC</v>
          </cell>
          <cell r="B4166">
            <v>202506</v>
          </cell>
          <cell r="D4166" t="str">
            <v>Hogar</v>
          </cell>
          <cell r="G4166" t="str">
            <v>Presupuesto</v>
          </cell>
        </row>
        <row r="4167">
          <cell r="A4167" t="str">
            <v>BRC</v>
          </cell>
          <cell r="B4167">
            <v>202506</v>
          </cell>
          <cell r="D4167" t="str">
            <v>Hogar</v>
          </cell>
          <cell r="G4167" t="str">
            <v>Real</v>
          </cell>
        </row>
        <row r="4168">
          <cell r="A4168" t="str">
            <v>BRC</v>
          </cell>
          <cell r="B4168">
            <v>202506</v>
          </cell>
          <cell r="D4168" t="str">
            <v>Ingeniería</v>
          </cell>
          <cell r="G4168" t="str">
            <v>Presupuesto</v>
          </cell>
        </row>
        <row r="4169">
          <cell r="A4169" t="str">
            <v>BRC</v>
          </cell>
          <cell r="B4169">
            <v>202506</v>
          </cell>
          <cell r="D4169" t="str">
            <v>Inmobiliario</v>
          </cell>
          <cell r="G4169" t="str">
            <v>Presupuesto</v>
          </cell>
        </row>
        <row r="4170">
          <cell r="A4170" t="str">
            <v>BRC</v>
          </cell>
          <cell r="B4170">
            <v>202506</v>
          </cell>
          <cell r="D4170" t="str">
            <v>Líneas Financieras</v>
          </cell>
          <cell r="G4170" t="str">
            <v>Presupuesto</v>
          </cell>
        </row>
        <row r="4171">
          <cell r="A4171" t="str">
            <v>BRC</v>
          </cell>
          <cell r="B4171">
            <v>202506</v>
          </cell>
          <cell r="D4171" t="str">
            <v>Líneas Financieras</v>
          </cell>
          <cell r="G4171" t="str">
            <v>Real</v>
          </cell>
        </row>
        <row r="4172">
          <cell r="A4172" t="str">
            <v>BRC</v>
          </cell>
          <cell r="B4172">
            <v>202506</v>
          </cell>
          <cell r="D4172" t="str">
            <v>Náutica</v>
          </cell>
          <cell r="G4172" t="str">
            <v>Presupuesto</v>
          </cell>
        </row>
        <row r="4173">
          <cell r="A4173" t="str">
            <v>BRC</v>
          </cell>
          <cell r="B4173">
            <v>202506</v>
          </cell>
          <cell r="D4173" t="str">
            <v>Náutica</v>
          </cell>
          <cell r="G4173" t="str">
            <v>Real</v>
          </cell>
        </row>
        <row r="4174">
          <cell r="A4174" t="str">
            <v>BRC</v>
          </cell>
          <cell r="B4174">
            <v>202506</v>
          </cell>
          <cell r="D4174" t="str">
            <v>Particulares Resto</v>
          </cell>
          <cell r="G4174" t="str">
            <v>Presupuesto</v>
          </cell>
        </row>
        <row r="4175">
          <cell r="A4175" t="str">
            <v>BRC</v>
          </cell>
          <cell r="B4175">
            <v>202506</v>
          </cell>
          <cell r="D4175" t="str">
            <v>Particulares Resto</v>
          </cell>
          <cell r="G4175" t="str">
            <v>Real</v>
          </cell>
        </row>
        <row r="4176">
          <cell r="A4176" t="str">
            <v>BRC</v>
          </cell>
          <cell r="B4176">
            <v>202506</v>
          </cell>
          <cell r="D4176" t="str">
            <v>Property</v>
          </cell>
          <cell r="G4176" t="str">
            <v>Presupuesto</v>
          </cell>
        </row>
        <row r="4177">
          <cell r="A4177" t="str">
            <v>BRC</v>
          </cell>
          <cell r="B4177">
            <v>202506</v>
          </cell>
          <cell r="D4177" t="str">
            <v>Property</v>
          </cell>
          <cell r="G4177" t="str">
            <v>Real</v>
          </cell>
        </row>
        <row r="4178">
          <cell r="A4178" t="str">
            <v>BRC</v>
          </cell>
          <cell r="B4178">
            <v>202506</v>
          </cell>
          <cell r="D4178" t="str">
            <v>RC</v>
          </cell>
          <cell r="G4178" t="str">
            <v>Presupuesto</v>
          </cell>
        </row>
        <row r="4179">
          <cell r="A4179" t="str">
            <v>BRC</v>
          </cell>
          <cell r="B4179">
            <v>202506</v>
          </cell>
          <cell r="D4179" t="str">
            <v>RC</v>
          </cell>
          <cell r="G4179" t="str">
            <v>Real</v>
          </cell>
        </row>
        <row r="4180">
          <cell r="A4180" t="str">
            <v>BRC</v>
          </cell>
          <cell r="B4180">
            <v>202506</v>
          </cell>
          <cell r="D4180" t="str">
            <v>Resto de lineas</v>
          </cell>
          <cell r="G4180" t="str">
            <v>Presupuesto</v>
          </cell>
        </row>
        <row r="4181">
          <cell r="A4181" t="str">
            <v>BRC</v>
          </cell>
          <cell r="B4181">
            <v>202506</v>
          </cell>
          <cell r="D4181" t="str">
            <v>Resto de lineas</v>
          </cell>
          <cell r="G4181" t="str">
            <v>Real</v>
          </cell>
        </row>
        <row r="4182">
          <cell r="A4182" t="str">
            <v>BRC</v>
          </cell>
          <cell r="B4182">
            <v>202506</v>
          </cell>
          <cell r="D4182" t="str">
            <v>Retirada</v>
          </cell>
          <cell r="G4182" t="str">
            <v>Presupuesto</v>
          </cell>
        </row>
        <row r="4183">
          <cell r="A4183" t="str">
            <v>BRC</v>
          </cell>
          <cell r="B4183">
            <v>202506</v>
          </cell>
          <cell r="D4183" t="str">
            <v>Retirada</v>
          </cell>
          <cell r="G4183" t="str">
            <v>Real</v>
          </cell>
        </row>
        <row r="4184">
          <cell r="A4184" t="str">
            <v>BRC</v>
          </cell>
          <cell r="B4184">
            <v>202506</v>
          </cell>
          <cell r="D4184" t="str">
            <v>Seguros Personales (No Vida) Colectivos</v>
          </cell>
          <cell r="G4184" t="str">
            <v>Presupuesto</v>
          </cell>
        </row>
        <row r="4185">
          <cell r="A4185" t="str">
            <v>BRC</v>
          </cell>
          <cell r="B4185">
            <v>202506</v>
          </cell>
          <cell r="D4185" t="str">
            <v>Seguros Personales (No Vida) Colectivos</v>
          </cell>
          <cell r="G4185" t="str">
            <v>Real</v>
          </cell>
        </row>
        <row r="4186">
          <cell r="A4186" t="str">
            <v>BRC</v>
          </cell>
          <cell r="B4186">
            <v>202506</v>
          </cell>
          <cell r="D4186" t="str">
            <v>Seguros Personales (No Vida) Particular</v>
          </cell>
          <cell r="G4186" t="str">
            <v>Presupuesto</v>
          </cell>
        </row>
        <row r="4187">
          <cell r="A4187" t="str">
            <v>BRC</v>
          </cell>
          <cell r="B4187">
            <v>202506</v>
          </cell>
          <cell r="D4187" t="str">
            <v>Seguros Personales (No Vida) Particular</v>
          </cell>
          <cell r="G4187" t="str">
            <v>Real</v>
          </cell>
        </row>
        <row r="4188">
          <cell r="A4188" t="str">
            <v>BRC</v>
          </cell>
          <cell r="B4188">
            <v>202506</v>
          </cell>
          <cell r="D4188" t="str">
            <v>Transporte</v>
          </cell>
          <cell r="G4188" t="str">
            <v>Presupuesto</v>
          </cell>
        </row>
        <row r="4189">
          <cell r="A4189" t="str">
            <v>BRC</v>
          </cell>
          <cell r="B4189">
            <v>202506</v>
          </cell>
          <cell r="D4189" t="str">
            <v>Transporte</v>
          </cell>
          <cell r="G4189" t="str">
            <v>Real</v>
          </cell>
        </row>
        <row r="4190">
          <cell r="A4190" t="str">
            <v>BRC</v>
          </cell>
          <cell r="B4190">
            <v>202506</v>
          </cell>
          <cell r="D4190" t="str">
            <v>Venta Cruzada</v>
          </cell>
          <cell r="G4190" t="str">
            <v>Presupuesto</v>
          </cell>
        </row>
        <row r="4191">
          <cell r="A4191" t="str">
            <v>BRC</v>
          </cell>
          <cell r="B4191">
            <v>202506</v>
          </cell>
          <cell r="D4191" t="str">
            <v>Venta Cruzada</v>
          </cell>
          <cell r="G4191" t="str">
            <v>Real</v>
          </cell>
        </row>
        <row r="4192">
          <cell r="A4192" t="str">
            <v>BRC</v>
          </cell>
          <cell r="B4192">
            <v>202506</v>
          </cell>
          <cell r="D4192" t="str">
            <v>Vida Ahorro Colectivo</v>
          </cell>
          <cell r="G4192" t="str">
            <v>Presupuesto</v>
          </cell>
        </row>
        <row r="4193">
          <cell r="A4193" t="str">
            <v>BRC</v>
          </cell>
          <cell r="B4193">
            <v>202506</v>
          </cell>
          <cell r="D4193" t="str">
            <v>Vida Ahorro Particular</v>
          </cell>
          <cell r="G4193" t="str">
            <v>Presupuesto</v>
          </cell>
        </row>
        <row r="4194">
          <cell r="A4194" t="str">
            <v>BRC</v>
          </cell>
          <cell r="B4194">
            <v>202506</v>
          </cell>
          <cell r="D4194" t="str">
            <v>Vida Ganado</v>
          </cell>
          <cell r="G4194" t="str">
            <v>Presupuesto</v>
          </cell>
        </row>
        <row r="4195">
          <cell r="A4195" t="str">
            <v>BRC</v>
          </cell>
          <cell r="B4195">
            <v>202506</v>
          </cell>
          <cell r="D4195" t="str">
            <v>Vida Riesgo Colectivo</v>
          </cell>
          <cell r="G4195" t="str">
            <v>Presupuesto</v>
          </cell>
        </row>
        <row r="4196">
          <cell r="A4196" t="str">
            <v>BRC</v>
          </cell>
          <cell r="B4196">
            <v>202506</v>
          </cell>
          <cell r="D4196" t="str">
            <v>Vida Riesgo Particular</v>
          </cell>
          <cell r="G4196" t="str">
            <v>Presupuesto</v>
          </cell>
        </row>
        <row r="4197">
          <cell r="A4197" t="str">
            <v>BRC</v>
          </cell>
          <cell r="B4197">
            <v>202506</v>
          </cell>
          <cell r="D4197" t="str">
            <v>Vida Riesgo Particular</v>
          </cell>
          <cell r="G4197" t="str">
            <v>Real</v>
          </cell>
        </row>
        <row r="4198">
          <cell r="A4198" t="str">
            <v>BRC</v>
          </cell>
          <cell r="B4198">
            <v>202507</v>
          </cell>
          <cell r="D4198" t="str">
            <v>--</v>
          </cell>
          <cell r="G4198" t="str">
            <v>Presupuesto</v>
          </cell>
        </row>
        <row r="4199">
          <cell r="A4199" t="str">
            <v>BRC</v>
          </cell>
          <cell r="B4199">
            <v>202507</v>
          </cell>
          <cell r="D4199" t="str">
            <v>--</v>
          </cell>
          <cell r="G4199" t="str">
            <v>Real</v>
          </cell>
        </row>
        <row r="4200">
          <cell r="A4200" t="str">
            <v>BRC</v>
          </cell>
          <cell r="B4200">
            <v>202507</v>
          </cell>
          <cell r="D4200" t="str">
            <v>--</v>
          </cell>
          <cell r="G4200" t="str">
            <v>Presupuesto</v>
          </cell>
        </row>
        <row r="4201">
          <cell r="A4201" t="str">
            <v>BRC</v>
          </cell>
          <cell r="B4201">
            <v>202507</v>
          </cell>
          <cell r="D4201" t="str">
            <v>--</v>
          </cell>
          <cell r="G4201" t="str">
            <v>Real</v>
          </cell>
        </row>
        <row r="4202">
          <cell r="A4202" t="str">
            <v>BRC</v>
          </cell>
          <cell r="B4202">
            <v>202507</v>
          </cell>
          <cell r="D4202" t="str">
            <v>Resto de Lineas</v>
          </cell>
          <cell r="G4202" t="str">
            <v>Real</v>
          </cell>
        </row>
        <row r="4203">
          <cell r="A4203" t="str">
            <v>BRC</v>
          </cell>
          <cell r="B4203">
            <v>202507</v>
          </cell>
          <cell r="D4203" t="str">
            <v>Arte</v>
          </cell>
          <cell r="G4203" t="str">
            <v>Presupuesto</v>
          </cell>
        </row>
        <row r="4204">
          <cell r="A4204" t="str">
            <v>BRC</v>
          </cell>
          <cell r="B4204">
            <v>202507</v>
          </cell>
          <cell r="D4204" t="str">
            <v>Autos</v>
          </cell>
          <cell r="G4204" t="str">
            <v>Presupuesto</v>
          </cell>
        </row>
        <row r="4205">
          <cell r="A4205" t="str">
            <v>BRC</v>
          </cell>
          <cell r="B4205">
            <v>202507</v>
          </cell>
          <cell r="D4205" t="str">
            <v>Autos</v>
          </cell>
          <cell r="G4205" t="str">
            <v>Real</v>
          </cell>
        </row>
        <row r="4206">
          <cell r="A4206" t="str">
            <v>BRC</v>
          </cell>
          <cell r="B4206">
            <v>202507</v>
          </cell>
          <cell r="D4206" t="str">
            <v>B2B2C</v>
          </cell>
          <cell r="G4206" t="str">
            <v>Presupuesto</v>
          </cell>
        </row>
        <row r="4207">
          <cell r="A4207" t="str">
            <v>BRC</v>
          </cell>
          <cell r="B4207">
            <v>202507</v>
          </cell>
          <cell r="D4207" t="str">
            <v>Caución</v>
          </cell>
          <cell r="G4207" t="str">
            <v>Presupuesto</v>
          </cell>
        </row>
        <row r="4208">
          <cell r="A4208" t="str">
            <v>BRC</v>
          </cell>
          <cell r="B4208">
            <v>202507</v>
          </cell>
          <cell r="D4208" t="str">
            <v>Crédito Internacional</v>
          </cell>
          <cell r="G4208" t="str">
            <v>Presupuesto</v>
          </cell>
        </row>
        <row r="4209">
          <cell r="A4209" t="str">
            <v>BRC</v>
          </cell>
          <cell r="B4209">
            <v>202507</v>
          </cell>
          <cell r="D4209" t="str">
            <v>Crédito Nacional</v>
          </cell>
          <cell r="G4209" t="str">
            <v>Presupuesto</v>
          </cell>
        </row>
        <row r="4210">
          <cell r="A4210" t="str">
            <v>BRC</v>
          </cell>
          <cell r="B4210">
            <v>202507</v>
          </cell>
          <cell r="D4210" t="str">
            <v>Eventos</v>
          </cell>
          <cell r="G4210" t="str">
            <v>Presupuesto</v>
          </cell>
        </row>
        <row r="4211">
          <cell r="A4211" t="str">
            <v>BRC</v>
          </cell>
          <cell r="B4211">
            <v>202507</v>
          </cell>
          <cell r="D4211" t="str">
            <v>Flotas</v>
          </cell>
          <cell r="G4211" t="str">
            <v>Presupuesto</v>
          </cell>
        </row>
        <row r="4212">
          <cell r="A4212" t="str">
            <v>BRC</v>
          </cell>
          <cell r="B4212">
            <v>202507</v>
          </cell>
          <cell r="D4212" t="str">
            <v>Flotas</v>
          </cell>
          <cell r="G4212" t="str">
            <v>Real</v>
          </cell>
        </row>
        <row r="4213">
          <cell r="A4213" t="str">
            <v>BRC</v>
          </cell>
          <cell r="B4213">
            <v>202507</v>
          </cell>
          <cell r="D4213" t="str">
            <v>Hogar</v>
          </cell>
          <cell r="G4213" t="str">
            <v>Presupuesto</v>
          </cell>
        </row>
        <row r="4214">
          <cell r="A4214" t="str">
            <v>BRC</v>
          </cell>
          <cell r="B4214">
            <v>202507</v>
          </cell>
          <cell r="D4214" t="str">
            <v>Hogar</v>
          </cell>
          <cell r="G4214" t="str">
            <v>Real</v>
          </cell>
        </row>
        <row r="4215">
          <cell r="A4215" t="str">
            <v>BRC</v>
          </cell>
          <cell r="B4215">
            <v>202507</v>
          </cell>
          <cell r="D4215" t="str">
            <v>Ingeniería</v>
          </cell>
          <cell r="G4215" t="str">
            <v>Presupuesto</v>
          </cell>
        </row>
        <row r="4216">
          <cell r="A4216" t="str">
            <v>BRC</v>
          </cell>
          <cell r="B4216">
            <v>202507</v>
          </cell>
          <cell r="D4216" t="str">
            <v>Inmobiliario</v>
          </cell>
          <cell r="G4216" t="str">
            <v>Presupuesto</v>
          </cell>
        </row>
        <row r="4217">
          <cell r="A4217" t="str">
            <v>BRC</v>
          </cell>
          <cell r="B4217">
            <v>202507</v>
          </cell>
          <cell r="D4217" t="str">
            <v>Líneas Financieras</v>
          </cell>
          <cell r="G4217" t="str">
            <v>Presupuesto</v>
          </cell>
        </row>
        <row r="4218">
          <cell r="A4218" t="str">
            <v>BRC</v>
          </cell>
          <cell r="B4218">
            <v>202507</v>
          </cell>
          <cell r="D4218" t="str">
            <v>Líneas Financieras</v>
          </cell>
          <cell r="G4218" t="str">
            <v>Real</v>
          </cell>
        </row>
        <row r="4219">
          <cell r="A4219" t="str">
            <v>BRC</v>
          </cell>
          <cell r="B4219">
            <v>202507</v>
          </cell>
          <cell r="D4219" t="str">
            <v>Náutica</v>
          </cell>
          <cell r="G4219" t="str">
            <v>Presupuesto</v>
          </cell>
        </row>
        <row r="4220">
          <cell r="A4220" t="str">
            <v>BRC</v>
          </cell>
          <cell r="B4220">
            <v>202507</v>
          </cell>
          <cell r="D4220" t="str">
            <v>Náutica</v>
          </cell>
          <cell r="G4220" t="str">
            <v>Real</v>
          </cell>
        </row>
        <row r="4221">
          <cell r="A4221" t="str">
            <v>BRC</v>
          </cell>
          <cell r="B4221">
            <v>202507</v>
          </cell>
          <cell r="D4221" t="str">
            <v>Particulares Resto</v>
          </cell>
          <cell r="G4221" t="str">
            <v>Presupuesto</v>
          </cell>
        </row>
        <row r="4222">
          <cell r="A4222" t="str">
            <v>BRC</v>
          </cell>
          <cell r="B4222">
            <v>202507</v>
          </cell>
          <cell r="D4222" t="str">
            <v>Particulares Resto</v>
          </cell>
          <cell r="G4222" t="str">
            <v>Real</v>
          </cell>
        </row>
        <row r="4223">
          <cell r="A4223" t="str">
            <v>BRC</v>
          </cell>
          <cell r="B4223">
            <v>202507</v>
          </cell>
          <cell r="D4223" t="str">
            <v>Property</v>
          </cell>
          <cell r="G4223" t="str">
            <v>Presupuesto</v>
          </cell>
        </row>
        <row r="4224">
          <cell r="A4224" t="str">
            <v>BRC</v>
          </cell>
          <cell r="B4224">
            <v>202507</v>
          </cell>
          <cell r="D4224" t="str">
            <v>Property</v>
          </cell>
          <cell r="G4224" t="str">
            <v>Real</v>
          </cell>
        </row>
        <row r="4225">
          <cell r="A4225" t="str">
            <v>BRC</v>
          </cell>
          <cell r="B4225">
            <v>202507</v>
          </cell>
          <cell r="D4225" t="str">
            <v>RC</v>
          </cell>
          <cell r="G4225" t="str">
            <v>Presupuesto</v>
          </cell>
        </row>
        <row r="4226">
          <cell r="A4226" t="str">
            <v>BRC</v>
          </cell>
          <cell r="B4226">
            <v>202507</v>
          </cell>
          <cell r="D4226" t="str">
            <v>RC</v>
          </cell>
          <cell r="G4226" t="str">
            <v>Real</v>
          </cell>
        </row>
        <row r="4227">
          <cell r="A4227" t="str">
            <v>BRC</v>
          </cell>
          <cell r="B4227">
            <v>202507</v>
          </cell>
          <cell r="D4227" t="str">
            <v>Resto de lineas</v>
          </cell>
          <cell r="G4227" t="str">
            <v>Presupuesto</v>
          </cell>
        </row>
        <row r="4228">
          <cell r="A4228" t="str">
            <v>BRC</v>
          </cell>
          <cell r="B4228">
            <v>202507</v>
          </cell>
          <cell r="D4228" t="str">
            <v>Retirada</v>
          </cell>
          <cell r="G4228" t="str">
            <v>Presupuesto</v>
          </cell>
        </row>
        <row r="4229">
          <cell r="A4229" t="str">
            <v>BRC</v>
          </cell>
          <cell r="B4229">
            <v>202507</v>
          </cell>
          <cell r="D4229" t="str">
            <v>Seguros Personales (No Vida) Colectivos</v>
          </cell>
          <cell r="G4229" t="str">
            <v>Presupuesto</v>
          </cell>
        </row>
        <row r="4230">
          <cell r="A4230" t="str">
            <v>BRC</v>
          </cell>
          <cell r="B4230">
            <v>202507</v>
          </cell>
          <cell r="D4230" t="str">
            <v>Seguros Personales (No Vida) Colectivos</v>
          </cell>
          <cell r="G4230" t="str">
            <v>Real</v>
          </cell>
        </row>
        <row r="4231">
          <cell r="A4231" t="str">
            <v>BRC</v>
          </cell>
          <cell r="B4231">
            <v>202507</v>
          </cell>
          <cell r="D4231" t="str">
            <v>Seguros Personales (No Vida) Particular</v>
          </cell>
          <cell r="G4231" t="str">
            <v>Presupuesto</v>
          </cell>
        </row>
        <row r="4232">
          <cell r="A4232" t="str">
            <v>BRC</v>
          </cell>
          <cell r="B4232">
            <v>202507</v>
          </cell>
          <cell r="D4232" t="str">
            <v>Seguros Personales (No Vida) Particular</v>
          </cell>
          <cell r="G4232" t="str">
            <v>Real</v>
          </cell>
        </row>
        <row r="4233">
          <cell r="A4233" t="str">
            <v>BRC</v>
          </cell>
          <cell r="B4233">
            <v>202507</v>
          </cell>
          <cell r="D4233" t="str">
            <v>Transporte</v>
          </cell>
          <cell r="G4233" t="str">
            <v>Presupuesto</v>
          </cell>
        </row>
        <row r="4234">
          <cell r="A4234" t="str">
            <v>BRC</v>
          </cell>
          <cell r="B4234">
            <v>202507</v>
          </cell>
          <cell r="D4234" t="str">
            <v>Transporte</v>
          </cell>
          <cell r="G4234" t="str">
            <v>Real</v>
          </cell>
        </row>
        <row r="4235">
          <cell r="A4235" t="str">
            <v>BRC</v>
          </cell>
          <cell r="B4235">
            <v>202507</v>
          </cell>
          <cell r="D4235" t="str">
            <v>Venta Cruzada</v>
          </cell>
          <cell r="G4235" t="str">
            <v>Presupuesto</v>
          </cell>
        </row>
        <row r="4236">
          <cell r="A4236" t="str">
            <v>BRC</v>
          </cell>
          <cell r="B4236">
            <v>202507</v>
          </cell>
          <cell r="D4236" t="str">
            <v>Venta Cruzada</v>
          </cell>
          <cell r="G4236" t="str">
            <v>Real</v>
          </cell>
        </row>
        <row r="4237">
          <cell r="A4237" t="str">
            <v>BRC</v>
          </cell>
          <cell r="B4237">
            <v>202507</v>
          </cell>
          <cell r="D4237" t="str">
            <v>Vida Ahorro Colectivo</v>
          </cell>
          <cell r="G4237" t="str">
            <v>Presupuesto</v>
          </cell>
        </row>
        <row r="4238">
          <cell r="A4238" t="str">
            <v>BRC</v>
          </cell>
          <cell r="B4238">
            <v>202507</v>
          </cell>
          <cell r="D4238" t="str">
            <v>Vida Ahorro Particular</v>
          </cell>
          <cell r="G4238" t="str">
            <v>Presupuesto</v>
          </cell>
        </row>
        <row r="4239">
          <cell r="A4239" t="str">
            <v>BRC</v>
          </cell>
          <cell r="B4239">
            <v>202507</v>
          </cell>
          <cell r="D4239" t="str">
            <v>Vida Ganado</v>
          </cell>
          <cell r="G4239" t="str">
            <v>Presupuesto</v>
          </cell>
        </row>
        <row r="4240">
          <cell r="A4240" t="str">
            <v>BRC</v>
          </cell>
          <cell r="B4240">
            <v>202507</v>
          </cell>
          <cell r="D4240" t="str">
            <v>Vida Riesgo Colectivo</v>
          </cell>
          <cell r="G4240" t="str">
            <v>Presupuesto</v>
          </cell>
        </row>
        <row r="4241">
          <cell r="A4241" t="str">
            <v>BRC</v>
          </cell>
          <cell r="B4241">
            <v>202507</v>
          </cell>
          <cell r="D4241" t="str">
            <v>Vida Riesgo Particular</v>
          </cell>
          <cell r="G4241" t="str">
            <v>Presupuesto</v>
          </cell>
        </row>
        <row r="4242">
          <cell r="A4242" t="str">
            <v>BRC</v>
          </cell>
          <cell r="B4242">
            <v>202507</v>
          </cell>
          <cell r="D4242" t="str">
            <v>Vida Riesgo Particular</v>
          </cell>
          <cell r="G4242" t="str">
            <v>Real</v>
          </cell>
        </row>
        <row r="4243">
          <cell r="A4243" t="str">
            <v>BRC</v>
          </cell>
          <cell r="B4243">
            <v>202508</v>
          </cell>
          <cell r="D4243" t="str">
            <v>--</v>
          </cell>
          <cell r="G4243" t="str">
            <v>Presupuesto</v>
          </cell>
        </row>
        <row r="4244">
          <cell r="A4244" t="str">
            <v>BRC</v>
          </cell>
          <cell r="B4244">
            <v>202508</v>
          </cell>
          <cell r="D4244" t="str">
            <v>--</v>
          </cell>
          <cell r="G4244" t="str">
            <v>Real</v>
          </cell>
        </row>
        <row r="4245">
          <cell r="A4245" t="str">
            <v>BRC</v>
          </cell>
          <cell r="B4245">
            <v>202508</v>
          </cell>
          <cell r="D4245" t="str">
            <v>--</v>
          </cell>
          <cell r="G4245" t="str">
            <v>Presupuesto</v>
          </cell>
        </row>
        <row r="4246">
          <cell r="A4246" t="str">
            <v>BRC</v>
          </cell>
          <cell r="B4246">
            <v>202508</v>
          </cell>
          <cell r="D4246" t="str">
            <v>--</v>
          </cell>
          <cell r="G4246" t="str">
            <v>Real</v>
          </cell>
        </row>
        <row r="4247">
          <cell r="A4247" t="str">
            <v>BRC</v>
          </cell>
          <cell r="B4247">
            <v>202508</v>
          </cell>
          <cell r="D4247" t="str">
            <v>Resto de Lineas</v>
          </cell>
          <cell r="G4247" t="str">
            <v>Real</v>
          </cell>
        </row>
        <row r="4248">
          <cell r="A4248" t="str">
            <v>BRC</v>
          </cell>
          <cell r="B4248">
            <v>202508</v>
          </cell>
          <cell r="D4248" t="str">
            <v>ITALIA</v>
          </cell>
          <cell r="G4248" t="str">
            <v>Real</v>
          </cell>
        </row>
        <row r="4249">
          <cell r="A4249" t="str">
            <v>BRC</v>
          </cell>
          <cell r="B4249">
            <v>202508</v>
          </cell>
          <cell r="D4249" t="str">
            <v>Vida Ganado</v>
          </cell>
          <cell r="G4249" t="str">
            <v>Real</v>
          </cell>
        </row>
        <row r="4250">
          <cell r="A4250" t="str">
            <v>BRC</v>
          </cell>
          <cell r="B4250">
            <v>202508</v>
          </cell>
          <cell r="D4250" t="str">
            <v>Arte</v>
          </cell>
          <cell r="G4250" t="str">
            <v>Presupuesto</v>
          </cell>
        </row>
        <row r="4251">
          <cell r="A4251" t="str">
            <v>BRC</v>
          </cell>
          <cell r="B4251">
            <v>202508</v>
          </cell>
          <cell r="D4251" t="str">
            <v>Autos</v>
          </cell>
          <cell r="G4251" t="str">
            <v>Presupuesto</v>
          </cell>
        </row>
        <row r="4252">
          <cell r="A4252" t="str">
            <v>BRC</v>
          </cell>
          <cell r="B4252">
            <v>202508</v>
          </cell>
          <cell r="D4252" t="str">
            <v>Autos</v>
          </cell>
          <cell r="G4252" t="str">
            <v>Real</v>
          </cell>
        </row>
        <row r="4253">
          <cell r="A4253" t="str">
            <v>BRC</v>
          </cell>
          <cell r="B4253">
            <v>202508</v>
          </cell>
          <cell r="D4253" t="str">
            <v>B2B2C</v>
          </cell>
          <cell r="G4253" t="str">
            <v>Presupuesto</v>
          </cell>
        </row>
        <row r="4254">
          <cell r="A4254" t="str">
            <v>BRC</v>
          </cell>
          <cell r="B4254">
            <v>202508</v>
          </cell>
          <cell r="D4254" t="str">
            <v>Caución</v>
          </cell>
          <cell r="G4254" t="str">
            <v>Presupuesto</v>
          </cell>
        </row>
        <row r="4255">
          <cell r="A4255" t="str">
            <v>BRC</v>
          </cell>
          <cell r="B4255">
            <v>202508</v>
          </cell>
          <cell r="D4255" t="str">
            <v>Crédito Internacional</v>
          </cell>
          <cell r="G4255" t="str">
            <v>Presupuesto</v>
          </cell>
        </row>
        <row r="4256">
          <cell r="A4256" t="str">
            <v>BRC</v>
          </cell>
          <cell r="B4256">
            <v>202508</v>
          </cell>
          <cell r="D4256" t="str">
            <v>Crédito Nacional</v>
          </cell>
          <cell r="G4256" t="str">
            <v>Presupuesto</v>
          </cell>
        </row>
        <row r="4257">
          <cell r="A4257" t="str">
            <v>BRC</v>
          </cell>
          <cell r="B4257">
            <v>202508</v>
          </cell>
          <cell r="D4257" t="str">
            <v>Eventos</v>
          </cell>
          <cell r="G4257" t="str">
            <v>Presupuesto</v>
          </cell>
        </row>
        <row r="4258">
          <cell r="A4258" t="str">
            <v>BRC</v>
          </cell>
          <cell r="B4258">
            <v>202508</v>
          </cell>
          <cell r="D4258" t="str">
            <v>Flotas</v>
          </cell>
          <cell r="G4258" t="str">
            <v>Presupuesto</v>
          </cell>
        </row>
        <row r="4259">
          <cell r="A4259" t="str">
            <v>BRC</v>
          </cell>
          <cell r="B4259">
            <v>202508</v>
          </cell>
          <cell r="D4259" t="str">
            <v>Flotas</v>
          </cell>
          <cell r="G4259" t="str">
            <v>Real</v>
          </cell>
        </row>
        <row r="4260">
          <cell r="A4260" t="str">
            <v>BRC</v>
          </cell>
          <cell r="B4260">
            <v>202508</v>
          </cell>
          <cell r="D4260" t="str">
            <v>Hogar</v>
          </cell>
          <cell r="G4260" t="str">
            <v>Presupuesto</v>
          </cell>
        </row>
        <row r="4261">
          <cell r="A4261" t="str">
            <v>BRC</v>
          </cell>
          <cell r="B4261">
            <v>202508</v>
          </cell>
          <cell r="D4261" t="str">
            <v>Hogar</v>
          </cell>
          <cell r="G4261" t="str">
            <v>Real</v>
          </cell>
        </row>
        <row r="4262">
          <cell r="A4262" t="str">
            <v>BRC</v>
          </cell>
          <cell r="B4262">
            <v>202508</v>
          </cell>
          <cell r="D4262" t="str">
            <v>Ingeniería</v>
          </cell>
          <cell r="G4262" t="str">
            <v>Presupuesto</v>
          </cell>
        </row>
        <row r="4263">
          <cell r="A4263" t="str">
            <v>BRC</v>
          </cell>
          <cell r="B4263">
            <v>202508</v>
          </cell>
          <cell r="D4263" t="str">
            <v>Inmobiliario</v>
          </cell>
          <cell r="G4263" t="str">
            <v>Presupuesto</v>
          </cell>
        </row>
        <row r="4264">
          <cell r="A4264" t="str">
            <v>BRC</v>
          </cell>
          <cell r="B4264">
            <v>202508</v>
          </cell>
          <cell r="D4264" t="str">
            <v>Líneas Financieras</v>
          </cell>
          <cell r="G4264" t="str">
            <v>Presupuesto</v>
          </cell>
        </row>
        <row r="4265">
          <cell r="A4265" t="str">
            <v>BRC</v>
          </cell>
          <cell r="B4265">
            <v>202508</v>
          </cell>
          <cell r="D4265" t="str">
            <v>Líneas Financieras</v>
          </cell>
          <cell r="G4265" t="str">
            <v>Real</v>
          </cell>
        </row>
        <row r="4266">
          <cell r="A4266" t="str">
            <v>BRC</v>
          </cell>
          <cell r="B4266">
            <v>202508</v>
          </cell>
          <cell r="D4266" t="str">
            <v>Náutica</v>
          </cell>
          <cell r="G4266" t="str">
            <v>Presupuesto</v>
          </cell>
        </row>
        <row r="4267">
          <cell r="A4267" t="str">
            <v>BRC</v>
          </cell>
          <cell r="B4267">
            <v>202508</v>
          </cell>
          <cell r="D4267" t="str">
            <v>Náutica</v>
          </cell>
          <cell r="G4267" t="str">
            <v>Real</v>
          </cell>
        </row>
        <row r="4268">
          <cell r="A4268" t="str">
            <v>BRC</v>
          </cell>
          <cell r="B4268">
            <v>202508</v>
          </cell>
          <cell r="D4268" t="str">
            <v>Particulares Resto</v>
          </cell>
          <cell r="G4268" t="str">
            <v>Presupuesto</v>
          </cell>
        </row>
        <row r="4269">
          <cell r="A4269" t="str">
            <v>BRC</v>
          </cell>
          <cell r="B4269">
            <v>202508</v>
          </cell>
          <cell r="D4269" t="str">
            <v>Particulares Resto</v>
          </cell>
          <cell r="G4269" t="str">
            <v>Real</v>
          </cell>
        </row>
        <row r="4270">
          <cell r="A4270" t="str">
            <v>BRC</v>
          </cell>
          <cell r="B4270">
            <v>202508</v>
          </cell>
          <cell r="D4270" t="str">
            <v>Property</v>
          </cell>
          <cell r="G4270" t="str">
            <v>Presupuesto</v>
          </cell>
        </row>
        <row r="4271">
          <cell r="A4271" t="str">
            <v>BRC</v>
          </cell>
          <cell r="B4271">
            <v>202508</v>
          </cell>
          <cell r="D4271" t="str">
            <v>Property</v>
          </cell>
          <cell r="G4271" t="str">
            <v>Real</v>
          </cell>
        </row>
        <row r="4272">
          <cell r="A4272" t="str">
            <v>BRC</v>
          </cell>
          <cell r="B4272">
            <v>202508</v>
          </cell>
          <cell r="D4272" t="str">
            <v>RC</v>
          </cell>
          <cell r="G4272" t="str">
            <v>Presupuesto</v>
          </cell>
        </row>
        <row r="4273">
          <cell r="A4273" t="str">
            <v>BRC</v>
          </cell>
          <cell r="B4273">
            <v>202508</v>
          </cell>
          <cell r="D4273" t="str">
            <v>RC</v>
          </cell>
          <cell r="G4273" t="str">
            <v>Real</v>
          </cell>
        </row>
        <row r="4274">
          <cell r="A4274" t="str">
            <v>BRC</v>
          </cell>
          <cell r="B4274">
            <v>202508</v>
          </cell>
          <cell r="D4274" t="str">
            <v>Resto de lineas</v>
          </cell>
          <cell r="G4274" t="str">
            <v>Presupuesto</v>
          </cell>
        </row>
        <row r="4275">
          <cell r="A4275" t="str">
            <v>BRC</v>
          </cell>
          <cell r="B4275">
            <v>202508</v>
          </cell>
          <cell r="D4275" t="str">
            <v>Retirada</v>
          </cell>
          <cell r="G4275" t="str">
            <v>Presupuesto</v>
          </cell>
        </row>
        <row r="4276">
          <cell r="A4276" t="str">
            <v>BRC</v>
          </cell>
          <cell r="B4276">
            <v>202508</v>
          </cell>
          <cell r="D4276" t="str">
            <v>Seguros Personales (No Vida) Colectivos</v>
          </cell>
          <cell r="G4276" t="str">
            <v>Presupuesto</v>
          </cell>
        </row>
        <row r="4277">
          <cell r="A4277" t="str">
            <v>BRC</v>
          </cell>
          <cell r="B4277">
            <v>202508</v>
          </cell>
          <cell r="D4277" t="str">
            <v>Seguros Personales (No Vida) Colectivos</v>
          </cell>
          <cell r="G4277" t="str">
            <v>Real</v>
          </cell>
        </row>
        <row r="4278">
          <cell r="A4278" t="str">
            <v>BRC</v>
          </cell>
          <cell r="B4278">
            <v>202508</v>
          </cell>
          <cell r="D4278" t="str">
            <v>Seguros Personales (No Vida) Particular</v>
          </cell>
          <cell r="G4278" t="str">
            <v>Presupuesto</v>
          </cell>
        </row>
        <row r="4279">
          <cell r="A4279" t="str">
            <v>BRC</v>
          </cell>
          <cell r="B4279">
            <v>202508</v>
          </cell>
          <cell r="D4279" t="str">
            <v>Seguros Personales (No Vida) Particular</v>
          </cell>
          <cell r="G4279" t="str">
            <v>Real</v>
          </cell>
        </row>
        <row r="4280">
          <cell r="A4280" t="str">
            <v>BRC</v>
          </cell>
          <cell r="B4280">
            <v>202508</v>
          </cell>
          <cell r="D4280" t="str">
            <v>Transporte</v>
          </cell>
          <cell r="G4280" t="str">
            <v>Presupuesto</v>
          </cell>
        </row>
        <row r="4281">
          <cell r="A4281" t="str">
            <v>BRC</v>
          </cell>
          <cell r="B4281">
            <v>202508</v>
          </cell>
          <cell r="D4281" t="str">
            <v>Transporte</v>
          </cell>
          <cell r="G4281" t="str">
            <v>Real</v>
          </cell>
        </row>
        <row r="4282">
          <cell r="A4282" t="str">
            <v>BRC</v>
          </cell>
          <cell r="B4282">
            <v>202508</v>
          </cell>
          <cell r="D4282" t="str">
            <v>Venta Cruzada</v>
          </cell>
          <cell r="G4282" t="str">
            <v>Presupuesto</v>
          </cell>
        </row>
        <row r="4283">
          <cell r="A4283" t="str">
            <v>BRC</v>
          </cell>
          <cell r="B4283">
            <v>202508</v>
          </cell>
          <cell r="D4283" t="str">
            <v>Venta Cruzada</v>
          </cell>
          <cell r="G4283" t="str">
            <v>Real</v>
          </cell>
        </row>
        <row r="4284">
          <cell r="A4284" t="str">
            <v>BRC</v>
          </cell>
          <cell r="B4284">
            <v>202508</v>
          </cell>
          <cell r="D4284" t="str">
            <v>Vida Ahorro Colectivo</v>
          </cell>
          <cell r="G4284" t="str">
            <v>Presupuesto</v>
          </cell>
        </row>
        <row r="4285">
          <cell r="A4285" t="str">
            <v>BRC</v>
          </cell>
          <cell r="B4285">
            <v>202508</v>
          </cell>
          <cell r="D4285" t="str">
            <v>Vida Ahorro Particular</v>
          </cell>
          <cell r="G4285" t="str">
            <v>Presupuesto</v>
          </cell>
        </row>
        <row r="4286">
          <cell r="A4286" t="str">
            <v>BRC</v>
          </cell>
          <cell r="B4286">
            <v>202508</v>
          </cell>
          <cell r="D4286" t="str">
            <v>Vida Ganado</v>
          </cell>
          <cell r="G4286" t="str">
            <v>Presupuesto</v>
          </cell>
        </row>
        <row r="4287">
          <cell r="A4287" t="str">
            <v>BRC</v>
          </cell>
          <cell r="B4287">
            <v>202508</v>
          </cell>
          <cell r="D4287" t="str">
            <v>Vida Riesgo Colectivo</v>
          </cell>
          <cell r="G4287" t="str">
            <v>Presupuesto</v>
          </cell>
        </row>
        <row r="4288">
          <cell r="A4288" t="str">
            <v>BRC</v>
          </cell>
          <cell r="B4288">
            <v>202508</v>
          </cell>
          <cell r="D4288" t="str">
            <v>Vida Riesgo Particular</v>
          </cell>
          <cell r="G4288" t="str">
            <v>Presupuesto</v>
          </cell>
        </row>
        <row r="4289">
          <cell r="A4289" t="str">
            <v>BRC</v>
          </cell>
          <cell r="B4289">
            <v>202508</v>
          </cell>
          <cell r="D4289" t="str">
            <v>Vida Riesgo Particular</v>
          </cell>
          <cell r="G4289" t="str">
            <v>Real</v>
          </cell>
        </row>
        <row r="4290">
          <cell r="A4290" t="str">
            <v>BRC</v>
          </cell>
          <cell r="B4290">
            <v>202509</v>
          </cell>
          <cell r="D4290" t="str">
            <v>--</v>
          </cell>
          <cell r="G4290" t="str">
            <v>Presupuesto</v>
          </cell>
        </row>
        <row r="4291">
          <cell r="A4291" t="str">
            <v>BRC</v>
          </cell>
          <cell r="B4291">
            <v>202509</v>
          </cell>
          <cell r="D4291" t="str">
            <v>--</v>
          </cell>
          <cell r="G4291" t="str">
            <v>Real</v>
          </cell>
        </row>
        <row r="4292">
          <cell r="A4292" t="str">
            <v>BRC</v>
          </cell>
          <cell r="B4292">
            <v>202509</v>
          </cell>
          <cell r="D4292" t="str">
            <v>--</v>
          </cell>
          <cell r="G4292" t="str">
            <v>Presupuesto</v>
          </cell>
        </row>
        <row r="4293">
          <cell r="A4293" t="str">
            <v>BRC</v>
          </cell>
          <cell r="B4293">
            <v>202509</v>
          </cell>
          <cell r="D4293" t="str">
            <v>--</v>
          </cell>
          <cell r="G4293" t="str">
            <v>Real</v>
          </cell>
        </row>
        <row r="4294">
          <cell r="A4294" t="str">
            <v>BRC</v>
          </cell>
          <cell r="B4294">
            <v>202509</v>
          </cell>
          <cell r="D4294" t="str">
            <v>Resto de Lineas</v>
          </cell>
          <cell r="G4294" t="str">
            <v>Real</v>
          </cell>
        </row>
        <row r="4295">
          <cell r="A4295" t="str">
            <v>BRC</v>
          </cell>
          <cell r="B4295">
            <v>202509</v>
          </cell>
          <cell r="D4295" t="str">
            <v>ITALIA</v>
          </cell>
          <cell r="G4295" t="str">
            <v>Real</v>
          </cell>
        </row>
        <row r="4296">
          <cell r="A4296" t="str">
            <v>BRC</v>
          </cell>
          <cell r="B4296">
            <v>202509</v>
          </cell>
          <cell r="D4296" t="str">
            <v>Vida Ganado</v>
          </cell>
          <cell r="G4296" t="str">
            <v>Real</v>
          </cell>
        </row>
        <row r="4297">
          <cell r="A4297" t="str">
            <v>BRC</v>
          </cell>
          <cell r="B4297">
            <v>202509</v>
          </cell>
          <cell r="D4297" t="str">
            <v>Arte</v>
          </cell>
          <cell r="G4297" t="str">
            <v>Presupuesto</v>
          </cell>
        </row>
        <row r="4298">
          <cell r="A4298" t="str">
            <v>BRC</v>
          </cell>
          <cell r="B4298">
            <v>202509</v>
          </cell>
          <cell r="D4298" t="str">
            <v>Autos</v>
          </cell>
          <cell r="G4298" t="str">
            <v>Presupuesto</v>
          </cell>
        </row>
        <row r="4299">
          <cell r="A4299" t="str">
            <v>BRC</v>
          </cell>
          <cell r="B4299">
            <v>202509</v>
          </cell>
          <cell r="D4299" t="str">
            <v>Autos</v>
          </cell>
          <cell r="G4299" t="str">
            <v>Real</v>
          </cell>
        </row>
        <row r="4300">
          <cell r="A4300" t="str">
            <v>BRC</v>
          </cell>
          <cell r="B4300">
            <v>202509</v>
          </cell>
          <cell r="D4300" t="str">
            <v>B2B2C</v>
          </cell>
          <cell r="G4300" t="str">
            <v>Presupuesto</v>
          </cell>
        </row>
        <row r="4301">
          <cell r="A4301" t="str">
            <v>BRC</v>
          </cell>
          <cell r="B4301">
            <v>202509</v>
          </cell>
          <cell r="D4301" t="str">
            <v>Caución</v>
          </cell>
          <cell r="G4301" t="str">
            <v>Presupuesto</v>
          </cell>
        </row>
        <row r="4302">
          <cell r="A4302" t="str">
            <v>BRC</v>
          </cell>
          <cell r="B4302">
            <v>202509</v>
          </cell>
          <cell r="D4302" t="str">
            <v>Crédito Internacional</v>
          </cell>
          <cell r="G4302" t="str">
            <v>Presupuesto</v>
          </cell>
        </row>
        <row r="4303">
          <cell r="A4303" t="str">
            <v>BRC</v>
          </cell>
          <cell r="B4303">
            <v>202509</v>
          </cell>
          <cell r="D4303" t="str">
            <v>Crédito Nacional</v>
          </cell>
          <cell r="G4303" t="str">
            <v>Presupuesto</v>
          </cell>
        </row>
        <row r="4304">
          <cell r="A4304" t="str">
            <v>BRC</v>
          </cell>
          <cell r="B4304">
            <v>202509</v>
          </cell>
          <cell r="D4304" t="str">
            <v>Eventos</v>
          </cell>
          <cell r="G4304" t="str">
            <v>Presupuesto</v>
          </cell>
        </row>
        <row r="4305">
          <cell r="A4305" t="str">
            <v>BRC</v>
          </cell>
          <cell r="B4305">
            <v>202509</v>
          </cell>
          <cell r="D4305" t="str">
            <v>Flotas</v>
          </cell>
          <cell r="G4305" t="str">
            <v>Presupuesto</v>
          </cell>
        </row>
        <row r="4306">
          <cell r="A4306" t="str">
            <v>BRC</v>
          </cell>
          <cell r="B4306">
            <v>202509</v>
          </cell>
          <cell r="D4306" t="str">
            <v>Flotas</v>
          </cell>
          <cell r="G4306" t="str">
            <v>Real</v>
          </cell>
        </row>
        <row r="4307">
          <cell r="A4307" t="str">
            <v>BRC</v>
          </cell>
          <cell r="B4307">
            <v>202509</v>
          </cell>
          <cell r="D4307" t="str">
            <v>Hogar</v>
          </cell>
          <cell r="G4307" t="str">
            <v>Presupuesto</v>
          </cell>
        </row>
        <row r="4308">
          <cell r="A4308" t="str">
            <v>BRC</v>
          </cell>
          <cell r="B4308">
            <v>202509</v>
          </cell>
          <cell r="D4308" t="str">
            <v>Hogar</v>
          </cell>
          <cell r="G4308" t="str">
            <v>Real</v>
          </cell>
        </row>
        <row r="4309">
          <cell r="A4309" t="str">
            <v>BRC</v>
          </cell>
          <cell r="B4309">
            <v>202509</v>
          </cell>
          <cell r="D4309" t="str">
            <v>Ingeniería</v>
          </cell>
          <cell r="G4309" t="str">
            <v>Presupuesto</v>
          </cell>
        </row>
        <row r="4310">
          <cell r="A4310" t="str">
            <v>BRC</v>
          </cell>
          <cell r="B4310">
            <v>202509</v>
          </cell>
          <cell r="D4310" t="str">
            <v>Inmobiliario</v>
          </cell>
          <cell r="G4310" t="str">
            <v>Presupuesto</v>
          </cell>
        </row>
        <row r="4311">
          <cell r="A4311" t="str">
            <v>BRC</v>
          </cell>
          <cell r="B4311">
            <v>202509</v>
          </cell>
          <cell r="D4311" t="str">
            <v>Líneas Financieras</v>
          </cell>
          <cell r="G4311" t="str">
            <v>Presupuesto</v>
          </cell>
        </row>
        <row r="4312">
          <cell r="A4312" t="str">
            <v>BRC</v>
          </cell>
          <cell r="B4312">
            <v>202509</v>
          </cell>
          <cell r="D4312" t="str">
            <v>Líneas Financieras</v>
          </cell>
          <cell r="G4312" t="str">
            <v>Real</v>
          </cell>
        </row>
        <row r="4313">
          <cell r="A4313" t="str">
            <v>BRC</v>
          </cell>
          <cell r="B4313">
            <v>202509</v>
          </cell>
          <cell r="D4313" t="str">
            <v>Náutica</v>
          </cell>
          <cell r="G4313" t="str">
            <v>Presupuesto</v>
          </cell>
        </row>
        <row r="4314">
          <cell r="A4314" t="str">
            <v>BRC</v>
          </cell>
          <cell r="B4314">
            <v>202509</v>
          </cell>
          <cell r="D4314" t="str">
            <v>Náutica</v>
          </cell>
          <cell r="G4314" t="str">
            <v>Real</v>
          </cell>
        </row>
        <row r="4315">
          <cell r="A4315" t="str">
            <v>BRC</v>
          </cell>
          <cell r="B4315">
            <v>202509</v>
          </cell>
          <cell r="D4315" t="str">
            <v>Particulares Resto</v>
          </cell>
          <cell r="G4315" t="str">
            <v>Presupuesto</v>
          </cell>
        </row>
        <row r="4316">
          <cell r="A4316" t="str">
            <v>BRC</v>
          </cell>
          <cell r="B4316">
            <v>202509</v>
          </cell>
          <cell r="D4316" t="str">
            <v>Particulares Resto</v>
          </cell>
          <cell r="G4316" t="str">
            <v>Real</v>
          </cell>
        </row>
        <row r="4317">
          <cell r="A4317" t="str">
            <v>BRC</v>
          </cell>
          <cell r="B4317">
            <v>202509</v>
          </cell>
          <cell r="D4317" t="str">
            <v>Property</v>
          </cell>
          <cell r="G4317" t="str">
            <v>Presupuesto</v>
          </cell>
        </row>
        <row r="4318">
          <cell r="A4318" t="str">
            <v>BRC</v>
          </cell>
          <cell r="B4318">
            <v>202509</v>
          </cell>
          <cell r="D4318" t="str">
            <v>Property</v>
          </cell>
          <cell r="G4318" t="str">
            <v>Real</v>
          </cell>
        </row>
        <row r="4319">
          <cell r="A4319" t="str">
            <v>BRC</v>
          </cell>
          <cell r="B4319">
            <v>202509</v>
          </cell>
          <cell r="D4319" t="str">
            <v>RC</v>
          </cell>
          <cell r="G4319" t="str">
            <v>Presupuesto</v>
          </cell>
        </row>
        <row r="4320">
          <cell r="A4320" t="str">
            <v>BRC</v>
          </cell>
          <cell r="B4320">
            <v>202509</v>
          </cell>
          <cell r="D4320" t="str">
            <v>RC</v>
          </cell>
          <cell r="G4320" t="str">
            <v>Real</v>
          </cell>
        </row>
        <row r="4321">
          <cell r="A4321" t="str">
            <v>BRC</v>
          </cell>
          <cell r="B4321">
            <v>202509</v>
          </cell>
          <cell r="D4321" t="str">
            <v>Resto de lineas</v>
          </cell>
          <cell r="G4321" t="str">
            <v>Presupuesto</v>
          </cell>
        </row>
        <row r="4322">
          <cell r="A4322" t="str">
            <v>BRC</v>
          </cell>
          <cell r="B4322">
            <v>202509</v>
          </cell>
          <cell r="D4322" t="str">
            <v>Retirada</v>
          </cell>
          <cell r="G4322" t="str">
            <v>Presupuesto</v>
          </cell>
        </row>
        <row r="4323">
          <cell r="A4323" t="str">
            <v>BRC</v>
          </cell>
          <cell r="B4323">
            <v>202509</v>
          </cell>
          <cell r="D4323" t="str">
            <v>Seguros Personales (No Vida) Colectivos</v>
          </cell>
          <cell r="G4323" t="str">
            <v>Presupuesto</v>
          </cell>
        </row>
        <row r="4324">
          <cell r="A4324" t="str">
            <v>BRC</v>
          </cell>
          <cell r="B4324">
            <v>202509</v>
          </cell>
          <cell r="D4324" t="str">
            <v>Seguros Personales (No Vida) Colectivos</v>
          </cell>
          <cell r="G4324" t="str">
            <v>Real</v>
          </cell>
        </row>
        <row r="4325">
          <cell r="A4325" t="str">
            <v>BRC</v>
          </cell>
          <cell r="B4325">
            <v>202509</v>
          </cell>
          <cell r="D4325" t="str">
            <v>Seguros Personales (No Vida) Particular</v>
          </cell>
          <cell r="G4325" t="str">
            <v>Presupuesto</v>
          </cell>
        </row>
        <row r="4326">
          <cell r="A4326" t="str">
            <v>BRC</v>
          </cell>
          <cell r="B4326">
            <v>202509</v>
          </cell>
          <cell r="D4326" t="str">
            <v>Seguros Personales (No Vida) Particular</v>
          </cell>
          <cell r="G4326" t="str">
            <v>Real</v>
          </cell>
        </row>
        <row r="4327">
          <cell r="A4327" t="str">
            <v>BRC</v>
          </cell>
          <cell r="B4327">
            <v>202509</v>
          </cell>
          <cell r="D4327" t="str">
            <v>Transporte</v>
          </cell>
          <cell r="G4327" t="str">
            <v>Presupuesto</v>
          </cell>
        </row>
        <row r="4328">
          <cell r="A4328" t="str">
            <v>BRC</v>
          </cell>
          <cell r="B4328">
            <v>202509</v>
          </cell>
          <cell r="D4328" t="str">
            <v>Transporte</v>
          </cell>
          <cell r="G4328" t="str">
            <v>Real</v>
          </cell>
        </row>
        <row r="4329">
          <cell r="A4329" t="str">
            <v>BRC</v>
          </cell>
          <cell r="B4329">
            <v>202509</v>
          </cell>
          <cell r="D4329" t="str">
            <v>Venta Cruzada</v>
          </cell>
          <cell r="G4329" t="str">
            <v>Presupuesto</v>
          </cell>
        </row>
        <row r="4330">
          <cell r="A4330" t="str">
            <v>BRC</v>
          </cell>
          <cell r="B4330">
            <v>202509</v>
          </cell>
          <cell r="D4330" t="str">
            <v>Venta Cruzada</v>
          </cell>
          <cell r="G4330" t="str">
            <v>Real</v>
          </cell>
        </row>
        <row r="4331">
          <cell r="A4331" t="str">
            <v>BRC</v>
          </cell>
          <cell r="B4331">
            <v>202509</v>
          </cell>
          <cell r="D4331" t="str">
            <v>Vida Ahorro Colectivo</v>
          </cell>
          <cell r="G4331" t="str">
            <v>Presupuesto</v>
          </cell>
        </row>
        <row r="4332">
          <cell r="A4332" t="str">
            <v>BRC</v>
          </cell>
          <cell r="B4332">
            <v>202509</v>
          </cell>
          <cell r="D4332" t="str">
            <v>Vida Ahorro Particular</v>
          </cell>
          <cell r="G4332" t="str">
            <v>Presupuesto</v>
          </cell>
        </row>
        <row r="4333">
          <cell r="A4333" t="str">
            <v>BRC</v>
          </cell>
          <cell r="B4333">
            <v>202509</v>
          </cell>
          <cell r="D4333" t="str">
            <v>Vida Ganado</v>
          </cell>
          <cell r="G4333" t="str">
            <v>Presupuesto</v>
          </cell>
        </row>
        <row r="4334">
          <cell r="A4334" t="str">
            <v>BRC</v>
          </cell>
          <cell r="B4334">
            <v>202509</v>
          </cell>
          <cell r="D4334" t="str">
            <v>Vida Riesgo Colectivo</v>
          </cell>
          <cell r="G4334" t="str">
            <v>Presupuesto</v>
          </cell>
        </row>
        <row r="4335">
          <cell r="A4335" t="str">
            <v>BRC</v>
          </cell>
          <cell r="B4335">
            <v>202509</v>
          </cell>
          <cell r="D4335" t="str">
            <v>Vida Riesgo Colectivo</v>
          </cell>
          <cell r="G4335" t="str">
            <v>Real</v>
          </cell>
        </row>
        <row r="4336">
          <cell r="A4336" t="str">
            <v>BRC</v>
          </cell>
          <cell r="B4336">
            <v>202509</v>
          </cell>
          <cell r="D4336" t="str">
            <v>Vida Riesgo Particular</v>
          </cell>
          <cell r="G4336" t="str">
            <v>Presupuesto</v>
          </cell>
        </row>
        <row r="4337">
          <cell r="A4337" t="str">
            <v>BRC</v>
          </cell>
          <cell r="B4337">
            <v>202509</v>
          </cell>
          <cell r="D4337" t="str">
            <v>Vida Riesgo Particular</v>
          </cell>
          <cell r="G4337" t="str">
            <v>Real</v>
          </cell>
        </row>
        <row r="4338">
          <cell r="A4338" t="str">
            <v>BRC</v>
          </cell>
          <cell r="B4338">
            <v>202510</v>
          </cell>
          <cell r="D4338" t="str">
            <v>--</v>
          </cell>
          <cell r="G4338" t="str">
            <v>Presupuesto</v>
          </cell>
        </row>
        <row r="4339">
          <cell r="A4339" t="str">
            <v>BRC</v>
          </cell>
          <cell r="B4339">
            <v>202510</v>
          </cell>
          <cell r="D4339" t="str">
            <v>--</v>
          </cell>
          <cell r="G4339" t="str">
            <v>Real</v>
          </cell>
        </row>
        <row r="4340">
          <cell r="A4340" t="str">
            <v>BRC</v>
          </cell>
          <cell r="B4340">
            <v>202510</v>
          </cell>
          <cell r="D4340" t="str">
            <v>--</v>
          </cell>
          <cell r="G4340" t="str">
            <v>Presupuesto</v>
          </cell>
        </row>
        <row r="4341">
          <cell r="A4341" t="str">
            <v>BRC</v>
          </cell>
          <cell r="B4341">
            <v>202510</v>
          </cell>
          <cell r="D4341" t="str">
            <v>--</v>
          </cell>
          <cell r="G4341" t="str">
            <v>Real</v>
          </cell>
        </row>
        <row r="4342">
          <cell r="A4342" t="str">
            <v>BRC</v>
          </cell>
          <cell r="B4342">
            <v>202510</v>
          </cell>
          <cell r="D4342" t="str">
            <v>Resto de Lineas</v>
          </cell>
          <cell r="G4342" t="str">
            <v>Real</v>
          </cell>
        </row>
        <row r="4343">
          <cell r="A4343" t="str">
            <v>BRC</v>
          </cell>
          <cell r="B4343">
            <v>202510</v>
          </cell>
          <cell r="D4343" t="str">
            <v>ITALIA</v>
          </cell>
          <cell r="G4343" t="str">
            <v>Real</v>
          </cell>
        </row>
        <row r="4344">
          <cell r="A4344" t="str">
            <v>BRC</v>
          </cell>
          <cell r="B4344">
            <v>202510</v>
          </cell>
          <cell r="D4344" t="str">
            <v>Vida Ganado</v>
          </cell>
          <cell r="G4344" t="str">
            <v>Real</v>
          </cell>
        </row>
        <row r="4345">
          <cell r="A4345" t="str">
            <v>BRC</v>
          </cell>
          <cell r="B4345">
            <v>202510</v>
          </cell>
          <cell r="D4345" t="str">
            <v>Arte</v>
          </cell>
          <cell r="G4345" t="str">
            <v>Presupuesto</v>
          </cell>
        </row>
        <row r="4346">
          <cell r="A4346" t="str">
            <v>BRC</v>
          </cell>
          <cell r="B4346">
            <v>202510</v>
          </cell>
          <cell r="D4346" t="str">
            <v>Autos</v>
          </cell>
          <cell r="G4346" t="str">
            <v>Presupuesto</v>
          </cell>
        </row>
        <row r="4347">
          <cell r="A4347" t="str">
            <v>BRC</v>
          </cell>
          <cell r="B4347">
            <v>202510</v>
          </cell>
          <cell r="D4347" t="str">
            <v>Autos</v>
          </cell>
          <cell r="G4347" t="str">
            <v>Real</v>
          </cell>
        </row>
        <row r="4348">
          <cell r="A4348" t="str">
            <v>BRC</v>
          </cell>
          <cell r="B4348">
            <v>202510</v>
          </cell>
          <cell r="D4348" t="str">
            <v>B2B2C</v>
          </cell>
          <cell r="G4348" t="str">
            <v>Presupuesto</v>
          </cell>
        </row>
        <row r="4349">
          <cell r="A4349" t="str">
            <v>BRC</v>
          </cell>
          <cell r="B4349">
            <v>202510</v>
          </cell>
          <cell r="D4349" t="str">
            <v>Caución</v>
          </cell>
          <cell r="G4349" t="str">
            <v>Presupuesto</v>
          </cell>
        </row>
        <row r="4350">
          <cell r="A4350" t="str">
            <v>BRC</v>
          </cell>
          <cell r="B4350">
            <v>202510</v>
          </cell>
          <cell r="D4350" t="str">
            <v>Crédito Internacional</v>
          </cell>
          <cell r="G4350" t="str">
            <v>Presupuesto</v>
          </cell>
        </row>
        <row r="4351">
          <cell r="A4351" t="str">
            <v>BRC</v>
          </cell>
          <cell r="B4351">
            <v>202510</v>
          </cell>
          <cell r="D4351" t="str">
            <v>Crédito Nacional</v>
          </cell>
          <cell r="G4351" t="str">
            <v>Presupuesto</v>
          </cell>
        </row>
        <row r="4352">
          <cell r="A4352" t="str">
            <v>BRC</v>
          </cell>
          <cell r="B4352">
            <v>202510</v>
          </cell>
          <cell r="D4352" t="str">
            <v>Eventos</v>
          </cell>
          <cell r="G4352" t="str">
            <v>Presupuesto</v>
          </cell>
        </row>
        <row r="4353">
          <cell r="A4353" t="str">
            <v>BRC</v>
          </cell>
          <cell r="B4353">
            <v>202510</v>
          </cell>
          <cell r="D4353" t="str">
            <v>Flotas</v>
          </cell>
          <cell r="G4353" t="str">
            <v>Presupuesto</v>
          </cell>
        </row>
        <row r="4354">
          <cell r="A4354" t="str">
            <v>BRC</v>
          </cell>
          <cell r="B4354">
            <v>202510</v>
          </cell>
          <cell r="D4354" t="str">
            <v>Flotas</v>
          </cell>
          <cell r="G4354" t="str">
            <v>Real</v>
          </cell>
        </row>
        <row r="4355">
          <cell r="A4355" t="str">
            <v>BRC</v>
          </cell>
          <cell r="B4355">
            <v>202510</v>
          </cell>
          <cell r="D4355" t="str">
            <v>Hogar</v>
          </cell>
          <cell r="G4355" t="str">
            <v>Presupuesto</v>
          </cell>
        </row>
        <row r="4356">
          <cell r="A4356" t="str">
            <v>BRC</v>
          </cell>
          <cell r="B4356">
            <v>202510</v>
          </cell>
          <cell r="D4356" t="str">
            <v>Hogar</v>
          </cell>
          <cell r="G4356" t="str">
            <v>Real</v>
          </cell>
        </row>
        <row r="4357">
          <cell r="A4357" t="str">
            <v>BRC</v>
          </cell>
          <cell r="B4357">
            <v>202510</v>
          </cell>
          <cell r="D4357" t="str">
            <v>Ingeniería</v>
          </cell>
          <cell r="G4357" t="str">
            <v>Presupuesto</v>
          </cell>
        </row>
        <row r="4358">
          <cell r="A4358" t="str">
            <v>BRC</v>
          </cell>
          <cell r="B4358">
            <v>202510</v>
          </cell>
          <cell r="D4358" t="str">
            <v>Inmobiliario</v>
          </cell>
          <cell r="G4358" t="str">
            <v>Presupuesto</v>
          </cell>
        </row>
        <row r="4359">
          <cell r="A4359" t="str">
            <v>BRC</v>
          </cell>
          <cell r="B4359">
            <v>202510</v>
          </cell>
          <cell r="D4359" t="str">
            <v>Líneas Financieras</v>
          </cell>
          <cell r="G4359" t="str">
            <v>Presupuesto</v>
          </cell>
        </row>
        <row r="4360">
          <cell r="A4360" t="str">
            <v>BRC</v>
          </cell>
          <cell r="B4360">
            <v>202510</v>
          </cell>
          <cell r="D4360" t="str">
            <v>Líneas Financieras</v>
          </cell>
          <cell r="G4360" t="str">
            <v>Real</v>
          </cell>
        </row>
        <row r="4361">
          <cell r="A4361" t="str">
            <v>BRC</v>
          </cell>
          <cell r="B4361">
            <v>202510</v>
          </cell>
          <cell r="D4361" t="str">
            <v>Náutica</v>
          </cell>
          <cell r="G4361" t="str">
            <v>Presupuesto</v>
          </cell>
        </row>
        <row r="4362">
          <cell r="A4362" t="str">
            <v>BRC</v>
          </cell>
          <cell r="B4362">
            <v>202510</v>
          </cell>
          <cell r="D4362" t="str">
            <v>Náutica</v>
          </cell>
          <cell r="G4362" t="str">
            <v>Real</v>
          </cell>
        </row>
        <row r="4363">
          <cell r="A4363" t="str">
            <v>BRC</v>
          </cell>
          <cell r="B4363">
            <v>202510</v>
          </cell>
          <cell r="D4363" t="str">
            <v>Particulares Resto</v>
          </cell>
          <cell r="G4363" t="str">
            <v>Presupuesto</v>
          </cell>
        </row>
        <row r="4364">
          <cell r="A4364" t="str">
            <v>BRC</v>
          </cell>
          <cell r="B4364">
            <v>202510</v>
          </cell>
          <cell r="D4364" t="str">
            <v>Particulares Resto</v>
          </cell>
          <cell r="G4364" t="str">
            <v>Real</v>
          </cell>
        </row>
        <row r="4365">
          <cell r="A4365" t="str">
            <v>BRC</v>
          </cell>
          <cell r="B4365">
            <v>202510</v>
          </cell>
          <cell r="D4365" t="str">
            <v>Property</v>
          </cell>
          <cell r="G4365" t="str">
            <v>Presupuesto</v>
          </cell>
        </row>
        <row r="4366">
          <cell r="A4366" t="str">
            <v>BRC</v>
          </cell>
          <cell r="B4366">
            <v>202510</v>
          </cell>
          <cell r="D4366" t="str">
            <v>Property</v>
          </cell>
          <cell r="G4366" t="str">
            <v>Real</v>
          </cell>
        </row>
        <row r="4367">
          <cell r="A4367" t="str">
            <v>BRC</v>
          </cell>
          <cell r="B4367">
            <v>202510</v>
          </cell>
          <cell r="D4367" t="str">
            <v>RC</v>
          </cell>
          <cell r="G4367" t="str">
            <v>Presupuesto</v>
          </cell>
        </row>
        <row r="4368">
          <cell r="A4368" t="str">
            <v>BRC</v>
          </cell>
          <cell r="B4368">
            <v>202510</v>
          </cell>
          <cell r="D4368" t="str">
            <v>RC</v>
          </cell>
          <cell r="G4368" t="str">
            <v>Real</v>
          </cell>
        </row>
        <row r="4369">
          <cell r="A4369" t="str">
            <v>BRC</v>
          </cell>
          <cell r="B4369">
            <v>202510</v>
          </cell>
          <cell r="D4369" t="str">
            <v>Resto de lineas</v>
          </cell>
          <cell r="G4369" t="str">
            <v>Presupuesto</v>
          </cell>
        </row>
        <row r="4370">
          <cell r="A4370" t="str">
            <v>BRC</v>
          </cell>
          <cell r="B4370">
            <v>202510</v>
          </cell>
          <cell r="D4370" t="str">
            <v>Retirada</v>
          </cell>
          <cell r="G4370" t="str">
            <v>Presupuesto</v>
          </cell>
        </row>
        <row r="4371">
          <cell r="A4371" t="str">
            <v>BRC</v>
          </cell>
          <cell r="B4371">
            <v>202510</v>
          </cell>
          <cell r="D4371" t="str">
            <v>Seguros Personales (No Vida) Colectivos</v>
          </cell>
          <cell r="G4371" t="str">
            <v>Presupuesto</v>
          </cell>
        </row>
        <row r="4372">
          <cell r="A4372" t="str">
            <v>BRC</v>
          </cell>
          <cell r="B4372">
            <v>202510</v>
          </cell>
          <cell r="D4372" t="str">
            <v>Seguros Personales (No Vida) Colectivos</v>
          </cell>
          <cell r="G4372" t="str">
            <v>Real</v>
          </cell>
        </row>
        <row r="4373">
          <cell r="A4373" t="str">
            <v>BRC</v>
          </cell>
          <cell r="B4373">
            <v>202510</v>
          </cell>
          <cell r="D4373" t="str">
            <v>Seguros Personales (No Vida) Particular</v>
          </cell>
          <cell r="G4373" t="str">
            <v>Presupuesto</v>
          </cell>
        </row>
        <row r="4374">
          <cell r="A4374" t="str">
            <v>BRC</v>
          </cell>
          <cell r="B4374">
            <v>202510</v>
          </cell>
          <cell r="D4374" t="str">
            <v>Seguros Personales (No Vida) Particular</v>
          </cell>
          <cell r="G4374" t="str">
            <v>Real</v>
          </cell>
        </row>
        <row r="4375">
          <cell r="A4375" t="str">
            <v>BRC</v>
          </cell>
          <cell r="B4375">
            <v>202510</v>
          </cell>
          <cell r="D4375" t="str">
            <v>Transporte</v>
          </cell>
          <cell r="G4375" t="str">
            <v>Presupuesto</v>
          </cell>
        </row>
        <row r="4376">
          <cell r="A4376" t="str">
            <v>BRC</v>
          </cell>
          <cell r="B4376">
            <v>202510</v>
          </cell>
          <cell r="D4376" t="str">
            <v>Transporte</v>
          </cell>
          <cell r="G4376" t="str">
            <v>Real</v>
          </cell>
        </row>
        <row r="4377">
          <cell r="A4377" t="str">
            <v>BRC</v>
          </cell>
          <cell r="B4377">
            <v>202510</v>
          </cell>
          <cell r="D4377" t="str">
            <v>Venta Cruzada</v>
          </cell>
          <cell r="G4377" t="str">
            <v>Presupuesto</v>
          </cell>
        </row>
        <row r="4378">
          <cell r="A4378" t="str">
            <v>BRC</v>
          </cell>
          <cell r="B4378">
            <v>202510</v>
          </cell>
          <cell r="D4378" t="str">
            <v>Venta Cruzada</v>
          </cell>
          <cell r="G4378" t="str">
            <v>Real</v>
          </cell>
        </row>
        <row r="4379">
          <cell r="A4379" t="str">
            <v>BRC</v>
          </cell>
          <cell r="B4379">
            <v>202510</v>
          </cell>
          <cell r="D4379" t="str">
            <v>Vida Ahorro Colectivo</v>
          </cell>
          <cell r="G4379" t="str">
            <v>Presupuesto</v>
          </cell>
        </row>
        <row r="4380">
          <cell r="A4380" t="str">
            <v>BRC</v>
          </cell>
          <cell r="B4380">
            <v>202510</v>
          </cell>
          <cell r="D4380" t="str">
            <v>Vida Ahorro Particular</v>
          </cell>
          <cell r="G4380" t="str">
            <v>Presupuesto</v>
          </cell>
        </row>
        <row r="4381">
          <cell r="A4381" t="str">
            <v>BRC</v>
          </cell>
          <cell r="B4381">
            <v>202510</v>
          </cell>
          <cell r="D4381" t="str">
            <v>Vida Ganado</v>
          </cell>
          <cell r="G4381" t="str">
            <v>Presupuesto</v>
          </cell>
        </row>
        <row r="4382">
          <cell r="A4382" t="str">
            <v>BRC</v>
          </cell>
          <cell r="B4382">
            <v>202510</v>
          </cell>
          <cell r="D4382" t="str">
            <v>Vida Riesgo Colectivo</v>
          </cell>
          <cell r="G4382" t="str">
            <v>Presupuesto</v>
          </cell>
        </row>
        <row r="4383">
          <cell r="A4383" t="str">
            <v>BRC</v>
          </cell>
          <cell r="B4383">
            <v>202510</v>
          </cell>
          <cell r="D4383" t="str">
            <v>Vida Riesgo Particular</v>
          </cell>
          <cell r="G4383" t="str">
            <v>Presupuesto</v>
          </cell>
        </row>
        <row r="4384">
          <cell r="A4384" t="str">
            <v>BRC</v>
          </cell>
          <cell r="B4384">
            <v>202510</v>
          </cell>
          <cell r="D4384" t="str">
            <v>Vida Riesgo Particular</v>
          </cell>
          <cell r="G4384" t="str">
            <v>Real</v>
          </cell>
        </row>
        <row r="4385">
          <cell r="A4385" t="str">
            <v>BRC</v>
          </cell>
          <cell r="B4385">
            <v>202511</v>
          </cell>
          <cell r="D4385" t="str">
            <v>--</v>
          </cell>
          <cell r="G4385" t="str">
            <v>Presupuesto</v>
          </cell>
        </row>
        <row r="4386">
          <cell r="A4386" t="str">
            <v>BRC</v>
          </cell>
          <cell r="B4386">
            <v>202511</v>
          </cell>
          <cell r="D4386" t="str">
            <v>--</v>
          </cell>
          <cell r="G4386" t="str">
            <v>Presupuesto</v>
          </cell>
        </row>
        <row r="4387">
          <cell r="A4387" t="str">
            <v>BRC</v>
          </cell>
          <cell r="B4387">
            <v>202511</v>
          </cell>
          <cell r="D4387" t="str">
            <v>--</v>
          </cell>
          <cell r="G4387" t="str">
            <v>Real</v>
          </cell>
        </row>
        <row r="4388">
          <cell r="A4388" t="str">
            <v>BRC</v>
          </cell>
          <cell r="B4388">
            <v>202511</v>
          </cell>
          <cell r="D4388" t="str">
            <v>Resto de Lineas</v>
          </cell>
          <cell r="G4388" t="str">
            <v>Real</v>
          </cell>
        </row>
        <row r="4389">
          <cell r="A4389" t="str">
            <v>BRC</v>
          </cell>
          <cell r="B4389">
            <v>202511</v>
          </cell>
          <cell r="D4389" t="str">
            <v>Arte</v>
          </cell>
          <cell r="G4389" t="str">
            <v>Presupuesto</v>
          </cell>
        </row>
        <row r="4390">
          <cell r="A4390" t="str">
            <v>BRC</v>
          </cell>
          <cell r="B4390">
            <v>202511</v>
          </cell>
          <cell r="D4390" t="str">
            <v>Autos</v>
          </cell>
          <cell r="G4390" t="str">
            <v>Presupuesto</v>
          </cell>
        </row>
        <row r="4391">
          <cell r="A4391" t="str">
            <v>BRC</v>
          </cell>
          <cell r="B4391">
            <v>202511</v>
          </cell>
          <cell r="D4391" t="str">
            <v>Autos</v>
          </cell>
          <cell r="G4391" t="str">
            <v>Real</v>
          </cell>
        </row>
        <row r="4392">
          <cell r="A4392" t="str">
            <v>BRC</v>
          </cell>
          <cell r="B4392">
            <v>202511</v>
          </cell>
          <cell r="D4392" t="str">
            <v>B2B2C</v>
          </cell>
          <cell r="G4392" t="str">
            <v>Presupuesto</v>
          </cell>
        </row>
        <row r="4393">
          <cell r="A4393" t="str">
            <v>BRC</v>
          </cell>
          <cell r="B4393">
            <v>202511</v>
          </cell>
          <cell r="D4393" t="str">
            <v>Caución</v>
          </cell>
          <cell r="G4393" t="str">
            <v>Presupuesto</v>
          </cell>
        </row>
        <row r="4394">
          <cell r="A4394" t="str">
            <v>BRC</v>
          </cell>
          <cell r="B4394">
            <v>202511</v>
          </cell>
          <cell r="D4394" t="str">
            <v>Crédito Internacional</v>
          </cell>
          <cell r="G4394" t="str">
            <v>Presupuesto</v>
          </cell>
        </row>
        <row r="4395">
          <cell r="A4395" t="str">
            <v>BRC</v>
          </cell>
          <cell r="B4395">
            <v>202511</v>
          </cell>
          <cell r="D4395" t="str">
            <v>Crédito Nacional</v>
          </cell>
          <cell r="G4395" t="str">
            <v>Presupuesto</v>
          </cell>
        </row>
        <row r="4396">
          <cell r="A4396" t="str">
            <v>BRC</v>
          </cell>
          <cell r="B4396">
            <v>202511</v>
          </cell>
          <cell r="D4396" t="str">
            <v>Eventos</v>
          </cell>
          <cell r="G4396" t="str">
            <v>Presupuesto</v>
          </cell>
        </row>
        <row r="4397">
          <cell r="A4397" t="str">
            <v>BRC</v>
          </cell>
          <cell r="B4397">
            <v>202511</v>
          </cell>
          <cell r="D4397" t="str">
            <v>Flotas</v>
          </cell>
          <cell r="G4397" t="str">
            <v>Presupuesto</v>
          </cell>
        </row>
        <row r="4398">
          <cell r="A4398" t="str">
            <v>BRC</v>
          </cell>
          <cell r="B4398">
            <v>202511</v>
          </cell>
          <cell r="D4398" t="str">
            <v>Flotas</v>
          </cell>
          <cell r="G4398" t="str">
            <v>Real</v>
          </cell>
        </row>
        <row r="4399">
          <cell r="A4399" t="str">
            <v>BRC</v>
          </cell>
          <cell r="B4399">
            <v>202511</v>
          </cell>
          <cell r="D4399" t="str">
            <v>Hogar</v>
          </cell>
          <cell r="G4399" t="str">
            <v>Presupuesto</v>
          </cell>
        </row>
        <row r="4400">
          <cell r="A4400" t="str">
            <v>BRC</v>
          </cell>
          <cell r="B4400">
            <v>202511</v>
          </cell>
          <cell r="D4400" t="str">
            <v>Hogar</v>
          </cell>
          <cell r="G4400" t="str">
            <v>Real</v>
          </cell>
        </row>
        <row r="4401">
          <cell r="A4401" t="str">
            <v>BRC</v>
          </cell>
          <cell r="B4401">
            <v>202511</v>
          </cell>
          <cell r="D4401" t="str">
            <v>Ingeniería</v>
          </cell>
          <cell r="G4401" t="str">
            <v>Presupuesto</v>
          </cell>
        </row>
        <row r="4402">
          <cell r="A4402" t="str">
            <v>BRC</v>
          </cell>
          <cell r="B4402">
            <v>202511</v>
          </cell>
          <cell r="D4402" t="str">
            <v>Inmobiliario</v>
          </cell>
          <cell r="G4402" t="str">
            <v>Presupuesto</v>
          </cell>
        </row>
        <row r="4403">
          <cell r="A4403" t="str">
            <v>BRC</v>
          </cell>
          <cell r="B4403">
            <v>202511</v>
          </cell>
          <cell r="D4403" t="str">
            <v>Líneas Financieras</v>
          </cell>
          <cell r="G4403" t="str">
            <v>Presupuesto</v>
          </cell>
        </row>
        <row r="4404">
          <cell r="A4404" t="str">
            <v>BRC</v>
          </cell>
          <cell r="B4404">
            <v>202511</v>
          </cell>
          <cell r="D4404" t="str">
            <v>Líneas Financieras</v>
          </cell>
          <cell r="G4404" t="str">
            <v>Real</v>
          </cell>
        </row>
        <row r="4405">
          <cell r="A4405" t="str">
            <v>BRC</v>
          </cell>
          <cell r="B4405">
            <v>202511</v>
          </cell>
          <cell r="D4405" t="str">
            <v>Náutica</v>
          </cell>
          <cell r="G4405" t="str">
            <v>Presupuesto</v>
          </cell>
        </row>
        <row r="4406">
          <cell r="A4406" t="str">
            <v>BRC</v>
          </cell>
          <cell r="B4406">
            <v>202511</v>
          </cell>
          <cell r="D4406" t="str">
            <v>Náutica</v>
          </cell>
          <cell r="G4406" t="str">
            <v>Real</v>
          </cell>
        </row>
        <row r="4407">
          <cell r="A4407" t="str">
            <v>BRC</v>
          </cell>
          <cell r="B4407">
            <v>202511</v>
          </cell>
          <cell r="D4407" t="str">
            <v>Particulares Resto</v>
          </cell>
          <cell r="G4407" t="str">
            <v>Presupuesto</v>
          </cell>
        </row>
        <row r="4408">
          <cell r="A4408" t="str">
            <v>BRC</v>
          </cell>
          <cell r="B4408">
            <v>202511</v>
          </cell>
          <cell r="D4408" t="str">
            <v>Particulares Resto</v>
          </cell>
          <cell r="G4408" t="str">
            <v>Real</v>
          </cell>
        </row>
        <row r="4409">
          <cell r="A4409" t="str">
            <v>BRC</v>
          </cell>
          <cell r="B4409">
            <v>202511</v>
          </cell>
          <cell r="D4409" t="str">
            <v>Property</v>
          </cell>
          <cell r="G4409" t="str">
            <v>Presupuesto</v>
          </cell>
        </row>
        <row r="4410">
          <cell r="A4410" t="str">
            <v>BRC</v>
          </cell>
          <cell r="B4410">
            <v>202511</v>
          </cell>
          <cell r="D4410" t="str">
            <v>Property</v>
          </cell>
          <cell r="G4410" t="str">
            <v>Real</v>
          </cell>
        </row>
        <row r="4411">
          <cell r="A4411" t="str">
            <v>BRC</v>
          </cell>
          <cell r="B4411">
            <v>202511</v>
          </cell>
          <cell r="D4411" t="str">
            <v>RC</v>
          </cell>
          <cell r="G4411" t="str">
            <v>Presupuesto</v>
          </cell>
        </row>
        <row r="4412">
          <cell r="A4412" t="str">
            <v>BRC</v>
          </cell>
          <cell r="B4412">
            <v>202511</v>
          </cell>
          <cell r="D4412" t="str">
            <v>RC</v>
          </cell>
          <cell r="G4412" t="str">
            <v>Real</v>
          </cell>
        </row>
        <row r="4413">
          <cell r="A4413" t="str">
            <v>BRC</v>
          </cell>
          <cell r="B4413">
            <v>202511</v>
          </cell>
          <cell r="D4413" t="str">
            <v>Resto de lineas</v>
          </cell>
          <cell r="G4413" t="str">
            <v>Presupuesto</v>
          </cell>
        </row>
        <row r="4414">
          <cell r="A4414" t="str">
            <v>BRC</v>
          </cell>
          <cell r="B4414">
            <v>202511</v>
          </cell>
          <cell r="D4414" t="str">
            <v>Retirada</v>
          </cell>
          <cell r="G4414" t="str">
            <v>Presupuesto</v>
          </cell>
        </row>
        <row r="4415">
          <cell r="A4415" t="str">
            <v>BRC</v>
          </cell>
          <cell r="B4415">
            <v>202511</v>
          </cell>
          <cell r="D4415" t="str">
            <v>Seguros Personales (No Vida) Colectivos</v>
          </cell>
          <cell r="G4415" t="str">
            <v>Presupuesto</v>
          </cell>
        </row>
        <row r="4416">
          <cell r="A4416" t="str">
            <v>BRC</v>
          </cell>
          <cell r="B4416">
            <v>202511</v>
          </cell>
          <cell r="D4416" t="str">
            <v>Seguros Personales (No Vida) Colectivos</v>
          </cell>
          <cell r="G4416" t="str">
            <v>Real</v>
          </cell>
        </row>
        <row r="4417">
          <cell r="A4417" t="str">
            <v>BRC</v>
          </cell>
          <cell r="B4417">
            <v>202511</v>
          </cell>
          <cell r="D4417" t="str">
            <v>Seguros Personales (No Vida) Particular</v>
          </cell>
          <cell r="G4417" t="str">
            <v>Presupuesto</v>
          </cell>
        </row>
        <row r="4418">
          <cell r="A4418" t="str">
            <v>BRC</v>
          </cell>
          <cell r="B4418">
            <v>202511</v>
          </cell>
          <cell r="D4418" t="str">
            <v>Seguros Personales (No Vida) Particular</v>
          </cell>
          <cell r="G4418" t="str">
            <v>Real</v>
          </cell>
        </row>
        <row r="4419">
          <cell r="A4419" t="str">
            <v>BRC</v>
          </cell>
          <cell r="B4419">
            <v>202511</v>
          </cell>
          <cell r="D4419" t="str">
            <v>Transporte</v>
          </cell>
          <cell r="G4419" t="str">
            <v>Presupuesto</v>
          </cell>
        </row>
        <row r="4420">
          <cell r="A4420" t="str">
            <v>BRC</v>
          </cell>
          <cell r="B4420">
            <v>202511</v>
          </cell>
          <cell r="D4420" t="str">
            <v>Transporte</v>
          </cell>
          <cell r="G4420" t="str">
            <v>Real</v>
          </cell>
        </row>
        <row r="4421">
          <cell r="A4421" t="str">
            <v>BRC</v>
          </cell>
          <cell r="B4421">
            <v>202511</v>
          </cell>
          <cell r="D4421" t="str">
            <v>Venta Cruzada</v>
          </cell>
          <cell r="G4421" t="str">
            <v>Presupuesto</v>
          </cell>
        </row>
        <row r="4422">
          <cell r="A4422" t="str">
            <v>BRC</v>
          </cell>
          <cell r="B4422">
            <v>202511</v>
          </cell>
          <cell r="D4422" t="str">
            <v>Venta Cruzada</v>
          </cell>
          <cell r="G4422" t="str">
            <v>Real</v>
          </cell>
        </row>
        <row r="4423">
          <cell r="A4423" t="str">
            <v>BRC</v>
          </cell>
          <cell r="B4423">
            <v>202511</v>
          </cell>
          <cell r="D4423" t="str">
            <v>Vida Ahorro Colectivo</v>
          </cell>
          <cell r="G4423" t="str">
            <v>Presupuesto</v>
          </cell>
        </row>
        <row r="4424">
          <cell r="A4424" t="str">
            <v>BRC</v>
          </cell>
          <cell r="B4424">
            <v>202511</v>
          </cell>
          <cell r="D4424" t="str">
            <v>Vida Ahorro Particular</v>
          </cell>
          <cell r="G4424" t="str">
            <v>Presupuesto</v>
          </cell>
        </row>
        <row r="4425">
          <cell r="A4425" t="str">
            <v>BRC</v>
          </cell>
          <cell r="B4425">
            <v>202511</v>
          </cell>
          <cell r="D4425" t="str">
            <v>Vida Ganado</v>
          </cell>
          <cell r="G4425" t="str">
            <v>Presupuesto</v>
          </cell>
        </row>
        <row r="4426">
          <cell r="A4426" t="str">
            <v>BRC</v>
          </cell>
          <cell r="B4426">
            <v>202511</v>
          </cell>
          <cell r="D4426" t="str">
            <v>Vida Riesgo Colectivo</v>
          </cell>
          <cell r="G4426" t="str">
            <v>Presupuesto</v>
          </cell>
        </row>
        <row r="4427">
          <cell r="A4427" t="str">
            <v>BRC</v>
          </cell>
          <cell r="B4427">
            <v>202511</v>
          </cell>
          <cell r="D4427" t="str">
            <v>Vida Riesgo Particular</v>
          </cell>
          <cell r="G4427" t="str">
            <v>Presupuesto</v>
          </cell>
        </row>
        <row r="4428">
          <cell r="A4428" t="str">
            <v>BRC</v>
          </cell>
          <cell r="B4428">
            <v>202511</v>
          </cell>
          <cell r="D4428" t="str">
            <v>Vida Riesgo Particular</v>
          </cell>
          <cell r="G4428" t="str">
            <v>Real</v>
          </cell>
        </row>
        <row r="4429">
          <cell r="A4429" t="str">
            <v>BRC</v>
          </cell>
          <cell r="B4429">
            <v>202512</v>
          </cell>
          <cell r="D4429" t="str">
            <v>--</v>
          </cell>
          <cell r="G4429" t="str">
            <v>Presupuesto</v>
          </cell>
        </row>
        <row r="4430">
          <cell r="A4430" t="str">
            <v>BRC</v>
          </cell>
          <cell r="B4430">
            <v>202512</v>
          </cell>
          <cell r="D4430" t="str">
            <v>--</v>
          </cell>
          <cell r="G4430" t="str">
            <v>Presupuesto</v>
          </cell>
        </row>
        <row r="4431">
          <cell r="A4431" t="str">
            <v>BRC</v>
          </cell>
          <cell r="B4431">
            <v>202512</v>
          </cell>
          <cell r="D4431" t="str">
            <v>--</v>
          </cell>
          <cell r="G4431" t="str">
            <v>Real</v>
          </cell>
        </row>
        <row r="4432">
          <cell r="A4432" t="str">
            <v>BRC</v>
          </cell>
          <cell r="B4432">
            <v>202512</v>
          </cell>
          <cell r="D4432" t="str">
            <v>Resto de Lineas</v>
          </cell>
          <cell r="G4432" t="str">
            <v>Real</v>
          </cell>
        </row>
        <row r="4433">
          <cell r="A4433" t="str">
            <v>BRC</v>
          </cell>
          <cell r="B4433">
            <v>202512</v>
          </cell>
          <cell r="D4433" t="str">
            <v>Arte</v>
          </cell>
          <cell r="G4433" t="str">
            <v>Presupuesto</v>
          </cell>
        </row>
        <row r="4434">
          <cell r="A4434" t="str">
            <v>BRC</v>
          </cell>
          <cell r="B4434">
            <v>202512</v>
          </cell>
          <cell r="D4434" t="str">
            <v>Autos</v>
          </cell>
          <cell r="G4434" t="str">
            <v>Presupuesto</v>
          </cell>
        </row>
        <row r="4435">
          <cell r="A4435" t="str">
            <v>BRC</v>
          </cell>
          <cell r="B4435">
            <v>202512</v>
          </cell>
          <cell r="D4435" t="str">
            <v>Autos</v>
          </cell>
          <cell r="G4435" t="str">
            <v>Real</v>
          </cell>
        </row>
        <row r="4436">
          <cell r="A4436" t="str">
            <v>BRC</v>
          </cell>
          <cell r="B4436">
            <v>202512</v>
          </cell>
          <cell r="D4436" t="str">
            <v>B2B2C</v>
          </cell>
          <cell r="G4436" t="str">
            <v>Presupuesto</v>
          </cell>
        </row>
        <row r="4437">
          <cell r="A4437" t="str">
            <v>BRC</v>
          </cell>
          <cell r="B4437">
            <v>202512</v>
          </cell>
          <cell r="D4437" t="str">
            <v>Caución</v>
          </cell>
          <cell r="G4437" t="str">
            <v>Presupuesto</v>
          </cell>
        </row>
        <row r="4438">
          <cell r="A4438" t="str">
            <v>BRC</v>
          </cell>
          <cell r="B4438">
            <v>202512</v>
          </cell>
          <cell r="D4438" t="str">
            <v>Crédito Internacional</v>
          </cell>
          <cell r="G4438" t="str">
            <v>Presupuesto</v>
          </cell>
        </row>
        <row r="4439">
          <cell r="A4439" t="str">
            <v>BRC</v>
          </cell>
          <cell r="B4439">
            <v>202512</v>
          </cell>
          <cell r="D4439" t="str">
            <v>Crédito Nacional</v>
          </cell>
          <cell r="G4439" t="str">
            <v>Presupuesto</v>
          </cell>
        </row>
        <row r="4440">
          <cell r="A4440" t="str">
            <v>BRC</v>
          </cell>
          <cell r="B4440">
            <v>202512</v>
          </cell>
          <cell r="D4440" t="str">
            <v>Eventos</v>
          </cell>
          <cell r="G4440" t="str">
            <v>Presupuesto</v>
          </cell>
        </row>
        <row r="4441">
          <cell r="A4441" t="str">
            <v>BRC</v>
          </cell>
          <cell r="B4441">
            <v>202512</v>
          </cell>
          <cell r="D4441" t="str">
            <v>Flotas</v>
          </cell>
          <cell r="G4441" t="str">
            <v>Presupuesto</v>
          </cell>
        </row>
        <row r="4442">
          <cell r="A4442" t="str">
            <v>BRC</v>
          </cell>
          <cell r="B4442">
            <v>202512</v>
          </cell>
          <cell r="D4442" t="str">
            <v>Flotas</v>
          </cell>
          <cell r="G4442" t="str">
            <v>Real</v>
          </cell>
        </row>
        <row r="4443">
          <cell r="A4443" t="str">
            <v>BRC</v>
          </cell>
          <cell r="B4443">
            <v>202512</v>
          </cell>
          <cell r="D4443" t="str">
            <v>Hogar</v>
          </cell>
          <cell r="G4443" t="str">
            <v>Presupuesto</v>
          </cell>
        </row>
        <row r="4444">
          <cell r="A4444" t="str">
            <v>BRC</v>
          </cell>
          <cell r="B4444">
            <v>202512</v>
          </cell>
          <cell r="D4444" t="str">
            <v>Hogar</v>
          </cell>
          <cell r="G4444" t="str">
            <v>Real</v>
          </cell>
        </row>
        <row r="4445">
          <cell r="A4445" t="str">
            <v>BRC</v>
          </cell>
          <cell r="B4445">
            <v>202512</v>
          </cell>
          <cell r="D4445" t="str">
            <v>Ingeniería</v>
          </cell>
          <cell r="G4445" t="str">
            <v>Presupuesto</v>
          </cell>
        </row>
        <row r="4446">
          <cell r="A4446" t="str">
            <v>BRC</v>
          </cell>
          <cell r="B4446">
            <v>202512</v>
          </cell>
          <cell r="D4446" t="str">
            <v>Inmobiliario</v>
          </cell>
          <cell r="G4446" t="str">
            <v>Presupuesto</v>
          </cell>
        </row>
        <row r="4447">
          <cell r="A4447" t="str">
            <v>BRC</v>
          </cell>
          <cell r="B4447">
            <v>202512</v>
          </cell>
          <cell r="D4447" t="str">
            <v>Líneas Financieras</v>
          </cell>
          <cell r="G4447" t="str">
            <v>Presupuesto</v>
          </cell>
        </row>
        <row r="4448">
          <cell r="A4448" t="str">
            <v>BRC</v>
          </cell>
          <cell r="B4448">
            <v>202512</v>
          </cell>
          <cell r="D4448" t="str">
            <v>Líneas Financieras</v>
          </cell>
          <cell r="G4448" t="str">
            <v>Real</v>
          </cell>
        </row>
        <row r="4449">
          <cell r="A4449" t="str">
            <v>BRC</v>
          </cell>
          <cell r="B4449">
            <v>202512</v>
          </cell>
          <cell r="D4449" t="str">
            <v>Náutica</v>
          </cell>
          <cell r="G4449" t="str">
            <v>Presupuesto</v>
          </cell>
        </row>
        <row r="4450">
          <cell r="A4450" t="str">
            <v>BRC</v>
          </cell>
          <cell r="B4450">
            <v>202512</v>
          </cell>
          <cell r="D4450" t="str">
            <v>Náutica</v>
          </cell>
          <cell r="G4450" t="str">
            <v>Real</v>
          </cell>
        </row>
        <row r="4451">
          <cell r="A4451" t="str">
            <v>BRC</v>
          </cell>
          <cell r="B4451">
            <v>202512</v>
          </cell>
          <cell r="D4451" t="str">
            <v>Particulares Resto</v>
          </cell>
          <cell r="G4451" t="str">
            <v>Presupuesto</v>
          </cell>
        </row>
        <row r="4452">
          <cell r="A4452" t="str">
            <v>BRC</v>
          </cell>
          <cell r="B4452">
            <v>202512</v>
          </cell>
          <cell r="D4452" t="str">
            <v>Particulares Resto</v>
          </cell>
          <cell r="G4452" t="str">
            <v>Real</v>
          </cell>
        </row>
        <row r="4453">
          <cell r="A4453" t="str">
            <v>BRC</v>
          </cell>
          <cell r="B4453">
            <v>202512</v>
          </cell>
          <cell r="D4453" t="str">
            <v>Property</v>
          </cell>
          <cell r="G4453" t="str">
            <v>Presupuesto</v>
          </cell>
        </row>
        <row r="4454">
          <cell r="A4454" t="str">
            <v>BRC</v>
          </cell>
          <cell r="B4454">
            <v>202512</v>
          </cell>
          <cell r="D4454" t="str">
            <v>Property</v>
          </cell>
          <cell r="G4454" t="str">
            <v>Real</v>
          </cell>
        </row>
        <row r="4455">
          <cell r="A4455" t="str">
            <v>BRC</v>
          </cell>
          <cell r="B4455">
            <v>202512</v>
          </cell>
          <cell r="D4455" t="str">
            <v>RC</v>
          </cell>
          <cell r="G4455" t="str">
            <v>Presupuesto</v>
          </cell>
        </row>
        <row r="4456">
          <cell r="A4456" t="str">
            <v>BRC</v>
          </cell>
          <cell r="B4456">
            <v>202512</v>
          </cell>
          <cell r="D4456" t="str">
            <v>RC</v>
          </cell>
          <cell r="G4456" t="str">
            <v>Real</v>
          </cell>
        </row>
        <row r="4457">
          <cell r="A4457" t="str">
            <v>BRC</v>
          </cell>
          <cell r="B4457">
            <v>202512</v>
          </cell>
          <cell r="D4457" t="str">
            <v>Resto de lineas</v>
          </cell>
          <cell r="G4457" t="str">
            <v>Presupuesto</v>
          </cell>
        </row>
        <row r="4458">
          <cell r="A4458" t="str">
            <v>BRC</v>
          </cell>
          <cell r="B4458">
            <v>202512</v>
          </cell>
          <cell r="D4458" t="str">
            <v>Retirada</v>
          </cell>
          <cell r="G4458" t="str">
            <v>Presupuesto</v>
          </cell>
        </row>
        <row r="4459">
          <cell r="A4459" t="str">
            <v>BRC</v>
          </cell>
          <cell r="B4459">
            <v>202512</v>
          </cell>
          <cell r="D4459" t="str">
            <v>Seguros Personales (No Vida) Colectivos</v>
          </cell>
          <cell r="G4459" t="str">
            <v>Presupuesto</v>
          </cell>
        </row>
        <row r="4460">
          <cell r="A4460" t="str">
            <v>BRC</v>
          </cell>
          <cell r="B4460">
            <v>202512</v>
          </cell>
          <cell r="D4460" t="str">
            <v>Seguros Personales (No Vida) Colectivos</v>
          </cell>
          <cell r="G4460" t="str">
            <v>Real</v>
          </cell>
        </row>
        <row r="4461">
          <cell r="A4461" t="str">
            <v>BRC</v>
          </cell>
          <cell r="B4461">
            <v>202512</v>
          </cell>
          <cell r="D4461" t="str">
            <v>Seguros Personales (No Vida) Particular</v>
          </cell>
          <cell r="G4461" t="str">
            <v>Presupuesto</v>
          </cell>
        </row>
        <row r="4462">
          <cell r="A4462" t="str">
            <v>BRC</v>
          </cell>
          <cell r="B4462">
            <v>202512</v>
          </cell>
          <cell r="D4462" t="str">
            <v>Seguros Personales (No Vida) Particular</v>
          </cell>
          <cell r="G4462" t="str">
            <v>Real</v>
          </cell>
        </row>
        <row r="4463">
          <cell r="A4463" t="str">
            <v>BRC</v>
          </cell>
          <cell r="B4463">
            <v>202512</v>
          </cell>
          <cell r="D4463" t="str">
            <v>Transporte</v>
          </cell>
          <cell r="G4463" t="str">
            <v>Presupuesto</v>
          </cell>
        </row>
        <row r="4464">
          <cell r="A4464" t="str">
            <v>BRC</v>
          </cell>
          <cell r="B4464">
            <v>202512</v>
          </cell>
          <cell r="D4464" t="str">
            <v>Transporte</v>
          </cell>
          <cell r="G4464" t="str">
            <v>Real</v>
          </cell>
        </row>
        <row r="4465">
          <cell r="A4465" t="str">
            <v>BRC</v>
          </cell>
          <cell r="B4465">
            <v>202512</v>
          </cell>
          <cell r="D4465" t="str">
            <v>Venta Cruzada</v>
          </cell>
          <cell r="G4465" t="str">
            <v>Presupuesto</v>
          </cell>
        </row>
        <row r="4466">
          <cell r="A4466" t="str">
            <v>BRC</v>
          </cell>
          <cell r="B4466">
            <v>202512</v>
          </cell>
          <cell r="D4466" t="str">
            <v>Venta Cruzada</v>
          </cell>
          <cell r="G4466" t="str">
            <v>Real</v>
          </cell>
        </row>
        <row r="4467">
          <cell r="A4467" t="str">
            <v>BRC</v>
          </cell>
          <cell r="B4467">
            <v>202512</v>
          </cell>
          <cell r="D4467" t="str">
            <v>Vida Ahorro Colectivo</v>
          </cell>
          <cell r="G4467" t="str">
            <v>Presupuesto</v>
          </cell>
        </row>
        <row r="4468">
          <cell r="A4468" t="str">
            <v>BRC</v>
          </cell>
          <cell r="B4468">
            <v>202512</v>
          </cell>
          <cell r="D4468" t="str">
            <v>Vida Ahorro Particular</v>
          </cell>
          <cell r="G4468" t="str">
            <v>Presupuesto</v>
          </cell>
        </row>
        <row r="4469">
          <cell r="A4469" t="str">
            <v>BRC</v>
          </cell>
          <cell r="B4469">
            <v>202512</v>
          </cell>
          <cell r="D4469" t="str">
            <v>Vida Ahorro Particular</v>
          </cell>
          <cell r="G4469" t="str">
            <v>Real</v>
          </cell>
        </row>
        <row r="4470">
          <cell r="A4470" t="str">
            <v>BRC</v>
          </cell>
          <cell r="B4470">
            <v>202512</v>
          </cell>
          <cell r="D4470" t="str">
            <v>Vida Ganado</v>
          </cell>
          <cell r="G4470" t="str">
            <v>Presupuesto</v>
          </cell>
        </row>
        <row r="4471">
          <cell r="A4471" t="str">
            <v>BRC</v>
          </cell>
          <cell r="B4471">
            <v>202512</v>
          </cell>
          <cell r="D4471" t="str">
            <v>Vida Riesgo Colectivo</v>
          </cell>
          <cell r="G4471" t="str">
            <v>Presupuesto</v>
          </cell>
        </row>
        <row r="4472">
          <cell r="A4472" t="str">
            <v>BRC</v>
          </cell>
          <cell r="B4472">
            <v>202512</v>
          </cell>
          <cell r="D4472" t="str">
            <v>Vida Riesgo Particular</v>
          </cell>
          <cell r="G4472" t="str">
            <v>Presupuesto</v>
          </cell>
        </row>
        <row r="4473">
          <cell r="A4473" t="str">
            <v>BRC</v>
          </cell>
          <cell r="B4473">
            <v>202512</v>
          </cell>
          <cell r="D4473" t="str">
            <v>Vida Riesgo Particular</v>
          </cell>
          <cell r="G4473" t="str">
            <v>Real</v>
          </cell>
        </row>
        <row r="4474">
          <cell r="A4474" t="str">
            <v>CARANTIA</v>
          </cell>
          <cell r="B4474">
            <v>202301</v>
          </cell>
          <cell r="D4474" t="str">
            <v>--</v>
          </cell>
          <cell r="G4474" t="str">
            <v>Real</v>
          </cell>
        </row>
        <row r="4475">
          <cell r="A4475" t="str">
            <v>CARANTIA</v>
          </cell>
          <cell r="B4475">
            <v>202302</v>
          </cell>
          <cell r="D4475" t="str">
            <v>--</v>
          </cell>
          <cell r="G4475" t="str">
            <v>Real</v>
          </cell>
        </row>
        <row r="4476">
          <cell r="A4476" t="str">
            <v>CARANTIA</v>
          </cell>
          <cell r="B4476">
            <v>202303</v>
          </cell>
          <cell r="D4476" t="str">
            <v>--</v>
          </cell>
          <cell r="G4476" t="str">
            <v>Real</v>
          </cell>
        </row>
        <row r="4477">
          <cell r="A4477" t="str">
            <v>CARANTIA</v>
          </cell>
          <cell r="B4477">
            <v>202304</v>
          </cell>
          <cell r="D4477" t="str">
            <v>--</v>
          </cell>
          <cell r="G4477" t="str">
            <v>Real</v>
          </cell>
        </row>
        <row r="4478">
          <cell r="A4478" t="str">
            <v>CARANTIA</v>
          </cell>
          <cell r="B4478">
            <v>202305</v>
          </cell>
          <cell r="D4478" t="str">
            <v>--</v>
          </cell>
          <cell r="G4478" t="str">
            <v>Real</v>
          </cell>
        </row>
        <row r="4479">
          <cell r="A4479" t="str">
            <v>CARANTIA</v>
          </cell>
          <cell r="B4479">
            <v>202306</v>
          </cell>
          <cell r="D4479" t="str">
            <v>--</v>
          </cell>
          <cell r="G4479" t="str">
            <v>Real</v>
          </cell>
        </row>
        <row r="4480">
          <cell r="A4480" t="str">
            <v>CARANTIA</v>
          </cell>
          <cell r="B4480">
            <v>202307</v>
          </cell>
          <cell r="D4480" t="str">
            <v>--</v>
          </cell>
          <cell r="G4480" t="str">
            <v>Real</v>
          </cell>
        </row>
        <row r="4481">
          <cell r="A4481" t="str">
            <v>CARANTIA</v>
          </cell>
          <cell r="B4481">
            <v>202308</v>
          </cell>
          <cell r="D4481" t="str">
            <v>--</v>
          </cell>
          <cell r="G4481" t="str">
            <v>Real</v>
          </cell>
        </row>
        <row r="4482">
          <cell r="A4482" t="str">
            <v>CARANTIA</v>
          </cell>
          <cell r="B4482">
            <v>202309</v>
          </cell>
          <cell r="D4482" t="str">
            <v>--</v>
          </cell>
          <cell r="G4482" t="str">
            <v>Real</v>
          </cell>
        </row>
        <row r="4483">
          <cell r="A4483" t="str">
            <v>CARANTIA</v>
          </cell>
          <cell r="B4483">
            <v>202310</v>
          </cell>
          <cell r="D4483" t="str">
            <v>--</v>
          </cell>
          <cell r="G4483" t="str">
            <v>Real</v>
          </cell>
        </row>
        <row r="4484">
          <cell r="A4484" t="str">
            <v>CARANTIA</v>
          </cell>
          <cell r="B4484">
            <v>202311</v>
          </cell>
          <cell r="D4484" t="str">
            <v>--</v>
          </cell>
          <cell r="G4484" t="str">
            <v>Real</v>
          </cell>
        </row>
        <row r="4485">
          <cell r="A4485" t="str">
            <v>CARANTIA</v>
          </cell>
          <cell r="B4485">
            <v>202312</v>
          </cell>
          <cell r="D4485" t="str">
            <v>--</v>
          </cell>
          <cell r="G4485" t="str">
            <v>Real</v>
          </cell>
        </row>
        <row r="4486">
          <cell r="A4486" t="str">
            <v>CARANTIA</v>
          </cell>
          <cell r="B4486">
            <v>202401</v>
          </cell>
          <cell r="D4486" t="str">
            <v>--</v>
          </cell>
          <cell r="G4486" t="str">
            <v>Real</v>
          </cell>
        </row>
        <row r="4487">
          <cell r="A4487" t="str">
            <v>CARANTIA</v>
          </cell>
          <cell r="B4487">
            <v>202401</v>
          </cell>
          <cell r="D4487" t="str">
            <v>Autos</v>
          </cell>
          <cell r="G4487" t="str">
            <v>Real</v>
          </cell>
        </row>
        <row r="4488">
          <cell r="A4488" t="str">
            <v>CARANTIA</v>
          </cell>
          <cell r="B4488">
            <v>202401</v>
          </cell>
          <cell r="D4488" t="str">
            <v>Caución</v>
          </cell>
          <cell r="G4488" t="str">
            <v>Real</v>
          </cell>
        </row>
        <row r="4489">
          <cell r="A4489" t="str">
            <v>CARANTIA</v>
          </cell>
          <cell r="B4489">
            <v>202401</v>
          </cell>
          <cell r="D4489" t="str">
            <v>Crédito Nacional</v>
          </cell>
          <cell r="G4489" t="str">
            <v>Real</v>
          </cell>
        </row>
        <row r="4490">
          <cell r="A4490" t="str">
            <v>CARANTIA</v>
          </cell>
          <cell r="B4490">
            <v>202401</v>
          </cell>
          <cell r="D4490" t="str">
            <v>Eventos</v>
          </cell>
          <cell r="G4490" t="str">
            <v>Real</v>
          </cell>
        </row>
        <row r="4491">
          <cell r="A4491" t="str">
            <v>CARANTIA</v>
          </cell>
          <cell r="B4491">
            <v>202401</v>
          </cell>
          <cell r="D4491" t="str">
            <v>Flotas</v>
          </cell>
          <cell r="G4491" t="str">
            <v>Real</v>
          </cell>
        </row>
        <row r="4492">
          <cell r="A4492" t="str">
            <v>CARANTIA</v>
          </cell>
          <cell r="B4492">
            <v>202401</v>
          </cell>
          <cell r="D4492" t="str">
            <v>Hogar</v>
          </cell>
          <cell r="G4492" t="str">
            <v>Real</v>
          </cell>
        </row>
        <row r="4493">
          <cell r="A4493" t="str">
            <v>CARANTIA</v>
          </cell>
          <cell r="B4493">
            <v>202401</v>
          </cell>
          <cell r="D4493" t="str">
            <v>Ingeniería</v>
          </cell>
          <cell r="G4493" t="str">
            <v>Real</v>
          </cell>
        </row>
        <row r="4494">
          <cell r="A4494" t="str">
            <v>CARANTIA</v>
          </cell>
          <cell r="B4494">
            <v>202401</v>
          </cell>
          <cell r="D4494" t="str">
            <v>Inmobiliario</v>
          </cell>
          <cell r="G4494" t="str">
            <v>Real</v>
          </cell>
        </row>
        <row r="4495">
          <cell r="A4495" t="str">
            <v>CARANTIA</v>
          </cell>
          <cell r="B4495">
            <v>202401</v>
          </cell>
          <cell r="D4495" t="str">
            <v>Líneas Financieras</v>
          </cell>
          <cell r="G4495" t="str">
            <v>Real</v>
          </cell>
        </row>
        <row r="4496">
          <cell r="A4496" t="str">
            <v>CARANTIA</v>
          </cell>
          <cell r="B4496">
            <v>202401</v>
          </cell>
          <cell r="D4496" t="str">
            <v>Náutica</v>
          </cell>
          <cell r="G4496" t="str">
            <v>Real</v>
          </cell>
        </row>
        <row r="4497">
          <cell r="A4497" t="str">
            <v>CARANTIA</v>
          </cell>
          <cell r="B4497">
            <v>202401</v>
          </cell>
          <cell r="D4497" t="str">
            <v>Particulares Resto</v>
          </cell>
          <cell r="G4497" t="str">
            <v>Real</v>
          </cell>
        </row>
        <row r="4498">
          <cell r="A4498" t="str">
            <v>CARANTIA</v>
          </cell>
          <cell r="B4498">
            <v>202401</v>
          </cell>
          <cell r="D4498" t="str">
            <v>Property</v>
          </cell>
          <cell r="G4498" t="str">
            <v>Real</v>
          </cell>
        </row>
        <row r="4499">
          <cell r="A4499" t="str">
            <v>CARANTIA</v>
          </cell>
          <cell r="B4499">
            <v>202401</v>
          </cell>
          <cell r="D4499" t="str">
            <v>RC</v>
          </cell>
          <cell r="G4499" t="str">
            <v>Real</v>
          </cell>
        </row>
        <row r="4500">
          <cell r="A4500" t="str">
            <v>CARANTIA</v>
          </cell>
          <cell r="B4500">
            <v>202401</v>
          </cell>
          <cell r="D4500" t="str">
            <v>Seguros Personales (No Vida) Colectivos</v>
          </cell>
          <cell r="G4500" t="str">
            <v>Real</v>
          </cell>
        </row>
        <row r="4501">
          <cell r="A4501" t="str">
            <v>CARANTIA</v>
          </cell>
          <cell r="B4501">
            <v>202401</v>
          </cell>
          <cell r="D4501" t="str">
            <v>Seguros Personales (No Vida) Particular</v>
          </cell>
          <cell r="G4501" t="str">
            <v>Real</v>
          </cell>
        </row>
        <row r="4502">
          <cell r="A4502" t="str">
            <v>CARANTIA</v>
          </cell>
          <cell r="B4502">
            <v>202401</v>
          </cell>
          <cell r="D4502" t="str">
            <v>Transporte</v>
          </cell>
          <cell r="G4502" t="str">
            <v>Real</v>
          </cell>
        </row>
        <row r="4503">
          <cell r="A4503" t="str">
            <v>CARANTIA</v>
          </cell>
          <cell r="B4503">
            <v>202401</v>
          </cell>
          <cell r="D4503" t="str">
            <v>Venta Cruzada</v>
          </cell>
          <cell r="G4503" t="str">
            <v>Real</v>
          </cell>
        </row>
        <row r="4504">
          <cell r="A4504" t="str">
            <v>CARANTIA</v>
          </cell>
          <cell r="B4504">
            <v>202401</v>
          </cell>
          <cell r="D4504" t="str">
            <v>Vida Ahorro Particular</v>
          </cell>
          <cell r="G4504" t="str">
            <v>Real</v>
          </cell>
        </row>
        <row r="4505">
          <cell r="A4505" t="str">
            <v>CARANTIA</v>
          </cell>
          <cell r="B4505">
            <v>202401</v>
          </cell>
          <cell r="D4505" t="str">
            <v>Vida Riesgo Colectivo</v>
          </cell>
          <cell r="G4505" t="str">
            <v>Real</v>
          </cell>
        </row>
        <row r="4506">
          <cell r="A4506" t="str">
            <v>CARANTIA</v>
          </cell>
          <cell r="B4506">
            <v>202401</v>
          </cell>
          <cell r="D4506" t="str">
            <v>Vida Riesgo Particular</v>
          </cell>
          <cell r="G4506" t="str">
            <v>Real</v>
          </cell>
        </row>
        <row r="4507">
          <cell r="A4507" t="str">
            <v>CARANTIA</v>
          </cell>
          <cell r="B4507">
            <v>202402</v>
          </cell>
          <cell r="D4507" t="str">
            <v>--</v>
          </cell>
          <cell r="G4507" t="str">
            <v>Real</v>
          </cell>
        </row>
        <row r="4508">
          <cell r="A4508" t="str">
            <v>CARANTIA</v>
          </cell>
          <cell r="B4508">
            <v>202402</v>
          </cell>
          <cell r="D4508" t="str">
            <v>Autos</v>
          </cell>
          <cell r="G4508" t="str">
            <v>Real</v>
          </cell>
        </row>
        <row r="4509">
          <cell r="A4509" t="str">
            <v>CARANTIA</v>
          </cell>
          <cell r="B4509">
            <v>202402</v>
          </cell>
          <cell r="D4509" t="str">
            <v>Caución</v>
          </cell>
          <cell r="G4509" t="str">
            <v>Real</v>
          </cell>
        </row>
        <row r="4510">
          <cell r="A4510" t="str">
            <v>CARANTIA</v>
          </cell>
          <cell r="B4510">
            <v>202402</v>
          </cell>
          <cell r="D4510" t="str">
            <v>Crédito Nacional</v>
          </cell>
          <cell r="G4510" t="str">
            <v>Real</v>
          </cell>
        </row>
        <row r="4511">
          <cell r="A4511" t="str">
            <v>CARANTIA</v>
          </cell>
          <cell r="B4511">
            <v>202402</v>
          </cell>
          <cell r="D4511" t="str">
            <v>Eventos</v>
          </cell>
          <cell r="G4511" t="str">
            <v>Real</v>
          </cell>
        </row>
        <row r="4512">
          <cell r="A4512" t="str">
            <v>CARANTIA</v>
          </cell>
          <cell r="B4512">
            <v>202402</v>
          </cell>
          <cell r="D4512" t="str">
            <v>Flotas</v>
          </cell>
          <cell r="G4512" t="str">
            <v>Real</v>
          </cell>
        </row>
        <row r="4513">
          <cell r="A4513" t="str">
            <v>CARANTIA</v>
          </cell>
          <cell r="B4513">
            <v>202402</v>
          </cell>
          <cell r="D4513" t="str">
            <v>Hogar</v>
          </cell>
          <cell r="G4513" t="str">
            <v>Real</v>
          </cell>
        </row>
        <row r="4514">
          <cell r="A4514" t="str">
            <v>CARANTIA</v>
          </cell>
          <cell r="B4514">
            <v>202402</v>
          </cell>
          <cell r="D4514" t="str">
            <v>Ingeniería</v>
          </cell>
          <cell r="G4514" t="str">
            <v>Real</v>
          </cell>
        </row>
        <row r="4515">
          <cell r="A4515" t="str">
            <v>CARANTIA</v>
          </cell>
          <cell r="B4515">
            <v>202402</v>
          </cell>
          <cell r="D4515" t="str">
            <v>Inmobiliario</v>
          </cell>
          <cell r="G4515" t="str">
            <v>Real</v>
          </cell>
        </row>
        <row r="4516">
          <cell r="A4516" t="str">
            <v>CARANTIA</v>
          </cell>
          <cell r="B4516">
            <v>202402</v>
          </cell>
          <cell r="D4516" t="str">
            <v>Líneas Financieras</v>
          </cell>
          <cell r="G4516" t="str">
            <v>Real</v>
          </cell>
        </row>
        <row r="4517">
          <cell r="A4517" t="str">
            <v>CARANTIA</v>
          </cell>
          <cell r="B4517">
            <v>202402</v>
          </cell>
          <cell r="D4517" t="str">
            <v>Particulares Resto</v>
          </cell>
          <cell r="G4517" t="str">
            <v>Real</v>
          </cell>
        </row>
        <row r="4518">
          <cell r="A4518" t="str">
            <v>CARANTIA</v>
          </cell>
          <cell r="B4518">
            <v>202402</v>
          </cell>
          <cell r="D4518" t="str">
            <v>Property</v>
          </cell>
          <cell r="G4518" t="str">
            <v>Real</v>
          </cell>
        </row>
        <row r="4519">
          <cell r="A4519" t="str">
            <v>CARANTIA</v>
          </cell>
          <cell r="B4519">
            <v>202402</v>
          </cell>
          <cell r="D4519" t="str">
            <v>RC</v>
          </cell>
          <cell r="G4519" t="str">
            <v>Real</v>
          </cell>
        </row>
        <row r="4520">
          <cell r="A4520" t="str">
            <v>CARANTIA</v>
          </cell>
          <cell r="B4520">
            <v>202402</v>
          </cell>
          <cell r="D4520" t="str">
            <v>Seguros Personales (No Vida) Colectivos</v>
          </cell>
          <cell r="G4520" t="str">
            <v>Real</v>
          </cell>
        </row>
        <row r="4521">
          <cell r="A4521" t="str">
            <v>CARANTIA</v>
          </cell>
          <cell r="B4521">
            <v>202402</v>
          </cell>
          <cell r="D4521" t="str">
            <v>Seguros Personales (No Vida) Particular</v>
          </cell>
          <cell r="G4521" t="str">
            <v>Real</v>
          </cell>
        </row>
        <row r="4522">
          <cell r="A4522" t="str">
            <v>CARANTIA</v>
          </cell>
          <cell r="B4522">
            <v>202402</v>
          </cell>
          <cell r="D4522" t="str">
            <v>Transporte</v>
          </cell>
          <cell r="G4522" t="str">
            <v>Real</v>
          </cell>
        </row>
        <row r="4523">
          <cell r="A4523" t="str">
            <v>CARANTIA</v>
          </cell>
          <cell r="B4523">
            <v>202402</v>
          </cell>
          <cell r="D4523" t="str">
            <v>Venta Cruzada</v>
          </cell>
          <cell r="G4523" t="str">
            <v>Real</v>
          </cell>
        </row>
        <row r="4524">
          <cell r="A4524" t="str">
            <v>CARANTIA</v>
          </cell>
          <cell r="B4524">
            <v>202402</v>
          </cell>
          <cell r="D4524" t="str">
            <v>Vida Ahorro Colectivo</v>
          </cell>
          <cell r="G4524" t="str">
            <v>Real</v>
          </cell>
        </row>
        <row r="4525">
          <cell r="A4525" t="str">
            <v>CARANTIA</v>
          </cell>
          <cell r="B4525">
            <v>202402</v>
          </cell>
          <cell r="D4525" t="str">
            <v>Vida Ahorro Particular</v>
          </cell>
          <cell r="G4525" t="str">
            <v>Real</v>
          </cell>
        </row>
        <row r="4526">
          <cell r="A4526" t="str">
            <v>CARANTIA</v>
          </cell>
          <cell r="B4526">
            <v>202402</v>
          </cell>
          <cell r="D4526" t="str">
            <v>Vida Riesgo Colectivo</v>
          </cell>
          <cell r="G4526" t="str">
            <v>Real</v>
          </cell>
        </row>
        <row r="4527">
          <cell r="A4527" t="str">
            <v>CARANTIA</v>
          </cell>
          <cell r="B4527">
            <v>202402</v>
          </cell>
          <cell r="D4527" t="str">
            <v>Vida Riesgo Particular</v>
          </cell>
          <cell r="G4527" t="str">
            <v>Real</v>
          </cell>
        </row>
        <row r="4528">
          <cell r="A4528" t="str">
            <v>CARANTIA</v>
          </cell>
          <cell r="B4528">
            <v>202403</v>
          </cell>
          <cell r="D4528" t="str">
            <v>--</v>
          </cell>
          <cell r="G4528" t="str">
            <v>Real</v>
          </cell>
        </row>
        <row r="4529">
          <cell r="A4529" t="str">
            <v>CARANTIA</v>
          </cell>
          <cell r="B4529">
            <v>202403</v>
          </cell>
          <cell r="D4529" t="str">
            <v>Autos</v>
          </cell>
          <cell r="G4529" t="str">
            <v>Real</v>
          </cell>
        </row>
        <row r="4530">
          <cell r="A4530" t="str">
            <v>CARANTIA</v>
          </cell>
          <cell r="B4530">
            <v>202403</v>
          </cell>
          <cell r="D4530" t="str">
            <v>Caución</v>
          </cell>
          <cell r="G4530" t="str">
            <v>Real</v>
          </cell>
        </row>
        <row r="4531">
          <cell r="A4531" t="str">
            <v>CARANTIA</v>
          </cell>
          <cell r="B4531">
            <v>202403</v>
          </cell>
          <cell r="D4531" t="str">
            <v>Crédito Nacional</v>
          </cell>
          <cell r="G4531" t="str">
            <v>Real</v>
          </cell>
        </row>
        <row r="4532">
          <cell r="A4532" t="str">
            <v>CARANTIA</v>
          </cell>
          <cell r="B4532">
            <v>202403</v>
          </cell>
          <cell r="D4532" t="str">
            <v>Eventos</v>
          </cell>
          <cell r="G4532" t="str">
            <v>Real</v>
          </cell>
        </row>
        <row r="4533">
          <cell r="A4533" t="str">
            <v>CARANTIA</v>
          </cell>
          <cell r="B4533">
            <v>202403</v>
          </cell>
          <cell r="D4533" t="str">
            <v>Flotas</v>
          </cell>
          <cell r="G4533" t="str">
            <v>Real</v>
          </cell>
        </row>
        <row r="4534">
          <cell r="A4534" t="str">
            <v>CARANTIA</v>
          </cell>
          <cell r="B4534">
            <v>202403</v>
          </cell>
          <cell r="D4534" t="str">
            <v>Hogar</v>
          </cell>
          <cell r="G4534" t="str">
            <v>Real</v>
          </cell>
        </row>
        <row r="4535">
          <cell r="A4535" t="str">
            <v>CARANTIA</v>
          </cell>
          <cell r="B4535">
            <v>202403</v>
          </cell>
          <cell r="D4535" t="str">
            <v>Ingeniería</v>
          </cell>
          <cell r="G4535" t="str">
            <v>Real</v>
          </cell>
        </row>
        <row r="4536">
          <cell r="A4536" t="str">
            <v>CARANTIA</v>
          </cell>
          <cell r="B4536">
            <v>202403</v>
          </cell>
          <cell r="D4536" t="str">
            <v>Inmobiliario</v>
          </cell>
          <cell r="G4536" t="str">
            <v>Real</v>
          </cell>
        </row>
        <row r="4537">
          <cell r="A4537" t="str">
            <v>CARANTIA</v>
          </cell>
          <cell r="B4537">
            <v>202403</v>
          </cell>
          <cell r="D4537" t="str">
            <v>Líneas Financieras</v>
          </cell>
          <cell r="G4537" t="str">
            <v>Real</v>
          </cell>
        </row>
        <row r="4538">
          <cell r="A4538" t="str">
            <v>CARANTIA</v>
          </cell>
          <cell r="B4538">
            <v>202403</v>
          </cell>
          <cell r="D4538" t="str">
            <v>Particulares Resto</v>
          </cell>
          <cell r="G4538" t="str">
            <v>Real</v>
          </cell>
        </row>
        <row r="4539">
          <cell r="A4539" t="str">
            <v>CARANTIA</v>
          </cell>
          <cell r="B4539">
            <v>202403</v>
          </cell>
          <cell r="D4539" t="str">
            <v>Property</v>
          </cell>
          <cell r="G4539" t="str">
            <v>Real</v>
          </cell>
        </row>
        <row r="4540">
          <cell r="A4540" t="str">
            <v>CARANTIA</v>
          </cell>
          <cell r="B4540">
            <v>202403</v>
          </cell>
          <cell r="D4540" t="str">
            <v>RC</v>
          </cell>
          <cell r="G4540" t="str">
            <v>Real</v>
          </cell>
        </row>
        <row r="4541">
          <cell r="A4541" t="str">
            <v>CARANTIA</v>
          </cell>
          <cell r="B4541">
            <v>202403</v>
          </cell>
          <cell r="D4541" t="str">
            <v>Seguros Personales (No Vida) Colectivos</v>
          </cell>
          <cell r="G4541" t="str">
            <v>Real</v>
          </cell>
        </row>
        <row r="4542">
          <cell r="A4542" t="str">
            <v>CARANTIA</v>
          </cell>
          <cell r="B4542">
            <v>202403</v>
          </cell>
          <cell r="D4542" t="str">
            <v>Seguros Personales (No Vida) Particular</v>
          </cell>
          <cell r="G4542" t="str">
            <v>Real</v>
          </cell>
        </row>
        <row r="4543">
          <cell r="A4543" t="str">
            <v>CARANTIA</v>
          </cell>
          <cell r="B4543">
            <v>202403</v>
          </cell>
          <cell r="D4543" t="str">
            <v>Transporte</v>
          </cell>
          <cell r="G4543" t="str">
            <v>Real</v>
          </cell>
        </row>
        <row r="4544">
          <cell r="A4544" t="str">
            <v>CARANTIA</v>
          </cell>
          <cell r="B4544">
            <v>202403</v>
          </cell>
          <cell r="D4544" t="str">
            <v>Venta Cruzada</v>
          </cell>
          <cell r="G4544" t="str">
            <v>Real</v>
          </cell>
        </row>
        <row r="4545">
          <cell r="A4545" t="str">
            <v>CARANTIA</v>
          </cell>
          <cell r="B4545">
            <v>202403</v>
          </cell>
          <cell r="D4545" t="str">
            <v>Vida Ahorro Particular</v>
          </cell>
          <cell r="G4545" t="str">
            <v>Real</v>
          </cell>
        </row>
        <row r="4546">
          <cell r="A4546" t="str">
            <v>CARANTIA</v>
          </cell>
          <cell r="B4546">
            <v>202403</v>
          </cell>
          <cell r="D4546" t="str">
            <v>Vida Riesgo Colectivo</v>
          </cell>
          <cell r="G4546" t="str">
            <v>Real</v>
          </cell>
        </row>
        <row r="4547">
          <cell r="A4547" t="str">
            <v>CARANTIA</v>
          </cell>
          <cell r="B4547">
            <v>202403</v>
          </cell>
          <cell r="D4547" t="str">
            <v>Vida Riesgo Particular</v>
          </cell>
          <cell r="G4547" t="str">
            <v>Real</v>
          </cell>
        </row>
        <row r="4548">
          <cell r="A4548" t="str">
            <v>CARANTIA</v>
          </cell>
          <cell r="B4548">
            <v>202404</v>
          </cell>
          <cell r="D4548" t="str">
            <v>--</v>
          </cell>
          <cell r="G4548" t="str">
            <v>Real</v>
          </cell>
        </row>
        <row r="4549">
          <cell r="A4549" t="str">
            <v>CARANTIA</v>
          </cell>
          <cell r="B4549">
            <v>202404</v>
          </cell>
          <cell r="D4549" t="str">
            <v>Resto de Lineas</v>
          </cell>
          <cell r="G4549" t="str">
            <v>Real</v>
          </cell>
        </row>
        <row r="4550">
          <cell r="A4550" t="str">
            <v>CARANTIA</v>
          </cell>
          <cell r="B4550">
            <v>202404</v>
          </cell>
          <cell r="D4550" t="str">
            <v>Resto de Lineas</v>
          </cell>
          <cell r="G4550" t="str">
            <v>Real</v>
          </cell>
        </row>
        <row r="4551">
          <cell r="A4551" t="str">
            <v>CARANTIA</v>
          </cell>
          <cell r="B4551">
            <v>202404</v>
          </cell>
          <cell r="D4551" t="str">
            <v>Autos</v>
          </cell>
          <cell r="G4551" t="str">
            <v>Real</v>
          </cell>
        </row>
        <row r="4552">
          <cell r="A4552" t="str">
            <v>CARANTIA</v>
          </cell>
          <cell r="B4552">
            <v>202404</v>
          </cell>
          <cell r="D4552" t="str">
            <v>Caución</v>
          </cell>
          <cell r="G4552" t="str">
            <v>Real</v>
          </cell>
        </row>
        <row r="4553">
          <cell r="A4553" t="str">
            <v>CARANTIA</v>
          </cell>
          <cell r="B4553">
            <v>202404</v>
          </cell>
          <cell r="D4553" t="str">
            <v>Crédito Nacional</v>
          </cell>
          <cell r="G4553" t="str">
            <v>Real</v>
          </cell>
        </row>
        <row r="4554">
          <cell r="A4554" t="str">
            <v>CARANTIA</v>
          </cell>
          <cell r="B4554">
            <v>202404</v>
          </cell>
          <cell r="D4554" t="str">
            <v>Eventos</v>
          </cell>
          <cell r="G4554" t="str">
            <v>Real</v>
          </cell>
        </row>
        <row r="4555">
          <cell r="A4555" t="str">
            <v>CARANTIA</v>
          </cell>
          <cell r="B4555">
            <v>202404</v>
          </cell>
          <cell r="D4555" t="str">
            <v>Flotas</v>
          </cell>
          <cell r="G4555" t="str">
            <v>Real</v>
          </cell>
        </row>
        <row r="4556">
          <cell r="A4556" t="str">
            <v>CARANTIA</v>
          </cell>
          <cell r="B4556">
            <v>202404</v>
          </cell>
          <cell r="D4556" t="str">
            <v>Hogar</v>
          </cell>
          <cell r="G4556" t="str">
            <v>Real</v>
          </cell>
        </row>
        <row r="4557">
          <cell r="A4557" t="str">
            <v>CARANTIA</v>
          </cell>
          <cell r="B4557">
            <v>202404</v>
          </cell>
          <cell r="D4557" t="str">
            <v>Ingeniería</v>
          </cell>
          <cell r="G4557" t="str">
            <v>Real</v>
          </cell>
        </row>
        <row r="4558">
          <cell r="A4558" t="str">
            <v>CARANTIA</v>
          </cell>
          <cell r="B4558">
            <v>202404</v>
          </cell>
          <cell r="D4558" t="str">
            <v>Inmobiliario</v>
          </cell>
          <cell r="G4558" t="str">
            <v>Real</v>
          </cell>
        </row>
        <row r="4559">
          <cell r="A4559" t="str">
            <v>CARANTIA</v>
          </cell>
          <cell r="B4559">
            <v>202404</v>
          </cell>
          <cell r="D4559" t="str">
            <v>Líneas Financieras</v>
          </cell>
          <cell r="G4559" t="str">
            <v>Real</v>
          </cell>
        </row>
        <row r="4560">
          <cell r="A4560" t="str">
            <v>CARANTIA</v>
          </cell>
          <cell r="B4560">
            <v>202404</v>
          </cell>
          <cell r="D4560" t="str">
            <v>Náutica</v>
          </cell>
          <cell r="G4560" t="str">
            <v>Real</v>
          </cell>
        </row>
        <row r="4561">
          <cell r="A4561" t="str">
            <v>CARANTIA</v>
          </cell>
          <cell r="B4561">
            <v>202404</v>
          </cell>
          <cell r="D4561" t="str">
            <v>Particulares Resto</v>
          </cell>
          <cell r="G4561" t="str">
            <v>Real</v>
          </cell>
        </row>
        <row r="4562">
          <cell r="A4562" t="str">
            <v>CARANTIA</v>
          </cell>
          <cell r="B4562">
            <v>202404</v>
          </cell>
          <cell r="D4562" t="str">
            <v>Property</v>
          </cell>
          <cell r="G4562" t="str">
            <v>Real</v>
          </cell>
        </row>
        <row r="4563">
          <cell r="A4563" t="str">
            <v>CARANTIA</v>
          </cell>
          <cell r="B4563">
            <v>202404</v>
          </cell>
          <cell r="D4563" t="str">
            <v>RC</v>
          </cell>
          <cell r="G4563" t="str">
            <v>Real</v>
          </cell>
        </row>
        <row r="4564">
          <cell r="A4564" t="str">
            <v>CARANTIA</v>
          </cell>
          <cell r="B4564">
            <v>202404</v>
          </cell>
          <cell r="D4564" t="str">
            <v>Seguros Personales (No Vida) Colectivos</v>
          </cell>
          <cell r="G4564" t="str">
            <v>Real</v>
          </cell>
        </row>
        <row r="4565">
          <cell r="A4565" t="str">
            <v>CARANTIA</v>
          </cell>
          <cell r="B4565">
            <v>202404</v>
          </cell>
          <cell r="D4565" t="str">
            <v>Seguros Personales (No Vida) Particular</v>
          </cell>
          <cell r="G4565" t="str">
            <v>Real</v>
          </cell>
        </row>
        <row r="4566">
          <cell r="A4566" t="str">
            <v>CARANTIA</v>
          </cell>
          <cell r="B4566">
            <v>202404</v>
          </cell>
          <cell r="D4566" t="str">
            <v>Transporte</v>
          </cell>
          <cell r="G4566" t="str">
            <v>Real</v>
          </cell>
        </row>
        <row r="4567">
          <cell r="A4567" t="str">
            <v>CARANTIA</v>
          </cell>
          <cell r="B4567">
            <v>202404</v>
          </cell>
          <cell r="D4567" t="str">
            <v>Venta Cruzada</v>
          </cell>
          <cell r="G4567" t="str">
            <v>Real</v>
          </cell>
        </row>
        <row r="4568">
          <cell r="A4568" t="str">
            <v>CARANTIA</v>
          </cell>
          <cell r="B4568">
            <v>202404</v>
          </cell>
          <cell r="D4568" t="str">
            <v>Vida Ahorro Colectivo</v>
          </cell>
          <cell r="G4568" t="str">
            <v>Real</v>
          </cell>
        </row>
        <row r="4569">
          <cell r="A4569" t="str">
            <v>CARANTIA</v>
          </cell>
          <cell r="B4569">
            <v>202404</v>
          </cell>
          <cell r="D4569" t="str">
            <v>Vida Ahorro Particular</v>
          </cell>
          <cell r="G4569" t="str">
            <v>Real</v>
          </cell>
        </row>
        <row r="4570">
          <cell r="A4570" t="str">
            <v>CARANTIA</v>
          </cell>
          <cell r="B4570">
            <v>202404</v>
          </cell>
          <cell r="D4570" t="str">
            <v>Vida Riesgo Colectivo</v>
          </cell>
          <cell r="G4570" t="str">
            <v>Real</v>
          </cell>
        </row>
        <row r="4571">
          <cell r="A4571" t="str">
            <v>CARANTIA</v>
          </cell>
          <cell r="B4571">
            <v>202404</v>
          </cell>
          <cell r="D4571" t="str">
            <v>Vida Riesgo Particular</v>
          </cell>
          <cell r="G4571" t="str">
            <v>Real</v>
          </cell>
        </row>
        <row r="4572">
          <cell r="A4572" t="str">
            <v>CARANTIA</v>
          </cell>
          <cell r="B4572">
            <v>202405</v>
          </cell>
          <cell r="D4572" t="str">
            <v>--</v>
          </cell>
          <cell r="G4572" t="str">
            <v>Real</v>
          </cell>
        </row>
        <row r="4573">
          <cell r="A4573" t="str">
            <v>CARANTIA</v>
          </cell>
          <cell r="B4573">
            <v>202405</v>
          </cell>
          <cell r="D4573" t="str">
            <v>Autos</v>
          </cell>
          <cell r="G4573" t="str">
            <v>Real</v>
          </cell>
        </row>
        <row r="4574">
          <cell r="A4574" t="str">
            <v>CARANTIA</v>
          </cell>
          <cell r="B4574">
            <v>202405</v>
          </cell>
          <cell r="D4574" t="str">
            <v>Caución</v>
          </cell>
          <cell r="G4574" t="str">
            <v>Real</v>
          </cell>
        </row>
        <row r="4575">
          <cell r="A4575" t="str">
            <v>CARANTIA</v>
          </cell>
          <cell r="B4575">
            <v>202405</v>
          </cell>
          <cell r="D4575" t="str">
            <v>Crédito Nacional</v>
          </cell>
          <cell r="G4575" t="str">
            <v>Real</v>
          </cell>
        </row>
        <row r="4576">
          <cell r="A4576" t="str">
            <v>CARANTIA</v>
          </cell>
          <cell r="B4576">
            <v>202405</v>
          </cell>
          <cell r="D4576" t="str">
            <v>Eventos</v>
          </cell>
          <cell r="G4576" t="str">
            <v>Real</v>
          </cell>
        </row>
        <row r="4577">
          <cell r="A4577" t="str">
            <v>CARANTIA</v>
          </cell>
          <cell r="B4577">
            <v>202405</v>
          </cell>
          <cell r="D4577" t="str">
            <v>Flotas</v>
          </cell>
          <cell r="G4577" t="str">
            <v>Real</v>
          </cell>
        </row>
        <row r="4578">
          <cell r="A4578" t="str">
            <v>CARANTIA</v>
          </cell>
          <cell r="B4578">
            <v>202405</v>
          </cell>
          <cell r="D4578" t="str">
            <v>Hogar</v>
          </cell>
          <cell r="G4578" t="str">
            <v>Real</v>
          </cell>
        </row>
        <row r="4579">
          <cell r="A4579" t="str">
            <v>CARANTIA</v>
          </cell>
          <cell r="B4579">
            <v>202405</v>
          </cell>
          <cell r="D4579" t="str">
            <v>Inmobiliario</v>
          </cell>
          <cell r="G4579" t="str">
            <v>Real</v>
          </cell>
        </row>
        <row r="4580">
          <cell r="A4580" t="str">
            <v>CARANTIA</v>
          </cell>
          <cell r="B4580">
            <v>202405</v>
          </cell>
          <cell r="D4580" t="str">
            <v>Líneas Financieras</v>
          </cell>
          <cell r="G4580" t="str">
            <v>Real</v>
          </cell>
        </row>
        <row r="4581">
          <cell r="A4581" t="str">
            <v>CARANTIA</v>
          </cell>
          <cell r="B4581">
            <v>202405</v>
          </cell>
          <cell r="D4581" t="str">
            <v>Náutica</v>
          </cell>
          <cell r="G4581" t="str">
            <v>Real</v>
          </cell>
        </row>
        <row r="4582">
          <cell r="A4582" t="str">
            <v>CARANTIA</v>
          </cell>
          <cell r="B4582">
            <v>202405</v>
          </cell>
          <cell r="D4582" t="str">
            <v>Particulares Resto</v>
          </cell>
          <cell r="G4582" t="str">
            <v>Real</v>
          </cell>
        </row>
        <row r="4583">
          <cell r="A4583" t="str">
            <v>CARANTIA</v>
          </cell>
          <cell r="B4583">
            <v>202405</v>
          </cell>
          <cell r="D4583" t="str">
            <v>Property</v>
          </cell>
          <cell r="G4583" t="str">
            <v>Real</v>
          </cell>
        </row>
        <row r="4584">
          <cell r="A4584" t="str">
            <v>CARANTIA</v>
          </cell>
          <cell r="B4584">
            <v>202405</v>
          </cell>
          <cell r="D4584" t="str">
            <v>RC</v>
          </cell>
          <cell r="G4584" t="str">
            <v>Real</v>
          </cell>
        </row>
        <row r="4585">
          <cell r="A4585" t="str">
            <v>CARANTIA</v>
          </cell>
          <cell r="B4585">
            <v>202405</v>
          </cell>
          <cell r="D4585" t="str">
            <v>Seguros Personales (No Vida) Colectivos</v>
          </cell>
          <cell r="G4585" t="str">
            <v>Real</v>
          </cell>
        </row>
        <row r="4586">
          <cell r="A4586" t="str">
            <v>CARANTIA</v>
          </cell>
          <cell r="B4586">
            <v>202405</v>
          </cell>
          <cell r="D4586" t="str">
            <v>Seguros Personales (No Vida) Particular</v>
          </cell>
          <cell r="G4586" t="str">
            <v>Real</v>
          </cell>
        </row>
        <row r="4587">
          <cell r="A4587" t="str">
            <v>CARANTIA</v>
          </cell>
          <cell r="B4587">
            <v>202405</v>
          </cell>
          <cell r="D4587" t="str">
            <v>Transporte</v>
          </cell>
          <cell r="G4587" t="str">
            <v>Real</v>
          </cell>
        </row>
        <row r="4588">
          <cell r="A4588" t="str">
            <v>CARANTIA</v>
          </cell>
          <cell r="B4588">
            <v>202405</v>
          </cell>
          <cell r="D4588" t="str">
            <v>Venta Cruzada</v>
          </cell>
          <cell r="G4588" t="str">
            <v>Real</v>
          </cell>
        </row>
        <row r="4589">
          <cell r="A4589" t="str">
            <v>CARANTIA</v>
          </cell>
          <cell r="B4589">
            <v>202405</v>
          </cell>
          <cell r="D4589" t="str">
            <v>Vida Ahorro Colectivo</v>
          </cell>
          <cell r="G4589" t="str">
            <v>Real</v>
          </cell>
        </row>
        <row r="4590">
          <cell r="A4590" t="str">
            <v>CARANTIA</v>
          </cell>
          <cell r="B4590">
            <v>202405</v>
          </cell>
          <cell r="D4590" t="str">
            <v>Vida Ahorro Particular</v>
          </cell>
          <cell r="G4590" t="str">
            <v>Real</v>
          </cell>
        </row>
        <row r="4591">
          <cell r="A4591" t="str">
            <v>CARANTIA</v>
          </cell>
          <cell r="B4591">
            <v>202405</v>
          </cell>
          <cell r="D4591" t="str">
            <v>Vida Riesgo Colectivo</v>
          </cell>
          <cell r="G4591" t="str">
            <v>Real</v>
          </cell>
        </row>
        <row r="4592">
          <cell r="A4592" t="str">
            <v>CARANTIA</v>
          </cell>
          <cell r="B4592">
            <v>202405</v>
          </cell>
          <cell r="D4592" t="str">
            <v>Vida Riesgo Particular</v>
          </cell>
          <cell r="G4592" t="str">
            <v>Real</v>
          </cell>
        </row>
        <row r="4593">
          <cell r="A4593" t="str">
            <v>CARANTIA</v>
          </cell>
          <cell r="B4593">
            <v>202406</v>
          </cell>
          <cell r="D4593" t="str">
            <v>--</v>
          </cell>
          <cell r="G4593" t="str">
            <v>Real</v>
          </cell>
        </row>
        <row r="4594">
          <cell r="A4594" t="str">
            <v>CARANTIA</v>
          </cell>
          <cell r="B4594">
            <v>202406</v>
          </cell>
          <cell r="D4594" t="str">
            <v>Resto de Lineas</v>
          </cell>
          <cell r="G4594" t="str">
            <v>Real</v>
          </cell>
        </row>
        <row r="4595">
          <cell r="A4595" t="str">
            <v>CARANTIA</v>
          </cell>
          <cell r="B4595">
            <v>202406</v>
          </cell>
          <cell r="D4595" t="str">
            <v>Autos</v>
          </cell>
          <cell r="G4595" t="str">
            <v>Real</v>
          </cell>
        </row>
        <row r="4596">
          <cell r="A4596" t="str">
            <v>CARANTIA</v>
          </cell>
          <cell r="B4596">
            <v>202406</v>
          </cell>
          <cell r="D4596" t="str">
            <v>Caución</v>
          </cell>
          <cell r="G4596" t="str">
            <v>Real</v>
          </cell>
        </row>
        <row r="4597">
          <cell r="A4597" t="str">
            <v>CARANTIA</v>
          </cell>
          <cell r="B4597">
            <v>202406</v>
          </cell>
          <cell r="D4597" t="str">
            <v>Crédito Nacional</v>
          </cell>
          <cell r="G4597" t="str">
            <v>Real</v>
          </cell>
        </row>
        <row r="4598">
          <cell r="A4598" t="str">
            <v>CARANTIA</v>
          </cell>
          <cell r="B4598">
            <v>202406</v>
          </cell>
          <cell r="D4598" t="str">
            <v>Eventos</v>
          </cell>
          <cell r="G4598" t="str">
            <v>Real</v>
          </cell>
        </row>
        <row r="4599">
          <cell r="A4599" t="str">
            <v>CARANTIA</v>
          </cell>
          <cell r="B4599">
            <v>202406</v>
          </cell>
          <cell r="D4599" t="str">
            <v>Flotas</v>
          </cell>
          <cell r="G4599" t="str">
            <v>Real</v>
          </cell>
        </row>
        <row r="4600">
          <cell r="A4600" t="str">
            <v>CARANTIA</v>
          </cell>
          <cell r="B4600">
            <v>202406</v>
          </cell>
          <cell r="D4600" t="str">
            <v>Hogar</v>
          </cell>
          <cell r="G4600" t="str">
            <v>Real</v>
          </cell>
        </row>
        <row r="4601">
          <cell r="A4601" t="str">
            <v>CARANTIA</v>
          </cell>
          <cell r="B4601">
            <v>202406</v>
          </cell>
          <cell r="D4601" t="str">
            <v>Ingeniería</v>
          </cell>
          <cell r="G4601" t="str">
            <v>Real</v>
          </cell>
        </row>
        <row r="4602">
          <cell r="A4602" t="str">
            <v>CARANTIA</v>
          </cell>
          <cell r="B4602">
            <v>202406</v>
          </cell>
          <cell r="D4602" t="str">
            <v>Inmobiliario</v>
          </cell>
          <cell r="G4602" t="str">
            <v>Real</v>
          </cell>
        </row>
        <row r="4603">
          <cell r="A4603" t="str">
            <v>CARANTIA</v>
          </cell>
          <cell r="B4603">
            <v>202406</v>
          </cell>
          <cell r="D4603" t="str">
            <v>Líneas Financieras</v>
          </cell>
          <cell r="G4603" t="str">
            <v>Real</v>
          </cell>
        </row>
        <row r="4604">
          <cell r="A4604" t="str">
            <v>CARANTIA</v>
          </cell>
          <cell r="B4604">
            <v>202406</v>
          </cell>
          <cell r="D4604" t="str">
            <v>Náutica</v>
          </cell>
          <cell r="G4604" t="str">
            <v>Real</v>
          </cell>
        </row>
        <row r="4605">
          <cell r="A4605" t="str">
            <v>CARANTIA</v>
          </cell>
          <cell r="B4605">
            <v>202406</v>
          </cell>
          <cell r="D4605" t="str">
            <v>Particulares Resto</v>
          </cell>
          <cell r="G4605" t="str">
            <v>Real</v>
          </cell>
        </row>
        <row r="4606">
          <cell r="A4606" t="str">
            <v>CARANTIA</v>
          </cell>
          <cell r="B4606">
            <v>202406</v>
          </cell>
          <cell r="D4606" t="str">
            <v>Property</v>
          </cell>
          <cell r="G4606" t="str">
            <v>Real</v>
          </cell>
        </row>
        <row r="4607">
          <cell r="A4607" t="str">
            <v>CARANTIA</v>
          </cell>
          <cell r="B4607">
            <v>202406</v>
          </cell>
          <cell r="D4607" t="str">
            <v>RC</v>
          </cell>
          <cell r="G4607" t="str">
            <v>Real</v>
          </cell>
        </row>
        <row r="4608">
          <cell r="A4608" t="str">
            <v>CARANTIA</v>
          </cell>
          <cell r="B4608">
            <v>202406</v>
          </cell>
          <cell r="D4608" t="str">
            <v>Seguros Personales (No Vida) Colectivos</v>
          </cell>
          <cell r="G4608" t="str">
            <v>Real</v>
          </cell>
        </row>
        <row r="4609">
          <cell r="A4609" t="str">
            <v>CARANTIA</v>
          </cell>
          <cell r="B4609">
            <v>202406</v>
          </cell>
          <cell r="D4609" t="str">
            <v>Seguros Personales (No Vida) Particular</v>
          </cell>
          <cell r="G4609" t="str">
            <v>Real</v>
          </cell>
        </row>
        <row r="4610">
          <cell r="A4610" t="str">
            <v>CARANTIA</v>
          </cell>
          <cell r="B4610">
            <v>202406</v>
          </cell>
          <cell r="D4610" t="str">
            <v>Transporte</v>
          </cell>
          <cell r="G4610" t="str">
            <v>Real</v>
          </cell>
        </row>
        <row r="4611">
          <cell r="A4611" t="str">
            <v>CARANTIA</v>
          </cell>
          <cell r="B4611">
            <v>202406</v>
          </cell>
          <cell r="D4611" t="str">
            <v>Venta Cruzada</v>
          </cell>
          <cell r="G4611" t="str">
            <v>Real</v>
          </cell>
        </row>
        <row r="4612">
          <cell r="A4612" t="str">
            <v>CARANTIA</v>
          </cell>
          <cell r="B4612">
            <v>202406</v>
          </cell>
          <cell r="D4612" t="str">
            <v>Vida Ahorro Particular</v>
          </cell>
          <cell r="G4612" t="str">
            <v>Real</v>
          </cell>
        </row>
        <row r="4613">
          <cell r="A4613" t="str">
            <v>CARANTIA</v>
          </cell>
          <cell r="B4613">
            <v>202406</v>
          </cell>
          <cell r="D4613" t="str">
            <v>Vida Riesgo Colectivo</v>
          </cell>
          <cell r="G4613" t="str">
            <v>Real</v>
          </cell>
        </row>
        <row r="4614">
          <cell r="A4614" t="str">
            <v>CARANTIA</v>
          </cell>
          <cell r="B4614">
            <v>202406</v>
          </cell>
          <cell r="D4614" t="str">
            <v>Vida Riesgo Particular</v>
          </cell>
          <cell r="G4614" t="str">
            <v>Real</v>
          </cell>
        </row>
        <row r="4615">
          <cell r="A4615" t="str">
            <v>CARANTIA</v>
          </cell>
          <cell r="B4615">
            <v>202407</v>
          </cell>
          <cell r="D4615" t="str">
            <v>--</v>
          </cell>
          <cell r="G4615" t="str">
            <v>Real</v>
          </cell>
        </row>
        <row r="4616">
          <cell r="A4616" t="str">
            <v>CARANTIA</v>
          </cell>
          <cell r="B4616">
            <v>202407</v>
          </cell>
          <cell r="D4616" t="str">
            <v>Autos</v>
          </cell>
          <cell r="G4616" t="str">
            <v>Real</v>
          </cell>
        </row>
        <row r="4617">
          <cell r="A4617" t="str">
            <v>CARANTIA</v>
          </cell>
          <cell r="B4617">
            <v>202407</v>
          </cell>
          <cell r="D4617" t="str">
            <v>Caución</v>
          </cell>
          <cell r="G4617" t="str">
            <v>Real</v>
          </cell>
        </row>
        <row r="4618">
          <cell r="A4618" t="str">
            <v>CARANTIA</v>
          </cell>
          <cell r="B4618">
            <v>202407</v>
          </cell>
          <cell r="D4618" t="str">
            <v>Crédito Nacional</v>
          </cell>
          <cell r="G4618" t="str">
            <v>Real</v>
          </cell>
        </row>
        <row r="4619">
          <cell r="A4619" t="str">
            <v>CARANTIA</v>
          </cell>
          <cell r="B4619">
            <v>202407</v>
          </cell>
          <cell r="D4619" t="str">
            <v>Eventos</v>
          </cell>
          <cell r="G4619" t="str">
            <v>Real</v>
          </cell>
        </row>
        <row r="4620">
          <cell r="A4620" t="str">
            <v>CARANTIA</v>
          </cell>
          <cell r="B4620">
            <v>202407</v>
          </cell>
          <cell r="D4620" t="str">
            <v>Flotas</v>
          </cell>
          <cell r="G4620" t="str">
            <v>Real</v>
          </cell>
        </row>
        <row r="4621">
          <cell r="A4621" t="str">
            <v>CARANTIA</v>
          </cell>
          <cell r="B4621">
            <v>202407</v>
          </cell>
          <cell r="D4621" t="str">
            <v>Hogar</v>
          </cell>
          <cell r="G4621" t="str">
            <v>Real</v>
          </cell>
        </row>
        <row r="4622">
          <cell r="A4622" t="str">
            <v>CARANTIA</v>
          </cell>
          <cell r="B4622">
            <v>202407</v>
          </cell>
          <cell r="D4622" t="str">
            <v>Ingeniería</v>
          </cell>
          <cell r="G4622" t="str">
            <v>Real</v>
          </cell>
        </row>
        <row r="4623">
          <cell r="A4623" t="str">
            <v>CARANTIA</v>
          </cell>
          <cell r="B4623">
            <v>202407</v>
          </cell>
          <cell r="D4623" t="str">
            <v>Inmobiliario</v>
          </cell>
          <cell r="G4623" t="str">
            <v>Real</v>
          </cell>
        </row>
        <row r="4624">
          <cell r="A4624" t="str">
            <v>CARANTIA</v>
          </cell>
          <cell r="B4624">
            <v>202407</v>
          </cell>
          <cell r="D4624" t="str">
            <v>Líneas Financieras</v>
          </cell>
          <cell r="G4624" t="str">
            <v>Real</v>
          </cell>
        </row>
        <row r="4625">
          <cell r="A4625" t="str">
            <v>CARANTIA</v>
          </cell>
          <cell r="B4625">
            <v>202407</v>
          </cell>
          <cell r="D4625" t="str">
            <v>Náutica</v>
          </cell>
          <cell r="G4625" t="str">
            <v>Real</v>
          </cell>
        </row>
        <row r="4626">
          <cell r="A4626" t="str">
            <v>CARANTIA</v>
          </cell>
          <cell r="B4626">
            <v>202407</v>
          </cell>
          <cell r="D4626" t="str">
            <v>Particulares Resto</v>
          </cell>
          <cell r="G4626" t="str">
            <v>Real</v>
          </cell>
        </row>
        <row r="4627">
          <cell r="A4627" t="str">
            <v>CARANTIA</v>
          </cell>
          <cell r="B4627">
            <v>202407</v>
          </cell>
          <cell r="D4627" t="str">
            <v>Property</v>
          </cell>
          <cell r="G4627" t="str">
            <v>Real</v>
          </cell>
        </row>
        <row r="4628">
          <cell r="A4628" t="str">
            <v>CARANTIA</v>
          </cell>
          <cell r="B4628">
            <v>202407</v>
          </cell>
          <cell r="D4628" t="str">
            <v>RC</v>
          </cell>
          <cell r="G4628" t="str">
            <v>Real</v>
          </cell>
        </row>
        <row r="4629">
          <cell r="A4629" t="str">
            <v>CARANTIA</v>
          </cell>
          <cell r="B4629">
            <v>202407</v>
          </cell>
          <cell r="D4629" t="str">
            <v>Seguros Personales (No Vida) Colectivos</v>
          </cell>
          <cell r="G4629" t="str">
            <v>Real</v>
          </cell>
        </row>
        <row r="4630">
          <cell r="A4630" t="str">
            <v>CARANTIA</v>
          </cell>
          <cell r="B4630">
            <v>202407</v>
          </cell>
          <cell r="D4630" t="str">
            <v>Seguros Personales (No Vida) Particular</v>
          </cell>
          <cell r="G4630" t="str">
            <v>Real</v>
          </cell>
        </row>
        <row r="4631">
          <cell r="A4631" t="str">
            <v>CARANTIA</v>
          </cell>
          <cell r="B4631">
            <v>202407</v>
          </cell>
          <cell r="D4631" t="str">
            <v>Transporte</v>
          </cell>
          <cell r="G4631" t="str">
            <v>Real</v>
          </cell>
        </row>
        <row r="4632">
          <cell r="A4632" t="str">
            <v>CARANTIA</v>
          </cell>
          <cell r="B4632">
            <v>202407</v>
          </cell>
          <cell r="D4632" t="str">
            <v>Venta Cruzada</v>
          </cell>
          <cell r="G4632" t="str">
            <v>Real</v>
          </cell>
        </row>
        <row r="4633">
          <cell r="A4633" t="str">
            <v>CARANTIA</v>
          </cell>
          <cell r="B4633">
            <v>202407</v>
          </cell>
          <cell r="D4633" t="str">
            <v>Vida Ahorro Colectivo</v>
          </cell>
          <cell r="G4633" t="str">
            <v>Real</v>
          </cell>
        </row>
        <row r="4634">
          <cell r="A4634" t="str">
            <v>CARANTIA</v>
          </cell>
          <cell r="B4634">
            <v>202407</v>
          </cell>
          <cell r="D4634" t="str">
            <v>Vida Ahorro Particular</v>
          </cell>
          <cell r="G4634" t="str">
            <v>Real</v>
          </cell>
        </row>
        <row r="4635">
          <cell r="A4635" t="str">
            <v>CARANTIA</v>
          </cell>
          <cell r="B4635">
            <v>202407</v>
          </cell>
          <cell r="D4635" t="str">
            <v>Vida Riesgo Colectivo</v>
          </cell>
          <cell r="G4635" t="str">
            <v>Real</v>
          </cell>
        </row>
        <row r="4636">
          <cell r="A4636" t="str">
            <v>CARANTIA</v>
          </cell>
          <cell r="B4636">
            <v>202407</v>
          </cell>
          <cell r="D4636" t="str">
            <v>Vida Riesgo Particular</v>
          </cell>
          <cell r="G4636" t="str">
            <v>Real</v>
          </cell>
        </row>
        <row r="4637">
          <cell r="A4637" t="str">
            <v>CARANTIA</v>
          </cell>
          <cell r="B4637">
            <v>202408</v>
          </cell>
          <cell r="D4637" t="str">
            <v>--</v>
          </cell>
          <cell r="G4637" t="str">
            <v>Real</v>
          </cell>
        </row>
        <row r="4638">
          <cell r="A4638" t="str">
            <v>CARANTIA</v>
          </cell>
          <cell r="B4638">
            <v>202408</v>
          </cell>
          <cell r="D4638" t="str">
            <v>Resto de Lineas</v>
          </cell>
          <cell r="G4638" t="str">
            <v>Real</v>
          </cell>
        </row>
        <row r="4639">
          <cell r="A4639" t="str">
            <v>CARANTIA</v>
          </cell>
          <cell r="B4639">
            <v>202408</v>
          </cell>
          <cell r="D4639" t="str">
            <v>Resto de Lineas</v>
          </cell>
          <cell r="G4639" t="str">
            <v>Real</v>
          </cell>
        </row>
        <row r="4640">
          <cell r="A4640" t="str">
            <v>CARANTIA</v>
          </cell>
          <cell r="B4640">
            <v>202408</v>
          </cell>
          <cell r="D4640" t="str">
            <v>Autos</v>
          </cell>
          <cell r="G4640" t="str">
            <v>Real</v>
          </cell>
        </row>
        <row r="4641">
          <cell r="A4641" t="str">
            <v>CARANTIA</v>
          </cell>
          <cell r="B4641">
            <v>202408</v>
          </cell>
          <cell r="D4641" t="str">
            <v>Caución</v>
          </cell>
          <cell r="G4641" t="str">
            <v>Real</v>
          </cell>
        </row>
        <row r="4642">
          <cell r="A4642" t="str">
            <v>CARANTIA</v>
          </cell>
          <cell r="B4642">
            <v>202408</v>
          </cell>
          <cell r="D4642" t="str">
            <v>Crédito Nacional</v>
          </cell>
          <cell r="G4642" t="str">
            <v>Real</v>
          </cell>
        </row>
        <row r="4643">
          <cell r="A4643" t="str">
            <v>CARANTIA</v>
          </cell>
          <cell r="B4643">
            <v>202408</v>
          </cell>
          <cell r="D4643" t="str">
            <v>Eventos</v>
          </cell>
          <cell r="G4643" t="str">
            <v>Real</v>
          </cell>
        </row>
        <row r="4644">
          <cell r="A4644" t="str">
            <v>CARANTIA</v>
          </cell>
          <cell r="B4644">
            <v>202408</v>
          </cell>
          <cell r="D4644" t="str">
            <v>Flotas</v>
          </cell>
          <cell r="G4644" t="str">
            <v>Real</v>
          </cell>
        </row>
        <row r="4645">
          <cell r="A4645" t="str">
            <v>CARANTIA</v>
          </cell>
          <cell r="B4645">
            <v>202408</v>
          </cell>
          <cell r="D4645" t="str">
            <v>Hogar</v>
          </cell>
          <cell r="G4645" t="str">
            <v>Real</v>
          </cell>
        </row>
        <row r="4646">
          <cell r="A4646" t="str">
            <v>CARANTIA</v>
          </cell>
          <cell r="B4646">
            <v>202408</v>
          </cell>
          <cell r="D4646" t="str">
            <v>Ingeniería</v>
          </cell>
          <cell r="G4646" t="str">
            <v>Real</v>
          </cell>
        </row>
        <row r="4647">
          <cell r="A4647" t="str">
            <v>CARANTIA</v>
          </cell>
          <cell r="B4647">
            <v>202408</v>
          </cell>
          <cell r="D4647" t="str">
            <v>Inmobiliario</v>
          </cell>
          <cell r="G4647" t="str">
            <v>Real</v>
          </cell>
        </row>
        <row r="4648">
          <cell r="A4648" t="str">
            <v>CARANTIA</v>
          </cell>
          <cell r="B4648">
            <v>202408</v>
          </cell>
          <cell r="D4648" t="str">
            <v>Líneas Financieras</v>
          </cell>
          <cell r="G4648" t="str">
            <v>Real</v>
          </cell>
        </row>
        <row r="4649">
          <cell r="A4649" t="str">
            <v>CARANTIA</v>
          </cell>
          <cell r="B4649">
            <v>202408</v>
          </cell>
          <cell r="D4649" t="str">
            <v>Náutica</v>
          </cell>
          <cell r="G4649" t="str">
            <v>Real</v>
          </cell>
        </row>
        <row r="4650">
          <cell r="A4650" t="str">
            <v>CARANTIA</v>
          </cell>
          <cell r="B4650">
            <v>202408</v>
          </cell>
          <cell r="D4650" t="str">
            <v>Particulares Resto</v>
          </cell>
          <cell r="G4650" t="str">
            <v>Real</v>
          </cell>
        </row>
        <row r="4651">
          <cell r="A4651" t="str">
            <v>CARANTIA</v>
          </cell>
          <cell r="B4651">
            <v>202408</v>
          </cell>
          <cell r="D4651" t="str">
            <v>Property</v>
          </cell>
          <cell r="G4651" t="str">
            <v>Real</v>
          </cell>
        </row>
        <row r="4652">
          <cell r="A4652" t="str">
            <v>CARANTIA</v>
          </cell>
          <cell r="B4652">
            <v>202408</v>
          </cell>
          <cell r="D4652" t="str">
            <v>RC</v>
          </cell>
          <cell r="G4652" t="str">
            <v>Real</v>
          </cell>
        </row>
        <row r="4653">
          <cell r="A4653" t="str">
            <v>CARANTIA</v>
          </cell>
          <cell r="B4653">
            <v>202408</v>
          </cell>
          <cell r="D4653" t="str">
            <v>Seguros Personales (No Vida) Colectivos</v>
          </cell>
          <cell r="G4653" t="str">
            <v>Real</v>
          </cell>
        </row>
        <row r="4654">
          <cell r="A4654" t="str">
            <v>CARANTIA</v>
          </cell>
          <cell r="B4654">
            <v>202408</v>
          </cell>
          <cell r="D4654" t="str">
            <v>Seguros Personales (No Vida) Particular</v>
          </cell>
          <cell r="G4654" t="str">
            <v>Real</v>
          </cell>
        </row>
        <row r="4655">
          <cell r="A4655" t="str">
            <v>CARANTIA</v>
          </cell>
          <cell r="B4655">
            <v>202408</v>
          </cell>
          <cell r="D4655" t="str">
            <v>Transporte</v>
          </cell>
          <cell r="G4655" t="str">
            <v>Real</v>
          </cell>
        </row>
        <row r="4656">
          <cell r="A4656" t="str">
            <v>CARANTIA</v>
          </cell>
          <cell r="B4656">
            <v>202408</v>
          </cell>
          <cell r="D4656" t="str">
            <v>Venta Cruzada</v>
          </cell>
          <cell r="G4656" t="str">
            <v>Real</v>
          </cell>
        </row>
        <row r="4657">
          <cell r="A4657" t="str">
            <v>CARANTIA</v>
          </cell>
          <cell r="B4657">
            <v>202408</v>
          </cell>
          <cell r="D4657" t="str">
            <v>Vida Ahorro Particular</v>
          </cell>
          <cell r="G4657" t="str">
            <v>Real</v>
          </cell>
        </row>
        <row r="4658">
          <cell r="A4658" t="str">
            <v>CARANTIA</v>
          </cell>
          <cell r="B4658">
            <v>202408</v>
          </cell>
          <cell r="D4658" t="str">
            <v>Vida Riesgo Colectivo</v>
          </cell>
          <cell r="G4658" t="str">
            <v>Real</v>
          </cell>
        </row>
        <row r="4659">
          <cell r="A4659" t="str">
            <v>CARANTIA</v>
          </cell>
          <cell r="B4659">
            <v>202408</v>
          </cell>
          <cell r="D4659" t="str">
            <v>Vida Riesgo Particular</v>
          </cell>
          <cell r="G4659" t="str">
            <v>Real</v>
          </cell>
        </row>
        <row r="4660">
          <cell r="A4660" t="str">
            <v>CARANTIA</v>
          </cell>
          <cell r="B4660">
            <v>202409</v>
          </cell>
          <cell r="D4660" t="str">
            <v>--</v>
          </cell>
          <cell r="G4660" t="str">
            <v>Real</v>
          </cell>
        </row>
        <row r="4661">
          <cell r="A4661" t="str">
            <v>CARANTIA</v>
          </cell>
          <cell r="B4661">
            <v>202409</v>
          </cell>
          <cell r="D4661" t="str">
            <v>Resto de Lineas</v>
          </cell>
          <cell r="G4661" t="str">
            <v>Real</v>
          </cell>
        </row>
        <row r="4662">
          <cell r="A4662" t="str">
            <v>CARANTIA</v>
          </cell>
          <cell r="B4662">
            <v>202409</v>
          </cell>
          <cell r="D4662" t="str">
            <v>Autos</v>
          </cell>
          <cell r="G4662" t="str">
            <v>Real</v>
          </cell>
        </row>
        <row r="4663">
          <cell r="A4663" t="str">
            <v>CARANTIA</v>
          </cell>
          <cell r="B4663">
            <v>202409</v>
          </cell>
          <cell r="D4663" t="str">
            <v>Caución</v>
          </cell>
          <cell r="G4663" t="str">
            <v>Real</v>
          </cell>
        </row>
        <row r="4664">
          <cell r="A4664" t="str">
            <v>CARANTIA</v>
          </cell>
          <cell r="B4664">
            <v>202409</v>
          </cell>
          <cell r="D4664" t="str">
            <v>Crédito Nacional</v>
          </cell>
          <cell r="G4664" t="str">
            <v>Real</v>
          </cell>
        </row>
        <row r="4665">
          <cell r="A4665" t="str">
            <v>CARANTIA</v>
          </cell>
          <cell r="B4665">
            <v>202409</v>
          </cell>
          <cell r="D4665" t="str">
            <v>Eventos</v>
          </cell>
          <cell r="G4665" t="str">
            <v>Real</v>
          </cell>
        </row>
        <row r="4666">
          <cell r="A4666" t="str">
            <v>CARANTIA</v>
          </cell>
          <cell r="B4666">
            <v>202409</v>
          </cell>
          <cell r="D4666" t="str">
            <v>Flotas</v>
          </cell>
          <cell r="G4666" t="str">
            <v>Real</v>
          </cell>
        </row>
        <row r="4667">
          <cell r="A4667" t="str">
            <v>CARANTIA</v>
          </cell>
          <cell r="B4667">
            <v>202409</v>
          </cell>
          <cell r="D4667" t="str">
            <v>Hogar</v>
          </cell>
          <cell r="G4667" t="str">
            <v>Real</v>
          </cell>
        </row>
        <row r="4668">
          <cell r="A4668" t="str">
            <v>CARANTIA</v>
          </cell>
          <cell r="B4668">
            <v>202409</v>
          </cell>
          <cell r="D4668" t="str">
            <v>Ingeniería</v>
          </cell>
          <cell r="G4668" t="str">
            <v>Real</v>
          </cell>
        </row>
        <row r="4669">
          <cell r="A4669" t="str">
            <v>CARANTIA</v>
          </cell>
          <cell r="B4669">
            <v>202409</v>
          </cell>
          <cell r="D4669" t="str">
            <v>Inmobiliario</v>
          </cell>
          <cell r="G4669" t="str">
            <v>Real</v>
          </cell>
        </row>
        <row r="4670">
          <cell r="A4670" t="str">
            <v>CARANTIA</v>
          </cell>
          <cell r="B4670">
            <v>202409</v>
          </cell>
          <cell r="D4670" t="str">
            <v>Líneas Financieras</v>
          </cell>
          <cell r="G4670" t="str">
            <v>Real</v>
          </cell>
        </row>
        <row r="4671">
          <cell r="A4671" t="str">
            <v>CARANTIA</v>
          </cell>
          <cell r="B4671">
            <v>202409</v>
          </cell>
          <cell r="D4671" t="str">
            <v>Náutica</v>
          </cell>
          <cell r="G4671" t="str">
            <v>Real</v>
          </cell>
        </row>
        <row r="4672">
          <cell r="A4672" t="str">
            <v>CARANTIA</v>
          </cell>
          <cell r="B4672">
            <v>202409</v>
          </cell>
          <cell r="D4672" t="str">
            <v>Particulares Resto</v>
          </cell>
          <cell r="G4672" t="str">
            <v>Real</v>
          </cell>
        </row>
        <row r="4673">
          <cell r="A4673" t="str">
            <v>CARANTIA</v>
          </cell>
          <cell r="B4673">
            <v>202409</v>
          </cell>
          <cell r="D4673" t="str">
            <v>Property</v>
          </cell>
          <cell r="G4673" t="str">
            <v>Real</v>
          </cell>
        </row>
        <row r="4674">
          <cell r="A4674" t="str">
            <v>CARANTIA</v>
          </cell>
          <cell r="B4674">
            <v>202409</v>
          </cell>
          <cell r="D4674" t="str">
            <v>RC</v>
          </cell>
          <cell r="G4674" t="str">
            <v>Real</v>
          </cell>
        </row>
        <row r="4675">
          <cell r="A4675" t="str">
            <v>CARANTIA</v>
          </cell>
          <cell r="B4675">
            <v>202409</v>
          </cell>
          <cell r="D4675" t="str">
            <v>Seguros Personales (No Vida) Colectivos</v>
          </cell>
          <cell r="G4675" t="str">
            <v>Real</v>
          </cell>
        </row>
        <row r="4676">
          <cell r="A4676" t="str">
            <v>CARANTIA</v>
          </cell>
          <cell r="B4676">
            <v>202409</v>
          </cell>
          <cell r="D4676" t="str">
            <v>Seguros Personales (No Vida) Particular</v>
          </cell>
          <cell r="G4676" t="str">
            <v>Real</v>
          </cell>
        </row>
        <row r="4677">
          <cell r="A4677" t="str">
            <v>CARANTIA</v>
          </cell>
          <cell r="B4677">
            <v>202409</v>
          </cell>
          <cell r="D4677" t="str">
            <v>Transporte</v>
          </cell>
          <cell r="G4677" t="str">
            <v>Real</v>
          </cell>
        </row>
        <row r="4678">
          <cell r="A4678" t="str">
            <v>CARANTIA</v>
          </cell>
          <cell r="B4678">
            <v>202409</v>
          </cell>
          <cell r="D4678" t="str">
            <v>Venta Cruzada</v>
          </cell>
          <cell r="G4678" t="str">
            <v>Real</v>
          </cell>
        </row>
        <row r="4679">
          <cell r="A4679" t="str">
            <v>CARANTIA</v>
          </cell>
          <cell r="B4679">
            <v>202409</v>
          </cell>
          <cell r="D4679" t="str">
            <v>Vida Ahorro Particular</v>
          </cell>
          <cell r="G4679" t="str">
            <v>Real</v>
          </cell>
        </row>
        <row r="4680">
          <cell r="A4680" t="str">
            <v>CARANTIA</v>
          </cell>
          <cell r="B4680">
            <v>202409</v>
          </cell>
          <cell r="D4680" t="str">
            <v>Vida Riesgo Colectivo</v>
          </cell>
          <cell r="G4680" t="str">
            <v>Real</v>
          </cell>
        </row>
        <row r="4681">
          <cell r="A4681" t="str">
            <v>CARANTIA</v>
          </cell>
          <cell r="B4681">
            <v>202409</v>
          </cell>
          <cell r="D4681" t="str">
            <v>Vida Riesgo Particular</v>
          </cell>
          <cell r="G4681" t="str">
            <v>Real</v>
          </cell>
        </row>
        <row r="4682">
          <cell r="A4682" t="str">
            <v>CARANTIA</v>
          </cell>
          <cell r="B4682">
            <v>202410</v>
          </cell>
          <cell r="D4682" t="str">
            <v>--</v>
          </cell>
          <cell r="G4682" t="str">
            <v>Real</v>
          </cell>
        </row>
        <row r="4683">
          <cell r="A4683" t="str">
            <v>CARANTIA</v>
          </cell>
          <cell r="B4683">
            <v>202410</v>
          </cell>
          <cell r="D4683" t="str">
            <v>Autos</v>
          </cell>
          <cell r="G4683" t="str">
            <v>Real</v>
          </cell>
        </row>
        <row r="4684">
          <cell r="A4684" t="str">
            <v>CARANTIA</v>
          </cell>
          <cell r="B4684">
            <v>202410</v>
          </cell>
          <cell r="D4684" t="str">
            <v>Caución</v>
          </cell>
          <cell r="G4684" t="str">
            <v>Real</v>
          </cell>
        </row>
        <row r="4685">
          <cell r="A4685" t="str">
            <v>CARANTIA</v>
          </cell>
          <cell r="B4685">
            <v>202410</v>
          </cell>
          <cell r="D4685" t="str">
            <v>Eventos</v>
          </cell>
          <cell r="G4685" t="str">
            <v>Real</v>
          </cell>
        </row>
        <row r="4686">
          <cell r="A4686" t="str">
            <v>CARANTIA</v>
          </cell>
          <cell r="B4686">
            <v>202410</v>
          </cell>
          <cell r="D4686" t="str">
            <v>Flotas</v>
          </cell>
          <cell r="G4686" t="str">
            <v>Real</v>
          </cell>
        </row>
        <row r="4687">
          <cell r="A4687" t="str">
            <v>CARANTIA</v>
          </cell>
          <cell r="B4687">
            <v>202410</v>
          </cell>
          <cell r="D4687" t="str">
            <v>Hogar</v>
          </cell>
          <cell r="G4687" t="str">
            <v>Real</v>
          </cell>
        </row>
        <row r="4688">
          <cell r="A4688" t="str">
            <v>CARANTIA</v>
          </cell>
          <cell r="B4688">
            <v>202410</v>
          </cell>
          <cell r="D4688" t="str">
            <v>Ingeniería</v>
          </cell>
          <cell r="G4688" t="str">
            <v>Real</v>
          </cell>
        </row>
        <row r="4689">
          <cell r="A4689" t="str">
            <v>CARANTIA</v>
          </cell>
          <cell r="B4689">
            <v>202410</v>
          </cell>
          <cell r="D4689" t="str">
            <v>Inmobiliario</v>
          </cell>
          <cell r="G4689" t="str">
            <v>Real</v>
          </cell>
        </row>
        <row r="4690">
          <cell r="A4690" t="str">
            <v>CARANTIA</v>
          </cell>
          <cell r="B4690">
            <v>202410</v>
          </cell>
          <cell r="D4690" t="str">
            <v>Líneas Financieras</v>
          </cell>
          <cell r="G4690" t="str">
            <v>Real</v>
          </cell>
        </row>
        <row r="4691">
          <cell r="A4691" t="str">
            <v>CARANTIA</v>
          </cell>
          <cell r="B4691">
            <v>202410</v>
          </cell>
          <cell r="D4691" t="str">
            <v>Náutica</v>
          </cell>
          <cell r="G4691" t="str">
            <v>Real</v>
          </cell>
        </row>
        <row r="4692">
          <cell r="A4692" t="str">
            <v>CARANTIA</v>
          </cell>
          <cell r="B4692">
            <v>202410</v>
          </cell>
          <cell r="D4692" t="str">
            <v>Particulares Resto</v>
          </cell>
          <cell r="G4692" t="str">
            <v>Real</v>
          </cell>
        </row>
        <row r="4693">
          <cell r="A4693" t="str">
            <v>CARANTIA</v>
          </cell>
          <cell r="B4693">
            <v>202410</v>
          </cell>
          <cell r="D4693" t="str">
            <v>Property</v>
          </cell>
          <cell r="G4693" t="str">
            <v>Real</v>
          </cell>
        </row>
        <row r="4694">
          <cell r="A4694" t="str">
            <v>CARANTIA</v>
          </cell>
          <cell r="B4694">
            <v>202410</v>
          </cell>
          <cell r="D4694" t="str">
            <v>RC</v>
          </cell>
          <cell r="G4694" t="str">
            <v>Real</v>
          </cell>
        </row>
        <row r="4695">
          <cell r="A4695" t="str">
            <v>CARANTIA</v>
          </cell>
          <cell r="B4695">
            <v>202410</v>
          </cell>
          <cell r="D4695" t="str">
            <v>Seguros Personales (No Vida) Colectivos</v>
          </cell>
          <cell r="G4695" t="str">
            <v>Real</v>
          </cell>
        </row>
        <row r="4696">
          <cell r="A4696" t="str">
            <v>CARANTIA</v>
          </cell>
          <cell r="B4696">
            <v>202410</v>
          </cell>
          <cell r="D4696" t="str">
            <v>Seguros Personales (No Vida) Particular</v>
          </cell>
          <cell r="G4696" t="str">
            <v>Real</v>
          </cell>
        </row>
        <row r="4697">
          <cell r="A4697" t="str">
            <v>CARANTIA</v>
          </cell>
          <cell r="B4697">
            <v>202410</v>
          </cell>
          <cell r="D4697" t="str">
            <v>Transporte</v>
          </cell>
          <cell r="G4697" t="str">
            <v>Real</v>
          </cell>
        </row>
        <row r="4698">
          <cell r="A4698" t="str">
            <v>CARANTIA</v>
          </cell>
          <cell r="B4698">
            <v>202410</v>
          </cell>
          <cell r="D4698" t="str">
            <v>Venta Cruzada</v>
          </cell>
          <cell r="G4698" t="str">
            <v>Real</v>
          </cell>
        </row>
        <row r="4699">
          <cell r="A4699" t="str">
            <v>CARANTIA</v>
          </cell>
          <cell r="B4699">
            <v>202410</v>
          </cell>
          <cell r="D4699" t="str">
            <v>Vida Ahorro Particular</v>
          </cell>
          <cell r="G4699" t="str">
            <v>Real</v>
          </cell>
        </row>
        <row r="4700">
          <cell r="A4700" t="str">
            <v>CARANTIA</v>
          </cell>
          <cell r="B4700">
            <v>202410</v>
          </cell>
          <cell r="D4700" t="str">
            <v>Vida Riesgo Colectivo</v>
          </cell>
          <cell r="G4700" t="str">
            <v>Real</v>
          </cell>
        </row>
        <row r="4701">
          <cell r="A4701" t="str">
            <v>CARANTIA</v>
          </cell>
          <cell r="B4701">
            <v>202410</v>
          </cell>
          <cell r="D4701" t="str">
            <v>Vida Riesgo Particular</v>
          </cell>
          <cell r="G4701" t="str">
            <v>Real</v>
          </cell>
        </row>
        <row r="4702">
          <cell r="A4702" t="str">
            <v>CARANTIA</v>
          </cell>
          <cell r="B4702">
            <v>202411</v>
          </cell>
          <cell r="D4702" t="str">
            <v>--</v>
          </cell>
          <cell r="G4702" t="str">
            <v>Real</v>
          </cell>
        </row>
        <row r="4703">
          <cell r="A4703" t="str">
            <v>CARANTIA</v>
          </cell>
          <cell r="B4703">
            <v>202411</v>
          </cell>
          <cell r="D4703" t="str">
            <v>Resto de Lineas</v>
          </cell>
          <cell r="G4703" t="str">
            <v>Real</v>
          </cell>
        </row>
        <row r="4704">
          <cell r="A4704" t="str">
            <v>CARANTIA</v>
          </cell>
          <cell r="B4704">
            <v>202411</v>
          </cell>
          <cell r="D4704" t="str">
            <v>Autos</v>
          </cell>
          <cell r="G4704" t="str">
            <v>Real</v>
          </cell>
        </row>
        <row r="4705">
          <cell r="A4705" t="str">
            <v>CARANTIA</v>
          </cell>
          <cell r="B4705">
            <v>202411</v>
          </cell>
          <cell r="D4705" t="str">
            <v>Crédito Nacional</v>
          </cell>
          <cell r="G4705" t="str">
            <v>Real</v>
          </cell>
        </row>
        <row r="4706">
          <cell r="A4706" t="str">
            <v>CARANTIA</v>
          </cell>
          <cell r="B4706">
            <v>202411</v>
          </cell>
          <cell r="D4706" t="str">
            <v>Eventos</v>
          </cell>
          <cell r="G4706" t="str">
            <v>Real</v>
          </cell>
        </row>
        <row r="4707">
          <cell r="A4707" t="str">
            <v>CARANTIA</v>
          </cell>
          <cell r="B4707">
            <v>202411</v>
          </cell>
          <cell r="D4707" t="str">
            <v>Flotas</v>
          </cell>
          <cell r="G4707" t="str">
            <v>Real</v>
          </cell>
        </row>
        <row r="4708">
          <cell r="A4708" t="str">
            <v>CARANTIA</v>
          </cell>
          <cell r="B4708">
            <v>202411</v>
          </cell>
          <cell r="D4708" t="str">
            <v>Hogar</v>
          </cell>
          <cell r="G4708" t="str">
            <v>Real</v>
          </cell>
        </row>
        <row r="4709">
          <cell r="A4709" t="str">
            <v>CARANTIA</v>
          </cell>
          <cell r="B4709">
            <v>202411</v>
          </cell>
          <cell r="D4709" t="str">
            <v>Ingeniería</v>
          </cell>
          <cell r="G4709" t="str">
            <v>Real</v>
          </cell>
        </row>
        <row r="4710">
          <cell r="A4710" t="str">
            <v>CARANTIA</v>
          </cell>
          <cell r="B4710">
            <v>202411</v>
          </cell>
          <cell r="D4710" t="str">
            <v>Inmobiliario</v>
          </cell>
          <cell r="G4710" t="str">
            <v>Real</v>
          </cell>
        </row>
        <row r="4711">
          <cell r="A4711" t="str">
            <v>CARANTIA</v>
          </cell>
          <cell r="B4711">
            <v>202411</v>
          </cell>
          <cell r="D4711" t="str">
            <v>Líneas Financieras</v>
          </cell>
          <cell r="G4711" t="str">
            <v>Real</v>
          </cell>
        </row>
        <row r="4712">
          <cell r="A4712" t="str">
            <v>CARANTIA</v>
          </cell>
          <cell r="B4712">
            <v>202411</v>
          </cell>
          <cell r="D4712" t="str">
            <v>Particulares Resto</v>
          </cell>
          <cell r="G4712" t="str">
            <v>Real</v>
          </cell>
        </row>
        <row r="4713">
          <cell r="A4713" t="str">
            <v>CARANTIA</v>
          </cell>
          <cell r="B4713">
            <v>202411</v>
          </cell>
          <cell r="D4713" t="str">
            <v>Property</v>
          </cell>
          <cell r="G4713" t="str">
            <v>Real</v>
          </cell>
        </row>
        <row r="4714">
          <cell r="A4714" t="str">
            <v>CARANTIA</v>
          </cell>
          <cell r="B4714">
            <v>202411</v>
          </cell>
          <cell r="D4714" t="str">
            <v>RC</v>
          </cell>
          <cell r="G4714" t="str">
            <v>Real</v>
          </cell>
        </row>
        <row r="4715">
          <cell r="A4715" t="str">
            <v>CARANTIA</v>
          </cell>
          <cell r="B4715">
            <v>202411</v>
          </cell>
          <cell r="D4715" t="str">
            <v>Seguros Personales (No Vida) Colectivos</v>
          </cell>
          <cell r="G4715" t="str">
            <v>Real</v>
          </cell>
        </row>
        <row r="4716">
          <cell r="A4716" t="str">
            <v>CARANTIA</v>
          </cell>
          <cell r="B4716">
            <v>202411</v>
          </cell>
          <cell r="D4716" t="str">
            <v>Seguros Personales (No Vida) Particular</v>
          </cell>
          <cell r="G4716" t="str">
            <v>Real</v>
          </cell>
        </row>
        <row r="4717">
          <cell r="A4717" t="str">
            <v>CARANTIA</v>
          </cell>
          <cell r="B4717">
            <v>202411</v>
          </cell>
          <cell r="D4717" t="str">
            <v>Transporte</v>
          </cell>
          <cell r="G4717" t="str">
            <v>Real</v>
          </cell>
        </row>
        <row r="4718">
          <cell r="A4718" t="str">
            <v>CARANTIA</v>
          </cell>
          <cell r="B4718">
            <v>202411</v>
          </cell>
          <cell r="D4718" t="str">
            <v>Venta Cruzada</v>
          </cell>
          <cell r="G4718" t="str">
            <v>Real</v>
          </cell>
        </row>
        <row r="4719">
          <cell r="A4719" t="str">
            <v>CARANTIA</v>
          </cell>
          <cell r="B4719">
            <v>202411</v>
          </cell>
          <cell r="D4719" t="str">
            <v>Vida Ahorro Particular</v>
          </cell>
          <cell r="G4719" t="str">
            <v>Real</v>
          </cell>
        </row>
        <row r="4720">
          <cell r="A4720" t="str">
            <v>CARANTIA</v>
          </cell>
          <cell r="B4720">
            <v>202411</v>
          </cell>
          <cell r="D4720" t="str">
            <v>Vida Riesgo Colectivo</v>
          </cell>
          <cell r="G4720" t="str">
            <v>Real</v>
          </cell>
        </row>
        <row r="4721">
          <cell r="A4721" t="str">
            <v>CARANTIA</v>
          </cell>
          <cell r="B4721">
            <v>202411</v>
          </cell>
          <cell r="D4721" t="str">
            <v>Vida Riesgo Particular</v>
          </cell>
          <cell r="G4721" t="str">
            <v>Real</v>
          </cell>
        </row>
        <row r="4722">
          <cell r="A4722" t="str">
            <v>CARANTIA</v>
          </cell>
          <cell r="B4722">
            <v>202412</v>
          </cell>
          <cell r="D4722" t="str">
            <v>--</v>
          </cell>
          <cell r="G4722" t="str">
            <v>Real</v>
          </cell>
        </row>
        <row r="4723">
          <cell r="A4723" t="str">
            <v>CARANTIA</v>
          </cell>
          <cell r="B4723">
            <v>202412</v>
          </cell>
          <cell r="D4723" t="str">
            <v>Autos</v>
          </cell>
          <cell r="G4723" t="str">
            <v>Real</v>
          </cell>
        </row>
        <row r="4724">
          <cell r="A4724" t="str">
            <v>CARANTIA</v>
          </cell>
          <cell r="B4724">
            <v>202412</v>
          </cell>
          <cell r="D4724" t="str">
            <v>Caución</v>
          </cell>
          <cell r="G4724" t="str">
            <v>Real</v>
          </cell>
        </row>
        <row r="4725">
          <cell r="A4725" t="str">
            <v>CARANTIA</v>
          </cell>
          <cell r="B4725">
            <v>202412</v>
          </cell>
          <cell r="D4725" t="str">
            <v>Crédito Nacional</v>
          </cell>
          <cell r="G4725" t="str">
            <v>Real</v>
          </cell>
        </row>
        <row r="4726">
          <cell r="A4726" t="str">
            <v>CARANTIA</v>
          </cell>
          <cell r="B4726">
            <v>202412</v>
          </cell>
          <cell r="D4726" t="str">
            <v>Eventos</v>
          </cell>
          <cell r="G4726" t="str">
            <v>Real</v>
          </cell>
        </row>
        <row r="4727">
          <cell r="A4727" t="str">
            <v>CARANTIA</v>
          </cell>
          <cell r="B4727">
            <v>202412</v>
          </cell>
          <cell r="D4727" t="str">
            <v>Flotas</v>
          </cell>
          <cell r="G4727" t="str">
            <v>Real</v>
          </cell>
        </row>
        <row r="4728">
          <cell r="A4728" t="str">
            <v>CARANTIA</v>
          </cell>
          <cell r="B4728">
            <v>202412</v>
          </cell>
          <cell r="D4728" t="str">
            <v>Hogar</v>
          </cell>
          <cell r="G4728" t="str">
            <v>Real</v>
          </cell>
        </row>
        <row r="4729">
          <cell r="A4729" t="str">
            <v>CARANTIA</v>
          </cell>
          <cell r="B4729">
            <v>202412</v>
          </cell>
          <cell r="D4729" t="str">
            <v>Ingeniería</v>
          </cell>
          <cell r="G4729" t="str">
            <v>Real</v>
          </cell>
        </row>
        <row r="4730">
          <cell r="A4730" t="str">
            <v>CARANTIA</v>
          </cell>
          <cell r="B4730">
            <v>202412</v>
          </cell>
          <cell r="D4730" t="str">
            <v>Inmobiliario</v>
          </cell>
          <cell r="G4730" t="str">
            <v>Real</v>
          </cell>
        </row>
        <row r="4731">
          <cell r="A4731" t="str">
            <v>CARANTIA</v>
          </cell>
          <cell r="B4731">
            <v>202412</v>
          </cell>
          <cell r="D4731" t="str">
            <v>Líneas Financieras</v>
          </cell>
          <cell r="G4731" t="str">
            <v>Real</v>
          </cell>
        </row>
        <row r="4732">
          <cell r="A4732" t="str">
            <v>CARANTIA</v>
          </cell>
          <cell r="B4732">
            <v>202412</v>
          </cell>
          <cell r="D4732" t="str">
            <v>Particulares Resto</v>
          </cell>
          <cell r="G4732" t="str">
            <v>Real</v>
          </cell>
        </row>
        <row r="4733">
          <cell r="A4733" t="str">
            <v>CARANTIA</v>
          </cell>
          <cell r="B4733">
            <v>202412</v>
          </cell>
          <cell r="D4733" t="str">
            <v>Property</v>
          </cell>
          <cell r="G4733" t="str">
            <v>Real</v>
          </cell>
        </row>
        <row r="4734">
          <cell r="A4734" t="str">
            <v>CARANTIA</v>
          </cell>
          <cell r="B4734">
            <v>202412</v>
          </cell>
          <cell r="D4734" t="str">
            <v>RC</v>
          </cell>
          <cell r="G4734" t="str">
            <v>Real</v>
          </cell>
        </row>
        <row r="4735">
          <cell r="A4735" t="str">
            <v>CARANTIA</v>
          </cell>
          <cell r="B4735">
            <v>202412</v>
          </cell>
          <cell r="D4735" t="str">
            <v>Seguros Personales (No Vida) Colectivos</v>
          </cell>
          <cell r="G4735" t="str">
            <v>Real</v>
          </cell>
        </row>
        <row r="4736">
          <cell r="A4736" t="str">
            <v>CARANTIA</v>
          </cell>
          <cell r="B4736">
            <v>202412</v>
          </cell>
          <cell r="D4736" t="str">
            <v>Seguros Personales (No Vida) Particular</v>
          </cell>
          <cell r="G4736" t="str">
            <v>Real</v>
          </cell>
        </row>
        <row r="4737">
          <cell r="A4737" t="str">
            <v>CARANTIA</v>
          </cell>
          <cell r="B4737">
            <v>202412</v>
          </cell>
          <cell r="D4737" t="str">
            <v>Transporte</v>
          </cell>
          <cell r="G4737" t="str">
            <v>Real</v>
          </cell>
        </row>
        <row r="4738">
          <cell r="A4738" t="str">
            <v>CARANTIA</v>
          </cell>
          <cell r="B4738">
            <v>202412</v>
          </cell>
          <cell r="D4738" t="str">
            <v>Venta Cruzada</v>
          </cell>
          <cell r="G4738" t="str">
            <v>Real</v>
          </cell>
        </row>
        <row r="4739">
          <cell r="A4739" t="str">
            <v>CARANTIA</v>
          </cell>
          <cell r="B4739">
            <v>202412</v>
          </cell>
          <cell r="D4739" t="str">
            <v>Vida Ahorro Colectivo</v>
          </cell>
          <cell r="G4739" t="str">
            <v>Real</v>
          </cell>
        </row>
        <row r="4740">
          <cell r="A4740" t="str">
            <v>CARANTIA</v>
          </cell>
          <cell r="B4740">
            <v>202412</v>
          </cell>
          <cell r="D4740" t="str">
            <v>Vida Ahorro Particular</v>
          </cell>
          <cell r="G4740" t="str">
            <v>Real</v>
          </cell>
        </row>
        <row r="4741">
          <cell r="A4741" t="str">
            <v>CARANTIA</v>
          </cell>
          <cell r="B4741">
            <v>202412</v>
          </cell>
          <cell r="D4741" t="str">
            <v>Vida Riesgo Colectivo</v>
          </cell>
          <cell r="G4741" t="str">
            <v>Real</v>
          </cell>
        </row>
        <row r="4742">
          <cell r="A4742" t="str">
            <v>CARANTIA</v>
          </cell>
          <cell r="B4742">
            <v>202412</v>
          </cell>
          <cell r="D4742" t="str">
            <v>Vida Riesgo Particular</v>
          </cell>
          <cell r="G4742" t="str">
            <v>Real</v>
          </cell>
        </row>
        <row r="4743">
          <cell r="A4743" t="str">
            <v>CARANTIA</v>
          </cell>
          <cell r="B4743">
            <v>202501</v>
          </cell>
          <cell r="D4743" t="str">
            <v>--</v>
          </cell>
          <cell r="G4743" t="str">
            <v>Presupuesto</v>
          </cell>
        </row>
        <row r="4744">
          <cell r="A4744" t="str">
            <v>CARANTIA</v>
          </cell>
          <cell r="B4744">
            <v>202501</v>
          </cell>
          <cell r="D4744" t="str">
            <v>--</v>
          </cell>
          <cell r="G4744" t="str">
            <v>Real</v>
          </cell>
        </row>
        <row r="4745">
          <cell r="A4745" t="str">
            <v>CARANTIA</v>
          </cell>
          <cell r="B4745">
            <v>202501</v>
          </cell>
          <cell r="D4745" t="str">
            <v>Arte</v>
          </cell>
          <cell r="G4745" t="str">
            <v>Presupuesto</v>
          </cell>
        </row>
        <row r="4746">
          <cell r="A4746" t="str">
            <v>CARANTIA</v>
          </cell>
          <cell r="B4746">
            <v>202501</v>
          </cell>
          <cell r="D4746" t="str">
            <v>Autos</v>
          </cell>
          <cell r="G4746" t="str">
            <v>Presupuesto</v>
          </cell>
        </row>
        <row r="4747">
          <cell r="A4747" t="str">
            <v>CARANTIA</v>
          </cell>
          <cell r="B4747">
            <v>202501</v>
          </cell>
          <cell r="D4747" t="str">
            <v>Autos</v>
          </cell>
          <cell r="G4747" t="str">
            <v>Real</v>
          </cell>
        </row>
        <row r="4748">
          <cell r="A4748" t="str">
            <v>CARANTIA</v>
          </cell>
          <cell r="B4748">
            <v>202501</v>
          </cell>
          <cell r="D4748" t="str">
            <v>B2B2C</v>
          </cell>
          <cell r="G4748" t="str">
            <v>Presupuesto</v>
          </cell>
        </row>
        <row r="4749">
          <cell r="A4749" t="str">
            <v>CARANTIA</v>
          </cell>
          <cell r="B4749">
            <v>202501</v>
          </cell>
          <cell r="D4749" t="str">
            <v>Caución</v>
          </cell>
          <cell r="G4749" t="str">
            <v>Presupuesto</v>
          </cell>
        </row>
        <row r="4750">
          <cell r="A4750" t="str">
            <v>CARANTIA</v>
          </cell>
          <cell r="B4750">
            <v>202501</v>
          </cell>
          <cell r="D4750" t="str">
            <v>Caución</v>
          </cell>
          <cell r="G4750" t="str">
            <v>Real</v>
          </cell>
        </row>
        <row r="4751">
          <cell r="A4751" t="str">
            <v>CARANTIA</v>
          </cell>
          <cell r="B4751">
            <v>202501</v>
          </cell>
          <cell r="D4751" t="str">
            <v>Crédito Internacional</v>
          </cell>
          <cell r="G4751" t="str">
            <v>Presupuesto</v>
          </cell>
        </row>
        <row r="4752">
          <cell r="A4752" t="str">
            <v>CARANTIA</v>
          </cell>
          <cell r="B4752">
            <v>202501</v>
          </cell>
          <cell r="D4752" t="str">
            <v>Crédito Nacional</v>
          </cell>
          <cell r="G4752" t="str">
            <v>Presupuesto</v>
          </cell>
        </row>
        <row r="4753">
          <cell r="A4753" t="str">
            <v>CARANTIA</v>
          </cell>
          <cell r="B4753">
            <v>202501</v>
          </cell>
          <cell r="D4753" t="str">
            <v>Eventos</v>
          </cell>
          <cell r="G4753" t="str">
            <v>Presupuesto</v>
          </cell>
        </row>
        <row r="4754">
          <cell r="A4754" t="str">
            <v>CARANTIA</v>
          </cell>
          <cell r="B4754">
            <v>202501</v>
          </cell>
          <cell r="D4754" t="str">
            <v>Eventos</v>
          </cell>
          <cell r="G4754" t="str">
            <v>Real</v>
          </cell>
        </row>
        <row r="4755">
          <cell r="A4755" t="str">
            <v>CARANTIA</v>
          </cell>
          <cell r="B4755">
            <v>202501</v>
          </cell>
          <cell r="D4755" t="str">
            <v>Flotas</v>
          </cell>
          <cell r="G4755" t="str">
            <v>Presupuesto</v>
          </cell>
        </row>
        <row r="4756">
          <cell r="A4756" t="str">
            <v>CARANTIA</v>
          </cell>
          <cell r="B4756">
            <v>202501</v>
          </cell>
          <cell r="D4756" t="str">
            <v>Flotas</v>
          </cell>
          <cell r="G4756" t="str">
            <v>Real</v>
          </cell>
        </row>
        <row r="4757">
          <cell r="A4757" t="str">
            <v>CARANTIA</v>
          </cell>
          <cell r="B4757">
            <v>202501</v>
          </cell>
          <cell r="D4757" t="str">
            <v>Hogar</v>
          </cell>
          <cell r="G4757" t="str">
            <v>Presupuesto</v>
          </cell>
        </row>
        <row r="4758">
          <cell r="A4758" t="str">
            <v>CARANTIA</v>
          </cell>
          <cell r="B4758">
            <v>202501</v>
          </cell>
          <cell r="D4758" t="str">
            <v>Hogar</v>
          </cell>
          <cell r="G4758" t="str">
            <v>Real</v>
          </cell>
        </row>
        <row r="4759">
          <cell r="A4759" t="str">
            <v>CARANTIA</v>
          </cell>
          <cell r="B4759">
            <v>202501</v>
          </cell>
          <cell r="D4759" t="str">
            <v>Ingeniería</v>
          </cell>
          <cell r="G4759" t="str">
            <v>Presupuesto</v>
          </cell>
        </row>
        <row r="4760">
          <cell r="A4760" t="str">
            <v>CARANTIA</v>
          </cell>
          <cell r="B4760">
            <v>202501</v>
          </cell>
          <cell r="D4760" t="str">
            <v>Ingeniería</v>
          </cell>
          <cell r="G4760" t="str">
            <v>Real</v>
          </cell>
        </row>
        <row r="4761">
          <cell r="A4761" t="str">
            <v>CARANTIA</v>
          </cell>
          <cell r="B4761">
            <v>202501</v>
          </cell>
          <cell r="D4761" t="str">
            <v>Inmobiliario</v>
          </cell>
          <cell r="G4761" t="str">
            <v>Presupuesto</v>
          </cell>
        </row>
        <row r="4762">
          <cell r="A4762" t="str">
            <v>CARANTIA</v>
          </cell>
          <cell r="B4762">
            <v>202501</v>
          </cell>
          <cell r="D4762" t="str">
            <v>Inmobiliario</v>
          </cell>
          <cell r="G4762" t="str">
            <v>Real</v>
          </cell>
        </row>
        <row r="4763">
          <cell r="A4763" t="str">
            <v>CARANTIA</v>
          </cell>
          <cell r="B4763">
            <v>202501</v>
          </cell>
          <cell r="D4763" t="str">
            <v>Líneas Financieras</v>
          </cell>
          <cell r="G4763" t="str">
            <v>Presupuesto</v>
          </cell>
        </row>
        <row r="4764">
          <cell r="A4764" t="str">
            <v>CARANTIA</v>
          </cell>
          <cell r="B4764">
            <v>202501</v>
          </cell>
          <cell r="D4764" t="str">
            <v>Líneas Financieras</v>
          </cell>
          <cell r="G4764" t="str">
            <v>Real</v>
          </cell>
        </row>
        <row r="4765">
          <cell r="A4765" t="str">
            <v>CARANTIA</v>
          </cell>
          <cell r="B4765">
            <v>202501</v>
          </cell>
          <cell r="D4765" t="str">
            <v>Náutica</v>
          </cell>
          <cell r="G4765" t="str">
            <v>Presupuesto</v>
          </cell>
        </row>
        <row r="4766">
          <cell r="A4766" t="str">
            <v>CARANTIA</v>
          </cell>
          <cell r="B4766">
            <v>202501</v>
          </cell>
          <cell r="D4766" t="str">
            <v>Náutica</v>
          </cell>
          <cell r="G4766" t="str">
            <v>Real</v>
          </cell>
        </row>
        <row r="4767">
          <cell r="A4767" t="str">
            <v>CARANTIA</v>
          </cell>
          <cell r="B4767">
            <v>202501</v>
          </cell>
          <cell r="D4767" t="str">
            <v>Particulares Resto</v>
          </cell>
          <cell r="G4767" t="str">
            <v>Presupuesto</v>
          </cell>
        </row>
        <row r="4768">
          <cell r="A4768" t="str">
            <v>CARANTIA</v>
          </cell>
          <cell r="B4768">
            <v>202501</v>
          </cell>
          <cell r="D4768" t="str">
            <v>Particulares Resto</v>
          </cell>
          <cell r="G4768" t="str">
            <v>Real</v>
          </cell>
        </row>
        <row r="4769">
          <cell r="A4769" t="str">
            <v>CARANTIA</v>
          </cell>
          <cell r="B4769">
            <v>202501</v>
          </cell>
          <cell r="D4769" t="str">
            <v>Property</v>
          </cell>
          <cell r="G4769" t="str">
            <v>Presupuesto</v>
          </cell>
        </row>
        <row r="4770">
          <cell r="A4770" t="str">
            <v>CARANTIA</v>
          </cell>
          <cell r="B4770">
            <v>202501</v>
          </cell>
          <cell r="D4770" t="str">
            <v>Property</v>
          </cell>
          <cell r="G4770" t="str">
            <v>Real</v>
          </cell>
        </row>
        <row r="4771">
          <cell r="A4771" t="str">
            <v>CARANTIA</v>
          </cell>
          <cell r="B4771">
            <v>202501</v>
          </cell>
          <cell r="D4771" t="str">
            <v>RC</v>
          </cell>
          <cell r="G4771" t="str">
            <v>Presupuesto</v>
          </cell>
        </row>
        <row r="4772">
          <cell r="A4772" t="str">
            <v>CARANTIA</v>
          </cell>
          <cell r="B4772">
            <v>202501</v>
          </cell>
          <cell r="D4772" t="str">
            <v>RC</v>
          </cell>
          <cell r="G4772" t="str">
            <v>Real</v>
          </cell>
        </row>
        <row r="4773">
          <cell r="A4773" t="str">
            <v>CARANTIA</v>
          </cell>
          <cell r="B4773">
            <v>202501</v>
          </cell>
          <cell r="D4773" t="str">
            <v>Resto de lineas</v>
          </cell>
          <cell r="G4773" t="str">
            <v>Presupuesto</v>
          </cell>
        </row>
        <row r="4774">
          <cell r="A4774" t="str">
            <v>CARANTIA</v>
          </cell>
          <cell r="B4774">
            <v>202501</v>
          </cell>
          <cell r="D4774" t="str">
            <v>Retirada</v>
          </cell>
          <cell r="G4774" t="str">
            <v>Presupuesto</v>
          </cell>
        </row>
        <row r="4775">
          <cell r="A4775" t="str">
            <v>CARANTIA</v>
          </cell>
          <cell r="B4775">
            <v>202501</v>
          </cell>
          <cell r="D4775" t="str">
            <v>Seguros Personales (No Vida) Colectivos</v>
          </cell>
          <cell r="G4775" t="str">
            <v>Presupuesto</v>
          </cell>
        </row>
        <row r="4776">
          <cell r="A4776" t="str">
            <v>CARANTIA</v>
          </cell>
          <cell r="B4776">
            <v>202501</v>
          </cell>
          <cell r="D4776" t="str">
            <v>Seguros Personales (No Vida) Colectivos</v>
          </cell>
          <cell r="G4776" t="str">
            <v>Real</v>
          </cell>
        </row>
        <row r="4777">
          <cell r="A4777" t="str">
            <v>CARANTIA</v>
          </cell>
          <cell r="B4777">
            <v>202501</v>
          </cell>
          <cell r="D4777" t="str">
            <v>Seguros Personales (No Vida) Particular</v>
          </cell>
          <cell r="G4777" t="str">
            <v>Presupuesto</v>
          </cell>
        </row>
        <row r="4778">
          <cell r="A4778" t="str">
            <v>CARANTIA</v>
          </cell>
          <cell r="B4778">
            <v>202501</v>
          </cell>
          <cell r="D4778" t="str">
            <v>Seguros Personales (No Vida) Particular</v>
          </cell>
          <cell r="G4778" t="str">
            <v>Real</v>
          </cell>
        </row>
        <row r="4779">
          <cell r="A4779" t="str">
            <v>CARANTIA</v>
          </cell>
          <cell r="B4779">
            <v>202501</v>
          </cell>
          <cell r="D4779" t="str">
            <v>Transporte</v>
          </cell>
          <cell r="G4779" t="str">
            <v>Presupuesto</v>
          </cell>
        </row>
        <row r="4780">
          <cell r="A4780" t="str">
            <v>CARANTIA</v>
          </cell>
          <cell r="B4780">
            <v>202501</v>
          </cell>
          <cell r="D4780" t="str">
            <v>Transporte</v>
          </cell>
          <cell r="G4780" t="str">
            <v>Real</v>
          </cell>
        </row>
        <row r="4781">
          <cell r="A4781" t="str">
            <v>CARANTIA</v>
          </cell>
          <cell r="B4781">
            <v>202501</v>
          </cell>
          <cell r="D4781" t="str">
            <v>Venta Cruzada</v>
          </cell>
          <cell r="G4781" t="str">
            <v>Presupuesto</v>
          </cell>
        </row>
        <row r="4782">
          <cell r="A4782" t="str">
            <v>CARANTIA</v>
          </cell>
          <cell r="B4782">
            <v>202501</v>
          </cell>
          <cell r="D4782" t="str">
            <v>Venta Cruzada</v>
          </cell>
          <cell r="G4782" t="str">
            <v>Real</v>
          </cell>
        </row>
        <row r="4783">
          <cell r="A4783" t="str">
            <v>CARANTIA</v>
          </cell>
          <cell r="B4783">
            <v>202501</v>
          </cell>
          <cell r="D4783" t="str">
            <v>Vida Ahorro Colectivo</v>
          </cell>
          <cell r="G4783" t="str">
            <v>Presupuesto</v>
          </cell>
        </row>
        <row r="4784">
          <cell r="A4784" t="str">
            <v>CARANTIA</v>
          </cell>
          <cell r="B4784">
            <v>202501</v>
          </cell>
          <cell r="D4784" t="str">
            <v>Vida Ahorro Particular</v>
          </cell>
          <cell r="G4784" t="str">
            <v>Presupuesto</v>
          </cell>
        </row>
        <row r="4785">
          <cell r="A4785" t="str">
            <v>CARANTIA</v>
          </cell>
          <cell r="B4785">
            <v>202501</v>
          </cell>
          <cell r="D4785" t="str">
            <v>Vida Ahorro Particular</v>
          </cell>
          <cell r="G4785" t="str">
            <v>Real</v>
          </cell>
        </row>
        <row r="4786">
          <cell r="A4786" t="str">
            <v>CARANTIA</v>
          </cell>
          <cell r="B4786">
            <v>202501</v>
          </cell>
          <cell r="D4786" t="str">
            <v>Vida Ganado</v>
          </cell>
          <cell r="G4786" t="str">
            <v>Presupuesto</v>
          </cell>
        </row>
        <row r="4787">
          <cell r="A4787" t="str">
            <v>CARANTIA</v>
          </cell>
          <cell r="B4787">
            <v>202501</v>
          </cell>
          <cell r="D4787" t="str">
            <v>Vida Riesgo Colectivo</v>
          </cell>
          <cell r="G4787" t="str">
            <v>Presupuesto</v>
          </cell>
        </row>
        <row r="4788">
          <cell r="A4788" t="str">
            <v>CARANTIA</v>
          </cell>
          <cell r="B4788">
            <v>202501</v>
          </cell>
          <cell r="D4788" t="str">
            <v>Vida Riesgo Colectivo</v>
          </cell>
          <cell r="G4788" t="str">
            <v>Real</v>
          </cell>
        </row>
        <row r="4789">
          <cell r="A4789" t="str">
            <v>CARANTIA</v>
          </cell>
          <cell r="B4789">
            <v>202501</v>
          </cell>
          <cell r="D4789" t="str">
            <v>Vida Riesgo Particular</v>
          </cell>
          <cell r="G4789" t="str">
            <v>Presupuesto</v>
          </cell>
        </row>
        <row r="4790">
          <cell r="A4790" t="str">
            <v>CARANTIA</v>
          </cell>
          <cell r="B4790">
            <v>202501</v>
          </cell>
          <cell r="D4790" t="str">
            <v>Vida Riesgo Particular</v>
          </cell>
          <cell r="G4790" t="str">
            <v>Real</v>
          </cell>
        </row>
        <row r="4791">
          <cell r="A4791" t="str">
            <v>CARANTIA</v>
          </cell>
          <cell r="B4791">
            <v>202502</v>
          </cell>
          <cell r="D4791" t="str">
            <v>--</v>
          </cell>
          <cell r="G4791" t="str">
            <v>Presupuesto</v>
          </cell>
        </row>
        <row r="4792">
          <cell r="A4792" t="str">
            <v>CARANTIA</v>
          </cell>
          <cell r="B4792">
            <v>202502</v>
          </cell>
          <cell r="D4792" t="str">
            <v>--</v>
          </cell>
          <cell r="G4792" t="str">
            <v>Real</v>
          </cell>
        </row>
        <row r="4793">
          <cell r="A4793" t="str">
            <v>CARANTIA</v>
          </cell>
          <cell r="B4793">
            <v>202502</v>
          </cell>
          <cell r="D4793" t="str">
            <v>Arte</v>
          </cell>
          <cell r="G4793" t="str">
            <v>Presupuesto</v>
          </cell>
        </row>
        <row r="4794">
          <cell r="A4794" t="str">
            <v>CARANTIA</v>
          </cell>
          <cell r="B4794">
            <v>202502</v>
          </cell>
          <cell r="D4794" t="str">
            <v>Autos</v>
          </cell>
          <cell r="G4794" t="str">
            <v>Presupuesto</v>
          </cell>
        </row>
        <row r="4795">
          <cell r="A4795" t="str">
            <v>CARANTIA</v>
          </cell>
          <cell r="B4795">
            <v>202502</v>
          </cell>
          <cell r="D4795" t="str">
            <v>Autos</v>
          </cell>
          <cell r="G4795" t="str">
            <v>Real</v>
          </cell>
        </row>
        <row r="4796">
          <cell r="A4796" t="str">
            <v>CARANTIA</v>
          </cell>
          <cell r="B4796">
            <v>202502</v>
          </cell>
          <cell r="D4796" t="str">
            <v>B2B2C</v>
          </cell>
          <cell r="G4796" t="str">
            <v>Presupuesto</v>
          </cell>
        </row>
        <row r="4797">
          <cell r="A4797" t="str">
            <v>CARANTIA</v>
          </cell>
          <cell r="B4797">
            <v>202502</v>
          </cell>
          <cell r="D4797" t="str">
            <v>Caución</v>
          </cell>
          <cell r="G4797" t="str">
            <v>Presupuesto</v>
          </cell>
        </row>
        <row r="4798">
          <cell r="A4798" t="str">
            <v>CARANTIA</v>
          </cell>
          <cell r="B4798">
            <v>202502</v>
          </cell>
          <cell r="D4798" t="str">
            <v>Caución</v>
          </cell>
          <cell r="G4798" t="str">
            <v>Real</v>
          </cell>
        </row>
        <row r="4799">
          <cell r="A4799" t="str">
            <v>CARANTIA</v>
          </cell>
          <cell r="B4799">
            <v>202502</v>
          </cell>
          <cell r="D4799" t="str">
            <v>Crédito Internacional</v>
          </cell>
          <cell r="G4799" t="str">
            <v>Presupuesto</v>
          </cell>
        </row>
        <row r="4800">
          <cell r="A4800" t="str">
            <v>CARANTIA</v>
          </cell>
          <cell r="B4800">
            <v>202502</v>
          </cell>
          <cell r="D4800" t="str">
            <v>Crédito Nacional</v>
          </cell>
          <cell r="G4800" t="str">
            <v>Presupuesto</v>
          </cell>
        </row>
        <row r="4801">
          <cell r="A4801" t="str">
            <v>CARANTIA</v>
          </cell>
          <cell r="B4801">
            <v>202502</v>
          </cell>
          <cell r="D4801" t="str">
            <v>Eventos</v>
          </cell>
          <cell r="G4801" t="str">
            <v>Presupuesto</v>
          </cell>
        </row>
        <row r="4802">
          <cell r="A4802" t="str">
            <v>CARANTIA</v>
          </cell>
          <cell r="B4802">
            <v>202502</v>
          </cell>
          <cell r="D4802" t="str">
            <v>Eventos</v>
          </cell>
          <cell r="G4802" t="str">
            <v>Real</v>
          </cell>
        </row>
        <row r="4803">
          <cell r="A4803" t="str">
            <v>CARANTIA</v>
          </cell>
          <cell r="B4803">
            <v>202502</v>
          </cell>
          <cell r="D4803" t="str">
            <v>Flotas</v>
          </cell>
          <cell r="G4803" t="str">
            <v>Presupuesto</v>
          </cell>
        </row>
        <row r="4804">
          <cell r="A4804" t="str">
            <v>CARANTIA</v>
          </cell>
          <cell r="B4804">
            <v>202502</v>
          </cell>
          <cell r="D4804" t="str">
            <v>Flotas</v>
          </cell>
          <cell r="G4804" t="str">
            <v>Real</v>
          </cell>
        </row>
        <row r="4805">
          <cell r="A4805" t="str">
            <v>CARANTIA</v>
          </cell>
          <cell r="B4805">
            <v>202502</v>
          </cell>
          <cell r="D4805" t="str">
            <v>Hogar</v>
          </cell>
          <cell r="G4805" t="str">
            <v>Presupuesto</v>
          </cell>
        </row>
        <row r="4806">
          <cell r="A4806" t="str">
            <v>CARANTIA</v>
          </cell>
          <cell r="B4806">
            <v>202502</v>
          </cell>
          <cell r="D4806" t="str">
            <v>Hogar</v>
          </cell>
          <cell r="G4806" t="str">
            <v>Real</v>
          </cell>
        </row>
        <row r="4807">
          <cell r="A4807" t="str">
            <v>CARANTIA</v>
          </cell>
          <cell r="B4807">
            <v>202502</v>
          </cell>
          <cell r="D4807" t="str">
            <v>Ingeniería</v>
          </cell>
          <cell r="G4807" t="str">
            <v>Presupuesto</v>
          </cell>
        </row>
        <row r="4808">
          <cell r="A4808" t="str">
            <v>CARANTIA</v>
          </cell>
          <cell r="B4808">
            <v>202502</v>
          </cell>
          <cell r="D4808" t="str">
            <v>Ingeniería</v>
          </cell>
          <cell r="G4808" t="str">
            <v>Real</v>
          </cell>
        </row>
        <row r="4809">
          <cell r="A4809" t="str">
            <v>CARANTIA</v>
          </cell>
          <cell r="B4809">
            <v>202502</v>
          </cell>
          <cell r="D4809" t="str">
            <v>Inmobiliario</v>
          </cell>
          <cell r="G4809" t="str">
            <v>Presupuesto</v>
          </cell>
        </row>
        <row r="4810">
          <cell r="A4810" t="str">
            <v>CARANTIA</v>
          </cell>
          <cell r="B4810">
            <v>202502</v>
          </cell>
          <cell r="D4810" t="str">
            <v>Inmobiliario</v>
          </cell>
          <cell r="G4810" t="str">
            <v>Real</v>
          </cell>
        </row>
        <row r="4811">
          <cell r="A4811" t="str">
            <v>CARANTIA</v>
          </cell>
          <cell r="B4811">
            <v>202502</v>
          </cell>
          <cell r="D4811" t="str">
            <v>Líneas Financieras</v>
          </cell>
          <cell r="G4811" t="str">
            <v>Presupuesto</v>
          </cell>
        </row>
        <row r="4812">
          <cell r="A4812" t="str">
            <v>CARANTIA</v>
          </cell>
          <cell r="B4812">
            <v>202502</v>
          </cell>
          <cell r="D4812" t="str">
            <v>Líneas Financieras</v>
          </cell>
          <cell r="G4812" t="str">
            <v>Real</v>
          </cell>
        </row>
        <row r="4813">
          <cell r="A4813" t="str">
            <v>CARANTIA</v>
          </cell>
          <cell r="B4813">
            <v>202502</v>
          </cell>
          <cell r="D4813" t="str">
            <v>Náutica</v>
          </cell>
          <cell r="G4813" t="str">
            <v>Presupuesto</v>
          </cell>
        </row>
        <row r="4814">
          <cell r="A4814" t="str">
            <v>CARANTIA</v>
          </cell>
          <cell r="B4814">
            <v>202502</v>
          </cell>
          <cell r="D4814" t="str">
            <v>Náutica</v>
          </cell>
          <cell r="G4814" t="str">
            <v>Real</v>
          </cell>
        </row>
        <row r="4815">
          <cell r="A4815" t="str">
            <v>CARANTIA</v>
          </cell>
          <cell r="B4815">
            <v>202502</v>
          </cell>
          <cell r="D4815" t="str">
            <v>Particulares Resto</v>
          </cell>
          <cell r="G4815" t="str">
            <v>Presupuesto</v>
          </cell>
        </row>
        <row r="4816">
          <cell r="A4816" t="str">
            <v>CARANTIA</v>
          </cell>
          <cell r="B4816">
            <v>202502</v>
          </cell>
          <cell r="D4816" t="str">
            <v>Particulares Resto</v>
          </cell>
          <cell r="G4816" t="str">
            <v>Real</v>
          </cell>
        </row>
        <row r="4817">
          <cell r="A4817" t="str">
            <v>CARANTIA</v>
          </cell>
          <cell r="B4817">
            <v>202502</v>
          </cell>
          <cell r="D4817" t="str">
            <v>Property</v>
          </cell>
          <cell r="G4817" t="str">
            <v>Presupuesto</v>
          </cell>
        </row>
        <row r="4818">
          <cell r="A4818" t="str">
            <v>CARANTIA</v>
          </cell>
          <cell r="B4818">
            <v>202502</v>
          </cell>
          <cell r="D4818" t="str">
            <v>Property</v>
          </cell>
          <cell r="G4818" t="str">
            <v>Real</v>
          </cell>
        </row>
        <row r="4819">
          <cell r="A4819" t="str">
            <v>CARANTIA</v>
          </cell>
          <cell r="B4819">
            <v>202502</v>
          </cell>
          <cell r="D4819" t="str">
            <v>RC</v>
          </cell>
          <cell r="G4819" t="str">
            <v>Presupuesto</v>
          </cell>
        </row>
        <row r="4820">
          <cell r="A4820" t="str">
            <v>CARANTIA</v>
          </cell>
          <cell r="B4820">
            <v>202502</v>
          </cell>
          <cell r="D4820" t="str">
            <v>RC</v>
          </cell>
          <cell r="G4820" t="str">
            <v>Real</v>
          </cell>
        </row>
        <row r="4821">
          <cell r="A4821" t="str">
            <v>CARANTIA</v>
          </cell>
          <cell r="B4821">
            <v>202502</v>
          </cell>
          <cell r="D4821" t="str">
            <v>Resto de lineas</v>
          </cell>
          <cell r="G4821" t="str">
            <v>Presupuesto</v>
          </cell>
        </row>
        <row r="4822">
          <cell r="A4822" t="str">
            <v>CARANTIA</v>
          </cell>
          <cell r="B4822">
            <v>202502</v>
          </cell>
          <cell r="D4822" t="str">
            <v>Retirada</v>
          </cell>
          <cell r="G4822" t="str">
            <v>Presupuesto</v>
          </cell>
        </row>
        <row r="4823">
          <cell r="A4823" t="str">
            <v>CARANTIA</v>
          </cell>
          <cell r="B4823">
            <v>202502</v>
          </cell>
          <cell r="D4823" t="str">
            <v>Seguros Personales (No Vida) Colectivos</v>
          </cell>
          <cell r="G4823" t="str">
            <v>Presupuesto</v>
          </cell>
        </row>
        <row r="4824">
          <cell r="A4824" t="str">
            <v>CARANTIA</v>
          </cell>
          <cell r="B4824">
            <v>202502</v>
          </cell>
          <cell r="D4824" t="str">
            <v>Seguros Personales (No Vida) Colectivos</v>
          </cell>
          <cell r="G4824" t="str">
            <v>Real</v>
          </cell>
        </row>
        <row r="4825">
          <cell r="A4825" t="str">
            <v>CARANTIA</v>
          </cell>
          <cell r="B4825">
            <v>202502</v>
          </cell>
          <cell r="D4825" t="str">
            <v>Seguros Personales (No Vida) Particular</v>
          </cell>
          <cell r="G4825" t="str">
            <v>Presupuesto</v>
          </cell>
        </row>
        <row r="4826">
          <cell r="A4826" t="str">
            <v>CARANTIA</v>
          </cell>
          <cell r="B4826">
            <v>202502</v>
          </cell>
          <cell r="D4826" t="str">
            <v>Seguros Personales (No Vida) Particular</v>
          </cell>
          <cell r="G4826" t="str">
            <v>Real</v>
          </cell>
        </row>
        <row r="4827">
          <cell r="A4827" t="str">
            <v>CARANTIA</v>
          </cell>
          <cell r="B4827">
            <v>202502</v>
          </cell>
          <cell r="D4827" t="str">
            <v>Transporte</v>
          </cell>
          <cell r="G4827" t="str">
            <v>Presupuesto</v>
          </cell>
        </row>
        <row r="4828">
          <cell r="A4828" t="str">
            <v>CARANTIA</v>
          </cell>
          <cell r="B4828">
            <v>202502</v>
          </cell>
          <cell r="D4828" t="str">
            <v>Transporte</v>
          </cell>
          <cell r="G4828" t="str">
            <v>Real</v>
          </cell>
        </row>
        <row r="4829">
          <cell r="A4829" t="str">
            <v>CARANTIA</v>
          </cell>
          <cell r="B4829">
            <v>202502</v>
          </cell>
          <cell r="D4829" t="str">
            <v>Venta Cruzada</v>
          </cell>
          <cell r="G4829" t="str">
            <v>Presupuesto</v>
          </cell>
        </row>
        <row r="4830">
          <cell r="A4830" t="str">
            <v>CARANTIA</v>
          </cell>
          <cell r="B4830">
            <v>202502</v>
          </cell>
          <cell r="D4830" t="str">
            <v>Venta Cruzada</v>
          </cell>
          <cell r="G4830" t="str">
            <v>Real</v>
          </cell>
        </row>
        <row r="4831">
          <cell r="A4831" t="str">
            <v>CARANTIA</v>
          </cell>
          <cell r="B4831">
            <v>202502</v>
          </cell>
          <cell r="D4831" t="str">
            <v>Vida Ahorro Colectivo</v>
          </cell>
          <cell r="G4831" t="str">
            <v>Presupuesto</v>
          </cell>
        </row>
        <row r="4832">
          <cell r="A4832" t="str">
            <v>CARANTIA</v>
          </cell>
          <cell r="B4832">
            <v>202502</v>
          </cell>
          <cell r="D4832" t="str">
            <v>Vida Ahorro Particular</v>
          </cell>
          <cell r="G4832" t="str">
            <v>Presupuesto</v>
          </cell>
        </row>
        <row r="4833">
          <cell r="A4833" t="str">
            <v>CARANTIA</v>
          </cell>
          <cell r="B4833">
            <v>202502</v>
          </cell>
          <cell r="D4833" t="str">
            <v>Vida Ahorro Particular</v>
          </cell>
          <cell r="G4833" t="str">
            <v>Real</v>
          </cell>
        </row>
        <row r="4834">
          <cell r="A4834" t="str">
            <v>CARANTIA</v>
          </cell>
          <cell r="B4834">
            <v>202502</v>
          </cell>
          <cell r="D4834" t="str">
            <v>Vida Ganado</v>
          </cell>
          <cell r="G4834" t="str">
            <v>Presupuesto</v>
          </cell>
        </row>
        <row r="4835">
          <cell r="A4835" t="str">
            <v>CARANTIA</v>
          </cell>
          <cell r="B4835">
            <v>202502</v>
          </cell>
          <cell r="D4835" t="str">
            <v>Vida Riesgo Colectivo</v>
          </cell>
          <cell r="G4835" t="str">
            <v>Presupuesto</v>
          </cell>
        </row>
        <row r="4836">
          <cell r="A4836" t="str">
            <v>CARANTIA</v>
          </cell>
          <cell r="B4836">
            <v>202502</v>
          </cell>
          <cell r="D4836" t="str">
            <v>Vida Riesgo Colectivo</v>
          </cell>
          <cell r="G4836" t="str">
            <v>Real</v>
          </cell>
        </row>
        <row r="4837">
          <cell r="A4837" t="str">
            <v>CARANTIA</v>
          </cell>
          <cell r="B4837">
            <v>202502</v>
          </cell>
          <cell r="D4837" t="str">
            <v>Vida Riesgo Particular</v>
          </cell>
          <cell r="G4837" t="str">
            <v>Presupuesto</v>
          </cell>
        </row>
        <row r="4838">
          <cell r="A4838" t="str">
            <v>CARANTIA</v>
          </cell>
          <cell r="B4838">
            <v>202502</v>
          </cell>
          <cell r="D4838" t="str">
            <v>Vida Riesgo Particular</v>
          </cell>
          <cell r="G4838" t="str">
            <v>Real</v>
          </cell>
        </row>
        <row r="4839">
          <cell r="A4839" t="str">
            <v>CARANTIA</v>
          </cell>
          <cell r="B4839">
            <v>202503</v>
          </cell>
          <cell r="D4839" t="str">
            <v>--</v>
          </cell>
          <cell r="G4839" t="str">
            <v>Presupuesto</v>
          </cell>
        </row>
        <row r="4840">
          <cell r="A4840" t="str">
            <v>CARANTIA</v>
          </cell>
          <cell r="B4840">
            <v>202503</v>
          </cell>
          <cell r="D4840" t="str">
            <v>--</v>
          </cell>
          <cell r="G4840" t="str">
            <v>Real</v>
          </cell>
        </row>
        <row r="4841">
          <cell r="A4841" t="str">
            <v>CARANTIA</v>
          </cell>
          <cell r="B4841">
            <v>202503</v>
          </cell>
          <cell r="D4841" t="str">
            <v>Arte</v>
          </cell>
          <cell r="G4841" t="str">
            <v>Presupuesto</v>
          </cell>
        </row>
        <row r="4842">
          <cell r="A4842" t="str">
            <v>CARANTIA</v>
          </cell>
          <cell r="B4842">
            <v>202503</v>
          </cell>
          <cell r="D4842" t="str">
            <v>Autos</v>
          </cell>
          <cell r="G4842" t="str">
            <v>Presupuesto</v>
          </cell>
        </row>
        <row r="4843">
          <cell r="A4843" t="str">
            <v>CARANTIA</v>
          </cell>
          <cell r="B4843">
            <v>202503</v>
          </cell>
          <cell r="D4843" t="str">
            <v>Autos</v>
          </cell>
          <cell r="G4843" t="str">
            <v>Real</v>
          </cell>
        </row>
        <row r="4844">
          <cell r="A4844" t="str">
            <v>CARANTIA</v>
          </cell>
          <cell r="B4844">
            <v>202503</v>
          </cell>
          <cell r="D4844" t="str">
            <v>B2B2C</v>
          </cell>
          <cell r="G4844" t="str">
            <v>Presupuesto</v>
          </cell>
        </row>
        <row r="4845">
          <cell r="A4845" t="str">
            <v>CARANTIA</v>
          </cell>
          <cell r="B4845">
            <v>202503</v>
          </cell>
          <cell r="D4845" t="str">
            <v>Caución</v>
          </cell>
          <cell r="G4845" t="str">
            <v>Presupuesto</v>
          </cell>
        </row>
        <row r="4846">
          <cell r="A4846" t="str">
            <v>CARANTIA</v>
          </cell>
          <cell r="B4846">
            <v>202503</v>
          </cell>
          <cell r="D4846" t="str">
            <v>Caución</v>
          </cell>
          <cell r="G4846" t="str">
            <v>Real</v>
          </cell>
        </row>
        <row r="4847">
          <cell r="A4847" t="str">
            <v>CARANTIA</v>
          </cell>
          <cell r="B4847">
            <v>202503</v>
          </cell>
          <cell r="D4847" t="str">
            <v>Crédito Nacional</v>
          </cell>
          <cell r="G4847" t="str">
            <v>Real</v>
          </cell>
        </row>
        <row r="4848">
          <cell r="A4848" t="str">
            <v>CARANTIA</v>
          </cell>
          <cell r="B4848">
            <v>202503</v>
          </cell>
          <cell r="D4848" t="str">
            <v>Crédito Internacional</v>
          </cell>
          <cell r="G4848" t="str">
            <v>Presupuesto</v>
          </cell>
        </row>
        <row r="4849">
          <cell r="A4849" t="str">
            <v>CARANTIA</v>
          </cell>
          <cell r="B4849">
            <v>202503</v>
          </cell>
          <cell r="D4849" t="str">
            <v>Crédito Nacional</v>
          </cell>
          <cell r="G4849" t="str">
            <v>Presupuesto</v>
          </cell>
        </row>
        <row r="4850">
          <cell r="A4850" t="str">
            <v>CARANTIA</v>
          </cell>
          <cell r="B4850">
            <v>202503</v>
          </cell>
          <cell r="D4850" t="str">
            <v>Eventos</v>
          </cell>
          <cell r="G4850" t="str">
            <v>Presupuesto</v>
          </cell>
        </row>
        <row r="4851">
          <cell r="A4851" t="str">
            <v>CARANTIA</v>
          </cell>
          <cell r="B4851">
            <v>202503</v>
          </cell>
          <cell r="D4851" t="str">
            <v>Eventos</v>
          </cell>
          <cell r="G4851" t="str">
            <v>Real</v>
          </cell>
        </row>
        <row r="4852">
          <cell r="A4852" t="str">
            <v>CARANTIA</v>
          </cell>
          <cell r="B4852">
            <v>202503</v>
          </cell>
          <cell r="D4852" t="str">
            <v>Flotas</v>
          </cell>
          <cell r="G4852" t="str">
            <v>Presupuesto</v>
          </cell>
        </row>
        <row r="4853">
          <cell r="A4853" t="str">
            <v>CARANTIA</v>
          </cell>
          <cell r="B4853">
            <v>202503</v>
          </cell>
          <cell r="D4853" t="str">
            <v>Flotas</v>
          </cell>
          <cell r="G4853" t="str">
            <v>Real</v>
          </cell>
        </row>
        <row r="4854">
          <cell r="A4854" t="str">
            <v>CARANTIA</v>
          </cell>
          <cell r="B4854">
            <v>202503</v>
          </cell>
          <cell r="D4854" t="str">
            <v>Hogar</v>
          </cell>
          <cell r="G4854" t="str">
            <v>Presupuesto</v>
          </cell>
        </row>
        <row r="4855">
          <cell r="A4855" t="str">
            <v>CARANTIA</v>
          </cell>
          <cell r="B4855">
            <v>202503</v>
          </cell>
          <cell r="D4855" t="str">
            <v>Hogar</v>
          </cell>
          <cell r="G4855" t="str">
            <v>Real</v>
          </cell>
        </row>
        <row r="4856">
          <cell r="A4856" t="str">
            <v>CARANTIA</v>
          </cell>
          <cell r="B4856">
            <v>202503</v>
          </cell>
          <cell r="D4856" t="str">
            <v>Ingeniería</v>
          </cell>
          <cell r="G4856" t="str">
            <v>Presupuesto</v>
          </cell>
        </row>
        <row r="4857">
          <cell r="A4857" t="str">
            <v>CARANTIA</v>
          </cell>
          <cell r="B4857">
            <v>202503</v>
          </cell>
          <cell r="D4857" t="str">
            <v>Ingeniería</v>
          </cell>
          <cell r="G4857" t="str">
            <v>Real</v>
          </cell>
        </row>
        <row r="4858">
          <cell r="A4858" t="str">
            <v>CARANTIA</v>
          </cell>
          <cell r="B4858">
            <v>202503</v>
          </cell>
          <cell r="D4858" t="str">
            <v>Inmobiliario</v>
          </cell>
          <cell r="G4858" t="str">
            <v>Presupuesto</v>
          </cell>
        </row>
        <row r="4859">
          <cell r="A4859" t="str">
            <v>CARANTIA</v>
          </cell>
          <cell r="B4859">
            <v>202503</v>
          </cell>
          <cell r="D4859" t="str">
            <v>Inmobiliario</v>
          </cell>
          <cell r="G4859" t="str">
            <v>Real</v>
          </cell>
        </row>
        <row r="4860">
          <cell r="A4860" t="str">
            <v>CARANTIA</v>
          </cell>
          <cell r="B4860">
            <v>202503</v>
          </cell>
          <cell r="D4860" t="str">
            <v>Líneas Financieras</v>
          </cell>
          <cell r="G4860" t="str">
            <v>Presupuesto</v>
          </cell>
        </row>
        <row r="4861">
          <cell r="A4861" t="str">
            <v>CARANTIA</v>
          </cell>
          <cell r="B4861">
            <v>202503</v>
          </cell>
          <cell r="D4861" t="str">
            <v>Líneas Financieras</v>
          </cell>
          <cell r="G4861" t="str">
            <v>Real</v>
          </cell>
        </row>
        <row r="4862">
          <cell r="A4862" t="str">
            <v>CARANTIA</v>
          </cell>
          <cell r="B4862">
            <v>202503</v>
          </cell>
          <cell r="D4862" t="str">
            <v>Náutica</v>
          </cell>
          <cell r="G4862" t="str">
            <v>Presupuesto</v>
          </cell>
        </row>
        <row r="4863">
          <cell r="A4863" t="str">
            <v>CARANTIA</v>
          </cell>
          <cell r="B4863">
            <v>202503</v>
          </cell>
          <cell r="D4863" t="str">
            <v>Náutica</v>
          </cell>
          <cell r="G4863" t="str">
            <v>Real</v>
          </cell>
        </row>
        <row r="4864">
          <cell r="A4864" t="str">
            <v>CARANTIA</v>
          </cell>
          <cell r="B4864">
            <v>202503</v>
          </cell>
          <cell r="D4864" t="str">
            <v>Particulares Resto</v>
          </cell>
          <cell r="G4864" t="str">
            <v>Presupuesto</v>
          </cell>
        </row>
        <row r="4865">
          <cell r="A4865" t="str">
            <v>CARANTIA</v>
          </cell>
          <cell r="B4865">
            <v>202503</v>
          </cell>
          <cell r="D4865" t="str">
            <v>Particulares Resto</v>
          </cell>
          <cell r="G4865" t="str">
            <v>Real</v>
          </cell>
        </row>
        <row r="4866">
          <cell r="A4866" t="str">
            <v>CARANTIA</v>
          </cell>
          <cell r="B4866">
            <v>202503</v>
          </cell>
          <cell r="D4866" t="str">
            <v>Property</v>
          </cell>
          <cell r="G4866" t="str">
            <v>Presupuesto</v>
          </cell>
        </row>
        <row r="4867">
          <cell r="A4867" t="str">
            <v>CARANTIA</v>
          </cell>
          <cell r="B4867">
            <v>202503</v>
          </cell>
          <cell r="D4867" t="str">
            <v>Property</v>
          </cell>
          <cell r="G4867" t="str">
            <v>Real</v>
          </cell>
        </row>
        <row r="4868">
          <cell r="A4868" t="str">
            <v>CARANTIA</v>
          </cell>
          <cell r="B4868">
            <v>202503</v>
          </cell>
          <cell r="D4868" t="str">
            <v>RC</v>
          </cell>
          <cell r="G4868" t="str">
            <v>Presupuesto</v>
          </cell>
        </row>
        <row r="4869">
          <cell r="A4869" t="str">
            <v>CARANTIA</v>
          </cell>
          <cell r="B4869">
            <v>202503</v>
          </cell>
          <cell r="D4869" t="str">
            <v>RC</v>
          </cell>
          <cell r="G4869" t="str">
            <v>Real</v>
          </cell>
        </row>
        <row r="4870">
          <cell r="A4870" t="str">
            <v>CARANTIA</v>
          </cell>
          <cell r="B4870">
            <v>202503</v>
          </cell>
          <cell r="D4870" t="str">
            <v>Resto de lineas</v>
          </cell>
          <cell r="G4870" t="str">
            <v>Presupuesto</v>
          </cell>
        </row>
        <row r="4871">
          <cell r="A4871" t="str">
            <v>CARANTIA</v>
          </cell>
          <cell r="B4871">
            <v>202503</v>
          </cell>
          <cell r="D4871" t="str">
            <v>Resto de lineas</v>
          </cell>
          <cell r="G4871" t="str">
            <v>Real</v>
          </cell>
        </row>
        <row r="4872">
          <cell r="A4872" t="str">
            <v>CARANTIA</v>
          </cell>
          <cell r="B4872">
            <v>202503</v>
          </cell>
          <cell r="D4872" t="str">
            <v>Retirada</v>
          </cell>
          <cell r="G4872" t="str">
            <v>Presupuesto</v>
          </cell>
        </row>
        <row r="4873">
          <cell r="A4873" t="str">
            <v>CARANTIA</v>
          </cell>
          <cell r="B4873">
            <v>202503</v>
          </cell>
          <cell r="D4873" t="str">
            <v>Seguros Personales (No Vida) Colectivos</v>
          </cell>
          <cell r="G4873" t="str">
            <v>Presupuesto</v>
          </cell>
        </row>
        <row r="4874">
          <cell r="A4874" t="str">
            <v>CARANTIA</v>
          </cell>
          <cell r="B4874">
            <v>202503</v>
          </cell>
          <cell r="D4874" t="str">
            <v>Seguros Personales (No Vida) Colectivos</v>
          </cell>
          <cell r="G4874" t="str">
            <v>Real</v>
          </cell>
        </row>
        <row r="4875">
          <cell r="A4875" t="str">
            <v>CARANTIA</v>
          </cell>
          <cell r="B4875">
            <v>202503</v>
          </cell>
          <cell r="D4875" t="str">
            <v>Seguros Personales (No Vida) Particular</v>
          </cell>
          <cell r="G4875" t="str">
            <v>Presupuesto</v>
          </cell>
        </row>
        <row r="4876">
          <cell r="A4876" t="str">
            <v>CARANTIA</v>
          </cell>
          <cell r="B4876">
            <v>202503</v>
          </cell>
          <cell r="D4876" t="str">
            <v>Seguros Personales (No Vida) Particular</v>
          </cell>
          <cell r="G4876" t="str">
            <v>Real</v>
          </cell>
        </row>
        <row r="4877">
          <cell r="A4877" t="str">
            <v>CARANTIA</v>
          </cell>
          <cell r="B4877">
            <v>202503</v>
          </cell>
          <cell r="D4877" t="str">
            <v>Transporte</v>
          </cell>
          <cell r="G4877" t="str">
            <v>Presupuesto</v>
          </cell>
        </row>
        <row r="4878">
          <cell r="A4878" t="str">
            <v>CARANTIA</v>
          </cell>
          <cell r="B4878">
            <v>202503</v>
          </cell>
          <cell r="D4878" t="str">
            <v>Transporte</v>
          </cell>
          <cell r="G4878" t="str">
            <v>Real</v>
          </cell>
        </row>
        <row r="4879">
          <cell r="A4879" t="str">
            <v>CARANTIA</v>
          </cell>
          <cell r="B4879">
            <v>202503</v>
          </cell>
          <cell r="D4879" t="str">
            <v>Venta Cruzada</v>
          </cell>
          <cell r="G4879" t="str">
            <v>Presupuesto</v>
          </cell>
        </row>
        <row r="4880">
          <cell r="A4880" t="str">
            <v>CARANTIA</v>
          </cell>
          <cell r="B4880">
            <v>202503</v>
          </cell>
          <cell r="D4880" t="str">
            <v>Venta Cruzada</v>
          </cell>
          <cell r="G4880" t="str">
            <v>Real</v>
          </cell>
        </row>
        <row r="4881">
          <cell r="A4881" t="str">
            <v>CARANTIA</v>
          </cell>
          <cell r="B4881">
            <v>202503</v>
          </cell>
          <cell r="D4881" t="str">
            <v>Vida Ahorro Colectivo</v>
          </cell>
          <cell r="G4881" t="str">
            <v>Presupuesto</v>
          </cell>
        </row>
        <row r="4882">
          <cell r="A4882" t="str">
            <v>CARANTIA</v>
          </cell>
          <cell r="B4882">
            <v>202503</v>
          </cell>
          <cell r="D4882" t="str">
            <v>Vida Ahorro Particular</v>
          </cell>
          <cell r="G4882" t="str">
            <v>Presupuesto</v>
          </cell>
        </row>
        <row r="4883">
          <cell r="A4883" t="str">
            <v>CARANTIA</v>
          </cell>
          <cell r="B4883">
            <v>202503</v>
          </cell>
          <cell r="D4883" t="str">
            <v>Vida Ahorro Particular</v>
          </cell>
          <cell r="G4883" t="str">
            <v>Real</v>
          </cell>
        </row>
        <row r="4884">
          <cell r="A4884" t="str">
            <v>CARANTIA</v>
          </cell>
          <cell r="B4884">
            <v>202503</v>
          </cell>
          <cell r="D4884" t="str">
            <v>Vida Ganado</v>
          </cell>
          <cell r="G4884" t="str">
            <v>Presupuesto</v>
          </cell>
        </row>
        <row r="4885">
          <cell r="A4885" t="str">
            <v>CARANTIA</v>
          </cell>
          <cell r="B4885">
            <v>202503</v>
          </cell>
          <cell r="D4885" t="str">
            <v>Vida Riesgo Colectivo</v>
          </cell>
          <cell r="G4885" t="str">
            <v>Presupuesto</v>
          </cell>
        </row>
        <row r="4886">
          <cell r="A4886" t="str">
            <v>CARANTIA</v>
          </cell>
          <cell r="B4886">
            <v>202503</v>
          </cell>
          <cell r="D4886" t="str">
            <v>Vida Riesgo Colectivo</v>
          </cell>
          <cell r="G4886" t="str">
            <v>Real</v>
          </cell>
        </row>
        <row r="4887">
          <cell r="A4887" t="str">
            <v>CARANTIA</v>
          </cell>
          <cell r="B4887">
            <v>202503</v>
          </cell>
          <cell r="D4887" t="str">
            <v>Vida Riesgo Particular</v>
          </cell>
          <cell r="G4887" t="str">
            <v>Presupuesto</v>
          </cell>
        </row>
        <row r="4888">
          <cell r="A4888" t="str">
            <v>CARANTIA</v>
          </cell>
          <cell r="B4888">
            <v>202503</v>
          </cell>
          <cell r="D4888" t="str">
            <v>Vida Riesgo Particular</v>
          </cell>
          <cell r="G4888" t="str">
            <v>Real</v>
          </cell>
        </row>
        <row r="4889">
          <cell r="A4889" t="str">
            <v>CARANTIA</v>
          </cell>
          <cell r="B4889">
            <v>202504</v>
          </cell>
          <cell r="D4889" t="str">
            <v>--</v>
          </cell>
          <cell r="G4889" t="str">
            <v>Presupuesto</v>
          </cell>
        </row>
        <row r="4890">
          <cell r="A4890" t="str">
            <v>CARANTIA</v>
          </cell>
          <cell r="B4890">
            <v>202504</v>
          </cell>
          <cell r="D4890" t="str">
            <v>--</v>
          </cell>
          <cell r="G4890" t="str">
            <v>Presupuesto</v>
          </cell>
        </row>
        <row r="4891">
          <cell r="A4891" t="str">
            <v>CARANTIA</v>
          </cell>
          <cell r="B4891">
            <v>202504</v>
          </cell>
          <cell r="D4891" t="str">
            <v>--</v>
          </cell>
          <cell r="G4891" t="str">
            <v>Real</v>
          </cell>
        </row>
        <row r="4892">
          <cell r="A4892" t="str">
            <v>CARANTIA</v>
          </cell>
          <cell r="B4892">
            <v>202504</v>
          </cell>
          <cell r="D4892" t="str">
            <v>Arte</v>
          </cell>
          <cell r="G4892" t="str">
            <v>Presupuesto</v>
          </cell>
        </row>
        <row r="4893">
          <cell r="A4893" t="str">
            <v>CARANTIA</v>
          </cell>
          <cell r="B4893">
            <v>202504</v>
          </cell>
          <cell r="D4893" t="str">
            <v>Autos</v>
          </cell>
          <cell r="G4893" t="str">
            <v>Presupuesto</v>
          </cell>
        </row>
        <row r="4894">
          <cell r="A4894" t="str">
            <v>CARANTIA</v>
          </cell>
          <cell r="B4894">
            <v>202504</v>
          </cell>
          <cell r="D4894" t="str">
            <v>Autos</v>
          </cell>
          <cell r="G4894" t="str">
            <v>Real</v>
          </cell>
        </row>
        <row r="4895">
          <cell r="A4895" t="str">
            <v>CARANTIA</v>
          </cell>
          <cell r="B4895">
            <v>202504</v>
          </cell>
          <cell r="D4895" t="str">
            <v>B2B2C</v>
          </cell>
          <cell r="G4895" t="str">
            <v>Presupuesto</v>
          </cell>
        </row>
        <row r="4896">
          <cell r="A4896" t="str">
            <v>CARANTIA</v>
          </cell>
          <cell r="B4896">
            <v>202504</v>
          </cell>
          <cell r="D4896" t="str">
            <v>Caución</v>
          </cell>
          <cell r="G4896" t="str">
            <v>Presupuesto</v>
          </cell>
        </row>
        <row r="4897">
          <cell r="A4897" t="str">
            <v>CARANTIA</v>
          </cell>
          <cell r="B4897">
            <v>202504</v>
          </cell>
          <cell r="D4897" t="str">
            <v>Caución</v>
          </cell>
          <cell r="G4897" t="str">
            <v>Real</v>
          </cell>
        </row>
        <row r="4898">
          <cell r="A4898" t="str">
            <v>CARANTIA</v>
          </cell>
          <cell r="B4898">
            <v>202504</v>
          </cell>
          <cell r="D4898" t="str">
            <v>Crédito Nacional</v>
          </cell>
          <cell r="G4898" t="str">
            <v>Real</v>
          </cell>
        </row>
        <row r="4899">
          <cell r="A4899" t="str">
            <v>CARANTIA</v>
          </cell>
          <cell r="B4899">
            <v>202504</v>
          </cell>
          <cell r="D4899" t="str">
            <v>Crédito Internacional</v>
          </cell>
          <cell r="G4899" t="str">
            <v>Presupuesto</v>
          </cell>
        </row>
        <row r="4900">
          <cell r="A4900" t="str">
            <v>CARANTIA</v>
          </cell>
          <cell r="B4900">
            <v>202504</v>
          </cell>
          <cell r="D4900" t="str">
            <v>Crédito Nacional</v>
          </cell>
          <cell r="G4900" t="str">
            <v>Presupuesto</v>
          </cell>
        </row>
        <row r="4901">
          <cell r="A4901" t="str">
            <v>CARANTIA</v>
          </cell>
          <cell r="B4901">
            <v>202504</v>
          </cell>
          <cell r="D4901" t="str">
            <v>Eventos</v>
          </cell>
          <cell r="G4901" t="str">
            <v>Presupuesto</v>
          </cell>
        </row>
        <row r="4902">
          <cell r="A4902" t="str">
            <v>CARANTIA</v>
          </cell>
          <cell r="B4902">
            <v>202504</v>
          </cell>
          <cell r="D4902" t="str">
            <v>Eventos</v>
          </cell>
          <cell r="G4902" t="str">
            <v>Real</v>
          </cell>
        </row>
        <row r="4903">
          <cell r="A4903" t="str">
            <v>CARANTIA</v>
          </cell>
          <cell r="B4903">
            <v>202504</v>
          </cell>
          <cell r="D4903" t="str">
            <v>Flotas</v>
          </cell>
          <cell r="G4903" t="str">
            <v>Presupuesto</v>
          </cell>
        </row>
        <row r="4904">
          <cell r="A4904" t="str">
            <v>CARANTIA</v>
          </cell>
          <cell r="B4904">
            <v>202504</v>
          </cell>
          <cell r="D4904" t="str">
            <v>Flotas</v>
          </cell>
          <cell r="G4904" t="str">
            <v>Real</v>
          </cell>
        </row>
        <row r="4905">
          <cell r="A4905" t="str">
            <v>CARANTIA</v>
          </cell>
          <cell r="B4905">
            <v>202504</v>
          </cell>
          <cell r="D4905" t="str">
            <v>Hogar</v>
          </cell>
          <cell r="G4905" t="str">
            <v>Presupuesto</v>
          </cell>
        </row>
        <row r="4906">
          <cell r="A4906" t="str">
            <v>CARANTIA</v>
          </cell>
          <cell r="B4906">
            <v>202504</v>
          </cell>
          <cell r="D4906" t="str">
            <v>Hogar</v>
          </cell>
          <cell r="G4906" t="str">
            <v>Real</v>
          </cell>
        </row>
        <row r="4907">
          <cell r="A4907" t="str">
            <v>CARANTIA</v>
          </cell>
          <cell r="B4907">
            <v>202504</v>
          </cell>
          <cell r="D4907" t="str">
            <v>Ingeniería</v>
          </cell>
          <cell r="G4907" t="str">
            <v>Presupuesto</v>
          </cell>
        </row>
        <row r="4908">
          <cell r="A4908" t="str">
            <v>CARANTIA</v>
          </cell>
          <cell r="B4908">
            <v>202504</v>
          </cell>
          <cell r="D4908" t="str">
            <v>Ingeniería</v>
          </cell>
          <cell r="G4908" t="str">
            <v>Real</v>
          </cell>
        </row>
        <row r="4909">
          <cell r="A4909" t="str">
            <v>CARANTIA</v>
          </cell>
          <cell r="B4909">
            <v>202504</v>
          </cell>
          <cell r="D4909" t="str">
            <v>Inmobiliario</v>
          </cell>
          <cell r="G4909" t="str">
            <v>Presupuesto</v>
          </cell>
        </row>
        <row r="4910">
          <cell r="A4910" t="str">
            <v>CARANTIA</v>
          </cell>
          <cell r="B4910">
            <v>202504</v>
          </cell>
          <cell r="D4910" t="str">
            <v>Inmobiliario</v>
          </cell>
          <cell r="G4910" t="str">
            <v>Real</v>
          </cell>
        </row>
        <row r="4911">
          <cell r="A4911" t="str">
            <v>CARANTIA</v>
          </cell>
          <cell r="B4911">
            <v>202504</v>
          </cell>
          <cell r="D4911" t="str">
            <v>Líneas Financieras</v>
          </cell>
          <cell r="G4911" t="str">
            <v>Presupuesto</v>
          </cell>
        </row>
        <row r="4912">
          <cell r="A4912" t="str">
            <v>CARANTIA</v>
          </cell>
          <cell r="B4912">
            <v>202504</v>
          </cell>
          <cell r="D4912" t="str">
            <v>Líneas Financieras</v>
          </cell>
          <cell r="G4912" t="str">
            <v>Real</v>
          </cell>
        </row>
        <row r="4913">
          <cell r="A4913" t="str">
            <v>CARANTIA</v>
          </cell>
          <cell r="B4913">
            <v>202504</v>
          </cell>
          <cell r="D4913" t="str">
            <v>Náutica</v>
          </cell>
          <cell r="G4913" t="str">
            <v>Presupuesto</v>
          </cell>
        </row>
        <row r="4914">
          <cell r="A4914" t="str">
            <v>CARANTIA</v>
          </cell>
          <cell r="B4914">
            <v>202504</v>
          </cell>
          <cell r="D4914" t="str">
            <v>Náutica</v>
          </cell>
          <cell r="G4914" t="str">
            <v>Real</v>
          </cell>
        </row>
        <row r="4915">
          <cell r="A4915" t="str">
            <v>CARANTIA</v>
          </cell>
          <cell r="B4915">
            <v>202504</v>
          </cell>
          <cell r="D4915" t="str">
            <v>Particulares Resto</v>
          </cell>
          <cell r="G4915" t="str">
            <v>Presupuesto</v>
          </cell>
        </row>
        <row r="4916">
          <cell r="A4916" t="str">
            <v>CARANTIA</v>
          </cell>
          <cell r="B4916">
            <v>202504</v>
          </cell>
          <cell r="D4916" t="str">
            <v>Particulares Resto</v>
          </cell>
          <cell r="G4916" t="str">
            <v>Real</v>
          </cell>
        </row>
        <row r="4917">
          <cell r="A4917" t="str">
            <v>CARANTIA</v>
          </cell>
          <cell r="B4917">
            <v>202504</v>
          </cell>
          <cell r="D4917" t="str">
            <v>Property</v>
          </cell>
          <cell r="G4917" t="str">
            <v>Presupuesto</v>
          </cell>
        </row>
        <row r="4918">
          <cell r="A4918" t="str">
            <v>CARANTIA</v>
          </cell>
          <cell r="B4918">
            <v>202504</v>
          </cell>
          <cell r="D4918" t="str">
            <v>Property</v>
          </cell>
          <cell r="G4918" t="str">
            <v>Real</v>
          </cell>
        </row>
        <row r="4919">
          <cell r="A4919" t="str">
            <v>CARANTIA</v>
          </cell>
          <cell r="B4919">
            <v>202504</v>
          </cell>
          <cell r="D4919" t="str">
            <v>RC</v>
          </cell>
          <cell r="G4919" t="str">
            <v>Presupuesto</v>
          </cell>
        </row>
        <row r="4920">
          <cell r="A4920" t="str">
            <v>CARANTIA</v>
          </cell>
          <cell r="B4920">
            <v>202504</v>
          </cell>
          <cell r="D4920" t="str">
            <v>RC</v>
          </cell>
          <cell r="G4920" t="str">
            <v>Real</v>
          </cell>
        </row>
        <row r="4921">
          <cell r="A4921" t="str">
            <v>CARANTIA</v>
          </cell>
          <cell r="B4921">
            <v>202504</v>
          </cell>
          <cell r="D4921" t="str">
            <v>Resto de lineas</v>
          </cell>
          <cell r="G4921" t="str">
            <v>Presupuesto</v>
          </cell>
        </row>
        <row r="4922">
          <cell r="A4922" t="str">
            <v>CARANTIA</v>
          </cell>
          <cell r="B4922">
            <v>202504</v>
          </cell>
          <cell r="D4922" t="str">
            <v>Resto de lineas</v>
          </cell>
          <cell r="G4922" t="str">
            <v>Real</v>
          </cell>
        </row>
        <row r="4923">
          <cell r="A4923" t="str">
            <v>CARANTIA</v>
          </cell>
          <cell r="B4923">
            <v>202504</v>
          </cell>
          <cell r="D4923" t="str">
            <v>Retirada</v>
          </cell>
          <cell r="G4923" t="str">
            <v>Presupuesto</v>
          </cell>
        </row>
        <row r="4924">
          <cell r="A4924" t="str">
            <v>CARANTIA</v>
          </cell>
          <cell r="B4924">
            <v>202504</v>
          </cell>
          <cell r="D4924" t="str">
            <v>Retirada</v>
          </cell>
          <cell r="G4924" t="str">
            <v>Real</v>
          </cell>
        </row>
        <row r="4925">
          <cell r="A4925" t="str">
            <v>CARANTIA</v>
          </cell>
          <cell r="B4925">
            <v>202504</v>
          </cell>
          <cell r="D4925" t="str">
            <v>Seguros Personales (No Vida) Colectivos</v>
          </cell>
          <cell r="G4925" t="str">
            <v>Presupuesto</v>
          </cell>
        </row>
        <row r="4926">
          <cell r="A4926" t="str">
            <v>CARANTIA</v>
          </cell>
          <cell r="B4926">
            <v>202504</v>
          </cell>
          <cell r="D4926" t="str">
            <v>Seguros Personales (No Vida) Colectivos</v>
          </cell>
          <cell r="G4926" t="str">
            <v>Real</v>
          </cell>
        </row>
        <row r="4927">
          <cell r="A4927" t="str">
            <v>CARANTIA</v>
          </cell>
          <cell r="B4927">
            <v>202504</v>
          </cell>
          <cell r="D4927" t="str">
            <v>Seguros Personales (No Vida) Particular</v>
          </cell>
          <cell r="G4927" t="str">
            <v>Presupuesto</v>
          </cell>
        </row>
        <row r="4928">
          <cell r="A4928" t="str">
            <v>CARANTIA</v>
          </cell>
          <cell r="B4928">
            <v>202504</v>
          </cell>
          <cell r="D4928" t="str">
            <v>Seguros Personales (No Vida) Particular</v>
          </cell>
          <cell r="G4928" t="str">
            <v>Real</v>
          </cell>
        </row>
        <row r="4929">
          <cell r="A4929" t="str">
            <v>CARANTIA</v>
          </cell>
          <cell r="B4929">
            <v>202504</v>
          </cell>
          <cell r="D4929" t="str">
            <v>Transporte</v>
          </cell>
          <cell r="G4929" t="str">
            <v>Presupuesto</v>
          </cell>
        </row>
        <row r="4930">
          <cell r="A4930" t="str">
            <v>CARANTIA</v>
          </cell>
          <cell r="B4930">
            <v>202504</v>
          </cell>
          <cell r="D4930" t="str">
            <v>Transporte</v>
          </cell>
          <cell r="G4930" t="str">
            <v>Real</v>
          </cell>
        </row>
        <row r="4931">
          <cell r="A4931" t="str">
            <v>CARANTIA</v>
          </cell>
          <cell r="B4931">
            <v>202504</v>
          </cell>
          <cell r="D4931" t="str">
            <v>Venta Cruzada</v>
          </cell>
          <cell r="G4931" t="str">
            <v>Presupuesto</v>
          </cell>
        </row>
        <row r="4932">
          <cell r="A4932" t="str">
            <v>CARANTIA</v>
          </cell>
          <cell r="B4932">
            <v>202504</v>
          </cell>
          <cell r="D4932" t="str">
            <v>Venta Cruzada</v>
          </cell>
          <cell r="G4932" t="str">
            <v>Real</v>
          </cell>
        </row>
        <row r="4933">
          <cell r="A4933" t="str">
            <v>CARANTIA</v>
          </cell>
          <cell r="B4933">
            <v>202504</v>
          </cell>
          <cell r="D4933" t="str">
            <v>Vida Ahorro Colectivo</v>
          </cell>
          <cell r="G4933" t="str">
            <v>Presupuesto</v>
          </cell>
        </row>
        <row r="4934">
          <cell r="A4934" t="str">
            <v>CARANTIA</v>
          </cell>
          <cell r="B4934">
            <v>202504</v>
          </cell>
          <cell r="D4934" t="str">
            <v>Vida Ahorro Particular</v>
          </cell>
          <cell r="G4934" t="str">
            <v>Presupuesto</v>
          </cell>
        </row>
        <row r="4935">
          <cell r="A4935" t="str">
            <v>CARANTIA</v>
          </cell>
          <cell r="B4935">
            <v>202504</v>
          </cell>
          <cell r="D4935" t="str">
            <v>Vida Ahorro Particular</v>
          </cell>
          <cell r="G4935" t="str">
            <v>Real</v>
          </cell>
        </row>
        <row r="4936">
          <cell r="A4936" t="str">
            <v>CARANTIA</v>
          </cell>
          <cell r="B4936">
            <v>202504</v>
          </cell>
          <cell r="D4936" t="str">
            <v>Vida Ganado</v>
          </cell>
          <cell r="G4936" t="str">
            <v>Presupuesto</v>
          </cell>
        </row>
        <row r="4937">
          <cell r="A4937" t="str">
            <v>CARANTIA</v>
          </cell>
          <cell r="B4937">
            <v>202504</v>
          </cell>
          <cell r="D4937" t="str">
            <v>Vida Ganado</v>
          </cell>
          <cell r="G4937" t="str">
            <v>Real</v>
          </cell>
        </row>
        <row r="4938">
          <cell r="A4938" t="str">
            <v>CARANTIA</v>
          </cell>
          <cell r="B4938">
            <v>202504</v>
          </cell>
          <cell r="D4938" t="str">
            <v>Vida Riesgo Colectivo</v>
          </cell>
          <cell r="G4938" t="str">
            <v>Presupuesto</v>
          </cell>
        </row>
        <row r="4939">
          <cell r="A4939" t="str">
            <v>CARANTIA</v>
          </cell>
          <cell r="B4939">
            <v>202504</v>
          </cell>
          <cell r="D4939" t="str">
            <v>Vida Riesgo Colectivo</v>
          </cell>
          <cell r="G4939" t="str">
            <v>Real</v>
          </cell>
        </row>
        <row r="4940">
          <cell r="A4940" t="str">
            <v>CARANTIA</v>
          </cell>
          <cell r="B4940">
            <v>202504</v>
          </cell>
          <cell r="D4940" t="str">
            <v>Vida Riesgo Particular</v>
          </cell>
          <cell r="G4940" t="str">
            <v>Presupuesto</v>
          </cell>
        </row>
        <row r="4941">
          <cell r="A4941" t="str">
            <v>CARANTIA</v>
          </cell>
          <cell r="B4941">
            <v>202504</v>
          </cell>
          <cell r="D4941" t="str">
            <v>Vida Riesgo Particular</v>
          </cell>
          <cell r="G4941" t="str">
            <v>Real</v>
          </cell>
        </row>
        <row r="4942">
          <cell r="A4942" t="str">
            <v>CARANTIA</v>
          </cell>
          <cell r="B4942">
            <v>202505</v>
          </cell>
          <cell r="D4942" t="str">
            <v>--</v>
          </cell>
          <cell r="G4942" t="str">
            <v>Presupuesto</v>
          </cell>
        </row>
        <row r="4943">
          <cell r="A4943" t="str">
            <v>CARANTIA</v>
          </cell>
          <cell r="B4943">
            <v>202505</v>
          </cell>
          <cell r="D4943" t="str">
            <v>--</v>
          </cell>
          <cell r="G4943" t="str">
            <v>Real</v>
          </cell>
        </row>
        <row r="4944">
          <cell r="A4944" t="str">
            <v>CARANTIA</v>
          </cell>
          <cell r="B4944">
            <v>202505</v>
          </cell>
          <cell r="D4944" t="str">
            <v>Arte</v>
          </cell>
          <cell r="G4944" t="str">
            <v>Presupuesto</v>
          </cell>
        </row>
        <row r="4945">
          <cell r="A4945" t="str">
            <v>CARANTIA</v>
          </cell>
          <cell r="B4945">
            <v>202505</v>
          </cell>
          <cell r="D4945" t="str">
            <v>Autos</v>
          </cell>
          <cell r="G4945" t="str">
            <v>Presupuesto</v>
          </cell>
        </row>
        <row r="4946">
          <cell r="A4946" t="str">
            <v>CARANTIA</v>
          </cell>
          <cell r="B4946">
            <v>202505</v>
          </cell>
          <cell r="D4946" t="str">
            <v>Autos</v>
          </cell>
          <cell r="G4946" t="str">
            <v>Real</v>
          </cell>
        </row>
        <row r="4947">
          <cell r="A4947" t="str">
            <v>CARANTIA</v>
          </cell>
          <cell r="B4947">
            <v>202505</v>
          </cell>
          <cell r="D4947" t="str">
            <v>B2B2C</v>
          </cell>
          <cell r="G4947" t="str">
            <v>Presupuesto</v>
          </cell>
        </row>
        <row r="4948">
          <cell r="A4948" t="str">
            <v>CARANTIA</v>
          </cell>
          <cell r="B4948">
            <v>202505</v>
          </cell>
          <cell r="D4948" t="str">
            <v>Caución</v>
          </cell>
          <cell r="G4948" t="str">
            <v>Presupuesto</v>
          </cell>
        </row>
        <row r="4949">
          <cell r="A4949" t="str">
            <v>CARANTIA</v>
          </cell>
          <cell r="B4949">
            <v>202505</v>
          </cell>
          <cell r="D4949" t="str">
            <v>Caución</v>
          </cell>
          <cell r="G4949" t="str">
            <v>Real</v>
          </cell>
        </row>
        <row r="4950">
          <cell r="A4950" t="str">
            <v>CARANTIA</v>
          </cell>
          <cell r="B4950">
            <v>202505</v>
          </cell>
          <cell r="D4950" t="str">
            <v>Crédito Nacional</v>
          </cell>
          <cell r="G4950" t="str">
            <v>Real</v>
          </cell>
        </row>
        <row r="4951">
          <cell r="A4951" t="str">
            <v>CARANTIA</v>
          </cell>
          <cell r="B4951">
            <v>202505</v>
          </cell>
          <cell r="D4951" t="str">
            <v>Crédito Internacional</v>
          </cell>
          <cell r="G4951" t="str">
            <v>Presupuesto</v>
          </cell>
        </row>
        <row r="4952">
          <cell r="A4952" t="str">
            <v>CARANTIA</v>
          </cell>
          <cell r="B4952">
            <v>202505</v>
          </cell>
          <cell r="D4952" t="str">
            <v>Crédito Nacional</v>
          </cell>
          <cell r="G4952" t="str">
            <v>Presupuesto</v>
          </cell>
        </row>
        <row r="4953">
          <cell r="A4953" t="str">
            <v>CARANTIA</v>
          </cell>
          <cell r="B4953">
            <v>202505</v>
          </cell>
          <cell r="D4953" t="str">
            <v>Eventos</v>
          </cell>
          <cell r="G4953" t="str">
            <v>Presupuesto</v>
          </cell>
        </row>
        <row r="4954">
          <cell r="A4954" t="str">
            <v>CARANTIA</v>
          </cell>
          <cell r="B4954">
            <v>202505</v>
          </cell>
          <cell r="D4954" t="str">
            <v>Eventos</v>
          </cell>
          <cell r="G4954" t="str">
            <v>Real</v>
          </cell>
        </row>
        <row r="4955">
          <cell r="A4955" t="str">
            <v>CARANTIA</v>
          </cell>
          <cell r="B4955">
            <v>202505</v>
          </cell>
          <cell r="D4955" t="str">
            <v>Flotas</v>
          </cell>
          <cell r="G4955" t="str">
            <v>Presupuesto</v>
          </cell>
        </row>
        <row r="4956">
          <cell r="A4956" t="str">
            <v>CARANTIA</v>
          </cell>
          <cell r="B4956">
            <v>202505</v>
          </cell>
          <cell r="D4956" t="str">
            <v>Flotas</v>
          </cell>
          <cell r="G4956" t="str">
            <v>Real</v>
          </cell>
        </row>
        <row r="4957">
          <cell r="A4957" t="str">
            <v>CARANTIA</v>
          </cell>
          <cell r="B4957">
            <v>202505</v>
          </cell>
          <cell r="D4957" t="str">
            <v>Hogar</v>
          </cell>
          <cell r="G4957" t="str">
            <v>Presupuesto</v>
          </cell>
        </row>
        <row r="4958">
          <cell r="A4958" t="str">
            <v>CARANTIA</v>
          </cell>
          <cell r="B4958">
            <v>202505</v>
          </cell>
          <cell r="D4958" t="str">
            <v>Hogar</v>
          </cell>
          <cell r="G4958" t="str">
            <v>Real</v>
          </cell>
        </row>
        <row r="4959">
          <cell r="A4959" t="str">
            <v>CARANTIA</v>
          </cell>
          <cell r="B4959">
            <v>202505</v>
          </cell>
          <cell r="D4959" t="str">
            <v>Ingeniería</v>
          </cell>
          <cell r="G4959" t="str">
            <v>Presupuesto</v>
          </cell>
        </row>
        <row r="4960">
          <cell r="A4960" t="str">
            <v>CARANTIA</v>
          </cell>
          <cell r="B4960">
            <v>202505</v>
          </cell>
          <cell r="D4960" t="str">
            <v>Ingeniería</v>
          </cell>
          <cell r="G4960" t="str">
            <v>Real</v>
          </cell>
        </row>
        <row r="4961">
          <cell r="A4961" t="str">
            <v>CARANTIA</v>
          </cell>
          <cell r="B4961">
            <v>202505</v>
          </cell>
          <cell r="D4961" t="str">
            <v>Inmobiliario</v>
          </cell>
          <cell r="G4961" t="str">
            <v>Presupuesto</v>
          </cell>
        </row>
        <row r="4962">
          <cell r="A4962" t="str">
            <v>CARANTIA</v>
          </cell>
          <cell r="B4962">
            <v>202505</v>
          </cell>
          <cell r="D4962" t="str">
            <v>Inmobiliario</v>
          </cell>
          <cell r="G4962" t="str">
            <v>Real</v>
          </cell>
        </row>
        <row r="4963">
          <cell r="A4963" t="str">
            <v>CARANTIA</v>
          </cell>
          <cell r="B4963">
            <v>202505</v>
          </cell>
          <cell r="D4963" t="str">
            <v>Líneas Financieras</v>
          </cell>
          <cell r="G4963" t="str">
            <v>Presupuesto</v>
          </cell>
        </row>
        <row r="4964">
          <cell r="A4964" t="str">
            <v>CARANTIA</v>
          </cell>
          <cell r="B4964">
            <v>202505</v>
          </cell>
          <cell r="D4964" t="str">
            <v>Líneas Financieras</v>
          </cell>
          <cell r="G4964" t="str">
            <v>Real</v>
          </cell>
        </row>
        <row r="4965">
          <cell r="A4965" t="str">
            <v>CARANTIA</v>
          </cell>
          <cell r="B4965">
            <v>202505</v>
          </cell>
          <cell r="D4965" t="str">
            <v>Náutica</v>
          </cell>
          <cell r="G4965" t="str">
            <v>Presupuesto</v>
          </cell>
        </row>
        <row r="4966">
          <cell r="A4966" t="str">
            <v>CARANTIA</v>
          </cell>
          <cell r="B4966">
            <v>202505</v>
          </cell>
          <cell r="D4966" t="str">
            <v>Náutica</v>
          </cell>
          <cell r="G4966" t="str">
            <v>Real</v>
          </cell>
        </row>
        <row r="4967">
          <cell r="A4967" t="str">
            <v>CARANTIA</v>
          </cell>
          <cell r="B4967">
            <v>202505</v>
          </cell>
          <cell r="D4967" t="str">
            <v>Particulares Resto</v>
          </cell>
          <cell r="G4967" t="str">
            <v>Presupuesto</v>
          </cell>
        </row>
        <row r="4968">
          <cell r="A4968" t="str">
            <v>CARANTIA</v>
          </cell>
          <cell r="B4968">
            <v>202505</v>
          </cell>
          <cell r="D4968" t="str">
            <v>Particulares Resto</v>
          </cell>
          <cell r="G4968" t="str">
            <v>Real</v>
          </cell>
        </row>
        <row r="4969">
          <cell r="A4969" t="str">
            <v>CARANTIA</v>
          </cell>
          <cell r="B4969">
            <v>202505</v>
          </cell>
          <cell r="D4969" t="str">
            <v>Property</v>
          </cell>
          <cell r="G4969" t="str">
            <v>Presupuesto</v>
          </cell>
        </row>
        <row r="4970">
          <cell r="A4970" t="str">
            <v>CARANTIA</v>
          </cell>
          <cell r="B4970">
            <v>202505</v>
          </cell>
          <cell r="D4970" t="str">
            <v>Property</v>
          </cell>
          <cell r="G4970" t="str">
            <v>Real</v>
          </cell>
        </row>
        <row r="4971">
          <cell r="A4971" t="str">
            <v>CARANTIA</v>
          </cell>
          <cell r="B4971">
            <v>202505</v>
          </cell>
          <cell r="D4971" t="str">
            <v>RC</v>
          </cell>
          <cell r="G4971" t="str">
            <v>Presupuesto</v>
          </cell>
        </row>
        <row r="4972">
          <cell r="A4972" t="str">
            <v>CARANTIA</v>
          </cell>
          <cell r="B4972">
            <v>202505</v>
          </cell>
          <cell r="D4972" t="str">
            <v>RC</v>
          </cell>
          <cell r="G4972" t="str">
            <v>Real</v>
          </cell>
        </row>
        <row r="4973">
          <cell r="A4973" t="str">
            <v>CARANTIA</v>
          </cell>
          <cell r="B4973">
            <v>202505</v>
          </cell>
          <cell r="D4973" t="str">
            <v>Resto de lineas</v>
          </cell>
          <cell r="G4973" t="str">
            <v>Presupuesto</v>
          </cell>
        </row>
        <row r="4974">
          <cell r="A4974" t="str">
            <v>CARANTIA</v>
          </cell>
          <cell r="B4974">
            <v>202505</v>
          </cell>
          <cell r="D4974" t="str">
            <v>Resto de lineas</v>
          </cell>
          <cell r="G4974" t="str">
            <v>Real</v>
          </cell>
        </row>
        <row r="4975">
          <cell r="A4975" t="str">
            <v>CARANTIA</v>
          </cell>
          <cell r="B4975">
            <v>202505</v>
          </cell>
          <cell r="D4975" t="str">
            <v>Retirada</v>
          </cell>
          <cell r="G4975" t="str">
            <v>Presupuesto</v>
          </cell>
        </row>
        <row r="4976">
          <cell r="A4976" t="str">
            <v>CARANTIA</v>
          </cell>
          <cell r="B4976">
            <v>202505</v>
          </cell>
          <cell r="D4976" t="str">
            <v>Retirada</v>
          </cell>
          <cell r="G4976" t="str">
            <v>Real</v>
          </cell>
        </row>
        <row r="4977">
          <cell r="A4977" t="str">
            <v>CARANTIA</v>
          </cell>
          <cell r="B4977">
            <v>202505</v>
          </cell>
          <cell r="D4977" t="str">
            <v>Seguros Personales (No Vida) Colectivos</v>
          </cell>
          <cell r="G4977" t="str">
            <v>Presupuesto</v>
          </cell>
        </row>
        <row r="4978">
          <cell r="A4978" t="str">
            <v>CARANTIA</v>
          </cell>
          <cell r="B4978">
            <v>202505</v>
          </cell>
          <cell r="D4978" t="str">
            <v>Seguros Personales (No Vida) Colectivos</v>
          </cell>
          <cell r="G4978" t="str">
            <v>Real</v>
          </cell>
        </row>
        <row r="4979">
          <cell r="A4979" t="str">
            <v>CARANTIA</v>
          </cell>
          <cell r="B4979">
            <v>202505</v>
          </cell>
          <cell r="D4979" t="str">
            <v>Seguros Personales (No Vida) Particular</v>
          </cell>
          <cell r="G4979" t="str">
            <v>Presupuesto</v>
          </cell>
        </row>
        <row r="4980">
          <cell r="A4980" t="str">
            <v>CARANTIA</v>
          </cell>
          <cell r="B4980">
            <v>202505</v>
          </cell>
          <cell r="D4980" t="str">
            <v>Seguros Personales (No Vida) Particular</v>
          </cell>
          <cell r="G4980" t="str">
            <v>Real</v>
          </cell>
        </row>
        <row r="4981">
          <cell r="A4981" t="str">
            <v>CARANTIA</v>
          </cell>
          <cell r="B4981">
            <v>202505</v>
          </cell>
          <cell r="D4981" t="str">
            <v>Transporte</v>
          </cell>
          <cell r="G4981" t="str">
            <v>Presupuesto</v>
          </cell>
        </row>
        <row r="4982">
          <cell r="A4982" t="str">
            <v>CARANTIA</v>
          </cell>
          <cell r="B4982">
            <v>202505</v>
          </cell>
          <cell r="D4982" t="str">
            <v>Transporte</v>
          </cell>
          <cell r="G4982" t="str">
            <v>Real</v>
          </cell>
        </row>
        <row r="4983">
          <cell r="A4983" t="str">
            <v>CARANTIA</v>
          </cell>
          <cell r="B4983">
            <v>202505</v>
          </cell>
          <cell r="D4983" t="str">
            <v>Venta Cruzada</v>
          </cell>
          <cell r="G4983" t="str">
            <v>Presupuesto</v>
          </cell>
        </row>
        <row r="4984">
          <cell r="A4984" t="str">
            <v>CARANTIA</v>
          </cell>
          <cell r="B4984">
            <v>202505</v>
          </cell>
          <cell r="D4984" t="str">
            <v>Venta Cruzada</v>
          </cell>
          <cell r="G4984" t="str">
            <v>Real</v>
          </cell>
        </row>
        <row r="4985">
          <cell r="A4985" t="str">
            <v>CARANTIA</v>
          </cell>
          <cell r="B4985">
            <v>202505</v>
          </cell>
          <cell r="D4985" t="str">
            <v>Vida Ahorro Colectivo</v>
          </cell>
          <cell r="G4985" t="str">
            <v>Presupuesto</v>
          </cell>
        </row>
        <row r="4986">
          <cell r="A4986" t="str">
            <v>CARANTIA</v>
          </cell>
          <cell r="B4986">
            <v>202505</v>
          </cell>
          <cell r="D4986" t="str">
            <v>Vida Ahorro Colectivo</v>
          </cell>
          <cell r="G4986" t="str">
            <v>Real</v>
          </cell>
        </row>
        <row r="4987">
          <cell r="A4987" t="str">
            <v>CARANTIA</v>
          </cell>
          <cell r="B4987">
            <v>202505</v>
          </cell>
          <cell r="D4987" t="str">
            <v>Vida Ahorro Particular</v>
          </cell>
          <cell r="G4987" t="str">
            <v>Presupuesto</v>
          </cell>
        </row>
        <row r="4988">
          <cell r="A4988" t="str">
            <v>CARANTIA</v>
          </cell>
          <cell r="B4988">
            <v>202505</v>
          </cell>
          <cell r="D4988" t="str">
            <v>Vida Ahorro Particular</v>
          </cell>
          <cell r="G4988" t="str">
            <v>Real</v>
          </cell>
        </row>
        <row r="4989">
          <cell r="A4989" t="str">
            <v>CARANTIA</v>
          </cell>
          <cell r="B4989">
            <v>202505</v>
          </cell>
          <cell r="D4989" t="str">
            <v>Vida Ganado</v>
          </cell>
          <cell r="G4989" t="str">
            <v>Presupuesto</v>
          </cell>
        </row>
        <row r="4990">
          <cell r="A4990" t="str">
            <v>CARANTIA</v>
          </cell>
          <cell r="B4990">
            <v>202505</v>
          </cell>
          <cell r="D4990" t="str">
            <v>Vida Riesgo Colectivo</v>
          </cell>
          <cell r="G4990" t="str">
            <v>Presupuesto</v>
          </cell>
        </row>
        <row r="4991">
          <cell r="A4991" t="str">
            <v>CARANTIA</v>
          </cell>
          <cell r="B4991">
            <v>202505</v>
          </cell>
          <cell r="D4991" t="str">
            <v>Vida Riesgo Colectivo</v>
          </cell>
          <cell r="G4991" t="str">
            <v>Real</v>
          </cell>
        </row>
        <row r="4992">
          <cell r="A4992" t="str">
            <v>CARANTIA</v>
          </cell>
          <cell r="B4992">
            <v>202505</v>
          </cell>
          <cell r="D4992" t="str">
            <v>Vida Riesgo Particular</v>
          </cell>
          <cell r="G4992" t="str">
            <v>Presupuesto</v>
          </cell>
        </row>
        <row r="4993">
          <cell r="A4993" t="str">
            <v>CARANTIA</v>
          </cell>
          <cell r="B4993">
            <v>202505</v>
          </cell>
          <cell r="D4993" t="str">
            <v>Vida Riesgo Particular</v>
          </cell>
          <cell r="G4993" t="str">
            <v>Real</v>
          </cell>
        </row>
        <row r="4994">
          <cell r="A4994" t="str">
            <v>CARANTIA</v>
          </cell>
          <cell r="B4994">
            <v>202506</v>
          </cell>
          <cell r="D4994" t="str">
            <v>--</v>
          </cell>
          <cell r="G4994" t="str">
            <v>Presupuesto</v>
          </cell>
        </row>
        <row r="4995">
          <cell r="A4995" t="str">
            <v>CARANTIA</v>
          </cell>
          <cell r="B4995">
            <v>202506</v>
          </cell>
          <cell r="D4995" t="str">
            <v>--</v>
          </cell>
          <cell r="G4995" t="str">
            <v>Real</v>
          </cell>
        </row>
        <row r="4996">
          <cell r="A4996" t="str">
            <v>CARANTIA</v>
          </cell>
          <cell r="B4996">
            <v>202506</v>
          </cell>
          <cell r="D4996" t="str">
            <v>Resto de Lineas</v>
          </cell>
          <cell r="G4996" t="str">
            <v>Real</v>
          </cell>
        </row>
        <row r="4997">
          <cell r="A4997" t="str">
            <v>CARANTIA</v>
          </cell>
          <cell r="B4997">
            <v>202506</v>
          </cell>
          <cell r="D4997" t="str">
            <v>Arte</v>
          </cell>
          <cell r="G4997" t="str">
            <v>Presupuesto</v>
          </cell>
        </row>
        <row r="4998">
          <cell r="A4998" t="str">
            <v>CARANTIA</v>
          </cell>
          <cell r="B4998">
            <v>202506</v>
          </cell>
          <cell r="D4998" t="str">
            <v>Autos</v>
          </cell>
          <cell r="G4998" t="str">
            <v>Presupuesto</v>
          </cell>
        </row>
        <row r="4999">
          <cell r="A4999" t="str">
            <v>CARANTIA</v>
          </cell>
          <cell r="B4999">
            <v>202506</v>
          </cell>
          <cell r="D4999" t="str">
            <v>Autos</v>
          </cell>
          <cell r="G4999" t="str">
            <v>Real</v>
          </cell>
        </row>
        <row r="5000">
          <cell r="A5000" t="str">
            <v>CARANTIA</v>
          </cell>
          <cell r="B5000">
            <v>202506</v>
          </cell>
          <cell r="D5000" t="str">
            <v>B2B2C</v>
          </cell>
          <cell r="G5000" t="str">
            <v>Presupuesto</v>
          </cell>
        </row>
        <row r="5001">
          <cell r="A5001" t="str">
            <v>CARANTIA</v>
          </cell>
          <cell r="B5001">
            <v>202506</v>
          </cell>
          <cell r="D5001" t="str">
            <v>Caución</v>
          </cell>
          <cell r="G5001" t="str">
            <v>Presupuesto</v>
          </cell>
        </row>
        <row r="5002">
          <cell r="A5002" t="str">
            <v>CARANTIA</v>
          </cell>
          <cell r="B5002">
            <v>202506</v>
          </cell>
          <cell r="D5002" t="str">
            <v>Caución</v>
          </cell>
          <cell r="G5002" t="str">
            <v>Real</v>
          </cell>
        </row>
        <row r="5003">
          <cell r="A5003" t="str">
            <v>CARANTIA</v>
          </cell>
          <cell r="B5003">
            <v>202506</v>
          </cell>
          <cell r="D5003" t="str">
            <v>Crédito Nacional</v>
          </cell>
          <cell r="G5003" t="str">
            <v>Real</v>
          </cell>
        </row>
        <row r="5004">
          <cell r="A5004" t="str">
            <v>CARANTIA</v>
          </cell>
          <cell r="B5004">
            <v>202506</v>
          </cell>
          <cell r="D5004" t="str">
            <v>Crédito Internacional</v>
          </cell>
          <cell r="G5004" t="str">
            <v>Presupuesto</v>
          </cell>
        </row>
        <row r="5005">
          <cell r="A5005" t="str">
            <v>CARANTIA</v>
          </cell>
          <cell r="B5005">
            <v>202506</v>
          </cell>
          <cell r="D5005" t="str">
            <v>Crédito Nacional</v>
          </cell>
          <cell r="G5005" t="str">
            <v>Presupuesto</v>
          </cell>
        </row>
        <row r="5006">
          <cell r="A5006" t="str">
            <v>CARANTIA</v>
          </cell>
          <cell r="B5006">
            <v>202506</v>
          </cell>
          <cell r="D5006" t="str">
            <v>Eventos</v>
          </cell>
          <cell r="G5006" t="str">
            <v>Presupuesto</v>
          </cell>
        </row>
        <row r="5007">
          <cell r="A5007" t="str">
            <v>CARANTIA</v>
          </cell>
          <cell r="B5007">
            <v>202506</v>
          </cell>
          <cell r="D5007" t="str">
            <v>Eventos</v>
          </cell>
          <cell r="G5007" t="str">
            <v>Real</v>
          </cell>
        </row>
        <row r="5008">
          <cell r="A5008" t="str">
            <v>CARANTIA</v>
          </cell>
          <cell r="B5008">
            <v>202506</v>
          </cell>
          <cell r="D5008" t="str">
            <v>Flotas</v>
          </cell>
          <cell r="G5008" t="str">
            <v>Presupuesto</v>
          </cell>
        </row>
        <row r="5009">
          <cell r="A5009" t="str">
            <v>CARANTIA</v>
          </cell>
          <cell r="B5009">
            <v>202506</v>
          </cell>
          <cell r="D5009" t="str">
            <v>Flotas</v>
          </cell>
          <cell r="G5009" t="str">
            <v>Real</v>
          </cell>
        </row>
        <row r="5010">
          <cell r="A5010" t="str">
            <v>CARANTIA</v>
          </cell>
          <cell r="B5010">
            <v>202506</v>
          </cell>
          <cell r="D5010" t="str">
            <v>Hogar</v>
          </cell>
          <cell r="G5010" t="str">
            <v>Presupuesto</v>
          </cell>
        </row>
        <row r="5011">
          <cell r="A5011" t="str">
            <v>CARANTIA</v>
          </cell>
          <cell r="B5011">
            <v>202506</v>
          </cell>
          <cell r="D5011" t="str">
            <v>Hogar</v>
          </cell>
          <cell r="G5011" t="str">
            <v>Real</v>
          </cell>
        </row>
        <row r="5012">
          <cell r="A5012" t="str">
            <v>CARANTIA</v>
          </cell>
          <cell r="B5012">
            <v>202506</v>
          </cell>
          <cell r="D5012" t="str">
            <v>Ingeniería</v>
          </cell>
          <cell r="G5012" t="str">
            <v>Presupuesto</v>
          </cell>
        </row>
        <row r="5013">
          <cell r="A5013" t="str">
            <v>CARANTIA</v>
          </cell>
          <cell r="B5013">
            <v>202506</v>
          </cell>
          <cell r="D5013" t="str">
            <v>Ingeniería</v>
          </cell>
          <cell r="G5013" t="str">
            <v>Real</v>
          </cell>
        </row>
        <row r="5014">
          <cell r="A5014" t="str">
            <v>CARANTIA</v>
          </cell>
          <cell r="B5014">
            <v>202506</v>
          </cell>
          <cell r="D5014" t="str">
            <v>Inmobiliario</v>
          </cell>
          <cell r="G5014" t="str">
            <v>Presupuesto</v>
          </cell>
        </row>
        <row r="5015">
          <cell r="A5015" t="str">
            <v>CARANTIA</v>
          </cell>
          <cell r="B5015">
            <v>202506</v>
          </cell>
          <cell r="D5015" t="str">
            <v>Inmobiliario</v>
          </cell>
          <cell r="G5015" t="str">
            <v>Real</v>
          </cell>
        </row>
        <row r="5016">
          <cell r="A5016" t="str">
            <v>CARANTIA</v>
          </cell>
          <cell r="B5016">
            <v>202506</v>
          </cell>
          <cell r="D5016" t="str">
            <v>Líneas Financieras</v>
          </cell>
          <cell r="G5016" t="str">
            <v>Presupuesto</v>
          </cell>
        </row>
        <row r="5017">
          <cell r="A5017" t="str">
            <v>CARANTIA</v>
          </cell>
          <cell r="B5017">
            <v>202506</v>
          </cell>
          <cell r="D5017" t="str">
            <v>Líneas Financieras</v>
          </cell>
          <cell r="G5017" t="str">
            <v>Real</v>
          </cell>
        </row>
        <row r="5018">
          <cell r="A5018" t="str">
            <v>CARANTIA</v>
          </cell>
          <cell r="B5018">
            <v>202506</v>
          </cell>
          <cell r="D5018" t="str">
            <v>Náutica</v>
          </cell>
          <cell r="G5018" t="str">
            <v>Presupuesto</v>
          </cell>
        </row>
        <row r="5019">
          <cell r="A5019" t="str">
            <v>CARANTIA</v>
          </cell>
          <cell r="B5019">
            <v>202506</v>
          </cell>
          <cell r="D5019" t="str">
            <v>Náutica</v>
          </cell>
          <cell r="G5019" t="str">
            <v>Real</v>
          </cell>
        </row>
        <row r="5020">
          <cell r="A5020" t="str">
            <v>CARANTIA</v>
          </cell>
          <cell r="B5020">
            <v>202506</v>
          </cell>
          <cell r="D5020" t="str">
            <v>Particulares Resto</v>
          </cell>
          <cell r="G5020" t="str">
            <v>Presupuesto</v>
          </cell>
        </row>
        <row r="5021">
          <cell r="A5021" t="str">
            <v>CARANTIA</v>
          </cell>
          <cell r="B5021">
            <v>202506</v>
          </cell>
          <cell r="D5021" t="str">
            <v>Particulares Resto</v>
          </cell>
          <cell r="G5021" t="str">
            <v>Real</v>
          </cell>
        </row>
        <row r="5022">
          <cell r="A5022" t="str">
            <v>CARANTIA</v>
          </cell>
          <cell r="B5022">
            <v>202506</v>
          </cell>
          <cell r="D5022" t="str">
            <v>Property</v>
          </cell>
          <cell r="G5022" t="str">
            <v>Presupuesto</v>
          </cell>
        </row>
        <row r="5023">
          <cell r="A5023" t="str">
            <v>CARANTIA</v>
          </cell>
          <cell r="B5023">
            <v>202506</v>
          </cell>
          <cell r="D5023" t="str">
            <v>Property</v>
          </cell>
          <cell r="G5023" t="str">
            <v>Real</v>
          </cell>
        </row>
        <row r="5024">
          <cell r="A5024" t="str">
            <v>CARANTIA</v>
          </cell>
          <cell r="B5024">
            <v>202506</v>
          </cell>
          <cell r="D5024" t="str">
            <v>RC</v>
          </cell>
          <cell r="G5024" t="str">
            <v>Presupuesto</v>
          </cell>
        </row>
        <row r="5025">
          <cell r="A5025" t="str">
            <v>CARANTIA</v>
          </cell>
          <cell r="B5025">
            <v>202506</v>
          </cell>
          <cell r="D5025" t="str">
            <v>RC</v>
          </cell>
          <cell r="G5025" t="str">
            <v>Real</v>
          </cell>
        </row>
        <row r="5026">
          <cell r="A5026" t="str">
            <v>CARANTIA</v>
          </cell>
          <cell r="B5026">
            <v>202506</v>
          </cell>
          <cell r="D5026" t="str">
            <v>Resto de lineas</v>
          </cell>
          <cell r="G5026" t="str">
            <v>Presupuesto</v>
          </cell>
        </row>
        <row r="5027">
          <cell r="A5027" t="str">
            <v>CARANTIA</v>
          </cell>
          <cell r="B5027">
            <v>202506</v>
          </cell>
          <cell r="D5027" t="str">
            <v>Retirada</v>
          </cell>
          <cell r="G5027" t="str">
            <v>Presupuesto</v>
          </cell>
        </row>
        <row r="5028">
          <cell r="A5028" t="str">
            <v>CARANTIA</v>
          </cell>
          <cell r="B5028">
            <v>202506</v>
          </cell>
          <cell r="D5028" t="str">
            <v>Retirada</v>
          </cell>
          <cell r="G5028" t="str">
            <v>Real</v>
          </cell>
        </row>
        <row r="5029">
          <cell r="A5029" t="str">
            <v>CARANTIA</v>
          </cell>
          <cell r="B5029">
            <v>202506</v>
          </cell>
          <cell r="D5029" t="str">
            <v>Seguros Personales (No Vida) Colectivos</v>
          </cell>
          <cell r="G5029" t="str">
            <v>Presupuesto</v>
          </cell>
        </row>
        <row r="5030">
          <cell r="A5030" t="str">
            <v>CARANTIA</v>
          </cell>
          <cell r="B5030">
            <v>202506</v>
          </cell>
          <cell r="D5030" t="str">
            <v>Seguros Personales (No Vida) Colectivos</v>
          </cell>
          <cell r="G5030" t="str">
            <v>Real</v>
          </cell>
        </row>
        <row r="5031">
          <cell r="A5031" t="str">
            <v>CARANTIA</v>
          </cell>
          <cell r="B5031">
            <v>202506</v>
          </cell>
          <cell r="D5031" t="str">
            <v>Seguros Personales (No Vida) Particular</v>
          </cell>
          <cell r="G5031" t="str">
            <v>Presupuesto</v>
          </cell>
        </row>
        <row r="5032">
          <cell r="A5032" t="str">
            <v>CARANTIA</v>
          </cell>
          <cell r="B5032">
            <v>202506</v>
          </cell>
          <cell r="D5032" t="str">
            <v>Seguros Personales (No Vida) Particular</v>
          </cell>
          <cell r="G5032" t="str">
            <v>Real</v>
          </cell>
        </row>
        <row r="5033">
          <cell r="A5033" t="str">
            <v>CARANTIA</v>
          </cell>
          <cell r="B5033">
            <v>202506</v>
          </cell>
          <cell r="D5033" t="str">
            <v>Transporte</v>
          </cell>
          <cell r="G5033" t="str">
            <v>Presupuesto</v>
          </cell>
        </row>
        <row r="5034">
          <cell r="A5034" t="str">
            <v>CARANTIA</v>
          </cell>
          <cell r="B5034">
            <v>202506</v>
          </cell>
          <cell r="D5034" t="str">
            <v>Transporte</v>
          </cell>
          <cell r="G5034" t="str">
            <v>Real</v>
          </cell>
        </row>
        <row r="5035">
          <cell r="A5035" t="str">
            <v>CARANTIA</v>
          </cell>
          <cell r="B5035">
            <v>202506</v>
          </cell>
          <cell r="D5035" t="str">
            <v>Venta Cruzada</v>
          </cell>
          <cell r="G5035" t="str">
            <v>Presupuesto</v>
          </cell>
        </row>
        <row r="5036">
          <cell r="A5036" t="str">
            <v>CARANTIA</v>
          </cell>
          <cell r="B5036">
            <v>202506</v>
          </cell>
          <cell r="D5036" t="str">
            <v>Venta Cruzada</v>
          </cell>
          <cell r="G5036" t="str">
            <v>Real</v>
          </cell>
        </row>
        <row r="5037">
          <cell r="A5037" t="str">
            <v>CARANTIA</v>
          </cell>
          <cell r="B5037">
            <v>202506</v>
          </cell>
          <cell r="D5037" t="str">
            <v>Vida Ahorro Colectivo</v>
          </cell>
          <cell r="G5037" t="str">
            <v>Presupuesto</v>
          </cell>
        </row>
        <row r="5038">
          <cell r="A5038" t="str">
            <v>CARANTIA</v>
          </cell>
          <cell r="B5038">
            <v>202506</v>
          </cell>
          <cell r="D5038" t="str">
            <v>Vida Ahorro Colectivo</v>
          </cell>
          <cell r="G5038" t="str">
            <v>Real</v>
          </cell>
        </row>
        <row r="5039">
          <cell r="A5039" t="str">
            <v>CARANTIA</v>
          </cell>
          <cell r="B5039">
            <v>202506</v>
          </cell>
          <cell r="D5039" t="str">
            <v>Vida Ahorro Particular</v>
          </cell>
          <cell r="G5039" t="str">
            <v>Presupuesto</v>
          </cell>
        </row>
        <row r="5040">
          <cell r="A5040" t="str">
            <v>CARANTIA</v>
          </cell>
          <cell r="B5040">
            <v>202506</v>
          </cell>
          <cell r="D5040" t="str">
            <v>Vida Ahorro Particular</v>
          </cell>
          <cell r="G5040" t="str">
            <v>Real</v>
          </cell>
        </row>
        <row r="5041">
          <cell r="A5041" t="str">
            <v>CARANTIA</v>
          </cell>
          <cell r="B5041">
            <v>202506</v>
          </cell>
          <cell r="D5041" t="str">
            <v>Vida Ganado</v>
          </cell>
          <cell r="G5041" t="str">
            <v>Presupuesto</v>
          </cell>
        </row>
        <row r="5042">
          <cell r="A5042" t="str">
            <v>CARANTIA</v>
          </cell>
          <cell r="B5042">
            <v>202506</v>
          </cell>
          <cell r="D5042" t="str">
            <v>Vida Riesgo Colectivo</v>
          </cell>
          <cell r="G5042" t="str">
            <v>Presupuesto</v>
          </cell>
        </row>
        <row r="5043">
          <cell r="A5043" t="str">
            <v>CARANTIA</v>
          </cell>
          <cell r="B5043">
            <v>202506</v>
          </cell>
          <cell r="D5043" t="str">
            <v>Vida Riesgo Colectivo</v>
          </cell>
          <cell r="G5043" t="str">
            <v>Real</v>
          </cell>
        </row>
        <row r="5044">
          <cell r="A5044" t="str">
            <v>CARANTIA</v>
          </cell>
          <cell r="B5044">
            <v>202506</v>
          </cell>
          <cell r="D5044" t="str">
            <v>Vida Riesgo Particular</v>
          </cell>
          <cell r="G5044" t="str">
            <v>Presupuesto</v>
          </cell>
        </row>
        <row r="5045">
          <cell r="A5045" t="str">
            <v>CARANTIA</v>
          </cell>
          <cell r="B5045">
            <v>202506</v>
          </cell>
          <cell r="D5045" t="str">
            <v>Vida Riesgo Particular</v>
          </cell>
          <cell r="G5045" t="str">
            <v>Real</v>
          </cell>
        </row>
        <row r="5046">
          <cell r="A5046" t="str">
            <v>CARANTIA</v>
          </cell>
          <cell r="B5046">
            <v>202507</v>
          </cell>
          <cell r="D5046" t="str">
            <v>--</v>
          </cell>
          <cell r="G5046" t="str">
            <v>Presupuesto</v>
          </cell>
        </row>
        <row r="5047">
          <cell r="A5047" t="str">
            <v>CARANTIA</v>
          </cell>
          <cell r="B5047">
            <v>202507</v>
          </cell>
          <cell r="D5047" t="str">
            <v>--</v>
          </cell>
          <cell r="G5047" t="str">
            <v>Real</v>
          </cell>
        </row>
        <row r="5048">
          <cell r="A5048" t="str">
            <v>CARANTIA</v>
          </cell>
          <cell r="B5048">
            <v>202507</v>
          </cell>
          <cell r="D5048" t="str">
            <v>Resto de Lineas</v>
          </cell>
          <cell r="G5048" t="str">
            <v>Real</v>
          </cell>
        </row>
        <row r="5049">
          <cell r="A5049" t="str">
            <v>CARANTIA</v>
          </cell>
          <cell r="B5049">
            <v>202507</v>
          </cell>
          <cell r="D5049" t="str">
            <v>Arte</v>
          </cell>
          <cell r="G5049" t="str">
            <v>Presupuesto</v>
          </cell>
        </row>
        <row r="5050">
          <cell r="A5050" t="str">
            <v>CARANTIA</v>
          </cell>
          <cell r="B5050">
            <v>202507</v>
          </cell>
          <cell r="D5050" t="str">
            <v>Autos</v>
          </cell>
          <cell r="G5050" t="str">
            <v>Presupuesto</v>
          </cell>
        </row>
        <row r="5051">
          <cell r="A5051" t="str">
            <v>CARANTIA</v>
          </cell>
          <cell r="B5051">
            <v>202507</v>
          </cell>
          <cell r="D5051" t="str">
            <v>Autos</v>
          </cell>
          <cell r="G5051" t="str">
            <v>Real</v>
          </cell>
        </row>
        <row r="5052">
          <cell r="A5052" t="str">
            <v>CARANTIA</v>
          </cell>
          <cell r="B5052">
            <v>202507</v>
          </cell>
          <cell r="D5052" t="str">
            <v>B2B2C</v>
          </cell>
          <cell r="G5052" t="str">
            <v>Presupuesto</v>
          </cell>
        </row>
        <row r="5053">
          <cell r="A5053" t="str">
            <v>CARANTIA</v>
          </cell>
          <cell r="B5053">
            <v>202507</v>
          </cell>
          <cell r="D5053" t="str">
            <v>Caución</v>
          </cell>
          <cell r="G5053" t="str">
            <v>Presupuesto</v>
          </cell>
        </row>
        <row r="5054">
          <cell r="A5054" t="str">
            <v>CARANTIA</v>
          </cell>
          <cell r="B5054">
            <v>202507</v>
          </cell>
          <cell r="D5054" t="str">
            <v>Caución</v>
          </cell>
          <cell r="G5054" t="str">
            <v>Real</v>
          </cell>
        </row>
        <row r="5055">
          <cell r="A5055" t="str">
            <v>CARANTIA</v>
          </cell>
          <cell r="B5055">
            <v>202507</v>
          </cell>
          <cell r="D5055" t="str">
            <v>Crédito Nacional</v>
          </cell>
          <cell r="G5055" t="str">
            <v>Real</v>
          </cell>
        </row>
        <row r="5056">
          <cell r="A5056" t="str">
            <v>CARANTIA</v>
          </cell>
          <cell r="B5056">
            <v>202507</v>
          </cell>
          <cell r="D5056" t="str">
            <v>Crédito Internacional</v>
          </cell>
          <cell r="G5056" t="str">
            <v>Presupuesto</v>
          </cell>
        </row>
        <row r="5057">
          <cell r="A5057" t="str">
            <v>CARANTIA</v>
          </cell>
          <cell r="B5057">
            <v>202507</v>
          </cell>
          <cell r="D5057" t="str">
            <v>Crédito Nacional</v>
          </cell>
          <cell r="G5057" t="str">
            <v>Presupuesto</v>
          </cell>
        </row>
        <row r="5058">
          <cell r="A5058" t="str">
            <v>CARANTIA</v>
          </cell>
          <cell r="B5058">
            <v>202507</v>
          </cell>
          <cell r="D5058" t="str">
            <v>Eventos</v>
          </cell>
          <cell r="G5058" t="str">
            <v>Presupuesto</v>
          </cell>
        </row>
        <row r="5059">
          <cell r="A5059" t="str">
            <v>CARANTIA</v>
          </cell>
          <cell r="B5059">
            <v>202507</v>
          </cell>
          <cell r="D5059" t="str">
            <v>Eventos</v>
          </cell>
          <cell r="G5059" t="str">
            <v>Real</v>
          </cell>
        </row>
        <row r="5060">
          <cell r="A5060" t="str">
            <v>CARANTIA</v>
          </cell>
          <cell r="B5060">
            <v>202507</v>
          </cell>
          <cell r="D5060" t="str">
            <v>Flotas</v>
          </cell>
          <cell r="G5060" t="str">
            <v>Presupuesto</v>
          </cell>
        </row>
        <row r="5061">
          <cell r="A5061" t="str">
            <v>CARANTIA</v>
          </cell>
          <cell r="B5061">
            <v>202507</v>
          </cell>
          <cell r="D5061" t="str">
            <v>Flotas</v>
          </cell>
          <cell r="G5061" t="str">
            <v>Real</v>
          </cell>
        </row>
        <row r="5062">
          <cell r="A5062" t="str">
            <v>CARANTIA</v>
          </cell>
          <cell r="B5062">
            <v>202507</v>
          </cell>
          <cell r="D5062" t="str">
            <v>Hogar</v>
          </cell>
          <cell r="G5062" t="str">
            <v>Presupuesto</v>
          </cell>
        </row>
        <row r="5063">
          <cell r="A5063" t="str">
            <v>CARANTIA</v>
          </cell>
          <cell r="B5063">
            <v>202507</v>
          </cell>
          <cell r="D5063" t="str">
            <v>Hogar</v>
          </cell>
          <cell r="G5063" t="str">
            <v>Real</v>
          </cell>
        </row>
        <row r="5064">
          <cell r="A5064" t="str">
            <v>CARANTIA</v>
          </cell>
          <cell r="B5064">
            <v>202507</v>
          </cell>
          <cell r="D5064" t="str">
            <v>Ingeniería</v>
          </cell>
          <cell r="G5064" t="str">
            <v>Presupuesto</v>
          </cell>
        </row>
        <row r="5065">
          <cell r="A5065" t="str">
            <v>CARANTIA</v>
          </cell>
          <cell r="B5065">
            <v>202507</v>
          </cell>
          <cell r="D5065" t="str">
            <v>Ingeniería</v>
          </cell>
          <cell r="G5065" t="str">
            <v>Real</v>
          </cell>
        </row>
        <row r="5066">
          <cell r="A5066" t="str">
            <v>CARANTIA</v>
          </cell>
          <cell r="B5066">
            <v>202507</v>
          </cell>
          <cell r="D5066" t="str">
            <v>Inmobiliario</v>
          </cell>
          <cell r="G5066" t="str">
            <v>Presupuesto</v>
          </cell>
        </row>
        <row r="5067">
          <cell r="A5067" t="str">
            <v>CARANTIA</v>
          </cell>
          <cell r="B5067">
            <v>202507</v>
          </cell>
          <cell r="D5067" t="str">
            <v>Inmobiliario</v>
          </cell>
          <cell r="G5067" t="str">
            <v>Real</v>
          </cell>
        </row>
        <row r="5068">
          <cell r="A5068" t="str">
            <v>CARANTIA</v>
          </cell>
          <cell r="B5068">
            <v>202507</v>
          </cell>
          <cell r="D5068" t="str">
            <v>Líneas Financieras</v>
          </cell>
          <cell r="G5068" t="str">
            <v>Presupuesto</v>
          </cell>
        </row>
        <row r="5069">
          <cell r="A5069" t="str">
            <v>CARANTIA</v>
          </cell>
          <cell r="B5069">
            <v>202507</v>
          </cell>
          <cell r="D5069" t="str">
            <v>Líneas Financieras</v>
          </cell>
          <cell r="G5069" t="str">
            <v>Real</v>
          </cell>
        </row>
        <row r="5070">
          <cell r="A5070" t="str">
            <v>CARANTIA</v>
          </cell>
          <cell r="B5070">
            <v>202507</v>
          </cell>
          <cell r="D5070" t="str">
            <v>Náutica</v>
          </cell>
          <cell r="G5070" t="str">
            <v>Presupuesto</v>
          </cell>
        </row>
        <row r="5071">
          <cell r="A5071" t="str">
            <v>CARANTIA</v>
          </cell>
          <cell r="B5071">
            <v>202507</v>
          </cell>
          <cell r="D5071" t="str">
            <v>Náutica</v>
          </cell>
          <cell r="G5071" t="str">
            <v>Real</v>
          </cell>
        </row>
        <row r="5072">
          <cell r="A5072" t="str">
            <v>CARANTIA</v>
          </cell>
          <cell r="B5072">
            <v>202507</v>
          </cell>
          <cell r="D5072" t="str">
            <v>Particulares Resto</v>
          </cell>
          <cell r="G5072" t="str">
            <v>Presupuesto</v>
          </cell>
        </row>
        <row r="5073">
          <cell r="A5073" t="str">
            <v>CARANTIA</v>
          </cell>
          <cell r="B5073">
            <v>202507</v>
          </cell>
          <cell r="D5073" t="str">
            <v>Particulares Resto</v>
          </cell>
          <cell r="G5073" t="str">
            <v>Real</v>
          </cell>
        </row>
        <row r="5074">
          <cell r="A5074" t="str">
            <v>CARANTIA</v>
          </cell>
          <cell r="B5074">
            <v>202507</v>
          </cell>
          <cell r="D5074" t="str">
            <v>Property</v>
          </cell>
          <cell r="G5074" t="str">
            <v>Presupuesto</v>
          </cell>
        </row>
        <row r="5075">
          <cell r="A5075" t="str">
            <v>CARANTIA</v>
          </cell>
          <cell r="B5075">
            <v>202507</v>
          </cell>
          <cell r="D5075" t="str">
            <v>Property</v>
          </cell>
          <cell r="G5075" t="str">
            <v>Real</v>
          </cell>
        </row>
        <row r="5076">
          <cell r="A5076" t="str">
            <v>CARANTIA</v>
          </cell>
          <cell r="B5076">
            <v>202507</v>
          </cell>
          <cell r="D5076" t="str">
            <v>RC</v>
          </cell>
          <cell r="G5076" t="str">
            <v>Presupuesto</v>
          </cell>
        </row>
        <row r="5077">
          <cell r="A5077" t="str">
            <v>CARANTIA</v>
          </cell>
          <cell r="B5077">
            <v>202507</v>
          </cell>
          <cell r="D5077" t="str">
            <v>RC</v>
          </cell>
          <cell r="G5077" t="str">
            <v>Real</v>
          </cell>
        </row>
        <row r="5078">
          <cell r="A5078" t="str">
            <v>CARANTIA</v>
          </cell>
          <cell r="B5078">
            <v>202507</v>
          </cell>
          <cell r="D5078" t="str">
            <v>Resto de lineas</v>
          </cell>
          <cell r="G5078" t="str">
            <v>Presupuesto</v>
          </cell>
        </row>
        <row r="5079">
          <cell r="A5079" t="str">
            <v>CARANTIA</v>
          </cell>
          <cell r="B5079">
            <v>202507</v>
          </cell>
          <cell r="D5079" t="str">
            <v>Retirada</v>
          </cell>
          <cell r="G5079" t="str">
            <v>Presupuesto</v>
          </cell>
        </row>
        <row r="5080">
          <cell r="A5080" t="str">
            <v>CARANTIA</v>
          </cell>
          <cell r="B5080">
            <v>202507</v>
          </cell>
          <cell r="D5080" t="str">
            <v>Seguros Personales (No Vida) Colectivos</v>
          </cell>
          <cell r="G5080" t="str">
            <v>Presupuesto</v>
          </cell>
        </row>
        <row r="5081">
          <cell r="A5081" t="str">
            <v>CARANTIA</v>
          </cell>
          <cell r="B5081">
            <v>202507</v>
          </cell>
          <cell r="D5081" t="str">
            <v>Seguros Personales (No Vida) Colectivos</v>
          </cell>
          <cell r="G5081" t="str">
            <v>Real</v>
          </cell>
        </row>
        <row r="5082">
          <cell r="A5082" t="str">
            <v>CARANTIA</v>
          </cell>
          <cell r="B5082">
            <v>202507</v>
          </cell>
          <cell r="D5082" t="str">
            <v>Seguros Personales (No Vida) Particular</v>
          </cell>
          <cell r="G5082" t="str">
            <v>Presupuesto</v>
          </cell>
        </row>
        <row r="5083">
          <cell r="A5083" t="str">
            <v>CARANTIA</v>
          </cell>
          <cell r="B5083">
            <v>202507</v>
          </cell>
          <cell r="D5083" t="str">
            <v>Seguros Personales (No Vida) Particular</v>
          </cell>
          <cell r="G5083" t="str">
            <v>Real</v>
          </cell>
        </row>
        <row r="5084">
          <cell r="A5084" t="str">
            <v>CARANTIA</v>
          </cell>
          <cell r="B5084">
            <v>202507</v>
          </cell>
          <cell r="D5084" t="str">
            <v>Transporte</v>
          </cell>
          <cell r="G5084" t="str">
            <v>Presupuesto</v>
          </cell>
        </row>
        <row r="5085">
          <cell r="A5085" t="str">
            <v>CARANTIA</v>
          </cell>
          <cell r="B5085">
            <v>202507</v>
          </cell>
          <cell r="D5085" t="str">
            <v>Transporte</v>
          </cell>
          <cell r="G5085" t="str">
            <v>Real</v>
          </cell>
        </row>
        <row r="5086">
          <cell r="A5086" t="str">
            <v>CARANTIA</v>
          </cell>
          <cell r="B5086">
            <v>202507</v>
          </cell>
          <cell r="D5086" t="str">
            <v>Venta Cruzada</v>
          </cell>
          <cell r="G5086" t="str">
            <v>Presupuesto</v>
          </cell>
        </row>
        <row r="5087">
          <cell r="A5087" t="str">
            <v>CARANTIA</v>
          </cell>
          <cell r="B5087">
            <v>202507</v>
          </cell>
          <cell r="D5087" t="str">
            <v>Venta Cruzada</v>
          </cell>
          <cell r="G5087" t="str">
            <v>Real</v>
          </cell>
        </row>
        <row r="5088">
          <cell r="A5088" t="str">
            <v>CARANTIA</v>
          </cell>
          <cell r="B5088">
            <v>202507</v>
          </cell>
          <cell r="D5088" t="str">
            <v>Vida Ahorro Colectivo</v>
          </cell>
          <cell r="G5088" t="str">
            <v>Presupuesto</v>
          </cell>
        </row>
        <row r="5089">
          <cell r="A5089" t="str">
            <v>CARANTIA</v>
          </cell>
          <cell r="B5089">
            <v>202507</v>
          </cell>
          <cell r="D5089" t="str">
            <v>Vida Ahorro Colectivo</v>
          </cell>
          <cell r="G5089" t="str">
            <v>Real</v>
          </cell>
        </row>
        <row r="5090">
          <cell r="A5090" t="str">
            <v>CARANTIA</v>
          </cell>
          <cell r="B5090">
            <v>202507</v>
          </cell>
          <cell r="D5090" t="str">
            <v>Vida Ahorro Particular</v>
          </cell>
          <cell r="G5090" t="str">
            <v>Presupuesto</v>
          </cell>
        </row>
        <row r="5091">
          <cell r="A5091" t="str">
            <v>CARANTIA</v>
          </cell>
          <cell r="B5091">
            <v>202507</v>
          </cell>
          <cell r="D5091" t="str">
            <v>Vida Ahorro Particular</v>
          </cell>
          <cell r="G5091" t="str">
            <v>Real</v>
          </cell>
        </row>
        <row r="5092">
          <cell r="A5092" t="str">
            <v>CARANTIA</v>
          </cell>
          <cell r="B5092">
            <v>202507</v>
          </cell>
          <cell r="D5092" t="str">
            <v>Vida Ganado</v>
          </cell>
          <cell r="G5092" t="str">
            <v>Presupuesto</v>
          </cell>
        </row>
        <row r="5093">
          <cell r="A5093" t="str">
            <v>CARANTIA</v>
          </cell>
          <cell r="B5093">
            <v>202507</v>
          </cell>
          <cell r="D5093" t="str">
            <v>Vida Riesgo Colectivo</v>
          </cell>
          <cell r="G5093" t="str">
            <v>Presupuesto</v>
          </cell>
        </row>
        <row r="5094">
          <cell r="A5094" t="str">
            <v>CARANTIA</v>
          </cell>
          <cell r="B5094">
            <v>202507</v>
          </cell>
          <cell r="D5094" t="str">
            <v>Vida Riesgo Colectivo</v>
          </cell>
          <cell r="G5094" t="str">
            <v>Real</v>
          </cell>
        </row>
        <row r="5095">
          <cell r="A5095" t="str">
            <v>CARANTIA</v>
          </cell>
          <cell r="B5095">
            <v>202507</v>
          </cell>
          <cell r="D5095" t="str">
            <v>Vida Riesgo Particular</v>
          </cell>
          <cell r="G5095" t="str">
            <v>Presupuesto</v>
          </cell>
        </row>
        <row r="5096">
          <cell r="A5096" t="str">
            <v>CARANTIA</v>
          </cell>
          <cell r="B5096">
            <v>202507</v>
          </cell>
          <cell r="D5096" t="str">
            <v>Vida Riesgo Particular</v>
          </cell>
          <cell r="G5096" t="str">
            <v>Real</v>
          </cell>
        </row>
        <row r="5097">
          <cell r="A5097" t="str">
            <v>CARANTIA</v>
          </cell>
          <cell r="B5097">
            <v>202508</v>
          </cell>
          <cell r="D5097" t="str">
            <v>--</v>
          </cell>
          <cell r="G5097" t="str">
            <v>Presupuesto</v>
          </cell>
        </row>
        <row r="5098">
          <cell r="A5098" t="str">
            <v>CARANTIA</v>
          </cell>
          <cell r="B5098">
            <v>202508</v>
          </cell>
          <cell r="D5098" t="str">
            <v>--</v>
          </cell>
          <cell r="G5098" t="str">
            <v>Presupuesto</v>
          </cell>
        </row>
        <row r="5099">
          <cell r="A5099" t="str">
            <v>CARANTIA</v>
          </cell>
          <cell r="B5099">
            <v>202508</v>
          </cell>
          <cell r="D5099" t="str">
            <v>--</v>
          </cell>
          <cell r="G5099" t="str">
            <v>Real</v>
          </cell>
        </row>
        <row r="5100">
          <cell r="A5100" t="str">
            <v>CARANTIA</v>
          </cell>
          <cell r="B5100">
            <v>202508</v>
          </cell>
          <cell r="D5100" t="str">
            <v>Resto de Lineas</v>
          </cell>
          <cell r="G5100" t="str">
            <v>Real</v>
          </cell>
        </row>
        <row r="5101">
          <cell r="A5101" t="str">
            <v>CARANTIA</v>
          </cell>
          <cell r="B5101">
            <v>202508</v>
          </cell>
          <cell r="D5101" t="str">
            <v>Arte</v>
          </cell>
          <cell r="G5101" t="str">
            <v>Presupuesto</v>
          </cell>
        </row>
        <row r="5102">
          <cell r="A5102" t="str">
            <v>CARANTIA</v>
          </cell>
          <cell r="B5102">
            <v>202508</v>
          </cell>
          <cell r="D5102" t="str">
            <v>Autos</v>
          </cell>
          <cell r="G5102" t="str">
            <v>Presupuesto</v>
          </cell>
        </row>
        <row r="5103">
          <cell r="A5103" t="str">
            <v>CARANTIA</v>
          </cell>
          <cell r="B5103">
            <v>202508</v>
          </cell>
          <cell r="D5103" t="str">
            <v>Autos</v>
          </cell>
          <cell r="G5103" t="str">
            <v>Real</v>
          </cell>
        </row>
        <row r="5104">
          <cell r="A5104" t="str">
            <v>CARANTIA</v>
          </cell>
          <cell r="B5104">
            <v>202508</v>
          </cell>
          <cell r="D5104" t="str">
            <v>B2B2C</v>
          </cell>
          <cell r="G5104" t="str">
            <v>Presupuesto</v>
          </cell>
        </row>
        <row r="5105">
          <cell r="A5105" t="str">
            <v>CARANTIA</v>
          </cell>
          <cell r="B5105">
            <v>202508</v>
          </cell>
          <cell r="D5105" t="str">
            <v>Caución</v>
          </cell>
          <cell r="G5105" t="str">
            <v>Presupuesto</v>
          </cell>
        </row>
        <row r="5106">
          <cell r="A5106" t="str">
            <v>CARANTIA</v>
          </cell>
          <cell r="B5106">
            <v>202508</v>
          </cell>
          <cell r="D5106" t="str">
            <v>Caución</v>
          </cell>
          <cell r="G5106" t="str">
            <v>Real</v>
          </cell>
        </row>
        <row r="5107">
          <cell r="A5107" t="str">
            <v>CARANTIA</v>
          </cell>
          <cell r="B5107">
            <v>202508</v>
          </cell>
          <cell r="D5107" t="str">
            <v>Crédito Nacional</v>
          </cell>
          <cell r="G5107" t="str">
            <v>Real</v>
          </cell>
        </row>
        <row r="5108">
          <cell r="A5108" t="str">
            <v>CARANTIA</v>
          </cell>
          <cell r="B5108">
            <v>202508</v>
          </cell>
          <cell r="D5108" t="str">
            <v>Crédito Internacional</v>
          </cell>
          <cell r="G5108" t="str">
            <v>Presupuesto</v>
          </cell>
        </row>
        <row r="5109">
          <cell r="A5109" t="str">
            <v>CARANTIA</v>
          </cell>
          <cell r="B5109">
            <v>202508</v>
          </cell>
          <cell r="D5109" t="str">
            <v>Crédito Nacional</v>
          </cell>
          <cell r="G5109" t="str">
            <v>Presupuesto</v>
          </cell>
        </row>
        <row r="5110">
          <cell r="A5110" t="str">
            <v>CARANTIA</v>
          </cell>
          <cell r="B5110">
            <v>202508</v>
          </cell>
          <cell r="D5110" t="str">
            <v>Eventos</v>
          </cell>
          <cell r="G5110" t="str">
            <v>Presupuesto</v>
          </cell>
        </row>
        <row r="5111">
          <cell r="A5111" t="str">
            <v>CARANTIA</v>
          </cell>
          <cell r="B5111">
            <v>202508</v>
          </cell>
          <cell r="D5111" t="str">
            <v>Eventos</v>
          </cell>
          <cell r="G5111" t="str">
            <v>Real</v>
          </cell>
        </row>
        <row r="5112">
          <cell r="A5112" t="str">
            <v>CARANTIA</v>
          </cell>
          <cell r="B5112">
            <v>202508</v>
          </cell>
          <cell r="D5112" t="str">
            <v>Flotas</v>
          </cell>
          <cell r="G5112" t="str">
            <v>Presupuesto</v>
          </cell>
        </row>
        <row r="5113">
          <cell r="A5113" t="str">
            <v>CARANTIA</v>
          </cell>
          <cell r="B5113">
            <v>202508</v>
          </cell>
          <cell r="D5113" t="str">
            <v>Flotas</v>
          </cell>
          <cell r="G5113" t="str">
            <v>Real</v>
          </cell>
        </row>
        <row r="5114">
          <cell r="A5114" t="str">
            <v>CARANTIA</v>
          </cell>
          <cell r="B5114">
            <v>202508</v>
          </cell>
          <cell r="D5114" t="str">
            <v>Hogar</v>
          </cell>
          <cell r="G5114" t="str">
            <v>Presupuesto</v>
          </cell>
        </row>
        <row r="5115">
          <cell r="A5115" t="str">
            <v>CARANTIA</v>
          </cell>
          <cell r="B5115">
            <v>202508</v>
          </cell>
          <cell r="D5115" t="str">
            <v>Hogar</v>
          </cell>
          <cell r="G5115" t="str">
            <v>Real</v>
          </cell>
        </row>
        <row r="5116">
          <cell r="A5116" t="str">
            <v>CARANTIA</v>
          </cell>
          <cell r="B5116">
            <v>202508</v>
          </cell>
          <cell r="D5116" t="str">
            <v>Ingeniería</v>
          </cell>
          <cell r="G5116" t="str">
            <v>Presupuesto</v>
          </cell>
        </row>
        <row r="5117">
          <cell r="A5117" t="str">
            <v>CARANTIA</v>
          </cell>
          <cell r="B5117">
            <v>202508</v>
          </cell>
          <cell r="D5117" t="str">
            <v>Ingeniería</v>
          </cell>
          <cell r="G5117" t="str">
            <v>Real</v>
          </cell>
        </row>
        <row r="5118">
          <cell r="A5118" t="str">
            <v>CARANTIA</v>
          </cell>
          <cell r="B5118">
            <v>202508</v>
          </cell>
          <cell r="D5118" t="str">
            <v>Inmobiliario</v>
          </cell>
          <cell r="G5118" t="str">
            <v>Presupuesto</v>
          </cell>
        </row>
        <row r="5119">
          <cell r="A5119" t="str">
            <v>CARANTIA</v>
          </cell>
          <cell r="B5119">
            <v>202508</v>
          </cell>
          <cell r="D5119" t="str">
            <v>Inmobiliario</v>
          </cell>
          <cell r="G5119" t="str">
            <v>Real</v>
          </cell>
        </row>
        <row r="5120">
          <cell r="A5120" t="str">
            <v>CARANTIA</v>
          </cell>
          <cell r="B5120">
            <v>202508</v>
          </cell>
          <cell r="D5120" t="str">
            <v>Líneas Financieras</v>
          </cell>
          <cell r="G5120" t="str">
            <v>Presupuesto</v>
          </cell>
        </row>
        <row r="5121">
          <cell r="A5121" t="str">
            <v>CARANTIA</v>
          </cell>
          <cell r="B5121">
            <v>202508</v>
          </cell>
          <cell r="D5121" t="str">
            <v>Líneas Financieras</v>
          </cell>
          <cell r="G5121" t="str">
            <v>Real</v>
          </cell>
        </row>
        <row r="5122">
          <cell r="A5122" t="str">
            <v>CARANTIA</v>
          </cell>
          <cell r="B5122">
            <v>202508</v>
          </cell>
          <cell r="D5122" t="str">
            <v>Náutica</v>
          </cell>
          <cell r="G5122" t="str">
            <v>Presupuesto</v>
          </cell>
        </row>
        <row r="5123">
          <cell r="A5123" t="str">
            <v>CARANTIA</v>
          </cell>
          <cell r="B5123">
            <v>202508</v>
          </cell>
          <cell r="D5123" t="str">
            <v>Náutica</v>
          </cell>
          <cell r="G5123" t="str">
            <v>Real</v>
          </cell>
        </row>
        <row r="5124">
          <cell r="A5124" t="str">
            <v>CARANTIA</v>
          </cell>
          <cell r="B5124">
            <v>202508</v>
          </cell>
          <cell r="D5124" t="str">
            <v>Particulares Resto</v>
          </cell>
          <cell r="G5124" t="str">
            <v>Presupuesto</v>
          </cell>
        </row>
        <row r="5125">
          <cell r="A5125" t="str">
            <v>CARANTIA</v>
          </cell>
          <cell r="B5125">
            <v>202508</v>
          </cell>
          <cell r="D5125" t="str">
            <v>Particulares Resto</v>
          </cell>
          <cell r="G5125" t="str">
            <v>Real</v>
          </cell>
        </row>
        <row r="5126">
          <cell r="A5126" t="str">
            <v>CARANTIA</v>
          </cell>
          <cell r="B5126">
            <v>202508</v>
          </cell>
          <cell r="D5126" t="str">
            <v>Property</v>
          </cell>
          <cell r="G5126" t="str">
            <v>Presupuesto</v>
          </cell>
        </row>
        <row r="5127">
          <cell r="A5127" t="str">
            <v>CARANTIA</v>
          </cell>
          <cell r="B5127">
            <v>202508</v>
          </cell>
          <cell r="D5127" t="str">
            <v>Property</v>
          </cell>
          <cell r="G5127" t="str">
            <v>Real</v>
          </cell>
        </row>
        <row r="5128">
          <cell r="A5128" t="str">
            <v>CARANTIA</v>
          </cell>
          <cell r="B5128">
            <v>202508</v>
          </cell>
          <cell r="D5128" t="str">
            <v>RC</v>
          </cell>
          <cell r="G5128" t="str">
            <v>Presupuesto</v>
          </cell>
        </row>
        <row r="5129">
          <cell r="A5129" t="str">
            <v>CARANTIA</v>
          </cell>
          <cell r="B5129">
            <v>202508</v>
          </cell>
          <cell r="D5129" t="str">
            <v>RC</v>
          </cell>
          <cell r="G5129" t="str">
            <v>Real</v>
          </cell>
        </row>
        <row r="5130">
          <cell r="A5130" t="str">
            <v>CARANTIA</v>
          </cell>
          <cell r="B5130">
            <v>202508</v>
          </cell>
          <cell r="D5130" t="str">
            <v>Resto de lineas</v>
          </cell>
          <cell r="G5130" t="str">
            <v>Presupuesto</v>
          </cell>
        </row>
        <row r="5131">
          <cell r="A5131" t="str">
            <v>CARANTIA</v>
          </cell>
          <cell r="B5131">
            <v>202508</v>
          </cell>
          <cell r="D5131" t="str">
            <v>Retirada</v>
          </cell>
          <cell r="G5131" t="str">
            <v>Presupuesto</v>
          </cell>
        </row>
        <row r="5132">
          <cell r="A5132" t="str">
            <v>CARANTIA</v>
          </cell>
          <cell r="B5132">
            <v>202508</v>
          </cell>
          <cell r="D5132" t="str">
            <v>Seguros Personales (No Vida) Colectivos</v>
          </cell>
          <cell r="G5132" t="str">
            <v>Presupuesto</v>
          </cell>
        </row>
        <row r="5133">
          <cell r="A5133" t="str">
            <v>CARANTIA</v>
          </cell>
          <cell r="B5133">
            <v>202508</v>
          </cell>
          <cell r="D5133" t="str">
            <v>Seguros Personales (No Vida) Colectivos</v>
          </cell>
          <cell r="G5133" t="str">
            <v>Real</v>
          </cell>
        </row>
        <row r="5134">
          <cell r="A5134" t="str">
            <v>CARANTIA</v>
          </cell>
          <cell r="B5134">
            <v>202508</v>
          </cell>
          <cell r="D5134" t="str">
            <v>Seguros Personales (No Vida) Particular</v>
          </cell>
          <cell r="G5134" t="str">
            <v>Presupuesto</v>
          </cell>
        </row>
        <row r="5135">
          <cell r="A5135" t="str">
            <v>CARANTIA</v>
          </cell>
          <cell r="B5135">
            <v>202508</v>
          </cell>
          <cell r="D5135" t="str">
            <v>Seguros Personales (No Vida) Particular</v>
          </cell>
          <cell r="G5135" t="str">
            <v>Real</v>
          </cell>
        </row>
        <row r="5136">
          <cell r="A5136" t="str">
            <v>CARANTIA</v>
          </cell>
          <cell r="B5136">
            <v>202508</v>
          </cell>
          <cell r="D5136" t="str">
            <v>Transporte</v>
          </cell>
          <cell r="G5136" t="str">
            <v>Presupuesto</v>
          </cell>
        </row>
        <row r="5137">
          <cell r="A5137" t="str">
            <v>CARANTIA</v>
          </cell>
          <cell r="B5137">
            <v>202508</v>
          </cell>
          <cell r="D5137" t="str">
            <v>Transporte</v>
          </cell>
          <cell r="G5137" t="str">
            <v>Real</v>
          </cell>
        </row>
        <row r="5138">
          <cell r="A5138" t="str">
            <v>CARANTIA</v>
          </cell>
          <cell r="B5138">
            <v>202508</v>
          </cell>
          <cell r="D5138" t="str">
            <v>Venta Cruzada</v>
          </cell>
          <cell r="G5138" t="str">
            <v>Presupuesto</v>
          </cell>
        </row>
        <row r="5139">
          <cell r="A5139" t="str">
            <v>CARANTIA</v>
          </cell>
          <cell r="B5139">
            <v>202508</v>
          </cell>
          <cell r="D5139" t="str">
            <v>Venta Cruzada</v>
          </cell>
          <cell r="G5139" t="str">
            <v>Real</v>
          </cell>
        </row>
        <row r="5140">
          <cell r="A5140" t="str">
            <v>CARANTIA</v>
          </cell>
          <cell r="B5140">
            <v>202508</v>
          </cell>
          <cell r="D5140" t="str">
            <v>Vida Ahorro Colectivo</v>
          </cell>
          <cell r="G5140" t="str">
            <v>Presupuesto</v>
          </cell>
        </row>
        <row r="5141">
          <cell r="A5141" t="str">
            <v>CARANTIA</v>
          </cell>
          <cell r="B5141">
            <v>202508</v>
          </cell>
          <cell r="D5141" t="str">
            <v>Vida Ahorro Colectivo</v>
          </cell>
          <cell r="G5141" t="str">
            <v>Real</v>
          </cell>
        </row>
        <row r="5142">
          <cell r="A5142" t="str">
            <v>CARANTIA</v>
          </cell>
          <cell r="B5142">
            <v>202508</v>
          </cell>
          <cell r="D5142" t="str">
            <v>Vida Ahorro Particular</v>
          </cell>
          <cell r="G5142" t="str">
            <v>Presupuesto</v>
          </cell>
        </row>
        <row r="5143">
          <cell r="A5143" t="str">
            <v>CARANTIA</v>
          </cell>
          <cell r="B5143">
            <v>202508</v>
          </cell>
          <cell r="D5143" t="str">
            <v>Vida Ahorro Particular</v>
          </cell>
          <cell r="G5143" t="str">
            <v>Real</v>
          </cell>
        </row>
        <row r="5144">
          <cell r="A5144" t="str">
            <v>CARANTIA</v>
          </cell>
          <cell r="B5144">
            <v>202508</v>
          </cell>
          <cell r="D5144" t="str">
            <v>Vida Ganado</v>
          </cell>
          <cell r="G5144" t="str">
            <v>Presupuesto</v>
          </cell>
        </row>
        <row r="5145">
          <cell r="A5145" t="str">
            <v>CARANTIA</v>
          </cell>
          <cell r="B5145">
            <v>202508</v>
          </cell>
          <cell r="D5145" t="str">
            <v>Vida Riesgo Colectivo</v>
          </cell>
          <cell r="G5145" t="str">
            <v>Presupuesto</v>
          </cell>
        </row>
        <row r="5146">
          <cell r="A5146" t="str">
            <v>CARANTIA</v>
          </cell>
          <cell r="B5146">
            <v>202508</v>
          </cell>
          <cell r="D5146" t="str">
            <v>Vida Riesgo Colectivo</v>
          </cell>
          <cell r="G5146" t="str">
            <v>Real</v>
          </cell>
        </row>
        <row r="5147">
          <cell r="A5147" t="str">
            <v>CARANTIA</v>
          </cell>
          <cell r="B5147">
            <v>202508</v>
          </cell>
          <cell r="D5147" t="str">
            <v>Vida Riesgo Particular</v>
          </cell>
          <cell r="G5147" t="str">
            <v>Presupuesto</v>
          </cell>
        </row>
        <row r="5148">
          <cell r="A5148" t="str">
            <v>CARANTIA</v>
          </cell>
          <cell r="B5148">
            <v>202508</v>
          </cell>
          <cell r="D5148" t="str">
            <v>Vida Riesgo Particular</v>
          </cell>
          <cell r="G5148" t="str">
            <v>Real</v>
          </cell>
        </row>
        <row r="5149">
          <cell r="A5149" t="str">
            <v>CARANTIA</v>
          </cell>
          <cell r="B5149">
            <v>202509</v>
          </cell>
          <cell r="D5149" t="str">
            <v>--</v>
          </cell>
          <cell r="G5149" t="str">
            <v>Presupuesto</v>
          </cell>
        </row>
        <row r="5150">
          <cell r="A5150" t="str">
            <v>CARANTIA</v>
          </cell>
          <cell r="B5150">
            <v>202509</v>
          </cell>
          <cell r="D5150" t="str">
            <v>--</v>
          </cell>
          <cell r="G5150" t="str">
            <v>Real</v>
          </cell>
        </row>
        <row r="5151">
          <cell r="A5151" t="str">
            <v>CARANTIA</v>
          </cell>
          <cell r="B5151">
            <v>202509</v>
          </cell>
          <cell r="D5151" t="str">
            <v>Resto de Lineas</v>
          </cell>
          <cell r="G5151" t="str">
            <v>Real</v>
          </cell>
        </row>
        <row r="5152">
          <cell r="A5152" t="str">
            <v>CARANTIA</v>
          </cell>
          <cell r="B5152">
            <v>202509</v>
          </cell>
          <cell r="D5152" t="str">
            <v>Arte</v>
          </cell>
          <cell r="G5152" t="str">
            <v>Presupuesto</v>
          </cell>
        </row>
        <row r="5153">
          <cell r="A5153" t="str">
            <v>CARANTIA</v>
          </cell>
          <cell r="B5153">
            <v>202509</v>
          </cell>
          <cell r="D5153" t="str">
            <v>Autos</v>
          </cell>
          <cell r="G5153" t="str">
            <v>Presupuesto</v>
          </cell>
        </row>
        <row r="5154">
          <cell r="A5154" t="str">
            <v>CARANTIA</v>
          </cell>
          <cell r="B5154">
            <v>202509</v>
          </cell>
          <cell r="D5154" t="str">
            <v>Autos</v>
          </cell>
          <cell r="G5154" t="str">
            <v>Real</v>
          </cell>
        </row>
        <row r="5155">
          <cell r="A5155" t="str">
            <v>CARANTIA</v>
          </cell>
          <cell r="B5155">
            <v>202509</v>
          </cell>
          <cell r="D5155" t="str">
            <v>B2B2C</v>
          </cell>
          <cell r="G5155" t="str">
            <v>Presupuesto</v>
          </cell>
        </row>
        <row r="5156">
          <cell r="A5156" t="str">
            <v>CARANTIA</v>
          </cell>
          <cell r="B5156">
            <v>202509</v>
          </cell>
          <cell r="D5156" t="str">
            <v>Caución</v>
          </cell>
          <cell r="G5156" t="str">
            <v>Presupuesto</v>
          </cell>
        </row>
        <row r="5157">
          <cell r="A5157" t="str">
            <v>CARANTIA</v>
          </cell>
          <cell r="B5157">
            <v>202509</v>
          </cell>
          <cell r="D5157" t="str">
            <v>Caución</v>
          </cell>
          <cell r="G5157" t="str">
            <v>Real</v>
          </cell>
        </row>
        <row r="5158">
          <cell r="A5158" t="str">
            <v>CARANTIA</v>
          </cell>
          <cell r="B5158">
            <v>202509</v>
          </cell>
          <cell r="D5158" t="str">
            <v>Crédito Nacional</v>
          </cell>
          <cell r="G5158" t="str">
            <v>Real</v>
          </cell>
        </row>
        <row r="5159">
          <cell r="A5159" t="str">
            <v>CARANTIA</v>
          </cell>
          <cell r="B5159">
            <v>202509</v>
          </cell>
          <cell r="D5159" t="str">
            <v>Crédito Internacional</v>
          </cell>
          <cell r="G5159" t="str">
            <v>Presupuesto</v>
          </cell>
        </row>
        <row r="5160">
          <cell r="A5160" t="str">
            <v>CARANTIA</v>
          </cell>
          <cell r="B5160">
            <v>202509</v>
          </cell>
          <cell r="D5160" t="str">
            <v>Crédito Nacional</v>
          </cell>
          <cell r="G5160" t="str">
            <v>Presupuesto</v>
          </cell>
        </row>
        <row r="5161">
          <cell r="A5161" t="str">
            <v>CARANTIA</v>
          </cell>
          <cell r="B5161">
            <v>202509</v>
          </cell>
          <cell r="D5161" t="str">
            <v>Eventos</v>
          </cell>
          <cell r="G5161" t="str">
            <v>Presupuesto</v>
          </cell>
        </row>
        <row r="5162">
          <cell r="A5162" t="str">
            <v>CARANTIA</v>
          </cell>
          <cell r="B5162">
            <v>202509</v>
          </cell>
          <cell r="D5162" t="str">
            <v>Eventos</v>
          </cell>
          <cell r="G5162" t="str">
            <v>Real</v>
          </cell>
        </row>
        <row r="5163">
          <cell r="A5163" t="str">
            <v>CARANTIA</v>
          </cell>
          <cell r="B5163">
            <v>202509</v>
          </cell>
          <cell r="D5163" t="str">
            <v>Flotas</v>
          </cell>
          <cell r="G5163" t="str">
            <v>Presupuesto</v>
          </cell>
        </row>
        <row r="5164">
          <cell r="A5164" t="str">
            <v>CARANTIA</v>
          </cell>
          <cell r="B5164">
            <v>202509</v>
          </cell>
          <cell r="D5164" t="str">
            <v>Flotas</v>
          </cell>
          <cell r="G5164" t="str">
            <v>Real</v>
          </cell>
        </row>
        <row r="5165">
          <cell r="A5165" t="str">
            <v>CARANTIA</v>
          </cell>
          <cell r="B5165">
            <v>202509</v>
          </cell>
          <cell r="D5165" t="str">
            <v>Hogar</v>
          </cell>
          <cell r="G5165" t="str">
            <v>Presupuesto</v>
          </cell>
        </row>
        <row r="5166">
          <cell r="A5166" t="str">
            <v>CARANTIA</v>
          </cell>
          <cell r="B5166">
            <v>202509</v>
          </cell>
          <cell r="D5166" t="str">
            <v>Hogar</v>
          </cell>
          <cell r="G5166" t="str">
            <v>Real</v>
          </cell>
        </row>
        <row r="5167">
          <cell r="A5167" t="str">
            <v>CARANTIA</v>
          </cell>
          <cell r="B5167">
            <v>202509</v>
          </cell>
          <cell r="D5167" t="str">
            <v>Ingeniería</v>
          </cell>
          <cell r="G5167" t="str">
            <v>Presupuesto</v>
          </cell>
        </row>
        <row r="5168">
          <cell r="A5168" t="str">
            <v>CARANTIA</v>
          </cell>
          <cell r="B5168">
            <v>202509</v>
          </cell>
          <cell r="D5168" t="str">
            <v>Ingeniería</v>
          </cell>
          <cell r="G5168" t="str">
            <v>Real</v>
          </cell>
        </row>
        <row r="5169">
          <cell r="A5169" t="str">
            <v>CARANTIA</v>
          </cell>
          <cell r="B5169">
            <v>202509</v>
          </cell>
          <cell r="D5169" t="str">
            <v>Inmobiliario</v>
          </cell>
          <cell r="G5169" t="str">
            <v>Presupuesto</v>
          </cell>
        </row>
        <row r="5170">
          <cell r="A5170" t="str">
            <v>CARANTIA</v>
          </cell>
          <cell r="B5170">
            <v>202509</v>
          </cell>
          <cell r="D5170" t="str">
            <v>Inmobiliario</v>
          </cell>
          <cell r="G5170" t="str">
            <v>Real</v>
          </cell>
        </row>
        <row r="5171">
          <cell r="A5171" t="str">
            <v>CARANTIA</v>
          </cell>
          <cell r="B5171">
            <v>202509</v>
          </cell>
          <cell r="D5171" t="str">
            <v>Líneas Financieras</v>
          </cell>
          <cell r="G5171" t="str">
            <v>Presupuesto</v>
          </cell>
        </row>
        <row r="5172">
          <cell r="A5172" t="str">
            <v>CARANTIA</v>
          </cell>
          <cell r="B5172">
            <v>202509</v>
          </cell>
          <cell r="D5172" t="str">
            <v>Líneas Financieras</v>
          </cell>
          <cell r="G5172" t="str">
            <v>Real</v>
          </cell>
        </row>
        <row r="5173">
          <cell r="A5173" t="str">
            <v>CARANTIA</v>
          </cell>
          <cell r="B5173">
            <v>202509</v>
          </cell>
          <cell r="D5173" t="str">
            <v>Náutica</v>
          </cell>
          <cell r="G5173" t="str">
            <v>Presupuesto</v>
          </cell>
        </row>
        <row r="5174">
          <cell r="A5174" t="str">
            <v>CARANTIA</v>
          </cell>
          <cell r="B5174">
            <v>202509</v>
          </cell>
          <cell r="D5174" t="str">
            <v>Náutica</v>
          </cell>
          <cell r="G5174" t="str">
            <v>Real</v>
          </cell>
        </row>
        <row r="5175">
          <cell r="A5175" t="str">
            <v>CARANTIA</v>
          </cell>
          <cell r="B5175">
            <v>202509</v>
          </cell>
          <cell r="D5175" t="str">
            <v>Particulares Resto</v>
          </cell>
          <cell r="G5175" t="str">
            <v>Presupuesto</v>
          </cell>
        </row>
        <row r="5176">
          <cell r="A5176" t="str">
            <v>CARANTIA</v>
          </cell>
          <cell r="B5176">
            <v>202509</v>
          </cell>
          <cell r="D5176" t="str">
            <v>Particulares Resto</v>
          </cell>
          <cell r="G5176" t="str">
            <v>Real</v>
          </cell>
        </row>
        <row r="5177">
          <cell r="A5177" t="str">
            <v>CARANTIA</v>
          </cell>
          <cell r="B5177">
            <v>202509</v>
          </cell>
          <cell r="D5177" t="str">
            <v>Property</v>
          </cell>
          <cell r="G5177" t="str">
            <v>Presupuesto</v>
          </cell>
        </row>
        <row r="5178">
          <cell r="A5178" t="str">
            <v>CARANTIA</v>
          </cell>
          <cell r="B5178">
            <v>202509</v>
          </cell>
          <cell r="D5178" t="str">
            <v>Property</v>
          </cell>
          <cell r="G5178" t="str">
            <v>Real</v>
          </cell>
        </row>
        <row r="5179">
          <cell r="A5179" t="str">
            <v>CARANTIA</v>
          </cell>
          <cell r="B5179">
            <v>202509</v>
          </cell>
          <cell r="D5179" t="str">
            <v>RC</v>
          </cell>
          <cell r="G5179" t="str">
            <v>Presupuesto</v>
          </cell>
        </row>
        <row r="5180">
          <cell r="A5180" t="str">
            <v>CARANTIA</v>
          </cell>
          <cell r="B5180">
            <v>202509</v>
          </cell>
          <cell r="D5180" t="str">
            <v>RC</v>
          </cell>
          <cell r="G5180" t="str">
            <v>Real</v>
          </cell>
        </row>
        <row r="5181">
          <cell r="A5181" t="str">
            <v>CARANTIA</v>
          </cell>
          <cell r="B5181">
            <v>202509</v>
          </cell>
          <cell r="D5181" t="str">
            <v>Resto de lineas</v>
          </cell>
          <cell r="G5181" t="str">
            <v>Presupuesto</v>
          </cell>
        </row>
        <row r="5182">
          <cell r="A5182" t="str">
            <v>CARANTIA</v>
          </cell>
          <cell r="B5182">
            <v>202509</v>
          </cell>
          <cell r="D5182" t="str">
            <v>Retirada</v>
          </cell>
          <cell r="G5182" t="str">
            <v>Presupuesto</v>
          </cell>
        </row>
        <row r="5183">
          <cell r="A5183" t="str">
            <v>CARANTIA</v>
          </cell>
          <cell r="B5183">
            <v>202509</v>
          </cell>
          <cell r="D5183" t="str">
            <v>Seguros Personales (No Vida) Colectivos</v>
          </cell>
          <cell r="G5183" t="str">
            <v>Presupuesto</v>
          </cell>
        </row>
        <row r="5184">
          <cell r="A5184" t="str">
            <v>CARANTIA</v>
          </cell>
          <cell r="B5184">
            <v>202509</v>
          </cell>
          <cell r="D5184" t="str">
            <v>Seguros Personales (No Vida) Colectivos</v>
          </cell>
          <cell r="G5184" t="str">
            <v>Real</v>
          </cell>
        </row>
        <row r="5185">
          <cell r="A5185" t="str">
            <v>CARANTIA</v>
          </cell>
          <cell r="B5185">
            <v>202509</v>
          </cell>
          <cell r="D5185" t="str">
            <v>Seguros Personales (No Vida) Particular</v>
          </cell>
          <cell r="G5185" t="str">
            <v>Presupuesto</v>
          </cell>
        </row>
        <row r="5186">
          <cell r="A5186" t="str">
            <v>CARANTIA</v>
          </cell>
          <cell r="B5186">
            <v>202509</v>
          </cell>
          <cell r="D5186" t="str">
            <v>Seguros Personales (No Vida) Particular</v>
          </cell>
          <cell r="G5186" t="str">
            <v>Real</v>
          </cell>
        </row>
        <row r="5187">
          <cell r="A5187" t="str">
            <v>CARANTIA</v>
          </cell>
          <cell r="B5187">
            <v>202509</v>
          </cell>
          <cell r="D5187" t="str">
            <v>Transporte</v>
          </cell>
          <cell r="G5187" t="str">
            <v>Presupuesto</v>
          </cell>
        </row>
        <row r="5188">
          <cell r="A5188" t="str">
            <v>CARANTIA</v>
          </cell>
          <cell r="B5188">
            <v>202509</v>
          </cell>
          <cell r="D5188" t="str">
            <v>Transporte</v>
          </cell>
          <cell r="G5188" t="str">
            <v>Real</v>
          </cell>
        </row>
        <row r="5189">
          <cell r="A5189" t="str">
            <v>CARANTIA</v>
          </cell>
          <cell r="B5189">
            <v>202509</v>
          </cell>
          <cell r="D5189" t="str">
            <v>Venta Cruzada</v>
          </cell>
          <cell r="G5189" t="str">
            <v>Presupuesto</v>
          </cell>
        </row>
        <row r="5190">
          <cell r="A5190" t="str">
            <v>CARANTIA</v>
          </cell>
          <cell r="B5190">
            <v>202509</v>
          </cell>
          <cell r="D5190" t="str">
            <v>Venta Cruzada</v>
          </cell>
          <cell r="G5190" t="str">
            <v>Real</v>
          </cell>
        </row>
        <row r="5191">
          <cell r="A5191" t="str">
            <v>CARANTIA</v>
          </cell>
          <cell r="B5191">
            <v>202509</v>
          </cell>
          <cell r="D5191" t="str">
            <v>Vida Ahorro Colectivo</v>
          </cell>
          <cell r="G5191" t="str">
            <v>Presupuesto</v>
          </cell>
        </row>
        <row r="5192">
          <cell r="A5192" t="str">
            <v>CARANTIA</v>
          </cell>
          <cell r="B5192">
            <v>202509</v>
          </cell>
          <cell r="D5192" t="str">
            <v>Vida Ahorro Colectivo</v>
          </cell>
          <cell r="G5192" t="str">
            <v>Real</v>
          </cell>
        </row>
        <row r="5193">
          <cell r="A5193" t="str">
            <v>CARANTIA</v>
          </cell>
          <cell r="B5193">
            <v>202509</v>
          </cell>
          <cell r="D5193" t="str">
            <v>Vida Ahorro Particular</v>
          </cell>
          <cell r="G5193" t="str">
            <v>Presupuesto</v>
          </cell>
        </row>
        <row r="5194">
          <cell r="A5194" t="str">
            <v>CARANTIA</v>
          </cell>
          <cell r="B5194">
            <v>202509</v>
          </cell>
          <cell r="D5194" t="str">
            <v>Vida Ahorro Particular</v>
          </cell>
          <cell r="G5194" t="str">
            <v>Real</v>
          </cell>
        </row>
        <row r="5195">
          <cell r="A5195" t="str">
            <v>CARANTIA</v>
          </cell>
          <cell r="B5195">
            <v>202509</v>
          </cell>
          <cell r="D5195" t="str">
            <v>Vida Ganado</v>
          </cell>
          <cell r="G5195" t="str">
            <v>Presupuesto</v>
          </cell>
        </row>
        <row r="5196">
          <cell r="A5196" t="str">
            <v>CARANTIA</v>
          </cell>
          <cell r="B5196">
            <v>202509</v>
          </cell>
          <cell r="D5196" t="str">
            <v>Vida Riesgo Colectivo</v>
          </cell>
          <cell r="G5196" t="str">
            <v>Presupuesto</v>
          </cell>
        </row>
        <row r="5197">
          <cell r="A5197" t="str">
            <v>CARANTIA</v>
          </cell>
          <cell r="B5197">
            <v>202509</v>
          </cell>
          <cell r="D5197" t="str">
            <v>Vida Riesgo Colectivo</v>
          </cell>
          <cell r="G5197" t="str">
            <v>Real</v>
          </cell>
        </row>
        <row r="5198">
          <cell r="A5198" t="str">
            <v>CARANTIA</v>
          </cell>
          <cell r="B5198">
            <v>202509</v>
          </cell>
          <cell r="D5198" t="str">
            <v>Vida Riesgo Particular</v>
          </cell>
          <cell r="G5198" t="str">
            <v>Presupuesto</v>
          </cell>
        </row>
        <row r="5199">
          <cell r="A5199" t="str">
            <v>CARANTIA</v>
          </cell>
          <cell r="B5199">
            <v>202509</v>
          </cell>
          <cell r="D5199" t="str">
            <v>Vida Riesgo Particular</v>
          </cell>
          <cell r="G5199" t="str">
            <v>Real</v>
          </cell>
        </row>
        <row r="5200">
          <cell r="A5200" t="str">
            <v>CARANTIA</v>
          </cell>
          <cell r="B5200">
            <v>202510</v>
          </cell>
          <cell r="D5200" t="str">
            <v>--</v>
          </cell>
          <cell r="G5200" t="str">
            <v>Presupuesto</v>
          </cell>
        </row>
        <row r="5201">
          <cell r="A5201" t="str">
            <v>CARANTIA</v>
          </cell>
          <cell r="B5201">
            <v>202510</v>
          </cell>
          <cell r="D5201" t="str">
            <v>--</v>
          </cell>
          <cell r="G5201" t="str">
            <v>Real</v>
          </cell>
        </row>
        <row r="5202">
          <cell r="A5202" t="str">
            <v>CARANTIA</v>
          </cell>
          <cell r="B5202">
            <v>202510</v>
          </cell>
          <cell r="D5202" t="str">
            <v>Resto de Lineas</v>
          </cell>
          <cell r="G5202" t="str">
            <v>Real</v>
          </cell>
        </row>
        <row r="5203">
          <cell r="A5203" t="str">
            <v>CARANTIA</v>
          </cell>
          <cell r="B5203">
            <v>202510</v>
          </cell>
          <cell r="D5203" t="str">
            <v>Arte</v>
          </cell>
          <cell r="G5203" t="str">
            <v>Presupuesto</v>
          </cell>
        </row>
        <row r="5204">
          <cell r="A5204" t="str">
            <v>CARANTIA</v>
          </cell>
          <cell r="B5204">
            <v>202510</v>
          </cell>
          <cell r="D5204" t="str">
            <v>Autos</v>
          </cell>
          <cell r="G5204" t="str">
            <v>Presupuesto</v>
          </cell>
        </row>
        <row r="5205">
          <cell r="A5205" t="str">
            <v>CARANTIA</v>
          </cell>
          <cell r="B5205">
            <v>202510</v>
          </cell>
          <cell r="D5205" t="str">
            <v>Autos</v>
          </cell>
          <cell r="G5205" t="str">
            <v>Real</v>
          </cell>
        </row>
        <row r="5206">
          <cell r="A5206" t="str">
            <v>CARANTIA</v>
          </cell>
          <cell r="B5206">
            <v>202510</v>
          </cell>
          <cell r="D5206" t="str">
            <v>B2B2C</v>
          </cell>
          <cell r="G5206" t="str">
            <v>Presupuesto</v>
          </cell>
        </row>
        <row r="5207">
          <cell r="A5207" t="str">
            <v>CARANTIA</v>
          </cell>
          <cell r="B5207">
            <v>202510</v>
          </cell>
          <cell r="D5207" t="str">
            <v>Caución</v>
          </cell>
          <cell r="G5207" t="str">
            <v>Presupuesto</v>
          </cell>
        </row>
        <row r="5208">
          <cell r="A5208" t="str">
            <v>CARANTIA</v>
          </cell>
          <cell r="B5208">
            <v>202510</v>
          </cell>
          <cell r="D5208" t="str">
            <v>Caución</v>
          </cell>
          <cell r="G5208" t="str">
            <v>Real</v>
          </cell>
        </row>
        <row r="5209">
          <cell r="A5209" t="str">
            <v>CARANTIA</v>
          </cell>
          <cell r="B5209">
            <v>202510</v>
          </cell>
          <cell r="D5209" t="str">
            <v>Crédito Nacional</v>
          </cell>
          <cell r="G5209" t="str">
            <v>Real</v>
          </cell>
        </row>
        <row r="5210">
          <cell r="A5210" t="str">
            <v>CARANTIA</v>
          </cell>
          <cell r="B5210">
            <v>202510</v>
          </cell>
          <cell r="D5210" t="str">
            <v>Crédito Internacional</v>
          </cell>
          <cell r="G5210" t="str">
            <v>Presupuesto</v>
          </cell>
        </row>
        <row r="5211">
          <cell r="A5211" t="str">
            <v>CARANTIA</v>
          </cell>
          <cell r="B5211">
            <v>202510</v>
          </cell>
          <cell r="D5211" t="str">
            <v>Crédito Nacional</v>
          </cell>
          <cell r="G5211" t="str">
            <v>Presupuesto</v>
          </cell>
        </row>
        <row r="5212">
          <cell r="A5212" t="str">
            <v>CARANTIA</v>
          </cell>
          <cell r="B5212">
            <v>202510</v>
          </cell>
          <cell r="D5212" t="str">
            <v>Eventos</v>
          </cell>
          <cell r="G5212" t="str">
            <v>Presupuesto</v>
          </cell>
        </row>
        <row r="5213">
          <cell r="A5213" t="str">
            <v>CARANTIA</v>
          </cell>
          <cell r="B5213">
            <v>202510</v>
          </cell>
          <cell r="D5213" t="str">
            <v>Eventos</v>
          </cell>
          <cell r="G5213" t="str">
            <v>Real</v>
          </cell>
        </row>
        <row r="5214">
          <cell r="A5214" t="str">
            <v>CARANTIA</v>
          </cell>
          <cell r="B5214">
            <v>202510</v>
          </cell>
          <cell r="D5214" t="str">
            <v>Flotas</v>
          </cell>
          <cell r="G5214" t="str">
            <v>Presupuesto</v>
          </cell>
        </row>
        <row r="5215">
          <cell r="A5215" t="str">
            <v>CARANTIA</v>
          </cell>
          <cell r="B5215">
            <v>202510</v>
          </cell>
          <cell r="D5215" t="str">
            <v>Flotas</v>
          </cell>
          <cell r="G5215" t="str">
            <v>Real</v>
          </cell>
        </row>
        <row r="5216">
          <cell r="A5216" t="str">
            <v>CARANTIA</v>
          </cell>
          <cell r="B5216">
            <v>202510</v>
          </cell>
          <cell r="D5216" t="str">
            <v>Hogar</v>
          </cell>
          <cell r="G5216" t="str">
            <v>Presupuesto</v>
          </cell>
        </row>
        <row r="5217">
          <cell r="A5217" t="str">
            <v>CARANTIA</v>
          </cell>
          <cell r="B5217">
            <v>202510</v>
          </cell>
          <cell r="D5217" t="str">
            <v>Hogar</v>
          </cell>
          <cell r="G5217" t="str">
            <v>Real</v>
          </cell>
        </row>
        <row r="5218">
          <cell r="A5218" t="str">
            <v>CARANTIA</v>
          </cell>
          <cell r="B5218">
            <v>202510</v>
          </cell>
          <cell r="D5218" t="str">
            <v>Ingeniería</v>
          </cell>
          <cell r="G5218" t="str">
            <v>Presupuesto</v>
          </cell>
        </row>
        <row r="5219">
          <cell r="A5219" t="str">
            <v>CARANTIA</v>
          </cell>
          <cell r="B5219">
            <v>202510</v>
          </cell>
          <cell r="D5219" t="str">
            <v>Ingeniería</v>
          </cell>
          <cell r="G5219" t="str">
            <v>Real</v>
          </cell>
        </row>
        <row r="5220">
          <cell r="A5220" t="str">
            <v>CARANTIA</v>
          </cell>
          <cell r="B5220">
            <v>202510</v>
          </cell>
          <cell r="D5220" t="str">
            <v>Inmobiliario</v>
          </cell>
          <cell r="G5220" t="str">
            <v>Presupuesto</v>
          </cell>
        </row>
        <row r="5221">
          <cell r="A5221" t="str">
            <v>CARANTIA</v>
          </cell>
          <cell r="B5221">
            <v>202510</v>
          </cell>
          <cell r="D5221" t="str">
            <v>Inmobiliario</v>
          </cell>
          <cell r="G5221" t="str">
            <v>Real</v>
          </cell>
        </row>
        <row r="5222">
          <cell r="A5222" t="str">
            <v>CARANTIA</v>
          </cell>
          <cell r="B5222">
            <v>202510</v>
          </cell>
          <cell r="D5222" t="str">
            <v>Líneas Financieras</v>
          </cell>
          <cell r="G5222" t="str">
            <v>Presupuesto</v>
          </cell>
        </row>
        <row r="5223">
          <cell r="A5223" t="str">
            <v>CARANTIA</v>
          </cell>
          <cell r="B5223">
            <v>202510</v>
          </cell>
          <cell r="D5223" t="str">
            <v>Líneas Financieras</v>
          </cell>
          <cell r="G5223" t="str">
            <v>Real</v>
          </cell>
        </row>
        <row r="5224">
          <cell r="A5224" t="str">
            <v>CARANTIA</v>
          </cell>
          <cell r="B5224">
            <v>202510</v>
          </cell>
          <cell r="D5224" t="str">
            <v>Náutica</v>
          </cell>
          <cell r="G5224" t="str">
            <v>Presupuesto</v>
          </cell>
        </row>
        <row r="5225">
          <cell r="A5225" t="str">
            <v>CARANTIA</v>
          </cell>
          <cell r="B5225">
            <v>202510</v>
          </cell>
          <cell r="D5225" t="str">
            <v>Náutica</v>
          </cell>
          <cell r="G5225" t="str">
            <v>Real</v>
          </cell>
        </row>
        <row r="5226">
          <cell r="A5226" t="str">
            <v>CARANTIA</v>
          </cell>
          <cell r="B5226">
            <v>202510</v>
          </cell>
          <cell r="D5226" t="str">
            <v>Particulares Resto</v>
          </cell>
          <cell r="G5226" t="str">
            <v>Presupuesto</v>
          </cell>
        </row>
        <row r="5227">
          <cell r="A5227" t="str">
            <v>CARANTIA</v>
          </cell>
          <cell r="B5227">
            <v>202510</v>
          </cell>
          <cell r="D5227" t="str">
            <v>Particulares Resto</v>
          </cell>
          <cell r="G5227" t="str">
            <v>Real</v>
          </cell>
        </row>
        <row r="5228">
          <cell r="A5228" t="str">
            <v>CARANTIA</v>
          </cell>
          <cell r="B5228">
            <v>202510</v>
          </cell>
          <cell r="D5228" t="str">
            <v>Property</v>
          </cell>
          <cell r="G5228" t="str">
            <v>Presupuesto</v>
          </cell>
        </row>
        <row r="5229">
          <cell r="A5229" t="str">
            <v>CARANTIA</v>
          </cell>
          <cell r="B5229">
            <v>202510</v>
          </cell>
          <cell r="D5229" t="str">
            <v>Property</v>
          </cell>
          <cell r="G5229" t="str">
            <v>Real</v>
          </cell>
        </row>
        <row r="5230">
          <cell r="A5230" t="str">
            <v>CARANTIA</v>
          </cell>
          <cell r="B5230">
            <v>202510</v>
          </cell>
          <cell r="D5230" t="str">
            <v>RC</v>
          </cell>
          <cell r="G5230" t="str">
            <v>Presupuesto</v>
          </cell>
        </row>
        <row r="5231">
          <cell r="A5231" t="str">
            <v>CARANTIA</v>
          </cell>
          <cell r="B5231">
            <v>202510</v>
          </cell>
          <cell r="D5231" t="str">
            <v>RC</v>
          </cell>
          <cell r="G5231" t="str">
            <v>Real</v>
          </cell>
        </row>
        <row r="5232">
          <cell r="A5232" t="str">
            <v>CARANTIA</v>
          </cell>
          <cell r="B5232">
            <v>202510</v>
          </cell>
          <cell r="D5232" t="str">
            <v>Resto de lineas</v>
          </cell>
          <cell r="G5232" t="str">
            <v>Presupuesto</v>
          </cell>
        </row>
        <row r="5233">
          <cell r="A5233" t="str">
            <v>CARANTIA</v>
          </cell>
          <cell r="B5233">
            <v>202510</v>
          </cell>
          <cell r="D5233" t="str">
            <v>Retirada</v>
          </cell>
          <cell r="G5233" t="str">
            <v>Presupuesto</v>
          </cell>
        </row>
        <row r="5234">
          <cell r="A5234" t="str">
            <v>CARANTIA</v>
          </cell>
          <cell r="B5234">
            <v>202510</v>
          </cell>
          <cell r="D5234" t="str">
            <v>Seguros Personales (No Vida) Colectivos</v>
          </cell>
          <cell r="G5234" t="str">
            <v>Presupuesto</v>
          </cell>
        </row>
        <row r="5235">
          <cell r="A5235" t="str">
            <v>CARANTIA</v>
          </cell>
          <cell r="B5235">
            <v>202510</v>
          </cell>
          <cell r="D5235" t="str">
            <v>Seguros Personales (No Vida) Colectivos</v>
          </cell>
          <cell r="G5235" t="str">
            <v>Real</v>
          </cell>
        </row>
        <row r="5236">
          <cell r="A5236" t="str">
            <v>CARANTIA</v>
          </cell>
          <cell r="B5236">
            <v>202510</v>
          </cell>
          <cell r="D5236" t="str">
            <v>Seguros Personales (No Vida) Particular</v>
          </cell>
          <cell r="G5236" t="str">
            <v>Presupuesto</v>
          </cell>
        </row>
        <row r="5237">
          <cell r="A5237" t="str">
            <v>CARANTIA</v>
          </cell>
          <cell r="B5237">
            <v>202510</v>
          </cell>
          <cell r="D5237" t="str">
            <v>Seguros Personales (No Vida) Particular</v>
          </cell>
          <cell r="G5237" t="str">
            <v>Real</v>
          </cell>
        </row>
        <row r="5238">
          <cell r="A5238" t="str">
            <v>CARANTIA</v>
          </cell>
          <cell r="B5238">
            <v>202510</v>
          </cell>
          <cell r="D5238" t="str">
            <v>Transporte</v>
          </cell>
          <cell r="G5238" t="str">
            <v>Presupuesto</v>
          </cell>
        </row>
        <row r="5239">
          <cell r="A5239" t="str">
            <v>CARANTIA</v>
          </cell>
          <cell r="B5239">
            <v>202510</v>
          </cell>
          <cell r="D5239" t="str">
            <v>Transporte</v>
          </cell>
          <cell r="G5239" t="str">
            <v>Real</v>
          </cell>
        </row>
        <row r="5240">
          <cell r="A5240" t="str">
            <v>CARANTIA</v>
          </cell>
          <cell r="B5240">
            <v>202510</v>
          </cell>
          <cell r="D5240" t="str">
            <v>Venta Cruzada</v>
          </cell>
          <cell r="G5240" t="str">
            <v>Presupuesto</v>
          </cell>
        </row>
        <row r="5241">
          <cell r="A5241" t="str">
            <v>CARANTIA</v>
          </cell>
          <cell r="B5241">
            <v>202510</v>
          </cell>
          <cell r="D5241" t="str">
            <v>Venta Cruzada</v>
          </cell>
          <cell r="G5241" t="str">
            <v>Real</v>
          </cell>
        </row>
        <row r="5242">
          <cell r="A5242" t="str">
            <v>CARANTIA</v>
          </cell>
          <cell r="B5242">
            <v>202510</v>
          </cell>
          <cell r="D5242" t="str">
            <v>Vida Ahorro Colectivo</v>
          </cell>
          <cell r="G5242" t="str">
            <v>Presupuesto</v>
          </cell>
        </row>
        <row r="5243">
          <cell r="A5243" t="str">
            <v>CARANTIA</v>
          </cell>
          <cell r="B5243">
            <v>202510</v>
          </cell>
          <cell r="D5243" t="str">
            <v>Vida Ahorro Colectivo</v>
          </cell>
          <cell r="G5243" t="str">
            <v>Real</v>
          </cell>
        </row>
        <row r="5244">
          <cell r="A5244" t="str">
            <v>CARANTIA</v>
          </cell>
          <cell r="B5244">
            <v>202510</v>
          </cell>
          <cell r="D5244" t="str">
            <v>Vida Ahorro Particular</v>
          </cell>
          <cell r="G5244" t="str">
            <v>Presupuesto</v>
          </cell>
        </row>
        <row r="5245">
          <cell r="A5245" t="str">
            <v>CARANTIA</v>
          </cell>
          <cell r="B5245">
            <v>202510</v>
          </cell>
          <cell r="D5245" t="str">
            <v>Vida Ahorro Particular</v>
          </cell>
          <cell r="G5245" t="str">
            <v>Real</v>
          </cell>
        </row>
        <row r="5246">
          <cell r="A5246" t="str">
            <v>CARANTIA</v>
          </cell>
          <cell r="B5246">
            <v>202510</v>
          </cell>
          <cell r="D5246" t="str">
            <v>Vida Ganado</v>
          </cell>
          <cell r="G5246" t="str">
            <v>Presupuesto</v>
          </cell>
        </row>
        <row r="5247">
          <cell r="A5247" t="str">
            <v>CARANTIA</v>
          </cell>
          <cell r="B5247">
            <v>202510</v>
          </cell>
          <cell r="D5247" t="str">
            <v>Vida Riesgo Colectivo</v>
          </cell>
          <cell r="G5247" t="str">
            <v>Presupuesto</v>
          </cell>
        </row>
        <row r="5248">
          <cell r="A5248" t="str">
            <v>CARANTIA</v>
          </cell>
          <cell r="B5248">
            <v>202510</v>
          </cell>
          <cell r="D5248" t="str">
            <v>Vida Riesgo Colectivo</v>
          </cell>
          <cell r="G5248" t="str">
            <v>Real</v>
          </cell>
        </row>
        <row r="5249">
          <cell r="A5249" t="str">
            <v>CARANTIA</v>
          </cell>
          <cell r="B5249">
            <v>202510</v>
          </cell>
          <cell r="D5249" t="str">
            <v>Vida Riesgo Particular</v>
          </cell>
          <cell r="G5249" t="str">
            <v>Presupuesto</v>
          </cell>
        </row>
        <row r="5250">
          <cell r="A5250" t="str">
            <v>CARANTIA</v>
          </cell>
          <cell r="B5250">
            <v>202510</v>
          </cell>
          <cell r="D5250" t="str">
            <v>Vida Riesgo Particular</v>
          </cell>
          <cell r="G5250" t="str">
            <v>Real</v>
          </cell>
        </row>
        <row r="5251">
          <cell r="A5251" t="str">
            <v>CARANTIA</v>
          </cell>
          <cell r="B5251">
            <v>202511</v>
          </cell>
          <cell r="D5251" t="str">
            <v>--</v>
          </cell>
          <cell r="G5251" t="str">
            <v>Presupuesto</v>
          </cell>
        </row>
        <row r="5252">
          <cell r="A5252" t="str">
            <v>CARANTIA</v>
          </cell>
          <cell r="B5252">
            <v>202511</v>
          </cell>
          <cell r="D5252" t="str">
            <v>--</v>
          </cell>
          <cell r="G5252" t="str">
            <v>Real</v>
          </cell>
        </row>
        <row r="5253">
          <cell r="A5253" t="str">
            <v>CARANTIA</v>
          </cell>
          <cell r="B5253">
            <v>202511</v>
          </cell>
          <cell r="D5253" t="str">
            <v>Resto de Lineas</v>
          </cell>
          <cell r="G5253" t="str">
            <v>Real</v>
          </cell>
        </row>
        <row r="5254">
          <cell r="A5254" t="str">
            <v>CARANTIA</v>
          </cell>
          <cell r="B5254">
            <v>202511</v>
          </cell>
          <cell r="D5254" t="str">
            <v>Arte</v>
          </cell>
          <cell r="G5254" t="str">
            <v>Presupuesto</v>
          </cell>
        </row>
        <row r="5255">
          <cell r="A5255" t="str">
            <v>CARANTIA</v>
          </cell>
          <cell r="B5255">
            <v>202511</v>
          </cell>
          <cell r="D5255" t="str">
            <v>Autos</v>
          </cell>
          <cell r="G5255" t="str">
            <v>Presupuesto</v>
          </cell>
        </row>
        <row r="5256">
          <cell r="A5256" t="str">
            <v>CARANTIA</v>
          </cell>
          <cell r="B5256">
            <v>202511</v>
          </cell>
          <cell r="D5256" t="str">
            <v>Autos</v>
          </cell>
          <cell r="G5256" t="str">
            <v>Real</v>
          </cell>
        </row>
        <row r="5257">
          <cell r="A5257" t="str">
            <v>CARANTIA</v>
          </cell>
          <cell r="B5257">
            <v>202511</v>
          </cell>
          <cell r="D5257" t="str">
            <v>B2B2C</v>
          </cell>
          <cell r="G5257" t="str">
            <v>Presupuesto</v>
          </cell>
        </row>
        <row r="5258">
          <cell r="A5258" t="str">
            <v>CARANTIA</v>
          </cell>
          <cell r="B5258">
            <v>202511</v>
          </cell>
          <cell r="D5258" t="str">
            <v>Caución</v>
          </cell>
          <cell r="G5258" t="str">
            <v>Presupuesto</v>
          </cell>
        </row>
        <row r="5259">
          <cell r="A5259" t="str">
            <v>CARANTIA</v>
          </cell>
          <cell r="B5259">
            <v>202511</v>
          </cell>
          <cell r="D5259" t="str">
            <v>Caución</v>
          </cell>
          <cell r="G5259" t="str">
            <v>Real</v>
          </cell>
        </row>
        <row r="5260">
          <cell r="A5260" t="str">
            <v>CARANTIA</v>
          </cell>
          <cell r="B5260">
            <v>202511</v>
          </cell>
          <cell r="D5260" t="str">
            <v>Crédito Nacional</v>
          </cell>
          <cell r="G5260" t="str">
            <v>Real</v>
          </cell>
        </row>
        <row r="5261">
          <cell r="A5261" t="str">
            <v>CARANTIA</v>
          </cell>
          <cell r="B5261">
            <v>202511</v>
          </cell>
          <cell r="D5261" t="str">
            <v>Crédito Internacional</v>
          </cell>
          <cell r="G5261" t="str">
            <v>Presupuesto</v>
          </cell>
        </row>
        <row r="5262">
          <cell r="A5262" t="str">
            <v>CARANTIA</v>
          </cell>
          <cell r="B5262">
            <v>202511</v>
          </cell>
          <cell r="D5262" t="str">
            <v>Crédito Nacional</v>
          </cell>
          <cell r="G5262" t="str">
            <v>Presupuesto</v>
          </cell>
        </row>
        <row r="5263">
          <cell r="A5263" t="str">
            <v>CARANTIA</v>
          </cell>
          <cell r="B5263">
            <v>202511</v>
          </cell>
          <cell r="D5263" t="str">
            <v>Eventos</v>
          </cell>
          <cell r="G5263" t="str">
            <v>Presupuesto</v>
          </cell>
        </row>
        <row r="5264">
          <cell r="A5264" t="str">
            <v>CARANTIA</v>
          </cell>
          <cell r="B5264">
            <v>202511</v>
          </cell>
          <cell r="D5264" t="str">
            <v>Eventos</v>
          </cell>
          <cell r="G5264" t="str">
            <v>Real</v>
          </cell>
        </row>
        <row r="5265">
          <cell r="A5265" t="str">
            <v>CARANTIA</v>
          </cell>
          <cell r="B5265">
            <v>202511</v>
          </cell>
          <cell r="D5265" t="str">
            <v>Flotas</v>
          </cell>
          <cell r="G5265" t="str">
            <v>Presupuesto</v>
          </cell>
        </row>
        <row r="5266">
          <cell r="A5266" t="str">
            <v>CARANTIA</v>
          </cell>
          <cell r="B5266">
            <v>202511</v>
          </cell>
          <cell r="D5266" t="str">
            <v>Flotas</v>
          </cell>
          <cell r="G5266" t="str">
            <v>Real</v>
          </cell>
        </row>
        <row r="5267">
          <cell r="A5267" t="str">
            <v>CARANTIA</v>
          </cell>
          <cell r="B5267">
            <v>202511</v>
          </cell>
          <cell r="D5267" t="str">
            <v>Hogar</v>
          </cell>
          <cell r="G5267" t="str">
            <v>Presupuesto</v>
          </cell>
        </row>
        <row r="5268">
          <cell r="A5268" t="str">
            <v>CARANTIA</v>
          </cell>
          <cell r="B5268">
            <v>202511</v>
          </cell>
          <cell r="D5268" t="str">
            <v>Hogar</v>
          </cell>
          <cell r="G5268" t="str">
            <v>Real</v>
          </cell>
        </row>
        <row r="5269">
          <cell r="A5269" t="str">
            <v>CARANTIA</v>
          </cell>
          <cell r="B5269">
            <v>202511</v>
          </cell>
          <cell r="D5269" t="str">
            <v>Ingeniería</v>
          </cell>
          <cell r="G5269" t="str">
            <v>Presupuesto</v>
          </cell>
        </row>
        <row r="5270">
          <cell r="A5270" t="str">
            <v>CARANTIA</v>
          </cell>
          <cell r="B5270">
            <v>202511</v>
          </cell>
          <cell r="D5270" t="str">
            <v>Ingeniería</v>
          </cell>
          <cell r="G5270" t="str">
            <v>Real</v>
          </cell>
        </row>
        <row r="5271">
          <cell r="A5271" t="str">
            <v>CARANTIA</v>
          </cell>
          <cell r="B5271">
            <v>202511</v>
          </cell>
          <cell r="D5271" t="str">
            <v>Inmobiliario</v>
          </cell>
          <cell r="G5271" t="str">
            <v>Presupuesto</v>
          </cell>
        </row>
        <row r="5272">
          <cell r="A5272" t="str">
            <v>CARANTIA</v>
          </cell>
          <cell r="B5272">
            <v>202511</v>
          </cell>
          <cell r="D5272" t="str">
            <v>Inmobiliario</v>
          </cell>
          <cell r="G5272" t="str">
            <v>Real</v>
          </cell>
        </row>
        <row r="5273">
          <cell r="A5273" t="str">
            <v>CARANTIA</v>
          </cell>
          <cell r="B5273">
            <v>202511</v>
          </cell>
          <cell r="D5273" t="str">
            <v>Líneas Financieras</v>
          </cell>
          <cell r="G5273" t="str">
            <v>Presupuesto</v>
          </cell>
        </row>
        <row r="5274">
          <cell r="A5274" t="str">
            <v>CARANTIA</v>
          </cell>
          <cell r="B5274">
            <v>202511</v>
          </cell>
          <cell r="D5274" t="str">
            <v>Líneas Financieras</v>
          </cell>
          <cell r="G5274" t="str">
            <v>Real</v>
          </cell>
        </row>
        <row r="5275">
          <cell r="A5275" t="str">
            <v>CARANTIA</v>
          </cell>
          <cell r="B5275">
            <v>202511</v>
          </cell>
          <cell r="D5275" t="str">
            <v>Náutica</v>
          </cell>
          <cell r="G5275" t="str">
            <v>Presupuesto</v>
          </cell>
        </row>
        <row r="5276">
          <cell r="A5276" t="str">
            <v>CARANTIA</v>
          </cell>
          <cell r="B5276">
            <v>202511</v>
          </cell>
          <cell r="D5276" t="str">
            <v>Náutica</v>
          </cell>
          <cell r="G5276" t="str">
            <v>Real</v>
          </cell>
        </row>
        <row r="5277">
          <cell r="A5277" t="str">
            <v>CARANTIA</v>
          </cell>
          <cell r="B5277">
            <v>202511</v>
          </cell>
          <cell r="D5277" t="str">
            <v>Particulares Resto</v>
          </cell>
          <cell r="G5277" t="str">
            <v>Presupuesto</v>
          </cell>
        </row>
        <row r="5278">
          <cell r="A5278" t="str">
            <v>CARANTIA</v>
          </cell>
          <cell r="B5278">
            <v>202511</v>
          </cell>
          <cell r="D5278" t="str">
            <v>Particulares Resto</v>
          </cell>
          <cell r="G5278" t="str">
            <v>Real</v>
          </cell>
        </row>
        <row r="5279">
          <cell r="A5279" t="str">
            <v>CARANTIA</v>
          </cell>
          <cell r="B5279">
            <v>202511</v>
          </cell>
          <cell r="D5279" t="str">
            <v>Property</v>
          </cell>
          <cell r="G5279" t="str">
            <v>Presupuesto</v>
          </cell>
        </row>
        <row r="5280">
          <cell r="A5280" t="str">
            <v>CARANTIA</v>
          </cell>
          <cell r="B5280">
            <v>202511</v>
          </cell>
          <cell r="D5280" t="str">
            <v>Property</v>
          </cell>
          <cell r="G5280" t="str">
            <v>Real</v>
          </cell>
        </row>
        <row r="5281">
          <cell r="A5281" t="str">
            <v>CARANTIA</v>
          </cell>
          <cell r="B5281">
            <v>202511</v>
          </cell>
          <cell r="D5281" t="str">
            <v>RC</v>
          </cell>
          <cell r="G5281" t="str">
            <v>Presupuesto</v>
          </cell>
        </row>
        <row r="5282">
          <cell r="A5282" t="str">
            <v>CARANTIA</v>
          </cell>
          <cell r="B5282">
            <v>202511</v>
          </cell>
          <cell r="D5282" t="str">
            <v>RC</v>
          </cell>
          <cell r="G5282" t="str">
            <v>Real</v>
          </cell>
        </row>
        <row r="5283">
          <cell r="A5283" t="str">
            <v>CARANTIA</v>
          </cell>
          <cell r="B5283">
            <v>202511</v>
          </cell>
          <cell r="D5283" t="str">
            <v>Resto de lineas</v>
          </cell>
          <cell r="G5283" t="str">
            <v>Presupuesto</v>
          </cell>
        </row>
        <row r="5284">
          <cell r="A5284" t="str">
            <v>CARANTIA</v>
          </cell>
          <cell r="B5284">
            <v>202511</v>
          </cell>
          <cell r="D5284" t="str">
            <v>Retirada</v>
          </cell>
          <cell r="G5284" t="str">
            <v>Presupuesto</v>
          </cell>
        </row>
        <row r="5285">
          <cell r="A5285" t="str">
            <v>CARANTIA</v>
          </cell>
          <cell r="B5285">
            <v>202511</v>
          </cell>
          <cell r="D5285" t="str">
            <v>Seguros Personales (No Vida) Colectivos</v>
          </cell>
          <cell r="G5285" t="str">
            <v>Presupuesto</v>
          </cell>
        </row>
        <row r="5286">
          <cell r="A5286" t="str">
            <v>CARANTIA</v>
          </cell>
          <cell r="B5286">
            <v>202511</v>
          </cell>
          <cell r="D5286" t="str">
            <v>Seguros Personales (No Vida) Colectivos</v>
          </cell>
          <cell r="G5286" t="str">
            <v>Real</v>
          </cell>
        </row>
        <row r="5287">
          <cell r="A5287" t="str">
            <v>CARANTIA</v>
          </cell>
          <cell r="B5287">
            <v>202511</v>
          </cell>
          <cell r="D5287" t="str">
            <v>Seguros Personales (No Vida) Particular</v>
          </cell>
          <cell r="G5287" t="str">
            <v>Presupuesto</v>
          </cell>
        </row>
        <row r="5288">
          <cell r="A5288" t="str">
            <v>CARANTIA</v>
          </cell>
          <cell r="B5288">
            <v>202511</v>
          </cell>
          <cell r="D5288" t="str">
            <v>Seguros Personales (No Vida) Particular</v>
          </cell>
          <cell r="G5288" t="str">
            <v>Real</v>
          </cell>
        </row>
        <row r="5289">
          <cell r="A5289" t="str">
            <v>CARANTIA</v>
          </cell>
          <cell r="B5289">
            <v>202511</v>
          </cell>
          <cell r="D5289" t="str">
            <v>Transporte</v>
          </cell>
          <cell r="G5289" t="str">
            <v>Presupuesto</v>
          </cell>
        </row>
        <row r="5290">
          <cell r="A5290" t="str">
            <v>CARANTIA</v>
          </cell>
          <cell r="B5290">
            <v>202511</v>
          </cell>
          <cell r="D5290" t="str">
            <v>Transporte</v>
          </cell>
          <cell r="G5290" t="str">
            <v>Real</v>
          </cell>
        </row>
        <row r="5291">
          <cell r="A5291" t="str">
            <v>CARANTIA</v>
          </cell>
          <cell r="B5291">
            <v>202511</v>
          </cell>
          <cell r="D5291" t="str">
            <v>Venta Cruzada</v>
          </cell>
          <cell r="G5291" t="str">
            <v>Presupuesto</v>
          </cell>
        </row>
        <row r="5292">
          <cell r="A5292" t="str">
            <v>CARANTIA</v>
          </cell>
          <cell r="B5292">
            <v>202511</v>
          </cell>
          <cell r="D5292" t="str">
            <v>Venta Cruzada</v>
          </cell>
          <cell r="G5292" t="str">
            <v>Real</v>
          </cell>
        </row>
        <row r="5293">
          <cell r="A5293" t="str">
            <v>CARANTIA</v>
          </cell>
          <cell r="B5293">
            <v>202511</v>
          </cell>
          <cell r="D5293" t="str">
            <v>Vida Ahorro Colectivo</v>
          </cell>
          <cell r="G5293" t="str">
            <v>Presupuesto</v>
          </cell>
        </row>
        <row r="5294">
          <cell r="A5294" t="str">
            <v>CARANTIA</v>
          </cell>
          <cell r="B5294">
            <v>202511</v>
          </cell>
          <cell r="D5294" t="str">
            <v>Vida Ahorro Colectivo</v>
          </cell>
          <cell r="G5294" t="str">
            <v>Real</v>
          </cell>
        </row>
        <row r="5295">
          <cell r="A5295" t="str">
            <v>CARANTIA</v>
          </cell>
          <cell r="B5295">
            <v>202511</v>
          </cell>
          <cell r="D5295" t="str">
            <v>Vida Ahorro Particular</v>
          </cell>
          <cell r="G5295" t="str">
            <v>Presupuesto</v>
          </cell>
        </row>
        <row r="5296">
          <cell r="A5296" t="str">
            <v>CARANTIA</v>
          </cell>
          <cell r="B5296">
            <v>202511</v>
          </cell>
          <cell r="D5296" t="str">
            <v>Vida Ahorro Particular</v>
          </cell>
          <cell r="G5296" t="str">
            <v>Real</v>
          </cell>
        </row>
        <row r="5297">
          <cell r="A5297" t="str">
            <v>CARANTIA</v>
          </cell>
          <cell r="B5297">
            <v>202511</v>
          </cell>
          <cell r="D5297" t="str">
            <v>Vida Ganado</v>
          </cell>
          <cell r="G5297" t="str">
            <v>Presupuesto</v>
          </cell>
        </row>
        <row r="5298">
          <cell r="A5298" t="str">
            <v>CARANTIA</v>
          </cell>
          <cell r="B5298">
            <v>202511</v>
          </cell>
          <cell r="D5298" t="str">
            <v>Vida Riesgo Colectivo</v>
          </cell>
          <cell r="G5298" t="str">
            <v>Presupuesto</v>
          </cell>
        </row>
        <row r="5299">
          <cell r="A5299" t="str">
            <v>CARANTIA</v>
          </cell>
          <cell r="B5299">
            <v>202511</v>
          </cell>
          <cell r="D5299" t="str">
            <v>Vida Riesgo Colectivo</v>
          </cell>
          <cell r="G5299" t="str">
            <v>Real</v>
          </cell>
        </row>
        <row r="5300">
          <cell r="A5300" t="str">
            <v>CARANTIA</v>
          </cell>
          <cell r="B5300">
            <v>202511</v>
          </cell>
          <cell r="D5300" t="str">
            <v>Vida Riesgo Particular</v>
          </cell>
          <cell r="G5300" t="str">
            <v>Presupuesto</v>
          </cell>
        </row>
        <row r="5301">
          <cell r="A5301" t="str">
            <v>CARANTIA</v>
          </cell>
          <cell r="B5301">
            <v>202511</v>
          </cell>
          <cell r="D5301" t="str">
            <v>Vida Riesgo Particular</v>
          </cell>
          <cell r="G5301" t="str">
            <v>Real</v>
          </cell>
        </row>
        <row r="5302">
          <cell r="A5302" t="str">
            <v>CARANTIA</v>
          </cell>
          <cell r="B5302">
            <v>202512</v>
          </cell>
          <cell r="D5302" t="str">
            <v>--</v>
          </cell>
          <cell r="G5302" t="str">
            <v>Presupuesto</v>
          </cell>
        </row>
        <row r="5303">
          <cell r="A5303" t="str">
            <v>CARANTIA</v>
          </cell>
          <cell r="B5303">
            <v>202512</v>
          </cell>
          <cell r="D5303" t="str">
            <v>--</v>
          </cell>
          <cell r="G5303" t="str">
            <v>Real</v>
          </cell>
        </row>
        <row r="5304">
          <cell r="A5304" t="str">
            <v>CARANTIA</v>
          </cell>
          <cell r="B5304">
            <v>202512</v>
          </cell>
          <cell r="D5304" t="str">
            <v>Resto de Lineas</v>
          </cell>
          <cell r="G5304" t="str">
            <v>Real</v>
          </cell>
        </row>
        <row r="5305">
          <cell r="A5305" t="str">
            <v>CARANTIA</v>
          </cell>
          <cell r="B5305">
            <v>202512</v>
          </cell>
          <cell r="D5305" t="str">
            <v>Arte</v>
          </cell>
          <cell r="G5305" t="str">
            <v>Presupuesto</v>
          </cell>
        </row>
        <row r="5306">
          <cell r="A5306" t="str">
            <v>CARANTIA</v>
          </cell>
          <cell r="B5306">
            <v>202512</v>
          </cell>
          <cell r="D5306" t="str">
            <v>Autos</v>
          </cell>
          <cell r="G5306" t="str">
            <v>Presupuesto</v>
          </cell>
        </row>
        <row r="5307">
          <cell r="A5307" t="str">
            <v>CARANTIA</v>
          </cell>
          <cell r="B5307">
            <v>202512</v>
          </cell>
          <cell r="D5307" t="str">
            <v>Autos</v>
          </cell>
          <cell r="G5307" t="str">
            <v>Real</v>
          </cell>
        </row>
        <row r="5308">
          <cell r="A5308" t="str">
            <v>CARANTIA</v>
          </cell>
          <cell r="B5308">
            <v>202512</v>
          </cell>
          <cell r="D5308" t="str">
            <v>B2B2C</v>
          </cell>
          <cell r="G5308" t="str">
            <v>Presupuesto</v>
          </cell>
        </row>
        <row r="5309">
          <cell r="A5309" t="str">
            <v>CARANTIA</v>
          </cell>
          <cell r="B5309">
            <v>202512</v>
          </cell>
          <cell r="D5309" t="str">
            <v>Caución</v>
          </cell>
          <cell r="G5309" t="str">
            <v>Presupuesto</v>
          </cell>
        </row>
        <row r="5310">
          <cell r="A5310" t="str">
            <v>CARANTIA</v>
          </cell>
          <cell r="B5310">
            <v>202512</v>
          </cell>
          <cell r="D5310" t="str">
            <v>Caución</v>
          </cell>
          <cell r="G5310" t="str">
            <v>Real</v>
          </cell>
        </row>
        <row r="5311">
          <cell r="A5311" t="str">
            <v>CARANTIA</v>
          </cell>
          <cell r="B5311">
            <v>202512</v>
          </cell>
          <cell r="D5311" t="str">
            <v>Crédito Nacional</v>
          </cell>
          <cell r="G5311" t="str">
            <v>Real</v>
          </cell>
        </row>
        <row r="5312">
          <cell r="A5312" t="str">
            <v>CARANTIA</v>
          </cell>
          <cell r="B5312">
            <v>202512</v>
          </cell>
          <cell r="D5312" t="str">
            <v>Crédito Internacional</v>
          </cell>
          <cell r="G5312" t="str">
            <v>Presupuesto</v>
          </cell>
        </row>
        <row r="5313">
          <cell r="A5313" t="str">
            <v>CARANTIA</v>
          </cell>
          <cell r="B5313">
            <v>202512</v>
          </cell>
          <cell r="D5313" t="str">
            <v>Crédito Nacional</v>
          </cell>
          <cell r="G5313" t="str">
            <v>Presupuesto</v>
          </cell>
        </row>
        <row r="5314">
          <cell r="A5314" t="str">
            <v>CARANTIA</v>
          </cell>
          <cell r="B5314">
            <v>202512</v>
          </cell>
          <cell r="D5314" t="str">
            <v>Eventos</v>
          </cell>
          <cell r="G5314" t="str">
            <v>Presupuesto</v>
          </cell>
        </row>
        <row r="5315">
          <cell r="A5315" t="str">
            <v>CARANTIA</v>
          </cell>
          <cell r="B5315">
            <v>202512</v>
          </cell>
          <cell r="D5315" t="str">
            <v>Eventos</v>
          </cell>
          <cell r="G5315" t="str">
            <v>Real</v>
          </cell>
        </row>
        <row r="5316">
          <cell r="A5316" t="str">
            <v>CARANTIA</v>
          </cell>
          <cell r="B5316">
            <v>202512</v>
          </cell>
          <cell r="D5316" t="str">
            <v>Flotas</v>
          </cell>
          <cell r="G5316" t="str">
            <v>Presupuesto</v>
          </cell>
        </row>
        <row r="5317">
          <cell r="A5317" t="str">
            <v>CARANTIA</v>
          </cell>
          <cell r="B5317">
            <v>202512</v>
          </cell>
          <cell r="D5317" t="str">
            <v>Flotas</v>
          </cell>
          <cell r="G5317" t="str">
            <v>Real</v>
          </cell>
        </row>
        <row r="5318">
          <cell r="A5318" t="str">
            <v>CARANTIA</v>
          </cell>
          <cell r="B5318">
            <v>202512</v>
          </cell>
          <cell r="D5318" t="str">
            <v>Hogar</v>
          </cell>
          <cell r="G5318" t="str">
            <v>Presupuesto</v>
          </cell>
        </row>
        <row r="5319">
          <cell r="A5319" t="str">
            <v>CARANTIA</v>
          </cell>
          <cell r="B5319">
            <v>202512</v>
          </cell>
          <cell r="D5319" t="str">
            <v>Hogar</v>
          </cell>
          <cell r="G5319" t="str">
            <v>Real</v>
          </cell>
        </row>
        <row r="5320">
          <cell r="A5320" t="str">
            <v>CARANTIA</v>
          </cell>
          <cell r="B5320">
            <v>202512</v>
          </cell>
          <cell r="D5320" t="str">
            <v>Ingeniería</v>
          </cell>
          <cell r="G5320" t="str">
            <v>Presupuesto</v>
          </cell>
        </row>
        <row r="5321">
          <cell r="A5321" t="str">
            <v>CARANTIA</v>
          </cell>
          <cell r="B5321">
            <v>202512</v>
          </cell>
          <cell r="D5321" t="str">
            <v>Ingeniería</v>
          </cell>
          <cell r="G5321" t="str">
            <v>Real</v>
          </cell>
        </row>
        <row r="5322">
          <cell r="A5322" t="str">
            <v>CARANTIA</v>
          </cell>
          <cell r="B5322">
            <v>202512</v>
          </cell>
          <cell r="D5322" t="str">
            <v>Inmobiliario</v>
          </cell>
          <cell r="G5322" t="str">
            <v>Presupuesto</v>
          </cell>
        </row>
        <row r="5323">
          <cell r="A5323" t="str">
            <v>CARANTIA</v>
          </cell>
          <cell r="B5323">
            <v>202512</v>
          </cell>
          <cell r="D5323" t="str">
            <v>Líneas Financieras</v>
          </cell>
          <cell r="G5323" t="str">
            <v>Presupuesto</v>
          </cell>
        </row>
        <row r="5324">
          <cell r="A5324" t="str">
            <v>CARANTIA</v>
          </cell>
          <cell r="B5324">
            <v>202512</v>
          </cell>
          <cell r="D5324" t="str">
            <v>Líneas Financieras</v>
          </cell>
          <cell r="G5324" t="str">
            <v>Real</v>
          </cell>
        </row>
        <row r="5325">
          <cell r="A5325" t="str">
            <v>CARANTIA</v>
          </cell>
          <cell r="B5325">
            <v>202512</v>
          </cell>
          <cell r="D5325" t="str">
            <v>Náutica</v>
          </cell>
          <cell r="G5325" t="str">
            <v>Presupuesto</v>
          </cell>
        </row>
        <row r="5326">
          <cell r="A5326" t="str">
            <v>CARANTIA</v>
          </cell>
          <cell r="B5326">
            <v>202512</v>
          </cell>
          <cell r="D5326" t="str">
            <v>Náutica</v>
          </cell>
          <cell r="G5326" t="str">
            <v>Real</v>
          </cell>
        </row>
        <row r="5327">
          <cell r="A5327" t="str">
            <v>CARANTIA</v>
          </cell>
          <cell r="B5327">
            <v>202512</v>
          </cell>
          <cell r="D5327" t="str">
            <v>Particulares Resto</v>
          </cell>
          <cell r="G5327" t="str">
            <v>Presupuesto</v>
          </cell>
        </row>
        <row r="5328">
          <cell r="A5328" t="str">
            <v>CARANTIA</v>
          </cell>
          <cell r="B5328">
            <v>202512</v>
          </cell>
          <cell r="D5328" t="str">
            <v>Particulares Resto</v>
          </cell>
          <cell r="G5328" t="str">
            <v>Real</v>
          </cell>
        </row>
        <row r="5329">
          <cell r="A5329" t="str">
            <v>CARANTIA</v>
          </cell>
          <cell r="B5329">
            <v>202512</v>
          </cell>
          <cell r="D5329" t="str">
            <v>Property</v>
          </cell>
          <cell r="G5329" t="str">
            <v>Presupuesto</v>
          </cell>
        </row>
        <row r="5330">
          <cell r="A5330" t="str">
            <v>CARANTIA</v>
          </cell>
          <cell r="B5330">
            <v>202512</v>
          </cell>
          <cell r="D5330" t="str">
            <v>Property</v>
          </cell>
          <cell r="G5330" t="str">
            <v>Real</v>
          </cell>
        </row>
        <row r="5331">
          <cell r="A5331" t="str">
            <v>CARANTIA</v>
          </cell>
          <cell r="B5331">
            <v>202512</v>
          </cell>
          <cell r="D5331" t="str">
            <v>RC</v>
          </cell>
          <cell r="G5331" t="str">
            <v>Presupuesto</v>
          </cell>
        </row>
        <row r="5332">
          <cell r="A5332" t="str">
            <v>CARANTIA</v>
          </cell>
          <cell r="B5332">
            <v>202512</v>
          </cell>
          <cell r="D5332" t="str">
            <v>RC</v>
          </cell>
          <cell r="G5332" t="str">
            <v>Real</v>
          </cell>
        </row>
        <row r="5333">
          <cell r="A5333" t="str">
            <v>CARANTIA</v>
          </cell>
          <cell r="B5333">
            <v>202512</v>
          </cell>
          <cell r="D5333" t="str">
            <v>Resto de lineas</v>
          </cell>
          <cell r="G5333" t="str">
            <v>Presupuesto</v>
          </cell>
        </row>
        <row r="5334">
          <cell r="A5334" t="str">
            <v>CARANTIA</v>
          </cell>
          <cell r="B5334">
            <v>202512</v>
          </cell>
          <cell r="D5334" t="str">
            <v>Retirada</v>
          </cell>
          <cell r="G5334" t="str">
            <v>Presupuesto</v>
          </cell>
        </row>
        <row r="5335">
          <cell r="A5335" t="str">
            <v>CARANTIA</v>
          </cell>
          <cell r="B5335">
            <v>202512</v>
          </cell>
          <cell r="D5335" t="str">
            <v>Seguros Personales (No Vida) Colectivos</v>
          </cell>
          <cell r="G5335" t="str">
            <v>Presupuesto</v>
          </cell>
        </row>
        <row r="5336">
          <cell r="A5336" t="str">
            <v>CARANTIA</v>
          </cell>
          <cell r="B5336">
            <v>202512</v>
          </cell>
          <cell r="D5336" t="str">
            <v>Seguros Personales (No Vida) Colectivos</v>
          </cell>
          <cell r="G5336" t="str">
            <v>Real</v>
          </cell>
        </row>
        <row r="5337">
          <cell r="A5337" t="str">
            <v>CARANTIA</v>
          </cell>
          <cell r="B5337">
            <v>202512</v>
          </cell>
          <cell r="D5337" t="str">
            <v>Seguros Personales (No Vida) Particular</v>
          </cell>
          <cell r="G5337" t="str">
            <v>Presupuesto</v>
          </cell>
        </row>
        <row r="5338">
          <cell r="A5338" t="str">
            <v>CARANTIA</v>
          </cell>
          <cell r="B5338">
            <v>202512</v>
          </cell>
          <cell r="D5338" t="str">
            <v>Seguros Personales (No Vida) Particular</v>
          </cell>
          <cell r="G5338" t="str">
            <v>Real</v>
          </cell>
        </row>
        <row r="5339">
          <cell r="A5339" t="str">
            <v>CARANTIA</v>
          </cell>
          <cell r="B5339">
            <v>202512</v>
          </cell>
          <cell r="D5339" t="str">
            <v>Transporte</v>
          </cell>
          <cell r="G5339" t="str">
            <v>Presupuesto</v>
          </cell>
        </row>
        <row r="5340">
          <cell r="A5340" t="str">
            <v>CARANTIA</v>
          </cell>
          <cell r="B5340">
            <v>202512</v>
          </cell>
          <cell r="D5340" t="str">
            <v>Transporte</v>
          </cell>
          <cell r="G5340" t="str">
            <v>Real</v>
          </cell>
        </row>
        <row r="5341">
          <cell r="A5341" t="str">
            <v>CARANTIA</v>
          </cell>
          <cell r="B5341">
            <v>202512</v>
          </cell>
          <cell r="D5341" t="str">
            <v>Venta Cruzada</v>
          </cell>
          <cell r="G5341" t="str">
            <v>Presupuesto</v>
          </cell>
        </row>
        <row r="5342">
          <cell r="A5342" t="str">
            <v>CARANTIA</v>
          </cell>
          <cell r="B5342">
            <v>202512</v>
          </cell>
          <cell r="D5342" t="str">
            <v>Venta Cruzada</v>
          </cell>
          <cell r="G5342" t="str">
            <v>Real</v>
          </cell>
        </row>
        <row r="5343">
          <cell r="A5343" t="str">
            <v>CARANTIA</v>
          </cell>
          <cell r="B5343">
            <v>202512</v>
          </cell>
          <cell r="D5343" t="str">
            <v>Vida Ahorro Colectivo</v>
          </cell>
          <cell r="G5343" t="str">
            <v>Presupuesto</v>
          </cell>
        </row>
        <row r="5344">
          <cell r="A5344" t="str">
            <v>CARANTIA</v>
          </cell>
          <cell r="B5344">
            <v>202512</v>
          </cell>
          <cell r="D5344" t="str">
            <v>Vida Ahorro Colectivo</v>
          </cell>
          <cell r="G5344" t="str">
            <v>Real</v>
          </cell>
        </row>
        <row r="5345">
          <cell r="A5345" t="str">
            <v>CARANTIA</v>
          </cell>
          <cell r="B5345">
            <v>202512</v>
          </cell>
          <cell r="D5345" t="str">
            <v>Vida Ahorro Particular</v>
          </cell>
          <cell r="G5345" t="str">
            <v>Presupuesto</v>
          </cell>
        </row>
        <row r="5346">
          <cell r="A5346" t="str">
            <v>CARANTIA</v>
          </cell>
          <cell r="B5346">
            <v>202512</v>
          </cell>
          <cell r="D5346" t="str">
            <v>Vida Ahorro Particular</v>
          </cell>
          <cell r="G5346" t="str">
            <v>Real</v>
          </cell>
        </row>
        <row r="5347">
          <cell r="A5347" t="str">
            <v>CARANTIA</v>
          </cell>
          <cell r="B5347">
            <v>202512</v>
          </cell>
          <cell r="D5347" t="str">
            <v>Vida Ganado</v>
          </cell>
          <cell r="G5347" t="str">
            <v>Presupuesto</v>
          </cell>
        </row>
        <row r="5348">
          <cell r="A5348" t="str">
            <v>CARANTIA</v>
          </cell>
          <cell r="B5348">
            <v>202512</v>
          </cell>
          <cell r="D5348" t="str">
            <v>Vida Riesgo Colectivo</v>
          </cell>
          <cell r="G5348" t="str">
            <v>Presupuesto</v>
          </cell>
        </row>
        <row r="5349">
          <cell r="A5349" t="str">
            <v>CARANTIA</v>
          </cell>
          <cell r="B5349">
            <v>202512</v>
          </cell>
          <cell r="D5349" t="str">
            <v>Vida Riesgo Colectivo</v>
          </cell>
          <cell r="G5349" t="str">
            <v>Real</v>
          </cell>
        </row>
        <row r="5350">
          <cell r="A5350" t="str">
            <v>CARANTIA</v>
          </cell>
          <cell r="B5350">
            <v>202512</v>
          </cell>
          <cell r="D5350" t="str">
            <v>Vida Riesgo Particular</v>
          </cell>
          <cell r="G5350" t="str">
            <v>Presupuesto</v>
          </cell>
        </row>
        <row r="5351">
          <cell r="A5351" t="str">
            <v>CARANTIA</v>
          </cell>
          <cell r="B5351">
            <v>202512</v>
          </cell>
          <cell r="D5351" t="str">
            <v>Vida Riesgo Particular</v>
          </cell>
          <cell r="G5351" t="str">
            <v>Real</v>
          </cell>
        </row>
        <row r="5352">
          <cell r="A5352" t="str">
            <v>EUROMEX</v>
          </cell>
          <cell r="B5352">
            <v>202401</v>
          </cell>
          <cell r="D5352" t="str">
            <v>--</v>
          </cell>
          <cell r="G5352" t="str">
            <v>Real</v>
          </cell>
        </row>
        <row r="5353">
          <cell r="A5353" t="str">
            <v>EUROMEX</v>
          </cell>
          <cell r="B5353">
            <v>202401</v>
          </cell>
          <cell r="D5353" t="str">
            <v>Autos</v>
          </cell>
          <cell r="G5353" t="str">
            <v>Real</v>
          </cell>
        </row>
        <row r="5354">
          <cell r="A5354" t="str">
            <v>EUROMEX</v>
          </cell>
          <cell r="B5354">
            <v>202401</v>
          </cell>
          <cell r="D5354" t="str">
            <v>Crédito Nacional</v>
          </cell>
          <cell r="G5354" t="str">
            <v>Real</v>
          </cell>
        </row>
        <row r="5355">
          <cell r="A5355" t="str">
            <v>EUROMEX</v>
          </cell>
          <cell r="B5355">
            <v>202401</v>
          </cell>
          <cell r="D5355" t="str">
            <v>Hogar</v>
          </cell>
          <cell r="G5355" t="str">
            <v>Real</v>
          </cell>
        </row>
        <row r="5356">
          <cell r="A5356" t="str">
            <v>EUROMEX</v>
          </cell>
          <cell r="B5356">
            <v>202401</v>
          </cell>
          <cell r="D5356" t="str">
            <v>Ingeniería</v>
          </cell>
          <cell r="G5356" t="str">
            <v>Real</v>
          </cell>
        </row>
        <row r="5357">
          <cell r="A5357" t="str">
            <v>EUROMEX</v>
          </cell>
          <cell r="B5357">
            <v>202401</v>
          </cell>
          <cell r="D5357" t="str">
            <v>Particulares Resto</v>
          </cell>
          <cell r="G5357" t="str">
            <v>Real</v>
          </cell>
        </row>
        <row r="5358">
          <cell r="A5358" t="str">
            <v>EUROMEX</v>
          </cell>
          <cell r="B5358">
            <v>202401</v>
          </cell>
          <cell r="D5358" t="str">
            <v>Property</v>
          </cell>
          <cell r="G5358" t="str">
            <v>Real</v>
          </cell>
        </row>
        <row r="5359">
          <cell r="A5359" t="str">
            <v>EUROMEX</v>
          </cell>
          <cell r="B5359">
            <v>202401</v>
          </cell>
          <cell r="D5359" t="str">
            <v>RC</v>
          </cell>
          <cell r="G5359" t="str">
            <v>Real</v>
          </cell>
        </row>
        <row r="5360">
          <cell r="A5360" t="str">
            <v>EUROMEX</v>
          </cell>
          <cell r="B5360">
            <v>202401</v>
          </cell>
          <cell r="D5360" t="str">
            <v>Seguros Personales (No Vida) Colectivos</v>
          </cell>
          <cell r="G5360" t="str">
            <v>Real</v>
          </cell>
        </row>
        <row r="5361">
          <cell r="A5361" t="str">
            <v>EUROMEX</v>
          </cell>
          <cell r="B5361">
            <v>202401</v>
          </cell>
          <cell r="D5361" t="str">
            <v>Seguros Personales (No Vida) Particular</v>
          </cell>
          <cell r="G5361" t="str">
            <v>Real</v>
          </cell>
        </row>
        <row r="5362">
          <cell r="A5362" t="str">
            <v>EUROMEX</v>
          </cell>
          <cell r="B5362">
            <v>202401</v>
          </cell>
          <cell r="D5362" t="str">
            <v>Transporte</v>
          </cell>
          <cell r="G5362" t="str">
            <v>Real</v>
          </cell>
        </row>
        <row r="5363">
          <cell r="A5363" t="str">
            <v>EUROMEX</v>
          </cell>
          <cell r="B5363">
            <v>202401</v>
          </cell>
          <cell r="D5363" t="str">
            <v>Vida Ahorro Particular</v>
          </cell>
          <cell r="G5363" t="str">
            <v>Real</v>
          </cell>
        </row>
        <row r="5364">
          <cell r="A5364" t="str">
            <v>EUROMEX</v>
          </cell>
          <cell r="B5364">
            <v>202401</v>
          </cell>
          <cell r="D5364" t="str">
            <v>Vida Riesgo Particular</v>
          </cell>
          <cell r="G5364" t="str">
            <v>Real</v>
          </cell>
        </row>
        <row r="5365">
          <cell r="A5365" t="str">
            <v>EUROMEX</v>
          </cell>
          <cell r="B5365">
            <v>202402</v>
          </cell>
          <cell r="D5365" t="str">
            <v>--</v>
          </cell>
          <cell r="G5365" t="str">
            <v>Real</v>
          </cell>
        </row>
        <row r="5366">
          <cell r="A5366" t="str">
            <v>EUROMEX</v>
          </cell>
          <cell r="B5366">
            <v>202402</v>
          </cell>
          <cell r="D5366" t="str">
            <v>Autos</v>
          </cell>
          <cell r="G5366" t="str">
            <v>Real</v>
          </cell>
        </row>
        <row r="5367">
          <cell r="A5367" t="str">
            <v>EUROMEX</v>
          </cell>
          <cell r="B5367">
            <v>202402</v>
          </cell>
          <cell r="D5367" t="str">
            <v>Crédito Nacional</v>
          </cell>
          <cell r="G5367" t="str">
            <v>Real</v>
          </cell>
        </row>
        <row r="5368">
          <cell r="A5368" t="str">
            <v>EUROMEX</v>
          </cell>
          <cell r="B5368">
            <v>202402</v>
          </cell>
          <cell r="D5368" t="str">
            <v>Hogar</v>
          </cell>
          <cell r="G5368" t="str">
            <v>Real</v>
          </cell>
        </row>
        <row r="5369">
          <cell r="A5369" t="str">
            <v>EUROMEX</v>
          </cell>
          <cell r="B5369">
            <v>202402</v>
          </cell>
          <cell r="D5369" t="str">
            <v>Ingeniería</v>
          </cell>
          <cell r="G5369" t="str">
            <v>Real</v>
          </cell>
        </row>
        <row r="5370">
          <cell r="A5370" t="str">
            <v>EUROMEX</v>
          </cell>
          <cell r="B5370">
            <v>202402</v>
          </cell>
          <cell r="D5370" t="str">
            <v>Particulares Resto</v>
          </cell>
          <cell r="G5370" t="str">
            <v>Real</v>
          </cell>
        </row>
        <row r="5371">
          <cell r="A5371" t="str">
            <v>EUROMEX</v>
          </cell>
          <cell r="B5371">
            <v>202402</v>
          </cell>
          <cell r="D5371" t="str">
            <v>Property</v>
          </cell>
          <cell r="G5371" t="str">
            <v>Real</v>
          </cell>
        </row>
        <row r="5372">
          <cell r="A5372" t="str">
            <v>EUROMEX</v>
          </cell>
          <cell r="B5372">
            <v>202402</v>
          </cell>
          <cell r="D5372" t="str">
            <v>RC</v>
          </cell>
          <cell r="G5372" t="str">
            <v>Real</v>
          </cell>
        </row>
        <row r="5373">
          <cell r="A5373" t="str">
            <v>EUROMEX</v>
          </cell>
          <cell r="B5373">
            <v>202402</v>
          </cell>
          <cell r="D5373" t="str">
            <v>Seguros Personales (No Vida) Colectivos</v>
          </cell>
          <cell r="G5373" t="str">
            <v>Real</v>
          </cell>
        </row>
        <row r="5374">
          <cell r="A5374" t="str">
            <v>EUROMEX</v>
          </cell>
          <cell r="B5374">
            <v>202402</v>
          </cell>
          <cell r="D5374" t="str">
            <v>Seguros Personales (No Vida) Particular</v>
          </cell>
          <cell r="G5374" t="str">
            <v>Real</v>
          </cell>
        </row>
        <row r="5375">
          <cell r="A5375" t="str">
            <v>EUROMEX</v>
          </cell>
          <cell r="B5375">
            <v>202402</v>
          </cell>
          <cell r="D5375" t="str">
            <v>Transporte</v>
          </cell>
          <cell r="G5375" t="str">
            <v>Real</v>
          </cell>
        </row>
        <row r="5376">
          <cell r="A5376" t="str">
            <v>EUROMEX</v>
          </cell>
          <cell r="B5376">
            <v>202402</v>
          </cell>
          <cell r="D5376" t="str">
            <v>Vida Ahorro Particular</v>
          </cell>
          <cell r="G5376" t="str">
            <v>Real</v>
          </cell>
        </row>
        <row r="5377">
          <cell r="A5377" t="str">
            <v>EUROMEX</v>
          </cell>
          <cell r="B5377">
            <v>202402</v>
          </cell>
          <cell r="D5377" t="str">
            <v>Vida Riesgo Particular</v>
          </cell>
          <cell r="G5377" t="str">
            <v>Real</v>
          </cell>
        </row>
        <row r="5378">
          <cell r="A5378" t="str">
            <v>EUROMEX</v>
          </cell>
          <cell r="B5378">
            <v>202403</v>
          </cell>
          <cell r="D5378" t="str">
            <v>--</v>
          </cell>
          <cell r="G5378" t="str">
            <v>Real</v>
          </cell>
        </row>
        <row r="5379">
          <cell r="A5379" t="str">
            <v>EUROMEX</v>
          </cell>
          <cell r="B5379">
            <v>202403</v>
          </cell>
          <cell r="D5379" t="str">
            <v>Autos</v>
          </cell>
          <cell r="G5379" t="str">
            <v>Real</v>
          </cell>
        </row>
        <row r="5380">
          <cell r="A5380" t="str">
            <v>EUROMEX</v>
          </cell>
          <cell r="B5380">
            <v>202403</v>
          </cell>
          <cell r="D5380" t="str">
            <v>Crédito Nacional</v>
          </cell>
          <cell r="G5380" t="str">
            <v>Real</v>
          </cell>
        </row>
        <row r="5381">
          <cell r="A5381" t="str">
            <v>EUROMEX</v>
          </cell>
          <cell r="B5381">
            <v>202403</v>
          </cell>
          <cell r="D5381" t="str">
            <v>Hogar</v>
          </cell>
          <cell r="G5381" t="str">
            <v>Real</v>
          </cell>
        </row>
        <row r="5382">
          <cell r="A5382" t="str">
            <v>EUROMEX</v>
          </cell>
          <cell r="B5382">
            <v>202403</v>
          </cell>
          <cell r="D5382" t="str">
            <v>Ingeniería</v>
          </cell>
          <cell r="G5382" t="str">
            <v>Real</v>
          </cell>
        </row>
        <row r="5383">
          <cell r="A5383" t="str">
            <v>EUROMEX</v>
          </cell>
          <cell r="B5383">
            <v>202403</v>
          </cell>
          <cell r="D5383" t="str">
            <v>Particulares Resto</v>
          </cell>
          <cell r="G5383" t="str">
            <v>Real</v>
          </cell>
        </row>
        <row r="5384">
          <cell r="A5384" t="str">
            <v>EUROMEX</v>
          </cell>
          <cell r="B5384">
            <v>202403</v>
          </cell>
          <cell r="D5384" t="str">
            <v>Property</v>
          </cell>
          <cell r="G5384" t="str">
            <v>Real</v>
          </cell>
        </row>
        <row r="5385">
          <cell r="A5385" t="str">
            <v>EUROMEX</v>
          </cell>
          <cell r="B5385">
            <v>202403</v>
          </cell>
          <cell r="D5385" t="str">
            <v>RC</v>
          </cell>
          <cell r="G5385" t="str">
            <v>Real</v>
          </cell>
        </row>
        <row r="5386">
          <cell r="A5386" t="str">
            <v>EUROMEX</v>
          </cell>
          <cell r="B5386">
            <v>202403</v>
          </cell>
          <cell r="D5386" t="str">
            <v>Seguros Personales (No Vida) Colectivos</v>
          </cell>
          <cell r="G5386" t="str">
            <v>Real</v>
          </cell>
        </row>
        <row r="5387">
          <cell r="A5387" t="str">
            <v>EUROMEX</v>
          </cell>
          <cell r="B5387">
            <v>202403</v>
          </cell>
          <cell r="D5387" t="str">
            <v>Seguros Personales (No Vida) Particular</v>
          </cell>
          <cell r="G5387" t="str">
            <v>Real</v>
          </cell>
        </row>
        <row r="5388">
          <cell r="A5388" t="str">
            <v>EUROMEX</v>
          </cell>
          <cell r="B5388">
            <v>202403</v>
          </cell>
          <cell r="D5388" t="str">
            <v>Transporte</v>
          </cell>
          <cell r="G5388" t="str">
            <v>Real</v>
          </cell>
        </row>
        <row r="5389">
          <cell r="A5389" t="str">
            <v>EUROMEX</v>
          </cell>
          <cell r="B5389">
            <v>202403</v>
          </cell>
          <cell r="D5389" t="str">
            <v>Vida Ahorro Particular</v>
          </cell>
          <cell r="G5389" t="str">
            <v>Real</v>
          </cell>
        </row>
        <row r="5390">
          <cell r="A5390" t="str">
            <v>EUROMEX</v>
          </cell>
          <cell r="B5390">
            <v>202403</v>
          </cell>
          <cell r="D5390" t="str">
            <v>Vida Riesgo Particular</v>
          </cell>
          <cell r="G5390" t="str">
            <v>Real</v>
          </cell>
        </row>
        <row r="5391">
          <cell r="A5391" t="str">
            <v>EUROMEX</v>
          </cell>
          <cell r="B5391">
            <v>202404</v>
          </cell>
          <cell r="D5391" t="str">
            <v>--</v>
          </cell>
          <cell r="G5391" t="str">
            <v>Real</v>
          </cell>
        </row>
        <row r="5392">
          <cell r="A5392" t="str">
            <v>EUROMEX</v>
          </cell>
          <cell r="B5392">
            <v>202404</v>
          </cell>
          <cell r="D5392" t="str">
            <v>Autos</v>
          </cell>
          <cell r="G5392" t="str">
            <v>Real</v>
          </cell>
        </row>
        <row r="5393">
          <cell r="A5393" t="str">
            <v>EUROMEX</v>
          </cell>
          <cell r="B5393">
            <v>202404</v>
          </cell>
          <cell r="D5393" t="str">
            <v>Hogar</v>
          </cell>
          <cell r="G5393" t="str">
            <v>Real</v>
          </cell>
        </row>
        <row r="5394">
          <cell r="A5394" t="str">
            <v>EUROMEX</v>
          </cell>
          <cell r="B5394">
            <v>202404</v>
          </cell>
          <cell r="D5394" t="str">
            <v>Ingeniería</v>
          </cell>
          <cell r="G5394" t="str">
            <v>Real</v>
          </cell>
        </row>
        <row r="5395">
          <cell r="A5395" t="str">
            <v>EUROMEX</v>
          </cell>
          <cell r="B5395">
            <v>202404</v>
          </cell>
          <cell r="D5395" t="str">
            <v>Particulares Resto</v>
          </cell>
          <cell r="G5395" t="str">
            <v>Real</v>
          </cell>
        </row>
        <row r="5396">
          <cell r="A5396" t="str">
            <v>EUROMEX</v>
          </cell>
          <cell r="B5396">
            <v>202404</v>
          </cell>
          <cell r="D5396" t="str">
            <v>Property</v>
          </cell>
          <cell r="G5396" t="str">
            <v>Real</v>
          </cell>
        </row>
        <row r="5397">
          <cell r="A5397" t="str">
            <v>EUROMEX</v>
          </cell>
          <cell r="B5397">
            <v>202404</v>
          </cell>
          <cell r="D5397" t="str">
            <v>RC</v>
          </cell>
          <cell r="G5397" t="str">
            <v>Real</v>
          </cell>
        </row>
        <row r="5398">
          <cell r="A5398" t="str">
            <v>EUROMEX</v>
          </cell>
          <cell r="B5398">
            <v>202404</v>
          </cell>
          <cell r="D5398" t="str">
            <v>Seguros Personales (No Vida) Colectivos</v>
          </cell>
          <cell r="G5398" t="str">
            <v>Real</v>
          </cell>
        </row>
        <row r="5399">
          <cell r="A5399" t="str">
            <v>EUROMEX</v>
          </cell>
          <cell r="B5399">
            <v>202404</v>
          </cell>
          <cell r="D5399" t="str">
            <v>Seguros Personales (No Vida) Particular</v>
          </cell>
          <cell r="G5399" t="str">
            <v>Real</v>
          </cell>
        </row>
        <row r="5400">
          <cell r="A5400" t="str">
            <v>EUROMEX</v>
          </cell>
          <cell r="B5400">
            <v>202404</v>
          </cell>
          <cell r="D5400" t="str">
            <v>Transporte</v>
          </cell>
          <cell r="G5400" t="str">
            <v>Real</v>
          </cell>
        </row>
        <row r="5401">
          <cell r="A5401" t="str">
            <v>EUROMEX</v>
          </cell>
          <cell r="B5401">
            <v>202404</v>
          </cell>
          <cell r="D5401" t="str">
            <v>Vida Ahorro Particular</v>
          </cell>
          <cell r="G5401" t="str">
            <v>Real</v>
          </cell>
        </row>
        <row r="5402">
          <cell r="A5402" t="str">
            <v>EUROMEX</v>
          </cell>
          <cell r="B5402">
            <v>202404</v>
          </cell>
          <cell r="D5402" t="str">
            <v>Vida Riesgo Particular</v>
          </cell>
          <cell r="G5402" t="str">
            <v>Real</v>
          </cell>
        </row>
        <row r="5403">
          <cell r="A5403" t="str">
            <v>EUROMEX</v>
          </cell>
          <cell r="B5403">
            <v>202405</v>
          </cell>
          <cell r="D5403" t="str">
            <v>--</v>
          </cell>
          <cell r="G5403" t="str">
            <v>Real</v>
          </cell>
        </row>
        <row r="5404">
          <cell r="A5404" t="str">
            <v>EUROMEX</v>
          </cell>
          <cell r="B5404">
            <v>202405</v>
          </cell>
          <cell r="D5404" t="str">
            <v>Autos</v>
          </cell>
          <cell r="G5404" t="str">
            <v>Real</v>
          </cell>
        </row>
        <row r="5405">
          <cell r="A5405" t="str">
            <v>EUROMEX</v>
          </cell>
          <cell r="B5405">
            <v>202405</v>
          </cell>
          <cell r="D5405" t="str">
            <v>Hogar</v>
          </cell>
          <cell r="G5405" t="str">
            <v>Real</v>
          </cell>
        </row>
        <row r="5406">
          <cell r="A5406" t="str">
            <v>EUROMEX</v>
          </cell>
          <cell r="B5406">
            <v>202405</v>
          </cell>
          <cell r="D5406" t="str">
            <v>Ingeniería</v>
          </cell>
          <cell r="G5406" t="str">
            <v>Real</v>
          </cell>
        </row>
        <row r="5407">
          <cell r="A5407" t="str">
            <v>EUROMEX</v>
          </cell>
          <cell r="B5407">
            <v>202405</v>
          </cell>
          <cell r="D5407" t="str">
            <v>Particulares Resto</v>
          </cell>
          <cell r="G5407" t="str">
            <v>Real</v>
          </cell>
        </row>
        <row r="5408">
          <cell r="A5408" t="str">
            <v>EUROMEX</v>
          </cell>
          <cell r="B5408">
            <v>202405</v>
          </cell>
          <cell r="D5408" t="str">
            <v>Property</v>
          </cell>
          <cell r="G5408" t="str">
            <v>Real</v>
          </cell>
        </row>
        <row r="5409">
          <cell r="A5409" t="str">
            <v>EUROMEX</v>
          </cell>
          <cell r="B5409">
            <v>202405</v>
          </cell>
          <cell r="D5409" t="str">
            <v>RC</v>
          </cell>
          <cell r="G5409" t="str">
            <v>Real</v>
          </cell>
        </row>
        <row r="5410">
          <cell r="A5410" t="str">
            <v>EUROMEX</v>
          </cell>
          <cell r="B5410">
            <v>202405</v>
          </cell>
          <cell r="D5410" t="str">
            <v>Seguros Personales (No Vida) Colectivos</v>
          </cell>
          <cell r="G5410" t="str">
            <v>Real</v>
          </cell>
        </row>
        <row r="5411">
          <cell r="A5411" t="str">
            <v>EUROMEX</v>
          </cell>
          <cell r="B5411">
            <v>202405</v>
          </cell>
          <cell r="D5411" t="str">
            <v>Seguros Personales (No Vida) Particular</v>
          </cell>
          <cell r="G5411" t="str">
            <v>Real</v>
          </cell>
        </row>
        <row r="5412">
          <cell r="A5412" t="str">
            <v>EUROMEX</v>
          </cell>
          <cell r="B5412">
            <v>202405</v>
          </cell>
          <cell r="D5412" t="str">
            <v>Transporte</v>
          </cell>
          <cell r="G5412" t="str">
            <v>Real</v>
          </cell>
        </row>
        <row r="5413">
          <cell r="A5413" t="str">
            <v>EUROMEX</v>
          </cell>
          <cell r="B5413">
            <v>202405</v>
          </cell>
          <cell r="D5413" t="str">
            <v>Vida Ahorro Particular</v>
          </cell>
          <cell r="G5413" t="str">
            <v>Real</v>
          </cell>
        </row>
        <row r="5414">
          <cell r="A5414" t="str">
            <v>EUROMEX</v>
          </cell>
          <cell r="B5414">
            <v>202405</v>
          </cell>
          <cell r="D5414" t="str">
            <v>Vida Riesgo Particular</v>
          </cell>
          <cell r="G5414" t="str">
            <v>Real</v>
          </cell>
        </row>
        <row r="5415">
          <cell r="A5415" t="str">
            <v>EUROMEX</v>
          </cell>
          <cell r="B5415">
            <v>202406</v>
          </cell>
          <cell r="D5415" t="str">
            <v>--</v>
          </cell>
          <cell r="G5415" t="str">
            <v>Real</v>
          </cell>
        </row>
        <row r="5416">
          <cell r="A5416" t="str">
            <v>EUROMEX</v>
          </cell>
          <cell r="B5416">
            <v>202406</v>
          </cell>
          <cell r="D5416" t="str">
            <v>Autos</v>
          </cell>
          <cell r="G5416" t="str">
            <v>Real</v>
          </cell>
        </row>
        <row r="5417">
          <cell r="A5417" t="str">
            <v>EUROMEX</v>
          </cell>
          <cell r="B5417">
            <v>202406</v>
          </cell>
          <cell r="D5417" t="str">
            <v>Hogar</v>
          </cell>
          <cell r="G5417" t="str">
            <v>Real</v>
          </cell>
        </row>
        <row r="5418">
          <cell r="A5418" t="str">
            <v>EUROMEX</v>
          </cell>
          <cell r="B5418">
            <v>202406</v>
          </cell>
          <cell r="D5418" t="str">
            <v>Ingeniería</v>
          </cell>
          <cell r="G5418" t="str">
            <v>Real</v>
          </cell>
        </row>
        <row r="5419">
          <cell r="A5419" t="str">
            <v>EUROMEX</v>
          </cell>
          <cell r="B5419">
            <v>202406</v>
          </cell>
          <cell r="D5419" t="str">
            <v>Particulares Resto</v>
          </cell>
          <cell r="G5419" t="str">
            <v>Real</v>
          </cell>
        </row>
        <row r="5420">
          <cell r="A5420" t="str">
            <v>EUROMEX</v>
          </cell>
          <cell r="B5420">
            <v>202406</v>
          </cell>
          <cell r="D5420" t="str">
            <v>Property</v>
          </cell>
          <cell r="G5420" t="str">
            <v>Real</v>
          </cell>
        </row>
        <row r="5421">
          <cell r="A5421" t="str">
            <v>EUROMEX</v>
          </cell>
          <cell r="B5421">
            <v>202406</v>
          </cell>
          <cell r="D5421" t="str">
            <v>RC</v>
          </cell>
          <cell r="G5421" t="str">
            <v>Real</v>
          </cell>
        </row>
        <row r="5422">
          <cell r="A5422" t="str">
            <v>EUROMEX</v>
          </cell>
          <cell r="B5422">
            <v>202406</v>
          </cell>
          <cell r="D5422" t="str">
            <v>Seguros Personales (No Vida) Colectivos</v>
          </cell>
          <cell r="G5422" t="str">
            <v>Real</v>
          </cell>
        </row>
        <row r="5423">
          <cell r="A5423" t="str">
            <v>EUROMEX</v>
          </cell>
          <cell r="B5423">
            <v>202406</v>
          </cell>
          <cell r="D5423" t="str">
            <v>Seguros Personales (No Vida) Particular</v>
          </cell>
          <cell r="G5423" t="str">
            <v>Real</v>
          </cell>
        </row>
        <row r="5424">
          <cell r="A5424" t="str">
            <v>EUROMEX</v>
          </cell>
          <cell r="B5424">
            <v>202406</v>
          </cell>
          <cell r="D5424" t="str">
            <v>Transporte</v>
          </cell>
          <cell r="G5424" t="str">
            <v>Real</v>
          </cell>
        </row>
        <row r="5425">
          <cell r="A5425" t="str">
            <v>EUROMEX</v>
          </cell>
          <cell r="B5425">
            <v>202406</v>
          </cell>
          <cell r="D5425" t="str">
            <v>Vida Ahorro Particular</v>
          </cell>
          <cell r="G5425" t="str">
            <v>Real</v>
          </cell>
        </row>
        <row r="5426">
          <cell r="A5426" t="str">
            <v>EUROMEX</v>
          </cell>
          <cell r="B5426">
            <v>202406</v>
          </cell>
          <cell r="D5426" t="str">
            <v>Vida Riesgo Particular</v>
          </cell>
          <cell r="G5426" t="str">
            <v>Real</v>
          </cell>
        </row>
        <row r="5427">
          <cell r="A5427" t="str">
            <v>EUROMEX</v>
          </cell>
          <cell r="B5427">
            <v>202407</v>
          </cell>
          <cell r="D5427" t="str">
            <v>--</v>
          </cell>
          <cell r="G5427" t="str">
            <v>Real</v>
          </cell>
        </row>
        <row r="5428">
          <cell r="A5428" t="str">
            <v>EUROMEX</v>
          </cell>
          <cell r="B5428">
            <v>202407</v>
          </cell>
          <cell r="D5428" t="str">
            <v>Autos</v>
          </cell>
          <cell r="G5428" t="str">
            <v>Real</v>
          </cell>
        </row>
        <row r="5429">
          <cell r="A5429" t="str">
            <v>EUROMEX</v>
          </cell>
          <cell r="B5429">
            <v>202407</v>
          </cell>
          <cell r="D5429" t="str">
            <v>Crédito Nacional</v>
          </cell>
          <cell r="G5429" t="str">
            <v>Real</v>
          </cell>
        </row>
        <row r="5430">
          <cell r="A5430" t="str">
            <v>EUROMEX</v>
          </cell>
          <cell r="B5430">
            <v>202407</v>
          </cell>
          <cell r="D5430" t="str">
            <v>Hogar</v>
          </cell>
          <cell r="G5430" t="str">
            <v>Real</v>
          </cell>
        </row>
        <row r="5431">
          <cell r="A5431" t="str">
            <v>EUROMEX</v>
          </cell>
          <cell r="B5431">
            <v>202407</v>
          </cell>
          <cell r="D5431" t="str">
            <v>Ingeniería</v>
          </cell>
          <cell r="G5431" t="str">
            <v>Real</v>
          </cell>
        </row>
        <row r="5432">
          <cell r="A5432" t="str">
            <v>EUROMEX</v>
          </cell>
          <cell r="B5432">
            <v>202407</v>
          </cell>
          <cell r="D5432" t="str">
            <v>Particulares Resto</v>
          </cell>
          <cell r="G5432" t="str">
            <v>Real</v>
          </cell>
        </row>
        <row r="5433">
          <cell r="A5433" t="str">
            <v>EUROMEX</v>
          </cell>
          <cell r="B5433">
            <v>202407</v>
          </cell>
          <cell r="D5433" t="str">
            <v>Property</v>
          </cell>
          <cell r="G5433" t="str">
            <v>Real</v>
          </cell>
        </row>
        <row r="5434">
          <cell r="A5434" t="str">
            <v>EUROMEX</v>
          </cell>
          <cell r="B5434">
            <v>202407</v>
          </cell>
          <cell r="D5434" t="str">
            <v>RC</v>
          </cell>
          <cell r="G5434" t="str">
            <v>Real</v>
          </cell>
        </row>
        <row r="5435">
          <cell r="A5435" t="str">
            <v>EUROMEX</v>
          </cell>
          <cell r="B5435">
            <v>202407</v>
          </cell>
          <cell r="D5435" t="str">
            <v>Seguros Personales (No Vida) Colectivos</v>
          </cell>
          <cell r="G5435" t="str">
            <v>Real</v>
          </cell>
        </row>
        <row r="5436">
          <cell r="A5436" t="str">
            <v>EUROMEX</v>
          </cell>
          <cell r="B5436">
            <v>202407</v>
          </cell>
          <cell r="D5436" t="str">
            <v>Seguros Personales (No Vida) Particular</v>
          </cell>
          <cell r="G5436" t="str">
            <v>Real</v>
          </cell>
        </row>
        <row r="5437">
          <cell r="A5437" t="str">
            <v>EUROMEX</v>
          </cell>
          <cell r="B5437">
            <v>202407</v>
          </cell>
          <cell r="D5437" t="str">
            <v>Transporte</v>
          </cell>
          <cell r="G5437" t="str">
            <v>Real</v>
          </cell>
        </row>
        <row r="5438">
          <cell r="A5438" t="str">
            <v>EUROMEX</v>
          </cell>
          <cell r="B5438">
            <v>202407</v>
          </cell>
          <cell r="D5438" t="str">
            <v>Vida Ahorro Particular</v>
          </cell>
          <cell r="G5438" t="str">
            <v>Real</v>
          </cell>
        </row>
        <row r="5439">
          <cell r="A5439" t="str">
            <v>EUROMEX</v>
          </cell>
          <cell r="B5439">
            <v>202407</v>
          </cell>
          <cell r="D5439" t="str">
            <v>Vida Riesgo Particular</v>
          </cell>
          <cell r="G5439" t="str">
            <v>Real</v>
          </cell>
        </row>
        <row r="5440">
          <cell r="A5440" t="str">
            <v>EUROMEX</v>
          </cell>
          <cell r="B5440">
            <v>202408</v>
          </cell>
          <cell r="D5440" t="str">
            <v>--</v>
          </cell>
          <cell r="G5440" t="str">
            <v>Real</v>
          </cell>
        </row>
        <row r="5441">
          <cell r="A5441" t="str">
            <v>EUROMEX</v>
          </cell>
          <cell r="B5441">
            <v>202408</v>
          </cell>
          <cell r="D5441" t="str">
            <v>Autos</v>
          </cell>
          <cell r="G5441" t="str">
            <v>Real</v>
          </cell>
        </row>
        <row r="5442">
          <cell r="A5442" t="str">
            <v>EUROMEX</v>
          </cell>
          <cell r="B5442">
            <v>202408</v>
          </cell>
          <cell r="D5442" t="str">
            <v>Crédito Nacional</v>
          </cell>
          <cell r="G5442" t="str">
            <v>Real</v>
          </cell>
        </row>
        <row r="5443">
          <cell r="A5443" t="str">
            <v>EUROMEX</v>
          </cell>
          <cell r="B5443">
            <v>202408</v>
          </cell>
          <cell r="D5443" t="str">
            <v>Hogar</v>
          </cell>
          <cell r="G5443" t="str">
            <v>Real</v>
          </cell>
        </row>
        <row r="5444">
          <cell r="A5444" t="str">
            <v>EUROMEX</v>
          </cell>
          <cell r="B5444">
            <v>202408</v>
          </cell>
          <cell r="D5444" t="str">
            <v>Ingeniería</v>
          </cell>
          <cell r="G5444" t="str">
            <v>Real</v>
          </cell>
        </row>
        <row r="5445">
          <cell r="A5445" t="str">
            <v>EUROMEX</v>
          </cell>
          <cell r="B5445">
            <v>202408</v>
          </cell>
          <cell r="D5445" t="str">
            <v>Particulares Resto</v>
          </cell>
          <cell r="G5445" t="str">
            <v>Real</v>
          </cell>
        </row>
        <row r="5446">
          <cell r="A5446" t="str">
            <v>EUROMEX</v>
          </cell>
          <cell r="B5446">
            <v>202408</v>
          </cell>
          <cell r="D5446" t="str">
            <v>Property</v>
          </cell>
          <cell r="G5446" t="str">
            <v>Real</v>
          </cell>
        </row>
        <row r="5447">
          <cell r="A5447" t="str">
            <v>EUROMEX</v>
          </cell>
          <cell r="B5447">
            <v>202408</v>
          </cell>
          <cell r="D5447" t="str">
            <v>RC</v>
          </cell>
          <cell r="G5447" t="str">
            <v>Real</v>
          </cell>
        </row>
        <row r="5448">
          <cell r="A5448" t="str">
            <v>EUROMEX</v>
          </cell>
          <cell r="B5448">
            <v>202408</v>
          </cell>
          <cell r="D5448" t="str">
            <v>Seguros Personales (No Vida) Colectivos</v>
          </cell>
          <cell r="G5448" t="str">
            <v>Real</v>
          </cell>
        </row>
        <row r="5449">
          <cell r="A5449" t="str">
            <v>EUROMEX</v>
          </cell>
          <cell r="B5449">
            <v>202408</v>
          </cell>
          <cell r="D5449" t="str">
            <v>Seguros Personales (No Vida) Particular</v>
          </cell>
          <cell r="G5449" t="str">
            <v>Real</v>
          </cell>
        </row>
        <row r="5450">
          <cell r="A5450" t="str">
            <v>EUROMEX</v>
          </cell>
          <cell r="B5450">
            <v>202408</v>
          </cell>
          <cell r="D5450" t="str">
            <v>Transporte</v>
          </cell>
          <cell r="G5450" t="str">
            <v>Real</v>
          </cell>
        </row>
        <row r="5451">
          <cell r="A5451" t="str">
            <v>EUROMEX</v>
          </cell>
          <cell r="B5451">
            <v>202408</v>
          </cell>
          <cell r="D5451" t="str">
            <v>Vida Ahorro Particular</v>
          </cell>
          <cell r="G5451" t="str">
            <v>Real</v>
          </cell>
        </row>
        <row r="5452">
          <cell r="A5452" t="str">
            <v>EUROMEX</v>
          </cell>
          <cell r="B5452">
            <v>202408</v>
          </cell>
          <cell r="D5452" t="str">
            <v>Vida Riesgo Particular</v>
          </cell>
          <cell r="G5452" t="str">
            <v>Real</v>
          </cell>
        </row>
        <row r="5453">
          <cell r="A5453" t="str">
            <v>EUROMEX</v>
          </cell>
          <cell r="B5453">
            <v>202409</v>
          </cell>
          <cell r="D5453" t="str">
            <v>--</v>
          </cell>
          <cell r="G5453" t="str">
            <v>Real</v>
          </cell>
        </row>
        <row r="5454">
          <cell r="A5454" t="str">
            <v>EUROMEX</v>
          </cell>
          <cell r="B5454">
            <v>202409</v>
          </cell>
          <cell r="D5454" t="str">
            <v>Autos</v>
          </cell>
          <cell r="G5454" t="str">
            <v>Real</v>
          </cell>
        </row>
        <row r="5455">
          <cell r="A5455" t="str">
            <v>EUROMEX</v>
          </cell>
          <cell r="B5455">
            <v>202409</v>
          </cell>
          <cell r="D5455" t="str">
            <v>Crédito Nacional</v>
          </cell>
          <cell r="G5455" t="str">
            <v>Real</v>
          </cell>
        </row>
        <row r="5456">
          <cell r="A5456" t="str">
            <v>EUROMEX</v>
          </cell>
          <cell r="B5456">
            <v>202409</v>
          </cell>
          <cell r="D5456" t="str">
            <v>Hogar</v>
          </cell>
          <cell r="G5456" t="str">
            <v>Real</v>
          </cell>
        </row>
        <row r="5457">
          <cell r="A5457" t="str">
            <v>EUROMEX</v>
          </cell>
          <cell r="B5457">
            <v>202409</v>
          </cell>
          <cell r="D5457" t="str">
            <v>Ingeniería</v>
          </cell>
          <cell r="G5457" t="str">
            <v>Real</v>
          </cell>
        </row>
        <row r="5458">
          <cell r="A5458" t="str">
            <v>EUROMEX</v>
          </cell>
          <cell r="B5458">
            <v>202409</v>
          </cell>
          <cell r="D5458" t="str">
            <v>Particulares Resto</v>
          </cell>
          <cell r="G5458" t="str">
            <v>Real</v>
          </cell>
        </row>
        <row r="5459">
          <cell r="A5459" t="str">
            <v>EUROMEX</v>
          </cell>
          <cell r="B5459">
            <v>202409</v>
          </cell>
          <cell r="D5459" t="str">
            <v>Property</v>
          </cell>
          <cell r="G5459" t="str">
            <v>Real</v>
          </cell>
        </row>
        <row r="5460">
          <cell r="A5460" t="str">
            <v>EUROMEX</v>
          </cell>
          <cell r="B5460">
            <v>202409</v>
          </cell>
          <cell r="D5460" t="str">
            <v>RC</v>
          </cell>
          <cell r="G5460" t="str">
            <v>Real</v>
          </cell>
        </row>
        <row r="5461">
          <cell r="A5461" t="str">
            <v>EUROMEX</v>
          </cell>
          <cell r="B5461">
            <v>202409</v>
          </cell>
          <cell r="D5461" t="str">
            <v>Seguros Personales (No Vida) Colectivos</v>
          </cell>
          <cell r="G5461" t="str">
            <v>Real</v>
          </cell>
        </row>
        <row r="5462">
          <cell r="A5462" t="str">
            <v>EUROMEX</v>
          </cell>
          <cell r="B5462">
            <v>202409</v>
          </cell>
          <cell r="D5462" t="str">
            <v>Seguros Personales (No Vida) Particular</v>
          </cell>
          <cell r="G5462" t="str">
            <v>Real</v>
          </cell>
        </row>
        <row r="5463">
          <cell r="A5463" t="str">
            <v>EUROMEX</v>
          </cell>
          <cell r="B5463">
            <v>202409</v>
          </cell>
          <cell r="D5463" t="str">
            <v>Transporte</v>
          </cell>
          <cell r="G5463" t="str">
            <v>Real</v>
          </cell>
        </row>
        <row r="5464">
          <cell r="A5464" t="str">
            <v>EUROMEX</v>
          </cell>
          <cell r="B5464">
            <v>202409</v>
          </cell>
          <cell r="D5464" t="str">
            <v>Vida Ahorro Particular</v>
          </cell>
          <cell r="G5464" t="str">
            <v>Real</v>
          </cell>
        </row>
        <row r="5465">
          <cell r="A5465" t="str">
            <v>EUROMEX</v>
          </cell>
          <cell r="B5465">
            <v>202409</v>
          </cell>
          <cell r="D5465" t="str">
            <v>Vida Riesgo Particular</v>
          </cell>
          <cell r="G5465" t="str">
            <v>Real</v>
          </cell>
        </row>
        <row r="5466">
          <cell r="A5466" t="str">
            <v>EUROMEX</v>
          </cell>
          <cell r="B5466">
            <v>202410</v>
          </cell>
          <cell r="D5466" t="str">
            <v>--</v>
          </cell>
          <cell r="G5466" t="str">
            <v>Real</v>
          </cell>
        </row>
        <row r="5467">
          <cell r="A5467" t="str">
            <v>EUROMEX</v>
          </cell>
          <cell r="B5467">
            <v>202410</v>
          </cell>
          <cell r="D5467" t="str">
            <v>Autos</v>
          </cell>
          <cell r="G5467" t="str">
            <v>Real</v>
          </cell>
        </row>
        <row r="5468">
          <cell r="A5468" t="str">
            <v>EUROMEX</v>
          </cell>
          <cell r="B5468">
            <v>202410</v>
          </cell>
          <cell r="D5468" t="str">
            <v>Crédito Nacional</v>
          </cell>
          <cell r="G5468" t="str">
            <v>Real</v>
          </cell>
        </row>
        <row r="5469">
          <cell r="A5469" t="str">
            <v>EUROMEX</v>
          </cell>
          <cell r="B5469">
            <v>202410</v>
          </cell>
          <cell r="D5469" t="str">
            <v>Hogar</v>
          </cell>
          <cell r="G5469" t="str">
            <v>Real</v>
          </cell>
        </row>
        <row r="5470">
          <cell r="A5470" t="str">
            <v>EUROMEX</v>
          </cell>
          <cell r="B5470">
            <v>202410</v>
          </cell>
          <cell r="D5470" t="str">
            <v>Ingeniería</v>
          </cell>
          <cell r="G5470" t="str">
            <v>Real</v>
          </cell>
        </row>
        <row r="5471">
          <cell r="A5471" t="str">
            <v>EUROMEX</v>
          </cell>
          <cell r="B5471">
            <v>202410</v>
          </cell>
          <cell r="D5471" t="str">
            <v>Particulares Resto</v>
          </cell>
          <cell r="G5471" t="str">
            <v>Real</v>
          </cell>
        </row>
        <row r="5472">
          <cell r="A5472" t="str">
            <v>EUROMEX</v>
          </cell>
          <cell r="B5472">
            <v>202410</v>
          </cell>
          <cell r="D5472" t="str">
            <v>Property</v>
          </cell>
          <cell r="G5472" t="str">
            <v>Real</v>
          </cell>
        </row>
        <row r="5473">
          <cell r="A5473" t="str">
            <v>EUROMEX</v>
          </cell>
          <cell r="B5473">
            <v>202410</v>
          </cell>
          <cell r="D5473" t="str">
            <v>RC</v>
          </cell>
          <cell r="G5473" t="str">
            <v>Real</v>
          </cell>
        </row>
        <row r="5474">
          <cell r="A5474" t="str">
            <v>EUROMEX</v>
          </cell>
          <cell r="B5474">
            <v>202410</v>
          </cell>
          <cell r="D5474" t="str">
            <v>Seguros Personales (No Vida) Colectivos</v>
          </cell>
          <cell r="G5474" t="str">
            <v>Real</v>
          </cell>
        </row>
        <row r="5475">
          <cell r="A5475" t="str">
            <v>EUROMEX</v>
          </cell>
          <cell r="B5475">
            <v>202410</v>
          </cell>
          <cell r="D5475" t="str">
            <v>Seguros Personales (No Vida) Particular</v>
          </cell>
          <cell r="G5475" t="str">
            <v>Real</v>
          </cell>
        </row>
        <row r="5476">
          <cell r="A5476" t="str">
            <v>EUROMEX</v>
          </cell>
          <cell r="B5476">
            <v>202410</v>
          </cell>
          <cell r="D5476" t="str">
            <v>Transporte</v>
          </cell>
          <cell r="G5476" t="str">
            <v>Real</v>
          </cell>
        </row>
        <row r="5477">
          <cell r="A5477" t="str">
            <v>EUROMEX</v>
          </cell>
          <cell r="B5477">
            <v>202410</v>
          </cell>
          <cell r="D5477" t="str">
            <v>Vida Ahorro Particular</v>
          </cell>
          <cell r="G5477" t="str">
            <v>Real</v>
          </cell>
        </row>
        <row r="5478">
          <cell r="A5478" t="str">
            <v>EUROMEX</v>
          </cell>
          <cell r="B5478">
            <v>202410</v>
          </cell>
          <cell r="D5478" t="str">
            <v>Vida Riesgo Particular</v>
          </cell>
          <cell r="G5478" t="str">
            <v>Real</v>
          </cell>
        </row>
        <row r="5479">
          <cell r="A5479" t="str">
            <v>EUROMEX</v>
          </cell>
          <cell r="B5479">
            <v>202411</v>
          </cell>
          <cell r="D5479" t="str">
            <v>--</v>
          </cell>
          <cell r="G5479" t="str">
            <v>Real</v>
          </cell>
        </row>
        <row r="5480">
          <cell r="A5480" t="str">
            <v>EUROMEX</v>
          </cell>
          <cell r="B5480">
            <v>202411</v>
          </cell>
          <cell r="D5480" t="str">
            <v>Autos</v>
          </cell>
          <cell r="G5480" t="str">
            <v>Real</v>
          </cell>
        </row>
        <row r="5481">
          <cell r="A5481" t="str">
            <v>EUROMEX</v>
          </cell>
          <cell r="B5481">
            <v>202411</v>
          </cell>
          <cell r="D5481" t="str">
            <v>Crédito Nacional</v>
          </cell>
          <cell r="G5481" t="str">
            <v>Real</v>
          </cell>
        </row>
        <row r="5482">
          <cell r="A5482" t="str">
            <v>EUROMEX</v>
          </cell>
          <cell r="B5482">
            <v>202411</v>
          </cell>
          <cell r="D5482" t="str">
            <v>Hogar</v>
          </cell>
          <cell r="G5482" t="str">
            <v>Real</v>
          </cell>
        </row>
        <row r="5483">
          <cell r="A5483" t="str">
            <v>EUROMEX</v>
          </cell>
          <cell r="B5483">
            <v>202411</v>
          </cell>
          <cell r="D5483" t="str">
            <v>Ingeniería</v>
          </cell>
          <cell r="G5483" t="str">
            <v>Real</v>
          </cell>
        </row>
        <row r="5484">
          <cell r="A5484" t="str">
            <v>EUROMEX</v>
          </cell>
          <cell r="B5484">
            <v>202411</v>
          </cell>
          <cell r="D5484" t="str">
            <v>Particulares Resto</v>
          </cell>
          <cell r="G5484" t="str">
            <v>Real</v>
          </cell>
        </row>
        <row r="5485">
          <cell r="A5485" t="str">
            <v>EUROMEX</v>
          </cell>
          <cell r="B5485">
            <v>202411</v>
          </cell>
          <cell r="D5485" t="str">
            <v>Property</v>
          </cell>
          <cell r="G5485" t="str">
            <v>Real</v>
          </cell>
        </row>
        <row r="5486">
          <cell r="A5486" t="str">
            <v>EUROMEX</v>
          </cell>
          <cell r="B5486">
            <v>202411</v>
          </cell>
          <cell r="D5486" t="str">
            <v>RC</v>
          </cell>
          <cell r="G5486" t="str">
            <v>Real</v>
          </cell>
        </row>
        <row r="5487">
          <cell r="A5487" t="str">
            <v>EUROMEX</v>
          </cell>
          <cell r="B5487">
            <v>202411</v>
          </cell>
          <cell r="D5487" t="str">
            <v>Seguros Personales (No Vida) Colectivos</v>
          </cell>
          <cell r="G5487" t="str">
            <v>Real</v>
          </cell>
        </row>
        <row r="5488">
          <cell r="A5488" t="str">
            <v>EUROMEX</v>
          </cell>
          <cell r="B5488">
            <v>202411</v>
          </cell>
          <cell r="D5488" t="str">
            <v>Seguros Personales (No Vida) Particular</v>
          </cell>
          <cell r="G5488" t="str">
            <v>Real</v>
          </cell>
        </row>
        <row r="5489">
          <cell r="A5489" t="str">
            <v>EUROMEX</v>
          </cell>
          <cell r="B5489">
            <v>202411</v>
          </cell>
          <cell r="D5489" t="str">
            <v>Transporte</v>
          </cell>
          <cell r="G5489" t="str">
            <v>Real</v>
          </cell>
        </row>
        <row r="5490">
          <cell r="A5490" t="str">
            <v>EUROMEX</v>
          </cell>
          <cell r="B5490">
            <v>202411</v>
          </cell>
          <cell r="D5490" t="str">
            <v>Vida Ahorro Particular</v>
          </cell>
          <cell r="G5490" t="str">
            <v>Real</v>
          </cell>
        </row>
        <row r="5491">
          <cell r="A5491" t="str">
            <v>EUROMEX</v>
          </cell>
          <cell r="B5491">
            <v>202411</v>
          </cell>
          <cell r="D5491" t="str">
            <v>Vida Riesgo Particular</v>
          </cell>
          <cell r="G5491" t="str">
            <v>Real</v>
          </cell>
        </row>
        <row r="5492">
          <cell r="A5492" t="str">
            <v>EUROMEX</v>
          </cell>
          <cell r="B5492">
            <v>202412</v>
          </cell>
          <cell r="D5492" t="str">
            <v>--</v>
          </cell>
          <cell r="G5492" t="str">
            <v>Real</v>
          </cell>
        </row>
        <row r="5493">
          <cell r="A5493" t="str">
            <v>EUROMEX</v>
          </cell>
          <cell r="B5493">
            <v>202412</v>
          </cell>
          <cell r="D5493" t="str">
            <v>Autos</v>
          </cell>
          <cell r="G5493" t="str">
            <v>Real</v>
          </cell>
        </row>
        <row r="5494">
          <cell r="A5494" t="str">
            <v>EUROMEX</v>
          </cell>
          <cell r="B5494">
            <v>202412</v>
          </cell>
          <cell r="D5494" t="str">
            <v>Crédito Nacional</v>
          </cell>
          <cell r="G5494" t="str">
            <v>Real</v>
          </cell>
        </row>
        <row r="5495">
          <cell r="A5495" t="str">
            <v>EUROMEX</v>
          </cell>
          <cell r="B5495">
            <v>202412</v>
          </cell>
          <cell r="D5495" t="str">
            <v>Hogar</v>
          </cell>
          <cell r="G5495" t="str">
            <v>Real</v>
          </cell>
        </row>
        <row r="5496">
          <cell r="A5496" t="str">
            <v>EUROMEX</v>
          </cell>
          <cell r="B5496">
            <v>202412</v>
          </cell>
          <cell r="D5496" t="str">
            <v>Ingeniería</v>
          </cell>
          <cell r="G5496" t="str">
            <v>Real</v>
          </cell>
        </row>
        <row r="5497">
          <cell r="A5497" t="str">
            <v>EUROMEX</v>
          </cell>
          <cell r="B5497">
            <v>202412</v>
          </cell>
          <cell r="D5497" t="str">
            <v>Particulares Resto</v>
          </cell>
          <cell r="G5497" t="str">
            <v>Real</v>
          </cell>
        </row>
        <row r="5498">
          <cell r="A5498" t="str">
            <v>EUROMEX</v>
          </cell>
          <cell r="B5498">
            <v>202412</v>
          </cell>
          <cell r="D5498" t="str">
            <v>Property</v>
          </cell>
          <cell r="G5498" t="str">
            <v>Real</v>
          </cell>
        </row>
        <row r="5499">
          <cell r="A5499" t="str">
            <v>EUROMEX</v>
          </cell>
          <cell r="B5499">
            <v>202412</v>
          </cell>
          <cell r="D5499" t="str">
            <v>RC</v>
          </cell>
          <cell r="G5499" t="str">
            <v>Real</v>
          </cell>
        </row>
        <row r="5500">
          <cell r="A5500" t="str">
            <v>EUROMEX</v>
          </cell>
          <cell r="B5500">
            <v>202412</v>
          </cell>
          <cell r="D5500" t="str">
            <v>Seguros Personales (No Vida) Colectivos</v>
          </cell>
          <cell r="G5500" t="str">
            <v>Real</v>
          </cell>
        </row>
        <row r="5501">
          <cell r="A5501" t="str">
            <v>EUROMEX</v>
          </cell>
          <cell r="B5501">
            <v>202412</v>
          </cell>
          <cell r="D5501" t="str">
            <v>Seguros Personales (No Vida) Particular</v>
          </cell>
          <cell r="G5501" t="str">
            <v>Real</v>
          </cell>
        </row>
        <row r="5502">
          <cell r="A5502" t="str">
            <v>EUROMEX</v>
          </cell>
          <cell r="B5502">
            <v>202412</v>
          </cell>
          <cell r="D5502" t="str">
            <v>Transporte</v>
          </cell>
          <cell r="G5502" t="str">
            <v>Real</v>
          </cell>
        </row>
        <row r="5503">
          <cell r="A5503" t="str">
            <v>EUROMEX</v>
          </cell>
          <cell r="B5503">
            <v>202412</v>
          </cell>
          <cell r="D5503" t="str">
            <v>Vida Ahorro Particular</v>
          </cell>
          <cell r="G5503" t="str">
            <v>Real</v>
          </cell>
        </row>
        <row r="5504">
          <cell r="A5504" t="str">
            <v>EUROMEX</v>
          </cell>
          <cell r="B5504">
            <v>202412</v>
          </cell>
          <cell r="D5504" t="str">
            <v>Vida Riesgo Particular</v>
          </cell>
          <cell r="G5504" t="str">
            <v>Real</v>
          </cell>
        </row>
        <row r="5505">
          <cell r="A5505" t="str">
            <v>EUROMEX</v>
          </cell>
          <cell r="B5505">
            <v>202501</v>
          </cell>
          <cell r="D5505" t="str">
            <v>--</v>
          </cell>
          <cell r="G5505" t="str">
            <v>Presupuesto</v>
          </cell>
        </row>
        <row r="5506">
          <cell r="A5506" t="str">
            <v>EUROMEX</v>
          </cell>
          <cell r="B5506">
            <v>202501</v>
          </cell>
          <cell r="D5506" t="str">
            <v>Arte</v>
          </cell>
          <cell r="G5506" t="str">
            <v>Presupuesto</v>
          </cell>
        </row>
        <row r="5507">
          <cell r="A5507" t="str">
            <v>EUROMEX</v>
          </cell>
          <cell r="B5507">
            <v>202501</v>
          </cell>
          <cell r="D5507" t="str">
            <v>Autos</v>
          </cell>
          <cell r="G5507" t="str">
            <v>Presupuesto</v>
          </cell>
        </row>
        <row r="5508">
          <cell r="A5508" t="str">
            <v>EUROMEX</v>
          </cell>
          <cell r="B5508">
            <v>202501</v>
          </cell>
          <cell r="D5508" t="str">
            <v>Autos</v>
          </cell>
          <cell r="G5508" t="str">
            <v>Real</v>
          </cell>
        </row>
        <row r="5509">
          <cell r="A5509" t="str">
            <v>EUROMEX</v>
          </cell>
          <cell r="B5509">
            <v>202501</v>
          </cell>
          <cell r="D5509" t="str">
            <v>B2B2C</v>
          </cell>
          <cell r="G5509" t="str">
            <v>Presupuesto</v>
          </cell>
        </row>
        <row r="5510">
          <cell r="A5510" t="str">
            <v>EUROMEX</v>
          </cell>
          <cell r="B5510">
            <v>202501</v>
          </cell>
          <cell r="D5510" t="str">
            <v>Caución</v>
          </cell>
          <cell r="G5510" t="str">
            <v>Presupuesto</v>
          </cell>
        </row>
        <row r="5511">
          <cell r="A5511" t="str">
            <v>EUROMEX</v>
          </cell>
          <cell r="B5511">
            <v>202501</v>
          </cell>
          <cell r="D5511" t="str">
            <v>Crédito Nacional</v>
          </cell>
          <cell r="G5511" t="str">
            <v>Real</v>
          </cell>
        </row>
        <row r="5512">
          <cell r="A5512" t="str">
            <v>EUROMEX</v>
          </cell>
          <cell r="B5512">
            <v>202501</v>
          </cell>
          <cell r="D5512" t="str">
            <v>Crédito Internacional</v>
          </cell>
          <cell r="G5512" t="str">
            <v>Presupuesto</v>
          </cell>
        </row>
        <row r="5513">
          <cell r="A5513" t="str">
            <v>EUROMEX</v>
          </cell>
          <cell r="B5513">
            <v>202501</v>
          </cell>
          <cell r="D5513" t="str">
            <v>Crédito Nacional</v>
          </cell>
          <cell r="G5513" t="str">
            <v>Presupuesto</v>
          </cell>
        </row>
        <row r="5514">
          <cell r="A5514" t="str">
            <v>EUROMEX</v>
          </cell>
          <cell r="B5514">
            <v>202501</v>
          </cell>
          <cell r="D5514" t="str">
            <v>Eventos</v>
          </cell>
          <cell r="G5514" t="str">
            <v>Presupuesto</v>
          </cell>
        </row>
        <row r="5515">
          <cell r="A5515" t="str">
            <v>EUROMEX</v>
          </cell>
          <cell r="B5515">
            <v>202501</v>
          </cell>
          <cell r="D5515" t="str">
            <v>Flotas</v>
          </cell>
          <cell r="G5515" t="str">
            <v>Presupuesto</v>
          </cell>
        </row>
        <row r="5516">
          <cell r="A5516" t="str">
            <v>EUROMEX</v>
          </cell>
          <cell r="B5516">
            <v>202501</v>
          </cell>
          <cell r="D5516" t="str">
            <v>Hogar</v>
          </cell>
          <cell r="G5516" t="str">
            <v>Presupuesto</v>
          </cell>
        </row>
        <row r="5517">
          <cell r="A5517" t="str">
            <v>EUROMEX</v>
          </cell>
          <cell r="B5517">
            <v>202501</v>
          </cell>
          <cell r="D5517" t="str">
            <v>Hogar</v>
          </cell>
          <cell r="G5517" t="str">
            <v>Real</v>
          </cell>
        </row>
        <row r="5518">
          <cell r="A5518" t="str">
            <v>EUROMEX</v>
          </cell>
          <cell r="B5518">
            <v>202501</v>
          </cell>
          <cell r="D5518" t="str">
            <v>Ingeniería</v>
          </cell>
          <cell r="G5518" t="str">
            <v>Presupuesto</v>
          </cell>
        </row>
        <row r="5519">
          <cell r="A5519" t="str">
            <v>EUROMEX</v>
          </cell>
          <cell r="B5519">
            <v>202501</v>
          </cell>
          <cell r="D5519" t="str">
            <v>Ingeniería</v>
          </cell>
          <cell r="G5519" t="str">
            <v>Real</v>
          </cell>
        </row>
        <row r="5520">
          <cell r="A5520" t="str">
            <v>EUROMEX</v>
          </cell>
          <cell r="B5520">
            <v>202501</v>
          </cell>
          <cell r="D5520" t="str">
            <v>Inmobiliario</v>
          </cell>
          <cell r="G5520" t="str">
            <v>Presupuesto</v>
          </cell>
        </row>
        <row r="5521">
          <cell r="A5521" t="str">
            <v>EUROMEX</v>
          </cell>
          <cell r="B5521">
            <v>202501</v>
          </cell>
          <cell r="D5521" t="str">
            <v>Líneas Financieras</v>
          </cell>
          <cell r="G5521" t="str">
            <v>Presupuesto</v>
          </cell>
        </row>
        <row r="5522">
          <cell r="A5522" t="str">
            <v>EUROMEX</v>
          </cell>
          <cell r="B5522">
            <v>202501</v>
          </cell>
          <cell r="D5522" t="str">
            <v>Náutica</v>
          </cell>
          <cell r="G5522" t="str">
            <v>Presupuesto</v>
          </cell>
        </row>
        <row r="5523">
          <cell r="A5523" t="str">
            <v>EUROMEX</v>
          </cell>
          <cell r="B5523">
            <v>202501</v>
          </cell>
          <cell r="D5523" t="str">
            <v>Particulares Resto</v>
          </cell>
          <cell r="G5523" t="str">
            <v>Presupuesto</v>
          </cell>
        </row>
        <row r="5524">
          <cell r="A5524" t="str">
            <v>EUROMEX</v>
          </cell>
          <cell r="B5524">
            <v>202501</v>
          </cell>
          <cell r="D5524" t="str">
            <v>Particulares Resto</v>
          </cell>
          <cell r="G5524" t="str">
            <v>Real</v>
          </cell>
        </row>
        <row r="5525">
          <cell r="A5525" t="str">
            <v>EUROMEX</v>
          </cell>
          <cell r="B5525">
            <v>202501</v>
          </cell>
          <cell r="D5525" t="str">
            <v>Property</v>
          </cell>
          <cell r="G5525" t="str">
            <v>Presupuesto</v>
          </cell>
        </row>
        <row r="5526">
          <cell r="A5526" t="str">
            <v>EUROMEX</v>
          </cell>
          <cell r="B5526">
            <v>202501</v>
          </cell>
          <cell r="D5526" t="str">
            <v>Property</v>
          </cell>
          <cell r="G5526" t="str">
            <v>Real</v>
          </cell>
        </row>
        <row r="5527">
          <cell r="A5527" t="str">
            <v>EUROMEX</v>
          </cell>
          <cell r="B5527">
            <v>202501</v>
          </cell>
          <cell r="D5527" t="str">
            <v>RC</v>
          </cell>
          <cell r="G5527" t="str">
            <v>Presupuesto</v>
          </cell>
        </row>
        <row r="5528">
          <cell r="A5528" t="str">
            <v>EUROMEX</v>
          </cell>
          <cell r="B5528">
            <v>202501</v>
          </cell>
          <cell r="D5528" t="str">
            <v>RC</v>
          </cell>
          <cell r="G5528" t="str">
            <v>Real</v>
          </cell>
        </row>
        <row r="5529">
          <cell r="A5529" t="str">
            <v>EUROMEX</v>
          </cell>
          <cell r="B5529">
            <v>202501</v>
          </cell>
          <cell r="D5529" t="str">
            <v>Resto de lineas</v>
          </cell>
          <cell r="G5529" t="str">
            <v>Presupuesto</v>
          </cell>
        </row>
        <row r="5530">
          <cell r="A5530" t="str">
            <v>EUROMEX</v>
          </cell>
          <cell r="B5530">
            <v>202501</v>
          </cell>
          <cell r="D5530" t="str">
            <v>Retirada</v>
          </cell>
          <cell r="G5530" t="str">
            <v>Presupuesto</v>
          </cell>
        </row>
        <row r="5531">
          <cell r="A5531" t="str">
            <v>EUROMEX</v>
          </cell>
          <cell r="B5531">
            <v>202501</v>
          </cell>
          <cell r="D5531" t="str">
            <v>Seguros Personales (No Vida) Colectivos</v>
          </cell>
          <cell r="G5531" t="str">
            <v>Presupuesto</v>
          </cell>
        </row>
        <row r="5532">
          <cell r="A5532" t="str">
            <v>EUROMEX</v>
          </cell>
          <cell r="B5532">
            <v>202501</v>
          </cell>
          <cell r="D5532" t="str">
            <v>Seguros Personales (No Vida) Colectivos</v>
          </cell>
          <cell r="G5532" t="str">
            <v>Real</v>
          </cell>
        </row>
        <row r="5533">
          <cell r="A5533" t="str">
            <v>EUROMEX</v>
          </cell>
          <cell r="B5533">
            <v>202501</v>
          </cell>
          <cell r="D5533" t="str">
            <v>Seguros Personales (No Vida) Particular</v>
          </cell>
          <cell r="G5533" t="str">
            <v>Presupuesto</v>
          </cell>
        </row>
        <row r="5534">
          <cell r="A5534" t="str">
            <v>EUROMEX</v>
          </cell>
          <cell r="B5534">
            <v>202501</v>
          </cell>
          <cell r="D5534" t="str">
            <v>Seguros Personales (No Vida) Particular</v>
          </cell>
          <cell r="G5534" t="str">
            <v>Real</v>
          </cell>
        </row>
        <row r="5535">
          <cell r="A5535" t="str">
            <v>EUROMEX</v>
          </cell>
          <cell r="B5535">
            <v>202501</v>
          </cell>
          <cell r="D5535" t="str">
            <v>Transporte</v>
          </cell>
          <cell r="G5535" t="str">
            <v>Presupuesto</v>
          </cell>
        </row>
        <row r="5536">
          <cell r="A5536" t="str">
            <v>EUROMEX</v>
          </cell>
          <cell r="B5536">
            <v>202501</v>
          </cell>
          <cell r="D5536" t="str">
            <v>Transporte</v>
          </cell>
          <cell r="G5536" t="str">
            <v>Real</v>
          </cell>
        </row>
        <row r="5537">
          <cell r="A5537" t="str">
            <v>EUROMEX</v>
          </cell>
          <cell r="B5537">
            <v>202501</v>
          </cell>
          <cell r="D5537" t="str">
            <v>Venta Cruzada</v>
          </cell>
          <cell r="G5537" t="str">
            <v>Presupuesto</v>
          </cell>
        </row>
        <row r="5538">
          <cell r="A5538" t="str">
            <v>EUROMEX</v>
          </cell>
          <cell r="B5538">
            <v>202501</v>
          </cell>
          <cell r="D5538" t="str">
            <v>Vida Ahorro Colectivo</v>
          </cell>
          <cell r="G5538" t="str">
            <v>Presupuesto</v>
          </cell>
        </row>
        <row r="5539">
          <cell r="A5539" t="str">
            <v>EUROMEX</v>
          </cell>
          <cell r="B5539">
            <v>202501</v>
          </cell>
          <cell r="D5539" t="str">
            <v>Vida Ahorro Particular</v>
          </cell>
          <cell r="G5539" t="str">
            <v>Presupuesto</v>
          </cell>
        </row>
        <row r="5540">
          <cell r="A5540" t="str">
            <v>EUROMEX</v>
          </cell>
          <cell r="B5540">
            <v>202501</v>
          </cell>
          <cell r="D5540" t="str">
            <v>Vida Ahorro Particular</v>
          </cell>
          <cell r="G5540" t="str">
            <v>Real</v>
          </cell>
        </row>
        <row r="5541">
          <cell r="A5541" t="str">
            <v>EUROMEX</v>
          </cell>
          <cell r="B5541">
            <v>202501</v>
          </cell>
          <cell r="D5541" t="str">
            <v>Vida Ganado</v>
          </cell>
          <cell r="G5541" t="str">
            <v>Presupuesto</v>
          </cell>
        </row>
        <row r="5542">
          <cell r="A5542" t="str">
            <v>EUROMEX</v>
          </cell>
          <cell r="B5542">
            <v>202501</v>
          </cell>
          <cell r="D5542" t="str">
            <v>Vida Riesgo Colectivo</v>
          </cell>
          <cell r="G5542" t="str">
            <v>Presupuesto</v>
          </cell>
        </row>
        <row r="5543">
          <cell r="A5543" t="str">
            <v>EUROMEX</v>
          </cell>
          <cell r="B5543">
            <v>202501</v>
          </cell>
          <cell r="D5543" t="str">
            <v>Vida Riesgo Particular</v>
          </cell>
          <cell r="G5543" t="str">
            <v>Presupuesto</v>
          </cell>
        </row>
        <row r="5544">
          <cell r="A5544" t="str">
            <v>EUROMEX</v>
          </cell>
          <cell r="B5544">
            <v>202501</v>
          </cell>
          <cell r="D5544" t="str">
            <v>Vida Riesgo Particular</v>
          </cell>
          <cell r="G5544" t="str">
            <v>Real</v>
          </cell>
        </row>
        <row r="5545">
          <cell r="A5545" t="str">
            <v>EUROMEX</v>
          </cell>
          <cell r="B5545">
            <v>202502</v>
          </cell>
          <cell r="D5545" t="str">
            <v>--</v>
          </cell>
          <cell r="G5545" t="str">
            <v>Presupuesto</v>
          </cell>
        </row>
        <row r="5546">
          <cell r="A5546" t="str">
            <v>EUROMEX</v>
          </cell>
          <cell r="B5546">
            <v>202502</v>
          </cell>
          <cell r="D5546" t="str">
            <v>--</v>
          </cell>
          <cell r="G5546" t="str">
            <v>Real</v>
          </cell>
        </row>
        <row r="5547">
          <cell r="A5547" t="str">
            <v>EUROMEX</v>
          </cell>
          <cell r="B5547">
            <v>202502</v>
          </cell>
          <cell r="D5547" t="str">
            <v>Arte</v>
          </cell>
          <cell r="G5547" t="str">
            <v>Presupuesto</v>
          </cell>
        </row>
        <row r="5548">
          <cell r="A5548" t="str">
            <v>EUROMEX</v>
          </cell>
          <cell r="B5548">
            <v>202502</v>
          </cell>
          <cell r="D5548" t="str">
            <v>Autos</v>
          </cell>
          <cell r="G5548" t="str">
            <v>Presupuesto</v>
          </cell>
        </row>
        <row r="5549">
          <cell r="A5549" t="str">
            <v>EUROMEX</v>
          </cell>
          <cell r="B5549">
            <v>202502</v>
          </cell>
          <cell r="D5549" t="str">
            <v>Autos</v>
          </cell>
          <cell r="G5549" t="str">
            <v>Real</v>
          </cell>
        </row>
        <row r="5550">
          <cell r="A5550" t="str">
            <v>EUROMEX</v>
          </cell>
          <cell r="B5550">
            <v>202502</v>
          </cell>
          <cell r="D5550" t="str">
            <v>B2B2C</v>
          </cell>
          <cell r="G5550" t="str">
            <v>Presupuesto</v>
          </cell>
        </row>
        <row r="5551">
          <cell r="A5551" t="str">
            <v>EUROMEX</v>
          </cell>
          <cell r="B5551">
            <v>202502</v>
          </cell>
          <cell r="D5551" t="str">
            <v>Caución</v>
          </cell>
          <cell r="G5551" t="str">
            <v>Presupuesto</v>
          </cell>
        </row>
        <row r="5552">
          <cell r="A5552" t="str">
            <v>EUROMEX</v>
          </cell>
          <cell r="B5552">
            <v>202502</v>
          </cell>
          <cell r="D5552" t="str">
            <v>Crédito Nacional</v>
          </cell>
          <cell r="G5552" t="str">
            <v>Real</v>
          </cell>
        </row>
        <row r="5553">
          <cell r="A5553" t="str">
            <v>EUROMEX</v>
          </cell>
          <cell r="B5553">
            <v>202502</v>
          </cell>
          <cell r="D5553" t="str">
            <v>Crédito Internacional</v>
          </cell>
          <cell r="G5553" t="str">
            <v>Presupuesto</v>
          </cell>
        </row>
        <row r="5554">
          <cell r="A5554" t="str">
            <v>EUROMEX</v>
          </cell>
          <cell r="B5554">
            <v>202502</v>
          </cell>
          <cell r="D5554" t="str">
            <v>Crédito Nacional</v>
          </cell>
          <cell r="G5554" t="str">
            <v>Presupuesto</v>
          </cell>
        </row>
        <row r="5555">
          <cell r="A5555" t="str">
            <v>EUROMEX</v>
          </cell>
          <cell r="B5555">
            <v>202502</v>
          </cell>
          <cell r="D5555" t="str">
            <v>Eventos</v>
          </cell>
          <cell r="G5555" t="str">
            <v>Presupuesto</v>
          </cell>
        </row>
        <row r="5556">
          <cell r="A5556" t="str">
            <v>EUROMEX</v>
          </cell>
          <cell r="B5556">
            <v>202502</v>
          </cell>
          <cell r="D5556" t="str">
            <v>Flotas</v>
          </cell>
          <cell r="G5556" t="str">
            <v>Presupuesto</v>
          </cell>
        </row>
        <row r="5557">
          <cell r="A5557" t="str">
            <v>EUROMEX</v>
          </cell>
          <cell r="B5557">
            <v>202502</v>
          </cell>
          <cell r="D5557" t="str">
            <v>Hogar</v>
          </cell>
          <cell r="G5557" t="str">
            <v>Presupuesto</v>
          </cell>
        </row>
        <row r="5558">
          <cell r="A5558" t="str">
            <v>EUROMEX</v>
          </cell>
          <cell r="B5558">
            <v>202502</v>
          </cell>
          <cell r="D5558" t="str">
            <v>Hogar</v>
          </cell>
          <cell r="G5558" t="str">
            <v>Real</v>
          </cell>
        </row>
        <row r="5559">
          <cell r="A5559" t="str">
            <v>EUROMEX</v>
          </cell>
          <cell r="B5559">
            <v>202502</v>
          </cell>
          <cell r="D5559" t="str">
            <v>Ingeniería</v>
          </cell>
          <cell r="G5559" t="str">
            <v>Presupuesto</v>
          </cell>
        </row>
        <row r="5560">
          <cell r="A5560" t="str">
            <v>EUROMEX</v>
          </cell>
          <cell r="B5560">
            <v>202502</v>
          </cell>
          <cell r="D5560" t="str">
            <v>Ingeniería</v>
          </cell>
          <cell r="G5560" t="str">
            <v>Real</v>
          </cell>
        </row>
        <row r="5561">
          <cell r="A5561" t="str">
            <v>EUROMEX</v>
          </cell>
          <cell r="B5561">
            <v>202502</v>
          </cell>
          <cell r="D5561" t="str">
            <v>Inmobiliario</v>
          </cell>
          <cell r="G5561" t="str">
            <v>Presupuesto</v>
          </cell>
        </row>
        <row r="5562">
          <cell r="A5562" t="str">
            <v>EUROMEX</v>
          </cell>
          <cell r="B5562">
            <v>202502</v>
          </cell>
          <cell r="D5562" t="str">
            <v>Líneas Financieras</v>
          </cell>
          <cell r="G5562" t="str">
            <v>Presupuesto</v>
          </cell>
        </row>
        <row r="5563">
          <cell r="A5563" t="str">
            <v>EUROMEX</v>
          </cell>
          <cell r="B5563">
            <v>202502</v>
          </cell>
          <cell r="D5563" t="str">
            <v>Náutica</v>
          </cell>
          <cell r="G5563" t="str">
            <v>Presupuesto</v>
          </cell>
        </row>
        <row r="5564">
          <cell r="A5564" t="str">
            <v>EUROMEX</v>
          </cell>
          <cell r="B5564">
            <v>202502</v>
          </cell>
          <cell r="D5564" t="str">
            <v>Particulares Resto</v>
          </cell>
          <cell r="G5564" t="str">
            <v>Presupuesto</v>
          </cell>
        </row>
        <row r="5565">
          <cell r="A5565" t="str">
            <v>EUROMEX</v>
          </cell>
          <cell r="B5565">
            <v>202502</v>
          </cell>
          <cell r="D5565" t="str">
            <v>Particulares Resto</v>
          </cell>
          <cell r="G5565" t="str">
            <v>Real</v>
          </cell>
        </row>
        <row r="5566">
          <cell r="A5566" t="str">
            <v>EUROMEX</v>
          </cell>
          <cell r="B5566">
            <v>202502</v>
          </cell>
          <cell r="D5566" t="str">
            <v>Property</v>
          </cell>
          <cell r="G5566" t="str">
            <v>Presupuesto</v>
          </cell>
        </row>
        <row r="5567">
          <cell r="A5567" t="str">
            <v>EUROMEX</v>
          </cell>
          <cell r="B5567">
            <v>202502</v>
          </cell>
          <cell r="D5567" t="str">
            <v>Property</v>
          </cell>
          <cell r="G5567" t="str">
            <v>Real</v>
          </cell>
        </row>
        <row r="5568">
          <cell r="A5568" t="str">
            <v>EUROMEX</v>
          </cell>
          <cell r="B5568">
            <v>202502</v>
          </cell>
          <cell r="D5568" t="str">
            <v>RC</v>
          </cell>
          <cell r="G5568" t="str">
            <v>Presupuesto</v>
          </cell>
        </row>
        <row r="5569">
          <cell r="A5569" t="str">
            <v>EUROMEX</v>
          </cell>
          <cell r="B5569">
            <v>202502</v>
          </cell>
          <cell r="D5569" t="str">
            <v>RC</v>
          </cell>
          <cell r="G5569" t="str">
            <v>Real</v>
          </cell>
        </row>
        <row r="5570">
          <cell r="A5570" t="str">
            <v>EUROMEX</v>
          </cell>
          <cell r="B5570">
            <v>202502</v>
          </cell>
          <cell r="D5570" t="str">
            <v>Resto de lineas</v>
          </cell>
          <cell r="G5570" t="str">
            <v>Presupuesto</v>
          </cell>
        </row>
        <row r="5571">
          <cell r="A5571" t="str">
            <v>EUROMEX</v>
          </cell>
          <cell r="B5571">
            <v>202502</v>
          </cell>
          <cell r="D5571" t="str">
            <v>Retirada</v>
          </cell>
          <cell r="G5571" t="str">
            <v>Presupuesto</v>
          </cell>
        </row>
        <row r="5572">
          <cell r="A5572" t="str">
            <v>EUROMEX</v>
          </cell>
          <cell r="B5572">
            <v>202502</v>
          </cell>
          <cell r="D5572" t="str">
            <v>Seguros Personales (No Vida) Colectivos</v>
          </cell>
          <cell r="G5572" t="str">
            <v>Presupuesto</v>
          </cell>
        </row>
        <row r="5573">
          <cell r="A5573" t="str">
            <v>EUROMEX</v>
          </cell>
          <cell r="B5573">
            <v>202502</v>
          </cell>
          <cell r="D5573" t="str">
            <v>Seguros Personales (No Vida) Colectivos</v>
          </cell>
          <cell r="G5573" t="str">
            <v>Real</v>
          </cell>
        </row>
        <row r="5574">
          <cell r="A5574" t="str">
            <v>EUROMEX</v>
          </cell>
          <cell r="B5574">
            <v>202502</v>
          </cell>
          <cell r="D5574" t="str">
            <v>Seguros Personales (No Vida) Particular</v>
          </cell>
          <cell r="G5574" t="str">
            <v>Presupuesto</v>
          </cell>
        </row>
        <row r="5575">
          <cell r="A5575" t="str">
            <v>EUROMEX</v>
          </cell>
          <cell r="B5575">
            <v>202502</v>
          </cell>
          <cell r="D5575" t="str">
            <v>Seguros Personales (No Vida) Particular</v>
          </cell>
          <cell r="G5575" t="str">
            <v>Real</v>
          </cell>
        </row>
        <row r="5576">
          <cell r="A5576" t="str">
            <v>EUROMEX</v>
          </cell>
          <cell r="B5576">
            <v>202502</v>
          </cell>
          <cell r="D5576" t="str">
            <v>Transporte</v>
          </cell>
          <cell r="G5576" t="str">
            <v>Presupuesto</v>
          </cell>
        </row>
        <row r="5577">
          <cell r="A5577" t="str">
            <v>EUROMEX</v>
          </cell>
          <cell r="B5577">
            <v>202502</v>
          </cell>
          <cell r="D5577" t="str">
            <v>Transporte</v>
          </cell>
          <cell r="G5577" t="str">
            <v>Real</v>
          </cell>
        </row>
        <row r="5578">
          <cell r="A5578" t="str">
            <v>EUROMEX</v>
          </cell>
          <cell r="B5578">
            <v>202502</v>
          </cell>
          <cell r="D5578" t="str">
            <v>Venta Cruzada</v>
          </cell>
          <cell r="G5578" t="str">
            <v>Presupuesto</v>
          </cell>
        </row>
        <row r="5579">
          <cell r="A5579" t="str">
            <v>EUROMEX</v>
          </cell>
          <cell r="B5579">
            <v>202502</v>
          </cell>
          <cell r="D5579" t="str">
            <v>Vida Ahorro Colectivo</v>
          </cell>
          <cell r="G5579" t="str">
            <v>Presupuesto</v>
          </cell>
        </row>
        <row r="5580">
          <cell r="A5580" t="str">
            <v>EUROMEX</v>
          </cell>
          <cell r="B5580">
            <v>202502</v>
          </cell>
          <cell r="D5580" t="str">
            <v>Vida Ahorro Particular</v>
          </cell>
          <cell r="G5580" t="str">
            <v>Presupuesto</v>
          </cell>
        </row>
        <row r="5581">
          <cell r="A5581" t="str">
            <v>EUROMEX</v>
          </cell>
          <cell r="B5581">
            <v>202502</v>
          </cell>
          <cell r="D5581" t="str">
            <v>Vida Ahorro Particular</v>
          </cell>
          <cell r="G5581" t="str">
            <v>Real</v>
          </cell>
        </row>
        <row r="5582">
          <cell r="A5582" t="str">
            <v>EUROMEX</v>
          </cell>
          <cell r="B5582">
            <v>202502</v>
          </cell>
          <cell r="D5582" t="str">
            <v>Vida Ganado</v>
          </cell>
          <cell r="G5582" t="str">
            <v>Presupuesto</v>
          </cell>
        </row>
        <row r="5583">
          <cell r="A5583" t="str">
            <v>EUROMEX</v>
          </cell>
          <cell r="B5583">
            <v>202502</v>
          </cell>
          <cell r="D5583" t="str">
            <v>Vida Riesgo Colectivo</v>
          </cell>
          <cell r="G5583" t="str">
            <v>Presupuesto</v>
          </cell>
        </row>
        <row r="5584">
          <cell r="A5584" t="str">
            <v>EUROMEX</v>
          </cell>
          <cell r="B5584">
            <v>202502</v>
          </cell>
          <cell r="D5584" t="str">
            <v>Vida Riesgo Particular</v>
          </cell>
          <cell r="G5584" t="str">
            <v>Presupuesto</v>
          </cell>
        </row>
        <row r="5585">
          <cell r="A5585" t="str">
            <v>EUROMEX</v>
          </cell>
          <cell r="B5585">
            <v>202502</v>
          </cell>
          <cell r="D5585" t="str">
            <v>Vida Riesgo Particular</v>
          </cell>
          <cell r="G5585" t="str">
            <v>Real</v>
          </cell>
        </row>
        <row r="5586">
          <cell r="A5586" t="str">
            <v>EUROMEX</v>
          </cell>
          <cell r="B5586">
            <v>202503</v>
          </cell>
          <cell r="D5586" t="str">
            <v>--</v>
          </cell>
          <cell r="G5586" t="str">
            <v>Presupuesto</v>
          </cell>
        </row>
        <row r="5587">
          <cell r="A5587" t="str">
            <v>EUROMEX</v>
          </cell>
          <cell r="B5587">
            <v>202503</v>
          </cell>
          <cell r="D5587" t="str">
            <v>--</v>
          </cell>
          <cell r="G5587" t="str">
            <v>Real</v>
          </cell>
        </row>
        <row r="5588">
          <cell r="A5588" t="str">
            <v>EUROMEX</v>
          </cell>
          <cell r="B5588">
            <v>202503</v>
          </cell>
          <cell r="D5588" t="str">
            <v>Arte</v>
          </cell>
          <cell r="G5588" t="str">
            <v>Presupuesto</v>
          </cell>
        </row>
        <row r="5589">
          <cell r="A5589" t="str">
            <v>EUROMEX</v>
          </cell>
          <cell r="B5589">
            <v>202503</v>
          </cell>
          <cell r="D5589" t="str">
            <v>Autos</v>
          </cell>
          <cell r="G5589" t="str">
            <v>Presupuesto</v>
          </cell>
        </row>
        <row r="5590">
          <cell r="A5590" t="str">
            <v>EUROMEX</v>
          </cell>
          <cell r="B5590">
            <v>202503</v>
          </cell>
          <cell r="D5590" t="str">
            <v>Autos</v>
          </cell>
          <cell r="G5590" t="str">
            <v>Real</v>
          </cell>
        </row>
        <row r="5591">
          <cell r="A5591" t="str">
            <v>EUROMEX</v>
          </cell>
          <cell r="B5591">
            <v>202503</v>
          </cell>
          <cell r="D5591" t="str">
            <v>B2B2C</v>
          </cell>
          <cell r="G5591" t="str">
            <v>Presupuesto</v>
          </cell>
        </row>
        <row r="5592">
          <cell r="A5592" t="str">
            <v>EUROMEX</v>
          </cell>
          <cell r="B5592">
            <v>202503</v>
          </cell>
          <cell r="D5592" t="str">
            <v>Caución</v>
          </cell>
          <cell r="G5592" t="str">
            <v>Presupuesto</v>
          </cell>
        </row>
        <row r="5593">
          <cell r="A5593" t="str">
            <v>EUROMEX</v>
          </cell>
          <cell r="B5593">
            <v>202503</v>
          </cell>
          <cell r="D5593" t="str">
            <v>Crédito Nacional</v>
          </cell>
          <cell r="G5593" t="str">
            <v>Real</v>
          </cell>
        </row>
        <row r="5594">
          <cell r="A5594" t="str">
            <v>EUROMEX</v>
          </cell>
          <cell r="B5594">
            <v>202503</v>
          </cell>
          <cell r="D5594" t="str">
            <v>Crédito Internacional</v>
          </cell>
          <cell r="G5594" t="str">
            <v>Presupuesto</v>
          </cell>
        </row>
        <row r="5595">
          <cell r="A5595" t="str">
            <v>EUROMEX</v>
          </cell>
          <cell r="B5595">
            <v>202503</v>
          </cell>
          <cell r="D5595" t="str">
            <v>Crédito Nacional</v>
          </cell>
          <cell r="G5595" t="str">
            <v>Presupuesto</v>
          </cell>
        </row>
        <row r="5596">
          <cell r="A5596" t="str">
            <v>EUROMEX</v>
          </cell>
          <cell r="B5596">
            <v>202503</v>
          </cell>
          <cell r="D5596" t="str">
            <v>Eventos</v>
          </cell>
          <cell r="G5596" t="str">
            <v>Presupuesto</v>
          </cell>
        </row>
        <row r="5597">
          <cell r="A5597" t="str">
            <v>EUROMEX</v>
          </cell>
          <cell r="B5597">
            <v>202503</v>
          </cell>
          <cell r="D5597" t="str">
            <v>Flotas</v>
          </cell>
          <cell r="G5597" t="str">
            <v>Presupuesto</v>
          </cell>
        </row>
        <row r="5598">
          <cell r="A5598" t="str">
            <v>EUROMEX</v>
          </cell>
          <cell r="B5598">
            <v>202503</v>
          </cell>
          <cell r="D5598" t="str">
            <v>Flotas</v>
          </cell>
          <cell r="G5598" t="str">
            <v>Real</v>
          </cell>
        </row>
        <row r="5599">
          <cell r="A5599" t="str">
            <v>EUROMEX</v>
          </cell>
          <cell r="B5599">
            <v>202503</v>
          </cell>
          <cell r="D5599" t="str">
            <v>Hogar</v>
          </cell>
          <cell r="G5599" t="str">
            <v>Presupuesto</v>
          </cell>
        </row>
        <row r="5600">
          <cell r="A5600" t="str">
            <v>EUROMEX</v>
          </cell>
          <cell r="B5600">
            <v>202503</v>
          </cell>
          <cell r="D5600" t="str">
            <v>Hogar</v>
          </cell>
          <cell r="G5600" t="str">
            <v>Real</v>
          </cell>
        </row>
        <row r="5601">
          <cell r="A5601" t="str">
            <v>EUROMEX</v>
          </cell>
          <cell r="B5601">
            <v>202503</v>
          </cell>
          <cell r="D5601" t="str">
            <v>Ingeniería</v>
          </cell>
          <cell r="G5601" t="str">
            <v>Presupuesto</v>
          </cell>
        </row>
        <row r="5602">
          <cell r="A5602" t="str">
            <v>EUROMEX</v>
          </cell>
          <cell r="B5602">
            <v>202503</v>
          </cell>
          <cell r="D5602" t="str">
            <v>Ingeniería</v>
          </cell>
          <cell r="G5602" t="str">
            <v>Real</v>
          </cell>
        </row>
        <row r="5603">
          <cell r="A5603" t="str">
            <v>EUROMEX</v>
          </cell>
          <cell r="B5603">
            <v>202503</v>
          </cell>
          <cell r="D5603" t="str">
            <v>Inmobiliario</v>
          </cell>
          <cell r="G5603" t="str">
            <v>Presupuesto</v>
          </cell>
        </row>
        <row r="5604">
          <cell r="A5604" t="str">
            <v>EUROMEX</v>
          </cell>
          <cell r="B5604">
            <v>202503</v>
          </cell>
          <cell r="D5604" t="str">
            <v>Líneas Financieras</v>
          </cell>
          <cell r="G5604" t="str">
            <v>Presupuesto</v>
          </cell>
        </row>
        <row r="5605">
          <cell r="A5605" t="str">
            <v>EUROMEX</v>
          </cell>
          <cell r="B5605">
            <v>202503</v>
          </cell>
          <cell r="D5605" t="str">
            <v>Líneas Financieras</v>
          </cell>
          <cell r="G5605" t="str">
            <v>Real</v>
          </cell>
        </row>
        <row r="5606">
          <cell r="A5606" t="str">
            <v>EUROMEX</v>
          </cell>
          <cell r="B5606">
            <v>202503</v>
          </cell>
          <cell r="D5606" t="str">
            <v>Náutica</v>
          </cell>
          <cell r="G5606" t="str">
            <v>Presupuesto</v>
          </cell>
        </row>
        <row r="5607">
          <cell r="A5607" t="str">
            <v>EUROMEX</v>
          </cell>
          <cell r="B5607">
            <v>202503</v>
          </cell>
          <cell r="D5607" t="str">
            <v>Particulares Resto</v>
          </cell>
          <cell r="G5607" t="str">
            <v>Presupuesto</v>
          </cell>
        </row>
        <row r="5608">
          <cell r="A5608" t="str">
            <v>EUROMEX</v>
          </cell>
          <cell r="B5608">
            <v>202503</v>
          </cell>
          <cell r="D5608" t="str">
            <v>Particulares Resto</v>
          </cell>
          <cell r="G5608" t="str">
            <v>Real</v>
          </cell>
        </row>
        <row r="5609">
          <cell r="A5609" t="str">
            <v>EUROMEX</v>
          </cell>
          <cell r="B5609">
            <v>202503</v>
          </cell>
          <cell r="D5609" t="str">
            <v>Property</v>
          </cell>
          <cell r="G5609" t="str">
            <v>Presupuesto</v>
          </cell>
        </row>
        <row r="5610">
          <cell r="A5610" t="str">
            <v>EUROMEX</v>
          </cell>
          <cell r="B5610">
            <v>202503</v>
          </cell>
          <cell r="D5610" t="str">
            <v>Property</v>
          </cell>
          <cell r="G5610" t="str">
            <v>Real</v>
          </cell>
        </row>
        <row r="5611">
          <cell r="A5611" t="str">
            <v>EUROMEX</v>
          </cell>
          <cell r="B5611">
            <v>202503</v>
          </cell>
          <cell r="D5611" t="str">
            <v>RC</v>
          </cell>
          <cell r="G5611" t="str">
            <v>Presupuesto</v>
          </cell>
        </row>
        <row r="5612">
          <cell r="A5612" t="str">
            <v>EUROMEX</v>
          </cell>
          <cell r="B5612">
            <v>202503</v>
          </cell>
          <cell r="D5612" t="str">
            <v>RC</v>
          </cell>
          <cell r="G5612" t="str">
            <v>Real</v>
          </cell>
        </row>
        <row r="5613">
          <cell r="A5613" t="str">
            <v>EUROMEX</v>
          </cell>
          <cell r="B5613">
            <v>202503</v>
          </cell>
          <cell r="D5613" t="str">
            <v>Resto de lineas</v>
          </cell>
          <cell r="G5613" t="str">
            <v>Presupuesto</v>
          </cell>
        </row>
        <row r="5614">
          <cell r="A5614" t="str">
            <v>EUROMEX</v>
          </cell>
          <cell r="B5614">
            <v>202503</v>
          </cell>
          <cell r="D5614" t="str">
            <v>Retirada</v>
          </cell>
          <cell r="G5614" t="str">
            <v>Presupuesto</v>
          </cell>
        </row>
        <row r="5615">
          <cell r="A5615" t="str">
            <v>EUROMEX</v>
          </cell>
          <cell r="B5615">
            <v>202503</v>
          </cell>
          <cell r="D5615" t="str">
            <v>Seguros Personales (No Vida) Colectivos</v>
          </cell>
          <cell r="G5615" t="str">
            <v>Presupuesto</v>
          </cell>
        </row>
        <row r="5616">
          <cell r="A5616" t="str">
            <v>EUROMEX</v>
          </cell>
          <cell r="B5616">
            <v>202503</v>
          </cell>
          <cell r="D5616" t="str">
            <v>Seguros Personales (No Vida) Colectivos</v>
          </cell>
          <cell r="G5616" t="str">
            <v>Real</v>
          </cell>
        </row>
        <row r="5617">
          <cell r="A5617" t="str">
            <v>EUROMEX</v>
          </cell>
          <cell r="B5617">
            <v>202503</v>
          </cell>
          <cell r="D5617" t="str">
            <v>Seguros Personales (No Vida) Particular</v>
          </cell>
          <cell r="G5617" t="str">
            <v>Presupuesto</v>
          </cell>
        </row>
        <row r="5618">
          <cell r="A5618" t="str">
            <v>EUROMEX</v>
          </cell>
          <cell r="B5618">
            <v>202503</v>
          </cell>
          <cell r="D5618" t="str">
            <v>Seguros Personales (No Vida) Particular</v>
          </cell>
          <cell r="G5618" t="str">
            <v>Real</v>
          </cell>
        </row>
        <row r="5619">
          <cell r="A5619" t="str">
            <v>EUROMEX</v>
          </cell>
          <cell r="B5619">
            <v>202503</v>
          </cell>
          <cell r="D5619" t="str">
            <v>Transporte</v>
          </cell>
          <cell r="G5619" t="str">
            <v>Presupuesto</v>
          </cell>
        </row>
        <row r="5620">
          <cell r="A5620" t="str">
            <v>EUROMEX</v>
          </cell>
          <cell r="B5620">
            <v>202503</v>
          </cell>
          <cell r="D5620" t="str">
            <v>Transporte</v>
          </cell>
          <cell r="G5620" t="str">
            <v>Real</v>
          </cell>
        </row>
        <row r="5621">
          <cell r="A5621" t="str">
            <v>EUROMEX</v>
          </cell>
          <cell r="B5621">
            <v>202503</v>
          </cell>
          <cell r="D5621" t="str">
            <v>Venta Cruzada</v>
          </cell>
          <cell r="G5621" t="str">
            <v>Presupuesto</v>
          </cell>
        </row>
        <row r="5622">
          <cell r="A5622" t="str">
            <v>EUROMEX</v>
          </cell>
          <cell r="B5622">
            <v>202503</v>
          </cell>
          <cell r="D5622" t="str">
            <v>Vida Ahorro Colectivo</v>
          </cell>
          <cell r="G5622" t="str">
            <v>Presupuesto</v>
          </cell>
        </row>
        <row r="5623">
          <cell r="A5623" t="str">
            <v>EUROMEX</v>
          </cell>
          <cell r="B5623">
            <v>202503</v>
          </cell>
          <cell r="D5623" t="str">
            <v>Vida Ahorro Particular</v>
          </cell>
          <cell r="G5623" t="str">
            <v>Presupuesto</v>
          </cell>
        </row>
        <row r="5624">
          <cell r="A5624" t="str">
            <v>EUROMEX</v>
          </cell>
          <cell r="B5624">
            <v>202503</v>
          </cell>
          <cell r="D5624" t="str">
            <v>Vida Ahorro Particular</v>
          </cell>
          <cell r="G5624" t="str">
            <v>Real</v>
          </cell>
        </row>
        <row r="5625">
          <cell r="A5625" t="str">
            <v>EUROMEX</v>
          </cell>
          <cell r="B5625">
            <v>202503</v>
          </cell>
          <cell r="D5625" t="str">
            <v>Vida Ganado</v>
          </cell>
          <cell r="G5625" t="str">
            <v>Presupuesto</v>
          </cell>
        </row>
        <row r="5626">
          <cell r="A5626" t="str">
            <v>EUROMEX</v>
          </cell>
          <cell r="B5626">
            <v>202503</v>
          </cell>
          <cell r="D5626" t="str">
            <v>Vida Riesgo Colectivo</v>
          </cell>
          <cell r="G5626" t="str">
            <v>Presupuesto</v>
          </cell>
        </row>
        <row r="5627">
          <cell r="A5627" t="str">
            <v>EUROMEX</v>
          </cell>
          <cell r="B5627">
            <v>202503</v>
          </cell>
          <cell r="D5627" t="str">
            <v>Vida Riesgo Particular</v>
          </cell>
          <cell r="G5627" t="str">
            <v>Presupuesto</v>
          </cell>
        </row>
        <row r="5628">
          <cell r="A5628" t="str">
            <v>EUROMEX</v>
          </cell>
          <cell r="B5628">
            <v>202503</v>
          </cell>
          <cell r="D5628" t="str">
            <v>Vida Riesgo Particular</v>
          </cell>
          <cell r="G5628" t="str">
            <v>Real</v>
          </cell>
        </row>
        <row r="5629">
          <cell r="A5629" t="str">
            <v>EUROMEX</v>
          </cell>
          <cell r="B5629">
            <v>202504</v>
          </cell>
          <cell r="D5629" t="str">
            <v>--</v>
          </cell>
          <cell r="G5629" t="str">
            <v>Presupuesto</v>
          </cell>
        </row>
        <row r="5630">
          <cell r="A5630" t="str">
            <v>EUROMEX</v>
          </cell>
          <cell r="B5630">
            <v>202504</v>
          </cell>
          <cell r="D5630" t="str">
            <v>--</v>
          </cell>
          <cell r="G5630" t="str">
            <v>Real</v>
          </cell>
        </row>
        <row r="5631">
          <cell r="A5631" t="str">
            <v>EUROMEX</v>
          </cell>
          <cell r="B5631">
            <v>202504</v>
          </cell>
          <cell r="D5631" t="str">
            <v>Arte</v>
          </cell>
          <cell r="G5631" t="str">
            <v>Presupuesto</v>
          </cell>
        </row>
        <row r="5632">
          <cell r="A5632" t="str">
            <v>EUROMEX</v>
          </cell>
          <cell r="B5632">
            <v>202504</v>
          </cell>
          <cell r="D5632" t="str">
            <v>Autos</v>
          </cell>
          <cell r="G5632" t="str">
            <v>Presupuesto</v>
          </cell>
        </row>
        <row r="5633">
          <cell r="A5633" t="str">
            <v>EUROMEX</v>
          </cell>
          <cell r="B5633">
            <v>202504</v>
          </cell>
          <cell r="D5633" t="str">
            <v>Autos</v>
          </cell>
          <cell r="G5633" t="str">
            <v>Real</v>
          </cell>
        </row>
        <row r="5634">
          <cell r="A5634" t="str">
            <v>EUROMEX</v>
          </cell>
          <cell r="B5634">
            <v>202504</v>
          </cell>
          <cell r="D5634" t="str">
            <v>B2B2C</v>
          </cell>
          <cell r="G5634" t="str">
            <v>Presupuesto</v>
          </cell>
        </row>
        <row r="5635">
          <cell r="A5635" t="str">
            <v>EUROMEX</v>
          </cell>
          <cell r="B5635">
            <v>202504</v>
          </cell>
          <cell r="D5635" t="str">
            <v>Caución</v>
          </cell>
          <cell r="G5635" t="str">
            <v>Presupuesto</v>
          </cell>
        </row>
        <row r="5636">
          <cell r="A5636" t="str">
            <v>EUROMEX</v>
          </cell>
          <cell r="B5636">
            <v>202504</v>
          </cell>
          <cell r="D5636" t="str">
            <v>Crédito Nacional</v>
          </cell>
          <cell r="G5636" t="str">
            <v>Real</v>
          </cell>
        </row>
        <row r="5637">
          <cell r="A5637" t="str">
            <v>EUROMEX</v>
          </cell>
          <cell r="B5637">
            <v>202504</v>
          </cell>
          <cell r="D5637" t="str">
            <v>Crédito Internacional</v>
          </cell>
          <cell r="G5637" t="str">
            <v>Presupuesto</v>
          </cell>
        </row>
        <row r="5638">
          <cell r="A5638" t="str">
            <v>EUROMEX</v>
          </cell>
          <cell r="B5638">
            <v>202504</v>
          </cell>
          <cell r="D5638" t="str">
            <v>Crédito Nacional</v>
          </cell>
          <cell r="G5638" t="str">
            <v>Presupuesto</v>
          </cell>
        </row>
        <row r="5639">
          <cell r="A5639" t="str">
            <v>EUROMEX</v>
          </cell>
          <cell r="B5639">
            <v>202504</v>
          </cell>
          <cell r="D5639" t="str">
            <v>Eventos</v>
          </cell>
          <cell r="G5639" t="str">
            <v>Presupuesto</v>
          </cell>
        </row>
        <row r="5640">
          <cell r="A5640" t="str">
            <v>EUROMEX</v>
          </cell>
          <cell r="B5640">
            <v>202504</v>
          </cell>
          <cell r="D5640" t="str">
            <v>Flotas</v>
          </cell>
          <cell r="G5640" t="str">
            <v>Presupuesto</v>
          </cell>
        </row>
        <row r="5641">
          <cell r="A5641" t="str">
            <v>EUROMEX</v>
          </cell>
          <cell r="B5641">
            <v>202504</v>
          </cell>
          <cell r="D5641" t="str">
            <v>Flotas</v>
          </cell>
          <cell r="G5641" t="str">
            <v>Real</v>
          </cell>
        </row>
        <row r="5642">
          <cell r="A5642" t="str">
            <v>EUROMEX</v>
          </cell>
          <cell r="B5642">
            <v>202504</v>
          </cell>
          <cell r="D5642" t="str">
            <v>Hogar</v>
          </cell>
          <cell r="G5642" t="str">
            <v>Presupuesto</v>
          </cell>
        </row>
        <row r="5643">
          <cell r="A5643" t="str">
            <v>EUROMEX</v>
          </cell>
          <cell r="B5643">
            <v>202504</v>
          </cell>
          <cell r="D5643" t="str">
            <v>Hogar</v>
          </cell>
          <cell r="G5643" t="str">
            <v>Real</v>
          </cell>
        </row>
        <row r="5644">
          <cell r="A5644" t="str">
            <v>EUROMEX</v>
          </cell>
          <cell r="B5644">
            <v>202504</v>
          </cell>
          <cell r="D5644" t="str">
            <v>Ingeniería</v>
          </cell>
          <cell r="G5644" t="str">
            <v>Presupuesto</v>
          </cell>
        </row>
        <row r="5645">
          <cell r="A5645" t="str">
            <v>EUROMEX</v>
          </cell>
          <cell r="B5645">
            <v>202504</v>
          </cell>
          <cell r="D5645" t="str">
            <v>Ingeniería</v>
          </cell>
          <cell r="G5645" t="str">
            <v>Real</v>
          </cell>
        </row>
        <row r="5646">
          <cell r="A5646" t="str">
            <v>EUROMEX</v>
          </cell>
          <cell r="B5646">
            <v>202504</v>
          </cell>
          <cell r="D5646" t="str">
            <v>Inmobiliario</v>
          </cell>
          <cell r="G5646" t="str">
            <v>Presupuesto</v>
          </cell>
        </row>
        <row r="5647">
          <cell r="A5647" t="str">
            <v>EUROMEX</v>
          </cell>
          <cell r="B5647">
            <v>202504</v>
          </cell>
          <cell r="D5647" t="str">
            <v>Líneas Financieras</v>
          </cell>
          <cell r="G5647" t="str">
            <v>Presupuesto</v>
          </cell>
        </row>
        <row r="5648">
          <cell r="A5648" t="str">
            <v>EUROMEX</v>
          </cell>
          <cell r="B5648">
            <v>202504</v>
          </cell>
          <cell r="D5648" t="str">
            <v>Líneas Financieras</v>
          </cell>
          <cell r="G5648" t="str">
            <v>Real</v>
          </cell>
        </row>
        <row r="5649">
          <cell r="A5649" t="str">
            <v>EUROMEX</v>
          </cell>
          <cell r="B5649">
            <v>202504</v>
          </cell>
          <cell r="D5649" t="str">
            <v>Náutica</v>
          </cell>
          <cell r="G5649" t="str">
            <v>Presupuesto</v>
          </cell>
        </row>
        <row r="5650">
          <cell r="A5650" t="str">
            <v>EUROMEX</v>
          </cell>
          <cell r="B5650">
            <v>202504</v>
          </cell>
          <cell r="D5650" t="str">
            <v>Particulares Resto</v>
          </cell>
          <cell r="G5650" t="str">
            <v>Presupuesto</v>
          </cell>
        </row>
        <row r="5651">
          <cell r="A5651" t="str">
            <v>EUROMEX</v>
          </cell>
          <cell r="B5651">
            <v>202504</v>
          </cell>
          <cell r="D5651" t="str">
            <v>Particulares Resto</v>
          </cell>
          <cell r="G5651" t="str">
            <v>Real</v>
          </cell>
        </row>
        <row r="5652">
          <cell r="A5652" t="str">
            <v>EUROMEX</v>
          </cell>
          <cell r="B5652">
            <v>202504</v>
          </cell>
          <cell r="D5652" t="str">
            <v>Property</v>
          </cell>
          <cell r="G5652" t="str">
            <v>Presupuesto</v>
          </cell>
        </row>
        <row r="5653">
          <cell r="A5653" t="str">
            <v>EUROMEX</v>
          </cell>
          <cell r="B5653">
            <v>202504</v>
          </cell>
          <cell r="D5653" t="str">
            <v>Property</v>
          </cell>
          <cell r="G5653" t="str">
            <v>Real</v>
          </cell>
        </row>
        <row r="5654">
          <cell r="A5654" t="str">
            <v>EUROMEX</v>
          </cell>
          <cell r="B5654">
            <v>202504</v>
          </cell>
          <cell r="D5654" t="str">
            <v>RC</v>
          </cell>
          <cell r="G5654" t="str">
            <v>Presupuesto</v>
          </cell>
        </row>
        <row r="5655">
          <cell r="A5655" t="str">
            <v>EUROMEX</v>
          </cell>
          <cell r="B5655">
            <v>202504</v>
          </cell>
          <cell r="D5655" t="str">
            <v>RC</v>
          </cell>
          <cell r="G5655" t="str">
            <v>Real</v>
          </cell>
        </row>
        <row r="5656">
          <cell r="A5656" t="str">
            <v>EUROMEX</v>
          </cell>
          <cell r="B5656">
            <v>202504</v>
          </cell>
          <cell r="D5656" t="str">
            <v>Resto de lineas</v>
          </cell>
          <cell r="G5656" t="str">
            <v>Presupuesto</v>
          </cell>
        </row>
        <row r="5657">
          <cell r="A5657" t="str">
            <v>EUROMEX</v>
          </cell>
          <cell r="B5657">
            <v>202504</v>
          </cell>
          <cell r="D5657" t="str">
            <v>Retirada</v>
          </cell>
          <cell r="G5657" t="str">
            <v>Presupuesto</v>
          </cell>
        </row>
        <row r="5658">
          <cell r="A5658" t="str">
            <v>EUROMEX</v>
          </cell>
          <cell r="B5658">
            <v>202504</v>
          </cell>
          <cell r="D5658" t="str">
            <v>Seguros Personales (No Vida) Colectivos</v>
          </cell>
          <cell r="G5658" t="str">
            <v>Presupuesto</v>
          </cell>
        </row>
        <row r="5659">
          <cell r="A5659" t="str">
            <v>EUROMEX</v>
          </cell>
          <cell r="B5659">
            <v>202504</v>
          </cell>
          <cell r="D5659" t="str">
            <v>Seguros Personales (No Vida) Colectivos</v>
          </cell>
          <cell r="G5659" t="str">
            <v>Real</v>
          </cell>
        </row>
        <row r="5660">
          <cell r="A5660" t="str">
            <v>EUROMEX</v>
          </cell>
          <cell r="B5660">
            <v>202504</v>
          </cell>
          <cell r="D5660" t="str">
            <v>Seguros Personales (No Vida) Particular</v>
          </cell>
          <cell r="G5660" t="str">
            <v>Presupuesto</v>
          </cell>
        </row>
        <row r="5661">
          <cell r="A5661" t="str">
            <v>EUROMEX</v>
          </cell>
          <cell r="B5661">
            <v>202504</v>
          </cell>
          <cell r="D5661" t="str">
            <v>Seguros Personales (No Vida) Particular</v>
          </cell>
          <cell r="G5661" t="str">
            <v>Real</v>
          </cell>
        </row>
        <row r="5662">
          <cell r="A5662" t="str">
            <v>EUROMEX</v>
          </cell>
          <cell r="B5662">
            <v>202504</v>
          </cell>
          <cell r="D5662" t="str">
            <v>Transporte</v>
          </cell>
          <cell r="G5662" t="str">
            <v>Presupuesto</v>
          </cell>
        </row>
        <row r="5663">
          <cell r="A5663" t="str">
            <v>EUROMEX</v>
          </cell>
          <cell r="B5663">
            <v>202504</v>
          </cell>
          <cell r="D5663" t="str">
            <v>Transporte</v>
          </cell>
          <cell r="G5663" t="str">
            <v>Real</v>
          </cell>
        </row>
        <row r="5664">
          <cell r="A5664" t="str">
            <v>EUROMEX</v>
          </cell>
          <cell r="B5664">
            <v>202504</v>
          </cell>
          <cell r="D5664" t="str">
            <v>Venta Cruzada</v>
          </cell>
          <cell r="G5664" t="str">
            <v>Presupuesto</v>
          </cell>
        </row>
        <row r="5665">
          <cell r="A5665" t="str">
            <v>EUROMEX</v>
          </cell>
          <cell r="B5665">
            <v>202504</v>
          </cell>
          <cell r="D5665" t="str">
            <v>Vida Ahorro Colectivo</v>
          </cell>
          <cell r="G5665" t="str">
            <v>Presupuesto</v>
          </cell>
        </row>
        <row r="5666">
          <cell r="A5666" t="str">
            <v>EUROMEX</v>
          </cell>
          <cell r="B5666">
            <v>202504</v>
          </cell>
          <cell r="D5666" t="str">
            <v>Vida Ahorro Colectivo</v>
          </cell>
          <cell r="G5666" t="str">
            <v>Real</v>
          </cell>
        </row>
        <row r="5667">
          <cell r="A5667" t="str">
            <v>EUROMEX</v>
          </cell>
          <cell r="B5667">
            <v>202504</v>
          </cell>
          <cell r="D5667" t="str">
            <v>Vida Ahorro Particular</v>
          </cell>
          <cell r="G5667" t="str">
            <v>Presupuesto</v>
          </cell>
        </row>
        <row r="5668">
          <cell r="A5668" t="str">
            <v>EUROMEX</v>
          </cell>
          <cell r="B5668">
            <v>202504</v>
          </cell>
          <cell r="D5668" t="str">
            <v>Vida Ahorro Particular</v>
          </cell>
          <cell r="G5668" t="str">
            <v>Real</v>
          </cell>
        </row>
        <row r="5669">
          <cell r="A5669" t="str">
            <v>EUROMEX</v>
          </cell>
          <cell r="B5669">
            <v>202504</v>
          </cell>
          <cell r="D5669" t="str">
            <v>Vida Ganado</v>
          </cell>
          <cell r="G5669" t="str">
            <v>Presupuesto</v>
          </cell>
        </row>
        <row r="5670">
          <cell r="A5670" t="str">
            <v>EUROMEX</v>
          </cell>
          <cell r="B5670">
            <v>202504</v>
          </cell>
          <cell r="D5670" t="str">
            <v>Vida Riesgo Colectivo</v>
          </cell>
          <cell r="G5670" t="str">
            <v>Presupuesto</v>
          </cell>
        </row>
        <row r="5671">
          <cell r="A5671" t="str">
            <v>EUROMEX</v>
          </cell>
          <cell r="B5671">
            <v>202504</v>
          </cell>
          <cell r="D5671" t="str">
            <v>Vida Riesgo Particular</v>
          </cell>
          <cell r="G5671" t="str">
            <v>Presupuesto</v>
          </cell>
        </row>
        <row r="5672">
          <cell r="A5672" t="str">
            <v>EUROMEX</v>
          </cell>
          <cell r="B5672">
            <v>202504</v>
          </cell>
          <cell r="D5672" t="str">
            <v>Vida Riesgo Particular</v>
          </cell>
          <cell r="G5672" t="str">
            <v>Real</v>
          </cell>
        </row>
        <row r="5673">
          <cell r="A5673" t="str">
            <v>EUROMEX</v>
          </cell>
          <cell r="B5673">
            <v>202505</v>
          </cell>
          <cell r="D5673" t="str">
            <v>--</v>
          </cell>
          <cell r="G5673" t="str">
            <v>Presupuesto</v>
          </cell>
        </row>
        <row r="5674">
          <cell r="A5674" t="str">
            <v>EUROMEX</v>
          </cell>
          <cell r="B5674">
            <v>202505</v>
          </cell>
          <cell r="D5674" t="str">
            <v>--</v>
          </cell>
          <cell r="G5674" t="str">
            <v>Real</v>
          </cell>
        </row>
        <row r="5675">
          <cell r="A5675" t="str">
            <v>EUROMEX</v>
          </cell>
          <cell r="B5675">
            <v>202505</v>
          </cell>
          <cell r="D5675" t="str">
            <v>Arte</v>
          </cell>
          <cell r="G5675" t="str">
            <v>Presupuesto</v>
          </cell>
        </row>
        <row r="5676">
          <cell r="A5676" t="str">
            <v>EUROMEX</v>
          </cell>
          <cell r="B5676">
            <v>202505</v>
          </cell>
          <cell r="D5676" t="str">
            <v>Autos</v>
          </cell>
          <cell r="G5676" t="str">
            <v>Presupuesto</v>
          </cell>
        </row>
        <row r="5677">
          <cell r="A5677" t="str">
            <v>EUROMEX</v>
          </cell>
          <cell r="B5677">
            <v>202505</v>
          </cell>
          <cell r="D5677" t="str">
            <v>Autos</v>
          </cell>
          <cell r="G5677" t="str">
            <v>Real</v>
          </cell>
        </row>
        <row r="5678">
          <cell r="A5678" t="str">
            <v>EUROMEX</v>
          </cell>
          <cell r="B5678">
            <v>202505</v>
          </cell>
          <cell r="D5678" t="str">
            <v>B2B2C</v>
          </cell>
          <cell r="G5678" t="str">
            <v>Presupuesto</v>
          </cell>
        </row>
        <row r="5679">
          <cell r="A5679" t="str">
            <v>EUROMEX</v>
          </cell>
          <cell r="B5679">
            <v>202505</v>
          </cell>
          <cell r="D5679" t="str">
            <v>Caución</v>
          </cell>
          <cell r="G5679" t="str">
            <v>Presupuesto</v>
          </cell>
        </row>
        <row r="5680">
          <cell r="A5680" t="str">
            <v>EUROMEX</v>
          </cell>
          <cell r="B5680">
            <v>202505</v>
          </cell>
          <cell r="D5680" t="str">
            <v>Crédito Nacional</v>
          </cell>
          <cell r="G5680" t="str">
            <v>Real</v>
          </cell>
        </row>
        <row r="5681">
          <cell r="A5681" t="str">
            <v>EUROMEX</v>
          </cell>
          <cell r="B5681">
            <v>202505</v>
          </cell>
          <cell r="D5681" t="str">
            <v>Crédito Internacional</v>
          </cell>
          <cell r="G5681" t="str">
            <v>Presupuesto</v>
          </cell>
        </row>
        <row r="5682">
          <cell r="A5682" t="str">
            <v>EUROMEX</v>
          </cell>
          <cell r="B5682">
            <v>202505</v>
          </cell>
          <cell r="D5682" t="str">
            <v>Crédito Nacional</v>
          </cell>
          <cell r="G5682" t="str">
            <v>Presupuesto</v>
          </cell>
        </row>
        <row r="5683">
          <cell r="A5683" t="str">
            <v>EUROMEX</v>
          </cell>
          <cell r="B5683">
            <v>202505</v>
          </cell>
          <cell r="D5683" t="str">
            <v>Eventos</v>
          </cell>
          <cell r="G5683" t="str">
            <v>Presupuesto</v>
          </cell>
        </row>
        <row r="5684">
          <cell r="A5684" t="str">
            <v>EUROMEX</v>
          </cell>
          <cell r="B5684">
            <v>202505</v>
          </cell>
          <cell r="D5684" t="str">
            <v>Flotas</v>
          </cell>
          <cell r="G5684" t="str">
            <v>Presupuesto</v>
          </cell>
        </row>
        <row r="5685">
          <cell r="A5685" t="str">
            <v>EUROMEX</v>
          </cell>
          <cell r="B5685">
            <v>202505</v>
          </cell>
          <cell r="D5685" t="str">
            <v>Flotas</v>
          </cell>
          <cell r="G5685" t="str">
            <v>Real</v>
          </cell>
        </row>
        <row r="5686">
          <cell r="A5686" t="str">
            <v>EUROMEX</v>
          </cell>
          <cell r="B5686">
            <v>202505</v>
          </cell>
          <cell r="D5686" t="str">
            <v>Hogar</v>
          </cell>
          <cell r="G5686" t="str">
            <v>Presupuesto</v>
          </cell>
        </row>
        <row r="5687">
          <cell r="A5687" t="str">
            <v>EUROMEX</v>
          </cell>
          <cell r="B5687">
            <v>202505</v>
          </cell>
          <cell r="D5687" t="str">
            <v>Hogar</v>
          </cell>
          <cell r="G5687" t="str">
            <v>Real</v>
          </cell>
        </row>
        <row r="5688">
          <cell r="A5688" t="str">
            <v>EUROMEX</v>
          </cell>
          <cell r="B5688">
            <v>202505</v>
          </cell>
          <cell r="D5688" t="str">
            <v>Ingeniería</v>
          </cell>
          <cell r="G5688" t="str">
            <v>Presupuesto</v>
          </cell>
        </row>
        <row r="5689">
          <cell r="A5689" t="str">
            <v>EUROMEX</v>
          </cell>
          <cell r="B5689">
            <v>202505</v>
          </cell>
          <cell r="D5689" t="str">
            <v>Ingeniería</v>
          </cell>
          <cell r="G5689" t="str">
            <v>Real</v>
          </cell>
        </row>
        <row r="5690">
          <cell r="A5690" t="str">
            <v>EUROMEX</v>
          </cell>
          <cell r="B5690">
            <v>202505</v>
          </cell>
          <cell r="D5690" t="str">
            <v>Inmobiliario</v>
          </cell>
          <cell r="G5690" t="str">
            <v>Presupuesto</v>
          </cell>
        </row>
        <row r="5691">
          <cell r="A5691" t="str">
            <v>EUROMEX</v>
          </cell>
          <cell r="B5691">
            <v>202505</v>
          </cell>
          <cell r="D5691" t="str">
            <v>Líneas Financieras</v>
          </cell>
          <cell r="G5691" t="str">
            <v>Presupuesto</v>
          </cell>
        </row>
        <row r="5692">
          <cell r="A5692" t="str">
            <v>EUROMEX</v>
          </cell>
          <cell r="B5692">
            <v>202505</v>
          </cell>
          <cell r="D5692" t="str">
            <v>Líneas Financieras</v>
          </cell>
          <cell r="G5692" t="str">
            <v>Real</v>
          </cell>
        </row>
        <row r="5693">
          <cell r="A5693" t="str">
            <v>EUROMEX</v>
          </cell>
          <cell r="B5693">
            <v>202505</v>
          </cell>
          <cell r="D5693" t="str">
            <v>Náutica</v>
          </cell>
          <cell r="G5693" t="str">
            <v>Presupuesto</v>
          </cell>
        </row>
        <row r="5694">
          <cell r="A5694" t="str">
            <v>EUROMEX</v>
          </cell>
          <cell r="B5694">
            <v>202505</v>
          </cell>
          <cell r="D5694" t="str">
            <v>Particulares Resto</v>
          </cell>
          <cell r="G5694" t="str">
            <v>Presupuesto</v>
          </cell>
        </row>
        <row r="5695">
          <cell r="A5695" t="str">
            <v>EUROMEX</v>
          </cell>
          <cell r="B5695">
            <v>202505</v>
          </cell>
          <cell r="D5695" t="str">
            <v>Particulares Resto</v>
          </cell>
          <cell r="G5695" t="str">
            <v>Real</v>
          </cell>
        </row>
        <row r="5696">
          <cell r="A5696" t="str">
            <v>EUROMEX</v>
          </cell>
          <cell r="B5696">
            <v>202505</v>
          </cell>
          <cell r="D5696" t="str">
            <v>Property</v>
          </cell>
          <cell r="G5696" t="str">
            <v>Presupuesto</v>
          </cell>
        </row>
        <row r="5697">
          <cell r="A5697" t="str">
            <v>EUROMEX</v>
          </cell>
          <cell r="B5697">
            <v>202505</v>
          </cell>
          <cell r="D5697" t="str">
            <v>Property</v>
          </cell>
          <cell r="G5697" t="str">
            <v>Real</v>
          </cell>
        </row>
        <row r="5698">
          <cell r="A5698" t="str">
            <v>EUROMEX</v>
          </cell>
          <cell r="B5698">
            <v>202505</v>
          </cell>
          <cell r="D5698" t="str">
            <v>RC</v>
          </cell>
          <cell r="G5698" t="str">
            <v>Presupuesto</v>
          </cell>
        </row>
        <row r="5699">
          <cell r="A5699" t="str">
            <v>EUROMEX</v>
          </cell>
          <cell r="B5699">
            <v>202505</v>
          </cell>
          <cell r="D5699" t="str">
            <v>RC</v>
          </cell>
          <cell r="G5699" t="str">
            <v>Real</v>
          </cell>
        </row>
        <row r="5700">
          <cell r="A5700" t="str">
            <v>EUROMEX</v>
          </cell>
          <cell r="B5700">
            <v>202505</v>
          </cell>
          <cell r="D5700" t="str">
            <v>Resto de lineas</v>
          </cell>
          <cell r="G5700" t="str">
            <v>Presupuesto</v>
          </cell>
        </row>
        <row r="5701">
          <cell r="A5701" t="str">
            <v>EUROMEX</v>
          </cell>
          <cell r="B5701">
            <v>202505</v>
          </cell>
          <cell r="D5701" t="str">
            <v>Retirada</v>
          </cell>
          <cell r="G5701" t="str">
            <v>Presupuesto</v>
          </cell>
        </row>
        <row r="5702">
          <cell r="A5702" t="str">
            <v>EUROMEX</v>
          </cell>
          <cell r="B5702">
            <v>202505</v>
          </cell>
          <cell r="D5702" t="str">
            <v>Seguros Personales (No Vida) Colectivos</v>
          </cell>
          <cell r="G5702" t="str">
            <v>Presupuesto</v>
          </cell>
        </row>
        <row r="5703">
          <cell r="A5703" t="str">
            <v>EUROMEX</v>
          </cell>
          <cell r="B5703">
            <v>202505</v>
          </cell>
          <cell r="D5703" t="str">
            <v>Seguros Personales (No Vida) Colectivos</v>
          </cell>
          <cell r="G5703" t="str">
            <v>Real</v>
          </cell>
        </row>
        <row r="5704">
          <cell r="A5704" t="str">
            <v>EUROMEX</v>
          </cell>
          <cell r="B5704">
            <v>202505</v>
          </cell>
          <cell r="D5704" t="str">
            <v>Seguros Personales (No Vida) Particular</v>
          </cell>
          <cell r="G5704" t="str">
            <v>Presupuesto</v>
          </cell>
        </row>
        <row r="5705">
          <cell r="A5705" t="str">
            <v>EUROMEX</v>
          </cell>
          <cell r="B5705">
            <v>202505</v>
          </cell>
          <cell r="D5705" t="str">
            <v>Seguros Personales (No Vida) Particular</v>
          </cell>
          <cell r="G5705" t="str">
            <v>Real</v>
          </cell>
        </row>
        <row r="5706">
          <cell r="A5706" t="str">
            <v>EUROMEX</v>
          </cell>
          <cell r="B5706">
            <v>202505</v>
          </cell>
          <cell r="D5706" t="str">
            <v>Transporte</v>
          </cell>
          <cell r="G5706" t="str">
            <v>Presupuesto</v>
          </cell>
        </row>
        <row r="5707">
          <cell r="A5707" t="str">
            <v>EUROMEX</v>
          </cell>
          <cell r="B5707">
            <v>202505</v>
          </cell>
          <cell r="D5707" t="str">
            <v>Transporte</v>
          </cell>
          <cell r="G5707" t="str">
            <v>Real</v>
          </cell>
        </row>
        <row r="5708">
          <cell r="A5708" t="str">
            <v>EUROMEX</v>
          </cell>
          <cell r="B5708">
            <v>202505</v>
          </cell>
          <cell r="D5708" t="str">
            <v>Venta Cruzada</v>
          </cell>
          <cell r="G5708" t="str">
            <v>Presupuesto</v>
          </cell>
        </row>
        <row r="5709">
          <cell r="A5709" t="str">
            <v>EUROMEX</v>
          </cell>
          <cell r="B5709">
            <v>202505</v>
          </cell>
          <cell r="D5709" t="str">
            <v>Vida Ahorro Colectivo</v>
          </cell>
          <cell r="G5709" t="str">
            <v>Presupuesto</v>
          </cell>
        </row>
        <row r="5710">
          <cell r="A5710" t="str">
            <v>EUROMEX</v>
          </cell>
          <cell r="B5710">
            <v>202505</v>
          </cell>
          <cell r="D5710" t="str">
            <v>Vida Ahorro Colectivo</v>
          </cell>
          <cell r="G5710" t="str">
            <v>Real</v>
          </cell>
        </row>
        <row r="5711">
          <cell r="A5711" t="str">
            <v>EUROMEX</v>
          </cell>
          <cell r="B5711">
            <v>202505</v>
          </cell>
          <cell r="D5711" t="str">
            <v>Vida Ahorro Particular</v>
          </cell>
          <cell r="G5711" t="str">
            <v>Presupuesto</v>
          </cell>
        </row>
        <row r="5712">
          <cell r="A5712" t="str">
            <v>EUROMEX</v>
          </cell>
          <cell r="B5712">
            <v>202505</v>
          </cell>
          <cell r="D5712" t="str">
            <v>Vida Ahorro Particular</v>
          </cell>
          <cell r="G5712" t="str">
            <v>Real</v>
          </cell>
        </row>
        <row r="5713">
          <cell r="A5713" t="str">
            <v>EUROMEX</v>
          </cell>
          <cell r="B5713">
            <v>202505</v>
          </cell>
          <cell r="D5713" t="str">
            <v>Vida Ganado</v>
          </cell>
          <cell r="G5713" t="str">
            <v>Presupuesto</v>
          </cell>
        </row>
        <row r="5714">
          <cell r="A5714" t="str">
            <v>EUROMEX</v>
          </cell>
          <cell r="B5714">
            <v>202505</v>
          </cell>
          <cell r="D5714" t="str">
            <v>Vida Riesgo Colectivo</v>
          </cell>
          <cell r="G5714" t="str">
            <v>Presupuesto</v>
          </cell>
        </row>
        <row r="5715">
          <cell r="A5715" t="str">
            <v>EUROMEX</v>
          </cell>
          <cell r="B5715">
            <v>202505</v>
          </cell>
          <cell r="D5715" t="str">
            <v>Vida Riesgo Particular</v>
          </cell>
          <cell r="G5715" t="str">
            <v>Presupuesto</v>
          </cell>
        </row>
        <row r="5716">
          <cell r="A5716" t="str">
            <v>EUROMEX</v>
          </cell>
          <cell r="B5716">
            <v>202505</v>
          </cell>
          <cell r="D5716" t="str">
            <v>Vida Riesgo Particular</v>
          </cell>
          <cell r="G5716" t="str">
            <v>Real</v>
          </cell>
        </row>
        <row r="5717">
          <cell r="A5717" t="str">
            <v>EUROMEX</v>
          </cell>
          <cell r="B5717">
            <v>202506</v>
          </cell>
          <cell r="D5717" t="str">
            <v>--</v>
          </cell>
          <cell r="G5717" t="str">
            <v>Presupuesto</v>
          </cell>
        </row>
        <row r="5718">
          <cell r="A5718" t="str">
            <v>EUROMEX</v>
          </cell>
          <cell r="B5718">
            <v>202506</v>
          </cell>
          <cell r="D5718" t="str">
            <v>--</v>
          </cell>
          <cell r="G5718" t="str">
            <v>Real</v>
          </cell>
        </row>
        <row r="5719">
          <cell r="A5719" t="str">
            <v>EUROMEX</v>
          </cell>
          <cell r="B5719">
            <v>202506</v>
          </cell>
          <cell r="D5719" t="str">
            <v>Arte</v>
          </cell>
          <cell r="G5719" t="str">
            <v>Presupuesto</v>
          </cell>
        </row>
        <row r="5720">
          <cell r="A5720" t="str">
            <v>EUROMEX</v>
          </cell>
          <cell r="B5720">
            <v>202506</v>
          </cell>
          <cell r="D5720" t="str">
            <v>Autos</v>
          </cell>
          <cell r="G5720" t="str">
            <v>Presupuesto</v>
          </cell>
        </row>
        <row r="5721">
          <cell r="A5721" t="str">
            <v>EUROMEX</v>
          </cell>
          <cell r="B5721">
            <v>202506</v>
          </cell>
          <cell r="D5721" t="str">
            <v>Autos</v>
          </cell>
          <cell r="G5721" t="str">
            <v>Real</v>
          </cell>
        </row>
        <row r="5722">
          <cell r="A5722" t="str">
            <v>EUROMEX</v>
          </cell>
          <cell r="B5722">
            <v>202506</v>
          </cell>
          <cell r="D5722" t="str">
            <v>B2B2C</v>
          </cell>
          <cell r="G5722" t="str">
            <v>Presupuesto</v>
          </cell>
        </row>
        <row r="5723">
          <cell r="A5723" t="str">
            <v>EUROMEX</v>
          </cell>
          <cell r="B5723">
            <v>202506</v>
          </cell>
          <cell r="D5723" t="str">
            <v>Caución</v>
          </cell>
          <cell r="G5723" t="str">
            <v>Presupuesto</v>
          </cell>
        </row>
        <row r="5724">
          <cell r="A5724" t="str">
            <v>EUROMEX</v>
          </cell>
          <cell r="B5724">
            <v>202506</v>
          </cell>
          <cell r="D5724" t="str">
            <v>Crédito Nacional</v>
          </cell>
          <cell r="G5724" t="str">
            <v>Real</v>
          </cell>
        </row>
        <row r="5725">
          <cell r="A5725" t="str">
            <v>EUROMEX</v>
          </cell>
          <cell r="B5725">
            <v>202506</v>
          </cell>
          <cell r="D5725" t="str">
            <v>Crédito Internacional</v>
          </cell>
          <cell r="G5725" t="str">
            <v>Presupuesto</v>
          </cell>
        </row>
        <row r="5726">
          <cell r="A5726" t="str">
            <v>EUROMEX</v>
          </cell>
          <cell r="B5726">
            <v>202506</v>
          </cell>
          <cell r="D5726" t="str">
            <v>Crédito Nacional</v>
          </cell>
          <cell r="G5726" t="str">
            <v>Presupuesto</v>
          </cell>
        </row>
        <row r="5727">
          <cell r="A5727" t="str">
            <v>EUROMEX</v>
          </cell>
          <cell r="B5727">
            <v>202506</v>
          </cell>
          <cell r="D5727" t="str">
            <v>Eventos</v>
          </cell>
          <cell r="G5727" t="str">
            <v>Presupuesto</v>
          </cell>
        </row>
        <row r="5728">
          <cell r="A5728" t="str">
            <v>EUROMEX</v>
          </cell>
          <cell r="B5728">
            <v>202506</v>
          </cell>
          <cell r="D5728" t="str">
            <v>Flotas</v>
          </cell>
          <cell r="G5728" t="str">
            <v>Presupuesto</v>
          </cell>
        </row>
        <row r="5729">
          <cell r="A5729" t="str">
            <v>EUROMEX</v>
          </cell>
          <cell r="B5729">
            <v>202506</v>
          </cell>
          <cell r="D5729" t="str">
            <v>Flotas</v>
          </cell>
          <cell r="G5729" t="str">
            <v>Real</v>
          </cell>
        </row>
        <row r="5730">
          <cell r="A5730" t="str">
            <v>EUROMEX</v>
          </cell>
          <cell r="B5730">
            <v>202506</v>
          </cell>
          <cell r="D5730" t="str">
            <v>Hogar</v>
          </cell>
          <cell r="G5730" t="str">
            <v>Presupuesto</v>
          </cell>
        </row>
        <row r="5731">
          <cell r="A5731" t="str">
            <v>EUROMEX</v>
          </cell>
          <cell r="B5731">
            <v>202506</v>
          </cell>
          <cell r="D5731" t="str">
            <v>Hogar</v>
          </cell>
          <cell r="G5731" t="str">
            <v>Real</v>
          </cell>
        </row>
        <row r="5732">
          <cell r="A5732" t="str">
            <v>EUROMEX</v>
          </cell>
          <cell r="B5732">
            <v>202506</v>
          </cell>
          <cell r="D5732" t="str">
            <v>Ingeniería</v>
          </cell>
          <cell r="G5732" t="str">
            <v>Presupuesto</v>
          </cell>
        </row>
        <row r="5733">
          <cell r="A5733" t="str">
            <v>EUROMEX</v>
          </cell>
          <cell r="B5733">
            <v>202506</v>
          </cell>
          <cell r="D5733" t="str">
            <v>Ingeniería</v>
          </cell>
          <cell r="G5733" t="str">
            <v>Real</v>
          </cell>
        </row>
        <row r="5734">
          <cell r="A5734" t="str">
            <v>EUROMEX</v>
          </cell>
          <cell r="B5734">
            <v>202506</v>
          </cell>
          <cell r="D5734" t="str">
            <v>Inmobiliario</v>
          </cell>
          <cell r="G5734" t="str">
            <v>Presupuesto</v>
          </cell>
        </row>
        <row r="5735">
          <cell r="A5735" t="str">
            <v>EUROMEX</v>
          </cell>
          <cell r="B5735">
            <v>202506</v>
          </cell>
          <cell r="D5735" t="str">
            <v>Líneas Financieras</v>
          </cell>
          <cell r="G5735" t="str">
            <v>Presupuesto</v>
          </cell>
        </row>
        <row r="5736">
          <cell r="A5736" t="str">
            <v>EUROMEX</v>
          </cell>
          <cell r="B5736">
            <v>202506</v>
          </cell>
          <cell r="D5736" t="str">
            <v>Líneas Financieras</v>
          </cell>
          <cell r="G5736" t="str">
            <v>Real</v>
          </cell>
        </row>
        <row r="5737">
          <cell r="A5737" t="str">
            <v>EUROMEX</v>
          </cell>
          <cell r="B5737">
            <v>202506</v>
          </cell>
          <cell r="D5737" t="str">
            <v>Náutica</v>
          </cell>
          <cell r="G5737" t="str">
            <v>Presupuesto</v>
          </cell>
        </row>
        <row r="5738">
          <cell r="A5738" t="str">
            <v>EUROMEX</v>
          </cell>
          <cell r="B5738">
            <v>202506</v>
          </cell>
          <cell r="D5738" t="str">
            <v>Particulares Resto</v>
          </cell>
          <cell r="G5738" t="str">
            <v>Presupuesto</v>
          </cell>
        </row>
        <row r="5739">
          <cell r="A5739" t="str">
            <v>EUROMEX</v>
          </cell>
          <cell r="B5739">
            <v>202506</v>
          </cell>
          <cell r="D5739" t="str">
            <v>Particulares Resto</v>
          </cell>
          <cell r="G5739" t="str">
            <v>Real</v>
          </cell>
        </row>
        <row r="5740">
          <cell r="A5740" t="str">
            <v>EUROMEX</v>
          </cell>
          <cell r="B5740">
            <v>202506</v>
          </cell>
          <cell r="D5740" t="str">
            <v>Property</v>
          </cell>
          <cell r="G5740" t="str">
            <v>Presupuesto</v>
          </cell>
        </row>
        <row r="5741">
          <cell r="A5741" t="str">
            <v>EUROMEX</v>
          </cell>
          <cell r="B5741">
            <v>202506</v>
          </cell>
          <cell r="D5741" t="str">
            <v>Property</v>
          </cell>
          <cell r="G5741" t="str">
            <v>Real</v>
          </cell>
        </row>
        <row r="5742">
          <cell r="A5742" t="str">
            <v>EUROMEX</v>
          </cell>
          <cell r="B5742">
            <v>202506</v>
          </cell>
          <cell r="D5742" t="str">
            <v>RC</v>
          </cell>
          <cell r="G5742" t="str">
            <v>Presupuesto</v>
          </cell>
        </row>
        <row r="5743">
          <cell r="A5743" t="str">
            <v>EUROMEX</v>
          </cell>
          <cell r="B5743">
            <v>202506</v>
          </cell>
          <cell r="D5743" t="str">
            <v>RC</v>
          </cell>
          <cell r="G5743" t="str">
            <v>Real</v>
          </cell>
        </row>
        <row r="5744">
          <cell r="A5744" t="str">
            <v>EUROMEX</v>
          </cell>
          <cell r="B5744">
            <v>202506</v>
          </cell>
          <cell r="D5744" t="str">
            <v>Resto de lineas</v>
          </cell>
          <cell r="G5744" t="str">
            <v>Presupuesto</v>
          </cell>
        </row>
        <row r="5745">
          <cell r="A5745" t="str">
            <v>EUROMEX</v>
          </cell>
          <cell r="B5745">
            <v>202506</v>
          </cell>
          <cell r="D5745" t="str">
            <v>Retirada</v>
          </cell>
          <cell r="G5745" t="str">
            <v>Presupuesto</v>
          </cell>
        </row>
        <row r="5746">
          <cell r="A5746" t="str">
            <v>EUROMEX</v>
          </cell>
          <cell r="B5746">
            <v>202506</v>
          </cell>
          <cell r="D5746" t="str">
            <v>Seguros Personales (No Vida) Colectivos</v>
          </cell>
          <cell r="G5746" t="str">
            <v>Presupuesto</v>
          </cell>
        </row>
        <row r="5747">
          <cell r="A5747" t="str">
            <v>EUROMEX</v>
          </cell>
          <cell r="B5747">
            <v>202506</v>
          </cell>
          <cell r="D5747" t="str">
            <v>Seguros Personales (No Vida) Colectivos</v>
          </cell>
          <cell r="G5747" t="str">
            <v>Real</v>
          </cell>
        </row>
        <row r="5748">
          <cell r="A5748" t="str">
            <v>EUROMEX</v>
          </cell>
          <cell r="B5748">
            <v>202506</v>
          </cell>
          <cell r="D5748" t="str">
            <v>Seguros Personales (No Vida) Particular</v>
          </cell>
          <cell r="G5748" t="str">
            <v>Presupuesto</v>
          </cell>
        </row>
        <row r="5749">
          <cell r="A5749" t="str">
            <v>EUROMEX</v>
          </cell>
          <cell r="B5749">
            <v>202506</v>
          </cell>
          <cell r="D5749" t="str">
            <v>Seguros Personales (No Vida) Particular</v>
          </cell>
          <cell r="G5749" t="str">
            <v>Real</v>
          </cell>
        </row>
        <row r="5750">
          <cell r="A5750" t="str">
            <v>EUROMEX</v>
          </cell>
          <cell r="B5750">
            <v>202506</v>
          </cell>
          <cell r="D5750" t="str">
            <v>Transporte</v>
          </cell>
          <cell r="G5750" t="str">
            <v>Presupuesto</v>
          </cell>
        </row>
        <row r="5751">
          <cell r="A5751" t="str">
            <v>EUROMEX</v>
          </cell>
          <cell r="B5751">
            <v>202506</v>
          </cell>
          <cell r="D5751" t="str">
            <v>Transporte</v>
          </cell>
          <cell r="G5751" t="str">
            <v>Real</v>
          </cell>
        </row>
        <row r="5752">
          <cell r="A5752" t="str">
            <v>EUROMEX</v>
          </cell>
          <cell r="B5752">
            <v>202506</v>
          </cell>
          <cell r="D5752" t="str">
            <v>Venta Cruzada</v>
          </cell>
          <cell r="G5752" t="str">
            <v>Presupuesto</v>
          </cell>
        </row>
        <row r="5753">
          <cell r="A5753" t="str">
            <v>EUROMEX</v>
          </cell>
          <cell r="B5753">
            <v>202506</v>
          </cell>
          <cell r="D5753" t="str">
            <v>Vida Ahorro Colectivo</v>
          </cell>
          <cell r="G5753" t="str">
            <v>Presupuesto</v>
          </cell>
        </row>
        <row r="5754">
          <cell r="A5754" t="str">
            <v>EUROMEX</v>
          </cell>
          <cell r="B5754">
            <v>202506</v>
          </cell>
          <cell r="D5754" t="str">
            <v>Vida Ahorro Colectivo</v>
          </cell>
          <cell r="G5754" t="str">
            <v>Real</v>
          </cell>
        </row>
        <row r="5755">
          <cell r="A5755" t="str">
            <v>EUROMEX</v>
          </cell>
          <cell r="B5755">
            <v>202506</v>
          </cell>
          <cell r="D5755" t="str">
            <v>Vida Ahorro Particular</v>
          </cell>
          <cell r="G5755" t="str">
            <v>Presupuesto</v>
          </cell>
        </row>
        <row r="5756">
          <cell r="A5756" t="str">
            <v>EUROMEX</v>
          </cell>
          <cell r="B5756">
            <v>202506</v>
          </cell>
          <cell r="D5756" t="str">
            <v>Vida Ahorro Particular</v>
          </cell>
          <cell r="G5756" t="str">
            <v>Real</v>
          </cell>
        </row>
        <row r="5757">
          <cell r="A5757" t="str">
            <v>EUROMEX</v>
          </cell>
          <cell r="B5757">
            <v>202506</v>
          </cell>
          <cell r="D5757" t="str">
            <v>Vida Ganado</v>
          </cell>
          <cell r="G5757" t="str">
            <v>Presupuesto</v>
          </cell>
        </row>
        <row r="5758">
          <cell r="A5758" t="str">
            <v>EUROMEX</v>
          </cell>
          <cell r="B5758">
            <v>202506</v>
          </cell>
          <cell r="D5758" t="str">
            <v>Vida Riesgo Colectivo</v>
          </cell>
          <cell r="G5758" t="str">
            <v>Presupuesto</v>
          </cell>
        </row>
        <row r="5759">
          <cell r="A5759" t="str">
            <v>EUROMEX</v>
          </cell>
          <cell r="B5759">
            <v>202506</v>
          </cell>
          <cell r="D5759" t="str">
            <v>Vida Riesgo Particular</v>
          </cell>
          <cell r="G5759" t="str">
            <v>Presupuesto</v>
          </cell>
        </row>
        <row r="5760">
          <cell r="A5760" t="str">
            <v>EUROMEX</v>
          </cell>
          <cell r="B5760">
            <v>202506</v>
          </cell>
          <cell r="D5760" t="str">
            <v>Vida Riesgo Particular</v>
          </cell>
          <cell r="G5760" t="str">
            <v>Real</v>
          </cell>
        </row>
        <row r="5761">
          <cell r="A5761" t="str">
            <v>EUROMEX</v>
          </cell>
          <cell r="B5761">
            <v>202507</v>
          </cell>
          <cell r="D5761" t="str">
            <v>--</v>
          </cell>
          <cell r="G5761" t="str">
            <v>Presupuesto</v>
          </cell>
        </row>
        <row r="5762">
          <cell r="A5762" t="str">
            <v>EUROMEX</v>
          </cell>
          <cell r="B5762">
            <v>202507</v>
          </cell>
          <cell r="D5762" t="str">
            <v>--</v>
          </cell>
          <cell r="G5762" t="str">
            <v>Real</v>
          </cell>
        </row>
        <row r="5763">
          <cell r="A5763" t="str">
            <v>EUROMEX</v>
          </cell>
          <cell r="B5763">
            <v>202507</v>
          </cell>
          <cell r="D5763" t="str">
            <v>Arte</v>
          </cell>
          <cell r="G5763" t="str">
            <v>Presupuesto</v>
          </cell>
        </row>
        <row r="5764">
          <cell r="A5764" t="str">
            <v>EUROMEX</v>
          </cell>
          <cell r="B5764">
            <v>202507</v>
          </cell>
          <cell r="D5764" t="str">
            <v>Autos</v>
          </cell>
          <cell r="G5764" t="str">
            <v>Presupuesto</v>
          </cell>
        </row>
        <row r="5765">
          <cell r="A5765" t="str">
            <v>EUROMEX</v>
          </cell>
          <cell r="B5765">
            <v>202507</v>
          </cell>
          <cell r="D5765" t="str">
            <v>Autos</v>
          </cell>
          <cell r="G5765" t="str">
            <v>Real</v>
          </cell>
        </row>
        <row r="5766">
          <cell r="A5766" t="str">
            <v>EUROMEX</v>
          </cell>
          <cell r="B5766">
            <v>202507</v>
          </cell>
          <cell r="D5766" t="str">
            <v>B2B2C</v>
          </cell>
          <cell r="G5766" t="str">
            <v>Presupuesto</v>
          </cell>
        </row>
        <row r="5767">
          <cell r="A5767" t="str">
            <v>EUROMEX</v>
          </cell>
          <cell r="B5767">
            <v>202507</v>
          </cell>
          <cell r="D5767" t="str">
            <v>Caución</v>
          </cell>
          <cell r="G5767" t="str">
            <v>Presupuesto</v>
          </cell>
        </row>
        <row r="5768">
          <cell r="A5768" t="str">
            <v>EUROMEX</v>
          </cell>
          <cell r="B5768">
            <v>202507</v>
          </cell>
          <cell r="D5768" t="str">
            <v>Crédito Nacional</v>
          </cell>
          <cell r="G5768" t="str">
            <v>Real</v>
          </cell>
        </row>
        <row r="5769">
          <cell r="A5769" t="str">
            <v>EUROMEX</v>
          </cell>
          <cell r="B5769">
            <v>202507</v>
          </cell>
          <cell r="D5769" t="str">
            <v>Crédito Internacional</v>
          </cell>
          <cell r="G5769" t="str">
            <v>Presupuesto</v>
          </cell>
        </row>
        <row r="5770">
          <cell r="A5770" t="str">
            <v>EUROMEX</v>
          </cell>
          <cell r="B5770">
            <v>202507</v>
          </cell>
          <cell r="D5770" t="str">
            <v>Crédito Nacional</v>
          </cell>
          <cell r="G5770" t="str">
            <v>Presupuesto</v>
          </cell>
        </row>
        <row r="5771">
          <cell r="A5771" t="str">
            <v>EUROMEX</v>
          </cell>
          <cell r="B5771">
            <v>202507</v>
          </cell>
          <cell r="D5771" t="str">
            <v>Eventos</v>
          </cell>
          <cell r="G5771" t="str">
            <v>Presupuesto</v>
          </cell>
        </row>
        <row r="5772">
          <cell r="A5772" t="str">
            <v>EUROMEX</v>
          </cell>
          <cell r="B5772">
            <v>202507</v>
          </cell>
          <cell r="D5772" t="str">
            <v>Eventos</v>
          </cell>
          <cell r="G5772" t="str">
            <v>Real</v>
          </cell>
        </row>
        <row r="5773">
          <cell r="A5773" t="str">
            <v>EUROMEX</v>
          </cell>
          <cell r="B5773">
            <v>202507</v>
          </cell>
          <cell r="D5773" t="str">
            <v>Flotas</v>
          </cell>
          <cell r="G5773" t="str">
            <v>Presupuesto</v>
          </cell>
        </row>
        <row r="5774">
          <cell r="A5774" t="str">
            <v>EUROMEX</v>
          </cell>
          <cell r="B5774">
            <v>202507</v>
          </cell>
          <cell r="D5774" t="str">
            <v>Flotas</v>
          </cell>
          <cell r="G5774" t="str">
            <v>Real</v>
          </cell>
        </row>
        <row r="5775">
          <cell r="A5775" t="str">
            <v>EUROMEX</v>
          </cell>
          <cell r="B5775">
            <v>202507</v>
          </cell>
          <cell r="D5775" t="str">
            <v>Hogar</v>
          </cell>
          <cell r="G5775" t="str">
            <v>Presupuesto</v>
          </cell>
        </row>
        <row r="5776">
          <cell r="A5776" t="str">
            <v>EUROMEX</v>
          </cell>
          <cell r="B5776">
            <v>202507</v>
          </cell>
          <cell r="D5776" t="str">
            <v>Hogar</v>
          </cell>
          <cell r="G5776" t="str">
            <v>Real</v>
          </cell>
        </row>
        <row r="5777">
          <cell r="A5777" t="str">
            <v>EUROMEX</v>
          </cell>
          <cell r="B5777">
            <v>202507</v>
          </cell>
          <cell r="D5777" t="str">
            <v>Ingeniería</v>
          </cell>
          <cell r="G5777" t="str">
            <v>Presupuesto</v>
          </cell>
        </row>
        <row r="5778">
          <cell r="A5778" t="str">
            <v>EUROMEX</v>
          </cell>
          <cell r="B5778">
            <v>202507</v>
          </cell>
          <cell r="D5778" t="str">
            <v>Ingeniería</v>
          </cell>
          <cell r="G5778" t="str">
            <v>Real</v>
          </cell>
        </row>
        <row r="5779">
          <cell r="A5779" t="str">
            <v>EUROMEX</v>
          </cell>
          <cell r="B5779">
            <v>202507</v>
          </cell>
          <cell r="D5779" t="str">
            <v>Inmobiliario</v>
          </cell>
          <cell r="G5779" t="str">
            <v>Presupuesto</v>
          </cell>
        </row>
        <row r="5780">
          <cell r="A5780" t="str">
            <v>EUROMEX</v>
          </cell>
          <cell r="B5780">
            <v>202507</v>
          </cell>
          <cell r="D5780" t="str">
            <v>Líneas Financieras</v>
          </cell>
          <cell r="G5780" t="str">
            <v>Presupuesto</v>
          </cell>
        </row>
        <row r="5781">
          <cell r="A5781" t="str">
            <v>EUROMEX</v>
          </cell>
          <cell r="B5781">
            <v>202507</v>
          </cell>
          <cell r="D5781" t="str">
            <v>Líneas Financieras</v>
          </cell>
          <cell r="G5781" t="str">
            <v>Real</v>
          </cell>
        </row>
        <row r="5782">
          <cell r="A5782" t="str">
            <v>EUROMEX</v>
          </cell>
          <cell r="B5782">
            <v>202507</v>
          </cell>
          <cell r="D5782" t="str">
            <v>Náutica</v>
          </cell>
          <cell r="G5782" t="str">
            <v>Presupuesto</v>
          </cell>
        </row>
        <row r="5783">
          <cell r="A5783" t="str">
            <v>EUROMEX</v>
          </cell>
          <cell r="B5783">
            <v>202507</v>
          </cell>
          <cell r="D5783" t="str">
            <v>Particulares Resto</v>
          </cell>
          <cell r="G5783" t="str">
            <v>Presupuesto</v>
          </cell>
        </row>
        <row r="5784">
          <cell r="A5784" t="str">
            <v>EUROMEX</v>
          </cell>
          <cell r="B5784">
            <v>202507</v>
          </cell>
          <cell r="D5784" t="str">
            <v>Particulares Resto</v>
          </cell>
          <cell r="G5784" t="str">
            <v>Real</v>
          </cell>
        </row>
        <row r="5785">
          <cell r="A5785" t="str">
            <v>EUROMEX</v>
          </cell>
          <cell r="B5785">
            <v>202507</v>
          </cell>
          <cell r="D5785" t="str">
            <v>Property</v>
          </cell>
          <cell r="G5785" t="str">
            <v>Presupuesto</v>
          </cell>
        </row>
        <row r="5786">
          <cell r="A5786" t="str">
            <v>EUROMEX</v>
          </cell>
          <cell r="B5786">
            <v>202507</v>
          </cell>
          <cell r="D5786" t="str">
            <v>Property</v>
          </cell>
          <cell r="G5786" t="str">
            <v>Real</v>
          </cell>
        </row>
        <row r="5787">
          <cell r="A5787" t="str">
            <v>EUROMEX</v>
          </cell>
          <cell r="B5787">
            <v>202507</v>
          </cell>
          <cell r="D5787" t="str">
            <v>RC</v>
          </cell>
          <cell r="G5787" t="str">
            <v>Presupuesto</v>
          </cell>
        </row>
        <row r="5788">
          <cell r="A5788" t="str">
            <v>EUROMEX</v>
          </cell>
          <cell r="B5788">
            <v>202507</v>
          </cell>
          <cell r="D5788" t="str">
            <v>RC</v>
          </cell>
          <cell r="G5788" t="str">
            <v>Real</v>
          </cell>
        </row>
        <row r="5789">
          <cell r="A5789" t="str">
            <v>EUROMEX</v>
          </cell>
          <cell r="B5789">
            <v>202507</v>
          </cell>
          <cell r="D5789" t="str">
            <v>Resto de lineas</v>
          </cell>
          <cell r="G5789" t="str">
            <v>Presupuesto</v>
          </cell>
        </row>
        <row r="5790">
          <cell r="A5790" t="str">
            <v>EUROMEX</v>
          </cell>
          <cell r="B5790">
            <v>202507</v>
          </cell>
          <cell r="D5790" t="str">
            <v>Retirada</v>
          </cell>
          <cell r="G5790" t="str">
            <v>Presupuesto</v>
          </cell>
        </row>
        <row r="5791">
          <cell r="A5791" t="str">
            <v>EUROMEX</v>
          </cell>
          <cell r="B5791">
            <v>202507</v>
          </cell>
          <cell r="D5791" t="str">
            <v>Seguros Personales (No Vida) Colectivos</v>
          </cell>
          <cell r="G5791" t="str">
            <v>Presupuesto</v>
          </cell>
        </row>
        <row r="5792">
          <cell r="A5792" t="str">
            <v>EUROMEX</v>
          </cell>
          <cell r="B5792">
            <v>202507</v>
          </cell>
          <cell r="D5792" t="str">
            <v>Seguros Personales (No Vida) Colectivos</v>
          </cell>
          <cell r="G5792" t="str">
            <v>Real</v>
          </cell>
        </row>
        <row r="5793">
          <cell r="A5793" t="str">
            <v>EUROMEX</v>
          </cell>
          <cell r="B5793">
            <v>202507</v>
          </cell>
          <cell r="D5793" t="str">
            <v>Seguros Personales (No Vida) Particular</v>
          </cell>
          <cell r="G5793" t="str">
            <v>Presupuesto</v>
          </cell>
        </row>
        <row r="5794">
          <cell r="A5794" t="str">
            <v>EUROMEX</v>
          </cell>
          <cell r="B5794">
            <v>202507</v>
          </cell>
          <cell r="D5794" t="str">
            <v>Seguros Personales (No Vida) Particular</v>
          </cell>
          <cell r="G5794" t="str">
            <v>Real</v>
          </cell>
        </row>
        <row r="5795">
          <cell r="A5795" t="str">
            <v>EUROMEX</v>
          </cell>
          <cell r="B5795">
            <v>202507</v>
          </cell>
          <cell r="D5795" t="str">
            <v>Transporte</v>
          </cell>
          <cell r="G5795" t="str">
            <v>Presupuesto</v>
          </cell>
        </row>
        <row r="5796">
          <cell r="A5796" t="str">
            <v>EUROMEX</v>
          </cell>
          <cell r="B5796">
            <v>202507</v>
          </cell>
          <cell r="D5796" t="str">
            <v>Transporte</v>
          </cell>
          <cell r="G5796" t="str">
            <v>Real</v>
          </cell>
        </row>
        <row r="5797">
          <cell r="A5797" t="str">
            <v>EUROMEX</v>
          </cell>
          <cell r="B5797">
            <v>202507</v>
          </cell>
          <cell r="D5797" t="str">
            <v>Venta Cruzada</v>
          </cell>
          <cell r="G5797" t="str">
            <v>Presupuesto</v>
          </cell>
        </row>
        <row r="5798">
          <cell r="A5798" t="str">
            <v>EUROMEX</v>
          </cell>
          <cell r="B5798">
            <v>202507</v>
          </cell>
          <cell r="D5798" t="str">
            <v>Vida Ahorro Colectivo</v>
          </cell>
          <cell r="G5798" t="str">
            <v>Presupuesto</v>
          </cell>
        </row>
        <row r="5799">
          <cell r="A5799" t="str">
            <v>EUROMEX</v>
          </cell>
          <cell r="B5799">
            <v>202507</v>
          </cell>
          <cell r="D5799" t="str">
            <v>Vida Ahorro Particular</v>
          </cell>
          <cell r="G5799" t="str">
            <v>Presupuesto</v>
          </cell>
        </row>
        <row r="5800">
          <cell r="A5800" t="str">
            <v>EUROMEX</v>
          </cell>
          <cell r="B5800">
            <v>202507</v>
          </cell>
          <cell r="D5800" t="str">
            <v>Vida Ahorro Particular</v>
          </cell>
          <cell r="G5800" t="str">
            <v>Real</v>
          </cell>
        </row>
        <row r="5801">
          <cell r="A5801" t="str">
            <v>EUROMEX</v>
          </cell>
          <cell r="B5801">
            <v>202507</v>
          </cell>
          <cell r="D5801" t="str">
            <v>Vida Ganado</v>
          </cell>
          <cell r="G5801" t="str">
            <v>Presupuesto</v>
          </cell>
        </row>
        <row r="5802">
          <cell r="A5802" t="str">
            <v>EUROMEX</v>
          </cell>
          <cell r="B5802">
            <v>202507</v>
          </cell>
          <cell r="D5802" t="str">
            <v>Vida Riesgo Colectivo</v>
          </cell>
          <cell r="G5802" t="str">
            <v>Presupuesto</v>
          </cell>
        </row>
        <row r="5803">
          <cell r="A5803" t="str">
            <v>EUROMEX</v>
          </cell>
          <cell r="B5803">
            <v>202507</v>
          </cell>
          <cell r="D5803" t="str">
            <v>Vida Riesgo Particular</v>
          </cell>
          <cell r="G5803" t="str">
            <v>Presupuesto</v>
          </cell>
        </row>
        <row r="5804">
          <cell r="A5804" t="str">
            <v>EUROMEX</v>
          </cell>
          <cell r="B5804">
            <v>202507</v>
          </cell>
          <cell r="D5804" t="str">
            <v>Vida Riesgo Particular</v>
          </cell>
          <cell r="G5804" t="str">
            <v>Real</v>
          </cell>
        </row>
        <row r="5805">
          <cell r="A5805" t="str">
            <v>EUROMEX</v>
          </cell>
          <cell r="B5805">
            <v>202508</v>
          </cell>
          <cell r="D5805" t="str">
            <v>--</v>
          </cell>
          <cell r="G5805" t="str">
            <v>Presupuesto</v>
          </cell>
        </row>
        <row r="5806">
          <cell r="A5806" t="str">
            <v>EUROMEX</v>
          </cell>
          <cell r="B5806">
            <v>202508</v>
          </cell>
          <cell r="D5806" t="str">
            <v>--</v>
          </cell>
          <cell r="G5806" t="str">
            <v>Real</v>
          </cell>
        </row>
        <row r="5807">
          <cell r="A5807" t="str">
            <v>EUROMEX</v>
          </cell>
          <cell r="B5807">
            <v>202508</v>
          </cell>
          <cell r="D5807" t="str">
            <v>Arte</v>
          </cell>
          <cell r="G5807" t="str">
            <v>Presupuesto</v>
          </cell>
        </row>
        <row r="5808">
          <cell r="A5808" t="str">
            <v>EUROMEX</v>
          </cell>
          <cell r="B5808">
            <v>202508</v>
          </cell>
          <cell r="D5808" t="str">
            <v>Autos</v>
          </cell>
          <cell r="G5808" t="str">
            <v>Presupuesto</v>
          </cell>
        </row>
        <row r="5809">
          <cell r="A5809" t="str">
            <v>EUROMEX</v>
          </cell>
          <cell r="B5809">
            <v>202508</v>
          </cell>
          <cell r="D5809" t="str">
            <v>Autos</v>
          </cell>
          <cell r="G5809" t="str">
            <v>Real</v>
          </cell>
        </row>
        <row r="5810">
          <cell r="A5810" t="str">
            <v>EUROMEX</v>
          </cell>
          <cell r="B5810">
            <v>202508</v>
          </cell>
          <cell r="D5810" t="str">
            <v>B2B2C</v>
          </cell>
          <cell r="G5810" t="str">
            <v>Presupuesto</v>
          </cell>
        </row>
        <row r="5811">
          <cell r="A5811" t="str">
            <v>EUROMEX</v>
          </cell>
          <cell r="B5811">
            <v>202508</v>
          </cell>
          <cell r="D5811" t="str">
            <v>Caución</v>
          </cell>
          <cell r="G5811" t="str">
            <v>Presupuesto</v>
          </cell>
        </row>
        <row r="5812">
          <cell r="A5812" t="str">
            <v>EUROMEX</v>
          </cell>
          <cell r="B5812">
            <v>202508</v>
          </cell>
          <cell r="D5812" t="str">
            <v>Crédito Nacional</v>
          </cell>
          <cell r="G5812" t="str">
            <v>Real</v>
          </cell>
        </row>
        <row r="5813">
          <cell r="A5813" t="str">
            <v>EUROMEX</v>
          </cell>
          <cell r="B5813">
            <v>202508</v>
          </cell>
          <cell r="D5813" t="str">
            <v>Crédito Internacional</v>
          </cell>
          <cell r="G5813" t="str">
            <v>Presupuesto</v>
          </cell>
        </row>
        <row r="5814">
          <cell r="A5814" t="str">
            <v>EUROMEX</v>
          </cell>
          <cell r="B5814">
            <v>202508</v>
          </cell>
          <cell r="D5814" t="str">
            <v>Crédito Nacional</v>
          </cell>
          <cell r="G5814" t="str">
            <v>Presupuesto</v>
          </cell>
        </row>
        <row r="5815">
          <cell r="A5815" t="str">
            <v>EUROMEX</v>
          </cell>
          <cell r="B5815">
            <v>202508</v>
          </cell>
          <cell r="D5815" t="str">
            <v>Eventos</v>
          </cell>
          <cell r="G5815" t="str">
            <v>Presupuesto</v>
          </cell>
        </row>
        <row r="5816">
          <cell r="A5816" t="str">
            <v>EUROMEX</v>
          </cell>
          <cell r="B5816">
            <v>202508</v>
          </cell>
          <cell r="D5816" t="str">
            <v>Eventos</v>
          </cell>
          <cell r="G5816" t="str">
            <v>Real</v>
          </cell>
        </row>
        <row r="5817">
          <cell r="A5817" t="str">
            <v>EUROMEX</v>
          </cell>
          <cell r="B5817">
            <v>202508</v>
          </cell>
          <cell r="D5817" t="str">
            <v>Flotas</v>
          </cell>
          <cell r="G5817" t="str">
            <v>Presupuesto</v>
          </cell>
        </row>
        <row r="5818">
          <cell r="A5818" t="str">
            <v>EUROMEX</v>
          </cell>
          <cell r="B5818">
            <v>202508</v>
          </cell>
          <cell r="D5818" t="str">
            <v>Flotas</v>
          </cell>
          <cell r="G5818" t="str">
            <v>Real</v>
          </cell>
        </row>
        <row r="5819">
          <cell r="A5819" t="str">
            <v>EUROMEX</v>
          </cell>
          <cell r="B5819">
            <v>202508</v>
          </cell>
          <cell r="D5819" t="str">
            <v>Hogar</v>
          </cell>
          <cell r="G5819" t="str">
            <v>Presupuesto</v>
          </cell>
        </row>
        <row r="5820">
          <cell r="A5820" t="str">
            <v>EUROMEX</v>
          </cell>
          <cell r="B5820">
            <v>202508</v>
          </cell>
          <cell r="D5820" t="str">
            <v>Hogar</v>
          </cell>
          <cell r="G5820" t="str">
            <v>Real</v>
          </cell>
        </row>
        <row r="5821">
          <cell r="A5821" t="str">
            <v>EUROMEX</v>
          </cell>
          <cell r="B5821">
            <v>202508</v>
          </cell>
          <cell r="D5821" t="str">
            <v>Ingeniería</v>
          </cell>
          <cell r="G5821" t="str">
            <v>Presupuesto</v>
          </cell>
        </row>
        <row r="5822">
          <cell r="A5822" t="str">
            <v>EUROMEX</v>
          </cell>
          <cell r="B5822">
            <v>202508</v>
          </cell>
          <cell r="D5822" t="str">
            <v>Ingeniería</v>
          </cell>
          <cell r="G5822" t="str">
            <v>Real</v>
          </cell>
        </row>
        <row r="5823">
          <cell r="A5823" t="str">
            <v>EUROMEX</v>
          </cell>
          <cell r="B5823">
            <v>202508</v>
          </cell>
          <cell r="D5823" t="str">
            <v>Inmobiliario</v>
          </cell>
          <cell r="G5823" t="str">
            <v>Presupuesto</v>
          </cell>
        </row>
        <row r="5824">
          <cell r="A5824" t="str">
            <v>EUROMEX</v>
          </cell>
          <cell r="B5824">
            <v>202508</v>
          </cell>
          <cell r="D5824" t="str">
            <v>Líneas Financieras</v>
          </cell>
          <cell r="G5824" t="str">
            <v>Presupuesto</v>
          </cell>
        </row>
        <row r="5825">
          <cell r="A5825" t="str">
            <v>EUROMEX</v>
          </cell>
          <cell r="B5825">
            <v>202508</v>
          </cell>
          <cell r="D5825" t="str">
            <v>Líneas Financieras</v>
          </cell>
          <cell r="G5825" t="str">
            <v>Real</v>
          </cell>
        </row>
        <row r="5826">
          <cell r="A5826" t="str">
            <v>EUROMEX</v>
          </cell>
          <cell r="B5826">
            <v>202508</v>
          </cell>
          <cell r="D5826" t="str">
            <v>Náutica</v>
          </cell>
          <cell r="G5826" t="str">
            <v>Presupuesto</v>
          </cell>
        </row>
        <row r="5827">
          <cell r="A5827" t="str">
            <v>EUROMEX</v>
          </cell>
          <cell r="B5827">
            <v>202508</v>
          </cell>
          <cell r="D5827" t="str">
            <v>Particulares Resto</v>
          </cell>
          <cell r="G5827" t="str">
            <v>Presupuesto</v>
          </cell>
        </row>
        <row r="5828">
          <cell r="A5828" t="str">
            <v>EUROMEX</v>
          </cell>
          <cell r="B5828">
            <v>202508</v>
          </cell>
          <cell r="D5828" t="str">
            <v>Particulares Resto</v>
          </cell>
          <cell r="G5828" t="str">
            <v>Real</v>
          </cell>
        </row>
        <row r="5829">
          <cell r="A5829" t="str">
            <v>EUROMEX</v>
          </cell>
          <cell r="B5829">
            <v>202508</v>
          </cell>
          <cell r="D5829" t="str">
            <v>Property</v>
          </cell>
          <cell r="G5829" t="str">
            <v>Presupuesto</v>
          </cell>
        </row>
        <row r="5830">
          <cell r="A5830" t="str">
            <v>EUROMEX</v>
          </cell>
          <cell r="B5830">
            <v>202508</v>
          </cell>
          <cell r="D5830" t="str">
            <v>Property</v>
          </cell>
          <cell r="G5830" t="str">
            <v>Real</v>
          </cell>
        </row>
        <row r="5831">
          <cell r="A5831" t="str">
            <v>EUROMEX</v>
          </cell>
          <cell r="B5831">
            <v>202508</v>
          </cell>
          <cell r="D5831" t="str">
            <v>RC</v>
          </cell>
          <cell r="G5831" t="str">
            <v>Presupuesto</v>
          </cell>
        </row>
        <row r="5832">
          <cell r="A5832" t="str">
            <v>EUROMEX</v>
          </cell>
          <cell r="B5832">
            <v>202508</v>
          </cell>
          <cell r="D5832" t="str">
            <v>RC</v>
          </cell>
          <cell r="G5832" t="str">
            <v>Real</v>
          </cell>
        </row>
        <row r="5833">
          <cell r="A5833" t="str">
            <v>EUROMEX</v>
          </cell>
          <cell r="B5833">
            <v>202508</v>
          </cell>
          <cell r="D5833" t="str">
            <v>Resto de lineas</v>
          </cell>
          <cell r="G5833" t="str">
            <v>Presupuesto</v>
          </cell>
        </row>
        <row r="5834">
          <cell r="A5834" t="str">
            <v>EUROMEX</v>
          </cell>
          <cell r="B5834">
            <v>202508</v>
          </cell>
          <cell r="D5834" t="str">
            <v>Retirada</v>
          </cell>
          <cell r="G5834" t="str">
            <v>Presupuesto</v>
          </cell>
        </row>
        <row r="5835">
          <cell r="A5835" t="str">
            <v>EUROMEX</v>
          </cell>
          <cell r="B5835">
            <v>202508</v>
          </cell>
          <cell r="D5835" t="str">
            <v>Seguros Personales (No Vida) Colectivos</v>
          </cell>
          <cell r="G5835" t="str">
            <v>Presupuesto</v>
          </cell>
        </row>
        <row r="5836">
          <cell r="A5836" t="str">
            <v>EUROMEX</v>
          </cell>
          <cell r="B5836">
            <v>202508</v>
          </cell>
          <cell r="D5836" t="str">
            <v>Seguros Personales (No Vida) Colectivos</v>
          </cell>
          <cell r="G5836" t="str">
            <v>Real</v>
          </cell>
        </row>
        <row r="5837">
          <cell r="A5837" t="str">
            <v>EUROMEX</v>
          </cell>
          <cell r="B5837">
            <v>202508</v>
          </cell>
          <cell r="D5837" t="str">
            <v>Seguros Personales (No Vida) Particular</v>
          </cell>
          <cell r="G5837" t="str">
            <v>Presupuesto</v>
          </cell>
        </row>
        <row r="5838">
          <cell r="A5838" t="str">
            <v>EUROMEX</v>
          </cell>
          <cell r="B5838">
            <v>202508</v>
          </cell>
          <cell r="D5838" t="str">
            <v>Seguros Personales (No Vida) Particular</v>
          </cell>
          <cell r="G5838" t="str">
            <v>Real</v>
          </cell>
        </row>
        <row r="5839">
          <cell r="A5839" t="str">
            <v>EUROMEX</v>
          </cell>
          <cell r="B5839">
            <v>202508</v>
          </cell>
          <cell r="D5839" t="str">
            <v>Transporte</v>
          </cell>
          <cell r="G5839" t="str">
            <v>Presupuesto</v>
          </cell>
        </row>
        <row r="5840">
          <cell r="A5840" t="str">
            <v>EUROMEX</v>
          </cell>
          <cell r="B5840">
            <v>202508</v>
          </cell>
          <cell r="D5840" t="str">
            <v>Transporte</v>
          </cell>
          <cell r="G5840" t="str">
            <v>Real</v>
          </cell>
        </row>
        <row r="5841">
          <cell r="A5841" t="str">
            <v>EUROMEX</v>
          </cell>
          <cell r="B5841">
            <v>202508</v>
          </cell>
          <cell r="D5841" t="str">
            <v>Venta Cruzada</v>
          </cell>
          <cell r="G5841" t="str">
            <v>Presupuesto</v>
          </cell>
        </row>
        <row r="5842">
          <cell r="A5842" t="str">
            <v>EUROMEX</v>
          </cell>
          <cell r="B5842">
            <v>202508</v>
          </cell>
          <cell r="D5842" t="str">
            <v>Vida Ahorro Colectivo</v>
          </cell>
          <cell r="G5842" t="str">
            <v>Presupuesto</v>
          </cell>
        </row>
        <row r="5843">
          <cell r="A5843" t="str">
            <v>EUROMEX</v>
          </cell>
          <cell r="B5843">
            <v>202508</v>
          </cell>
          <cell r="D5843" t="str">
            <v>Vida Ahorro Particular</v>
          </cell>
          <cell r="G5843" t="str">
            <v>Presupuesto</v>
          </cell>
        </row>
        <row r="5844">
          <cell r="A5844" t="str">
            <v>EUROMEX</v>
          </cell>
          <cell r="B5844">
            <v>202508</v>
          </cell>
          <cell r="D5844" t="str">
            <v>Vida Ahorro Particular</v>
          </cell>
          <cell r="G5844" t="str">
            <v>Real</v>
          </cell>
        </row>
        <row r="5845">
          <cell r="A5845" t="str">
            <v>EUROMEX</v>
          </cell>
          <cell r="B5845">
            <v>202508</v>
          </cell>
          <cell r="D5845" t="str">
            <v>Vida Ganado</v>
          </cell>
          <cell r="G5845" t="str">
            <v>Presupuesto</v>
          </cell>
        </row>
        <row r="5846">
          <cell r="A5846" t="str">
            <v>EUROMEX</v>
          </cell>
          <cell r="B5846">
            <v>202508</v>
          </cell>
          <cell r="D5846" t="str">
            <v>Vida Riesgo Colectivo</v>
          </cell>
          <cell r="G5846" t="str">
            <v>Presupuesto</v>
          </cell>
        </row>
        <row r="5847">
          <cell r="A5847" t="str">
            <v>EUROMEX</v>
          </cell>
          <cell r="B5847">
            <v>202508</v>
          </cell>
          <cell r="D5847" t="str">
            <v>Vida Riesgo Particular</v>
          </cell>
          <cell r="G5847" t="str">
            <v>Presupuesto</v>
          </cell>
        </row>
        <row r="5848">
          <cell r="A5848" t="str">
            <v>EUROMEX</v>
          </cell>
          <cell r="B5848">
            <v>202508</v>
          </cell>
          <cell r="D5848" t="str">
            <v>Vida Riesgo Particular</v>
          </cell>
          <cell r="G5848" t="str">
            <v>Real</v>
          </cell>
        </row>
        <row r="5849">
          <cell r="A5849" t="str">
            <v>EUROMEX</v>
          </cell>
          <cell r="B5849">
            <v>202509</v>
          </cell>
          <cell r="D5849" t="str">
            <v>--</v>
          </cell>
          <cell r="G5849" t="str">
            <v>Presupuesto</v>
          </cell>
        </row>
        <row r="5850">
          <cell r="A5850" t="str">
            <v>EUROMEX</v>
          </cell>
          <cell r="B5850">
            <v>202509</v>
          </cell>
          <cell r="D5850" t="str">
            <v>--</v>
          </cell>
          <cell r="G5850" t="str">
            <v>Real</v>
          </cell>
        </row>
        <row r="5851">
          <cell r="A5851" t="str">
            <v>EUROMEX</v>
          </cell>
          <cell r="B5851">
            <v>202509</v>
          </cell>
          <cell r="D5851" t="str">
            <v>Arte</v>
          </cell>
          <cell r="G5851" t="str">
            <v>Presupuesto</v>
          </cell>
        </row>
        <row r="5852">
          <cell r="A5852" t="str">
            <v>EUROMEX</v>
          </cell>
          <cell r="B5852">
            <v>202509</v>
          </cell>
          <cell r="D5852" t="str">
            <v>Autos</v>
          </cell>
          <cell r="G5852" t="str">
            <v>Presupuesto</v>
          </cell>
        </row>
        <row r="5853">
          <cell r="A5853" t="str">
            <v>EUROMEX</v>
          </cell>
          <cell r="B5853">
            <v>202509</v>
          </cell>
          <cell r="D5853" t="str">
            <v>Autos</v>
          </cell>
          <cell r="G5853" t="str">
            <v>Real</v>
          </cell>
        </row>
        <row r="5854">
          <cell r="A5854" t="str">
            <v>EUROMEX</v>
          </cell>
          <cell r="B5854">
            <v>202509</v>
          </cell>
          <cell r="D5854" t="str">
            <v>B2B2C</v>
          </cell>
          <cell r="G5854" t="str">
            <v>Presupuesto</v>
          </cell>
        </row>
        <row r="5855">
          <cell r="A5855" t="str">
            <v>EUROMEX</v>
          </cell>
          <cell r="B5855">
            <v>202509</v>
          </cell>
          <cell r="D5855" t="str">
            <v>Caución</v>
          </cell>
          <cell r="G5855" t="str">
            <v>Presupuesto</v>
          </cell>
        </row>
        <row r="5856">
          <cell r="A5856" t="str">
            <v>EUROMEX</v>
          </cell>
          <cell r="B5856">
            <v>202509</v>
          </cell>
          <cell r="D5856" t="str">
            <v>Crédito Nacional</v>
          </cell>
          <cell r="G5856" t="str">
            <v>Real</v>
          </cell>
        </row>
        <row r="5857">
          <cell r="A5857" t="str">
            <v>EUROMEX</v>
          </cell>
          <cell r="B5857">
            <v>202509</v>
          </cell>
          <cell r="D5857" t="str">
            <v>Crédito Internacional</v>
          </cell>
          <cell r="G5857" t="str">
            <v>Presupuesto</v>
          </cell>
        </row>
        <row r="5858">
          <cell r="A5858" t="str">
            <v>EUROMEX</v>
          </cell>
          <cell r="B5858">
            <v>202509</v>
          </cell>
          <cell r="D5858" t="str">
            <v>Crédito Internacional</v>
          </cell>
          <cell r="G5858" t="str">
            <v>Real</v>
          </cell>
        </row>
        <row r="5859">
          <cell r="A5859" t="str">
            <v>EUROMEX</v>
          </cell>
          <cell r="B5859">
            <v>202509</v>
          </cell>
          <cell r="D5859" t="str">
            <v>Crédito Nacional</v>
          </cell>
          <cell r="G5859" t="str">
            <v>Presupuesto</v>
          </cell>
        </row>
        <row r="5860">
          <cell r="A5860" t="str">
            <v>EUROMEX</v>
          </cell>
          <cell r="B5860">
            <v>202509</v>
          </cell>
          <cell r="D5860" t="str">
            <v>Eventos</v>
          </cell>
          <cell r="G5860" t="str">
            <v>Presupuesto</v>
          </cell>
        </row>
        <row r="5861">
          <cell r="A5861" t="str">
            <v>EUROMEX</v>
          </cell>
          <cell r="B5861">
            <v>202509</v>
          </cell>
          <cell r="D5861" t="str">
            <v>Eventos</v>
          </cell>
          <cell r="G5861" t="str">
            <v>Real</v>
          </cell>
        </row>
        <row r="5862">
          <cell r="A5862" t="str">
            <v>EUROMEX</v>
          </cell>
          <cell r="B5862">
            <v>202509</v>
          </cell>
          <cell r="D5862" t="str">
            <v>Flotas</v>
          </cell>
          <cell r="G5862" t="str">
            <v>Presupuesto</v>
          </cell>
        </row>
        <row r="5863">
          <cell r="A5863" t="str">
            <v>EUROMEX</v>
          </cell>
          <cell r="B5863">
            <v>202509</v>
          </cell>
          <cell r="D5863" t="str">
            <v>Flotas</v>
          </cell>
          <cell r="G5863" t="str">
            <v>Real</v>
          </cell>
        </row>
        <row r="5864">
          <cell r="A5864" t="str">
            <v>EUROMEX</v>
          </cell>
          <cell r="B5864">
            <v>202509</v>
          </cell>
          <cell r="D5864" t="str">
            <v>Hogar</v>
          </cell>
          <cell r="G5864" t="str">
            <v>Presupuesto</v>
          </cell>
        </row>
        <row r="5865">
          <cell r="A5865" t="str">
            <v>EUROMEX</v>
          </cell>
          <cell r="B5865">
            <v>202509</v>
          </cell>
          <cell r="D5865" t="str">
            <v>Hogar</v>
          </cell>
          <cell r="G5865" t="str">
            <v>Real</v>
          </cell>
        </row>
        <row r="5866">
          <cell r="A5866" t="str">
            <v>EUROMEX</v>
          </cell>
          <cell r="B5866">
            <v>202509</v>
          </cell>
          <cell r="D5866" t="str">
            <v>Ingeniería</v>
          </cell>
          <cell r="G5866" t="str">
            <v>Presupuesto</v>
          </cell>
        </row>
        <row r="5867">
          <cell r="A5867" t="str">
            <v>EUROMEX</v>
          </cell>
          <cell r="B5867">
            <v>202509</v>
          </cell>
          <cell r="D5867" t="str">
            <v>Ingeniería</v>
          </cell>
          <cell r="G5867" t="str">
            <v>Real</v>
          </cell>
        </row>
        <row r="5868">
          <cell r="A5868" t="str">
            <v>EUROMEX</v>
          </cell>
          <cell r="B5868">
            <v>202509</v>
          </cell>
          <cell r="D5868" t="str">
            <v>Inmobiliario</v>
          </cell>
          <cell r="G5868" t="str">
            <v>Presupuesto</v>
          </cell>
        </row>
        <row r="5869">
          <cell r="A5869" t="str">
            <v>EUROMEX</v>
          </cell>
          <cell r="B5869">
            <v>202509</v>
          </cell>
          <cell r="D5869" t="str">
            <v>Inmobiliario</v>
          </cell>
          <cell r="G5869" t="str">
            <v>Real</v>
          </cell>
        </row>
        <row r="5870">
          <cell r="A5870" t="str">
            <v>EUROMEX</v>
          </cell>
          <cell r="B5870">
            <v>202509</v>
          </cell>
          <cell r="D5870" t="str">
            <v>Líneas Financieras</v>
          </cell>
          <cell r="G5870" t="str">
            <v>Presupuesto</v>
          </cell>
        </row>
        <row r="5871">
          <cell r="A5871" t="str">
            <v>EUROMEX</v>
          </cell>
          <cell r="B5871">
            <v>202509</v>
          </cell>
          <cell r="D5871" t="str">
            <v>Líneas Financieras</v>
          </cell>
          <cell r="G5871" t="str">
            <v>Real</v>
          </cell>
        </row>
        <row r="5872">
          <cell r="A5872" t="str">
            <v>EUROMEX</v>
          </cell>
          <cell r="B5872">
            <v>202509</v>
          </cell>
          <cell r="D5872" t="str">
            <v>Náutica</v>
          </cell>
          <cell r="G5872" t="str">
            <v>Presupuesto</v>
          </cell>
        </row>
        <row r="5873">
          <cell r="A5873" t="str">
            <v>EUROMEX</v>
          </cell>
          <cell r="B5873">
            <v>202509</v>
          </cell>
          <cell r="D5873" t="str">
            <v>Náutica</v>
          </cell>
          <cell r="G5873" t="str">
            <v>Real</v>
          </cell>
        </row>
        <row r="5874">
          <cell r="A5874" t="str">
            <v>EUROMEX</v>
          </cell>
          <cell r="B5874">
            <v>202509</v>
          </cell>
          <cell r="D5874" t="str">
            <v>Particulares Resto</v>
          </cell>
          <cell r="G5874" t="str">
            <v>Presupuesto</v>
          </cell>
        </row>
        <row r="5875">
          <cell r="A5875" t="str">
            <v>EUROMEX</v>
          </cell>
          <cell r="B5875">
            <v>202509</v>
          </cell>
          <cell r="D5875" t="str">
            <v>Particulares Resto</v>
          </cell>
          <cell r="G5875" t="str">
            <v>Real</v>
          </cell>
        </row>
        <row r="5876">
          <cell r="A5876" t="str">
            <v>EUROMEX</v>
          </cell>
          <cell r="B5876">
            <v>202509</v>
          </cell>
          <cell r="D5876" t="str">
            <v>Property</v>
          </cell>
          <cell r="G5876" t="str">
            <v>Presupuesto</v>
          </cell>
        </row>
        <row r="5877">
          <cell r="A5877" t="str">
            <v>EUROMEX</v>
          </cell>
          <cell r="B5877">
            <v>202509</v>
          </cell>
          <cell r="D5877" t="str">
            <v>Property</v>
          </cell>
          <cell r="G5877" t="str">
            <v>Real</v>
          </cell>
        </row>
        <row r="5878">
          <cell r="A5878" t="str">
            <v>EUROMEX</v>
          </cell>
          <cell r="B5878">
            <v>202509</v>
          </cell>
          <cell r="D5878" t="str">
            <v>RC</v>
          </cell>
          <cell r="G5878" t="str">
            <v>Presupuesto</v>
          </cell>
        </row>
        <row r="5879">
          <cell r="A5879" t="str">
            <v>EUROMEX</v>
          </cell>
          <cell r="B5879">
            <v>202509</v>
          </cell>
          <cell r="D5879" t="str">
            <v>RC</v>
          </cell>
          <cell r="G5879" t="str">
            <v>Real</v>
          </cell>
        </row>
        <row r="5880">
          <cell r="A5880" t="str">
            <v>EUROMEX</v>
          </cell>
          <cell r="B5880">
            <v>202509</v>
          </cell>
          <cell r="D5880" t="str">
            <v>Resto de lineas</v>
          </cell>
          <cell r="G5880" t="str">
            <v>Presupuesto</v>
          </cell>
        </row>
        <row r="5881">
          <cell r="A5881" t="str">
            <v>EUROMEX</v>
          </cell>
          <cell r="B5881">
            <v>202509</v>
          </cell>
          <cell r="D5881" t="str">
            <v>Retirada</v>
          </cell>
          <cell r="G5881" t="str">
            <v>Presupuesto</v>
          </cell>
        </row>
        <row r="5882">
          <cell r="A5882" t="str">
            <v>EUROMEX</v>
          </cell>
          <cell r="B5882">
            <v>202509</v>
          </cell>
          <cell r="D5882" t="str">
            <v>Seguros Personales (No Vida) Colectivos</v>
          </cell>
          <cell r="G5882" t="str">
            <v>Presupuesto</v>
          </cell>
        </row>
        <row r="5883">
          <cell r="A5883" t="str">
            <v>EUROMEX</v>
          </cell>
          <cell r="B5883">
            <v>202509</v>
          </cell>
          <cell r="D5883" t="str">
            <v>Seguros Personales (No Vida) Colectivos</v>
          </cell>
          <cell r="G5883" t="str">
            <v>Real</v>
          </cell>
        </row>
        <row r="5884">
          <cell r="A5884" t="str">
            <v>EUROMEX</v>
          </cell>
          <cell r="B5884">
            <v>202509</v>
          </cell>
          <cell r="D5884" t="str">
            <v>Seguros Personales (No Vida) Particular</v>
          </cell>
          <cell r="G5884" t="str">
            <v>Presupuesto</v>
          </cell>
        </row>
        <row r="5885">
          <cell r="A5885" t="str">
            <v>EUROMEX</v>
          </cell>
          <cell r="B5885">
            <v>202509</v>
          </cell>
          <cell r="D5885" t="str">
            <v>Seguros Personales (No Vida) Particular</v>
          </cell>
          <cell r="G5885" t="str">
            <v>Real</v>
          </cell>
        </row>
        <row r="5886">
          <cell r="A5886" t="str">
            <v>EUROMEX</v>
          </cell>
          <cell r="B5886">
            <v>202509</v>
          </cell>
          <cell r="D5886" t="str">
            <v>Transporte</v>
          </cell>
          <cell r="G5886" t="str">
            <v>Presupuesto</v>
          </cell>
        </row>
        <row r="5887">
          <cell r="A5887" t="str">
            <v>EUROMEX</v>
          </cell>
          <cell r="B5887">
            <v>202509</v>
          </cell>
          <cell r="D5887" t="str">
            <v>Transporte</v>
          </cell>
          <cell r="G5887" t="str">
            <v>Real</v>
          </cell>
        </row>
        <row r="5888">
          <cell r="A5888" t="str">
            <v>EUROMEX</v>
          </cell>
          <cell r="B5888">
            <v>202509</v>
          </cell>
          <cell r="D5888" t="str">
            <v>Venta Cruzada</v>
          </cell>
          <cell r="G5888" t="str">
            <v>Presupuesto</v>
          </cell>
        </row>
        <row r="5889">
          <cell r="A5889" t="str">
            <v>EUROMEX</v>
          </cell>
          <cell r="B5889">
            <v>202509</v>
          </cell>
          <cell r="D5889" t="str">
            <v>Vida Ahorro Colectivo</v>
          </cell>
          <cell r="G5889" t="str">
            <v>Presupuesto</v>
          </cell>
        </row>
        <row r="5890">
          <cell r="A5890" t="str">
            <v>EUROMEX</v>
          </cell>
          <cell r="B5890">
            <v>202509</v>
          </cell>
          <cell r="D5890" t="str">
            <v>Vida Ahorro Particular</v>
          </cell>
          <cell r="G5890" t="str">
            <v>Presupuesto</v>
          </cell>
        </row>
        <row r="5891">
          <cell r="A5891" t="str">
            <v>EUROMEX</v>
          </cell>
          <cell r="B5891">
            <v>202509</v>
          </cell>
          <cell r="D5891" t="str">
            <v>Vida Ahorro Particular</v>
          </cell>
          <cell r="G5891" t="str">
            <v>Real</v>
          </cell>
        </row>
        <row r="5892">
          <cell r="A5892" t="str">
            <v>EUROMEX</v>
          </cell>
          <cell r="B5892">
            <v>202509</v>
          </cell>
          <cell r="D5892" t="str">
            <v>Vida Ganado</v>
          </cell>
          <cell r="G5892" t="str">
            <v>Presupuesto</v>
          </cell>
        </row>
        <row r="5893">
          <cell r="A5893" t="str">
            <v>EUROMEX</v>
          </cell>
          <cell r="B5893">
            <v>202509</v>
          </cell>
          <cell r="D5893" t="str">
            <v>Vida Riesgo Colectivo</v>
          </cell>
          <cell r="G5893" t="str">
            <v>Presupuesto</v>
          </cell>
        </row>
        <row r="5894">
          <cell r="A5894" t="str">
            <v>EUROMEX</v>
          </cell>
          <cell r="B5894">
            <v>202509</v>
          </cell>
          <cell r="D5894" t="str">
            <v>Vida Riesgo Particular</v>
          </cell>
          <cell r="G5894" t="str">
            <v>Presupuesto</v>
          </cell>
        </row>
        <row r="5895">
          <cell r="A5895" t="str">
            <v>EUROMEX</v>
          </cell>
          <cell r="B5895">
            <v>202509</v>
          </cell>
          <cell r="D5895" t="str">
            <v>Vida Riesgo Particular</v>
          </cell>
          <cell r="G5895" t="str">
            <v>Real</v>
          </cell>
        </row>
        <row r="5896">
          <cell r="A5896" t="str">
            <v>EUROMEX</v>
          </cell>
          <cell r="B5896">
            <v>202510</v>
          </cell>
          <cell r="D5896" t="str">
            <v>--</v>
          </cell>
          <cell r="G5896" t="str">
            <v>Presupuesto</v>
          </cell>
        </row>
        <row r="5897">
          <cell r="A5897" t="str">
            <v>EUROMEX</v>
          </cell>
          <cell r="B5897">
            <v>202510</v>
          </cell>
          <cell r="D5897" t="str">
            <v>--</v>
          </cell>
          <cell r="G5897" t="str">
            <v>Real</v>
          </cell>
        </row>
        <row r="5898">
          <cell r="A5898" t="str">
            <v>EUROMEX</v>
          </cell>
          <cell r="B5898">
            <v>202510</v>
          </cell>
          <cell r="D5898" t="str">
            <v>Arte</v>
          </cell>
          <cell r="G5898" t="str">
            <v>Presupuesto</v>
          </cell>
        </row>
        <row r="5899">
          <cell r="A5899" t="str">
            <v>EUROMEX</v>
          </cell>
          <cell r="B5899">
            <v>202510</v>
          </cell>
          <cell r="D5899" t="str">
            <v>Autos</v>
          </cell>
          <cell r="G5899" t="str">
            <v>Presupuesto</v>
          </cell>
        </row>
        <row r="5900">
          <cell r="A5900" t="str">
            <v>EUROMEX</v>
          </cell>
          <cell r="B5900">
            <v>202510</v>
          </cell>
          <cell r="D5900" t="str">
            <v>Autos</v>
          </cell>
          <cell r="G5900" t="str">
            <v>Real</v>
          </cell>
        </row>
        <row r="5901">
          <cell r="A5901" t="str">
            <v>EUROMEX</v>
          </cell>
          <cell r="B5901">
            <v>202510</v>
          </cell>
          <cell r="D5901" t="str">
            <v>B2B2C</v>
          </cell>
          <cell r="G5901" t="str">
            <v>Presupuesto</v>
          </cell>
        </row>
        <row r="5902">
          <cell r="A5902" t="str">
            <v>EUROMEX</v>
          </cell>
          <cell r="B5902">
            <v>202510</v>
          </cell>
          <cell r="D5902" t="str">
            <v>Caución</v>
          </cell>
          <cell r="G5902" t="str">
            <v>Presupuesto</v>
          </cell>
        </row>
        <row r="5903">
          <cell r="A5903" t="str">
            <v>EUROMEX</v>
          </cell>
          <cell r="B5903">
            <v>202510</v>
          </cell>
          <cell r="D5903" t="str">
            <v>Crédito Nacional</v>
          </cell>
          <cell r="G5903" t="str">
            <v>Real</v>
          </cell>
        </row>
        <row r="5904">
          <cell r="A5904" t="str">
            <v>EUROMEX</v>
          </cell>
          <cell r="B5904">
            <v>202510</v>
          </cell>
          <cell r="D5904" t="str">
            <v>Crédito Internacional</v>
          </cell>
          <cell r="G5904" t="str">
            <v>Presupuesto</v>
          </cell>
        </row>
        <row r="5905">
          <cell r="A5905" t="str">
            <v>EUROMEX</v>
          </cell>
          <cell r="B5905">
            <v>202510</v>
          </cell>
          <cell r="D5905" t="str">
            <v>Crédito Nacional</v>
          </cell>
          <cell r="G5905" t="str">
            <v>Presupuesto</v>
          </cell>
        </row>
        <row r="5906">
          <cell r="A5906" t="str">
            <v>EUROMEX</v>
          </cell>
          <cell r="B5906">
            <v>202510</v>
          </cell>
          <cell r="D5906" t="str">
            <v>Eventos</v>
          </cell>
          <cell r="G5906" t="str">
            <v>Presupuesto</v>
          </cell>
        </row>
        <row r="5907">
          <cell r="A5907" t="str">
            <v>EUROMEX</v>
          </cell>
          <cell r="B5907">
            <v>202510</v>
          </cell>
          <cell r="D5907" t="str">
            <v>Eventos</v>
          </cell>
          <cell r="G5907" t="str">
            <v>Real</v>
          </cell>
        </row>
        <row r="5908">
          <cell r="A5908" t="str">
            <v>EUROMEX</v>
          </cell>
          <cell r="B5908">
            <v>202510</v>
          </cell>
          <cell r="D5908" t="str">
            <v>Flotas</v>
          </cell>
          <cell r="G5908" t="str">
            <v>Presupuesto</v>
          </cell>
        </row>
        <row r="5909">
          <cell r="A5909" t="str">
            <v>EUROMEX</v>
          </cell>
          <cell r="B5909">
            <v>202510</v>
          </cell>
          <cell r="D5909" t="str">
            <v>Flotas</v>
          </cell>
          <cell r="G5909" t="str">
            <v>Real</v>
          </cell>
        </row>
        <row r="5910">
          <cell r="A5910" t="str">
            <v>EUROMEX</v>
          </cell>
          <cell r="B5910">
            <v>202510</v>
          </cell>
          <cell r="D5910" t="str">
            <v>Hogar</v>
          </cell>
          <cell r="G5910" t="str">
            <v>Presupuesto</v>
          </cell>
        </row>
        <row r="5911">
          <cell r="A5911" t="str">
            <v>EUROMEX</v>
          </cell>
          <cell r="B5911">
            <v>202510</v>
          </cell>
          <cell r="D5911" t="str">
            <v>Hogar</v>
          </cell>
          <cell r="G5911" t="str">
            <v>Real</v>
          </cell>
        </row>
        <row r="5912">
          <cell r="A5912" t="str">
            <v>EUROMEX</v>
          </cell>
          <cell r="B5912">
            <v>202510</v>
          </cell>
          <cell r="D5912" t="str">
            <v>Ingeniería</v>
          </cell>
          <cell r="G5912" t="str">
            <v>Presupuesto</v>
          </cell>
        </row>
        <row r="5913">
          <cell r="A5913" t="str">
            <v>EUROMEX</v>
          </cell>
          <cell r="B5913">
            <v>202510</v>
          </cell>
          <cell r="D5913" t="str">
            <v>Ingeniería</v>
          </cell>
          <cell r="G5913" t="str">
            <v>Real</v>
          </cell>
        </row>
        <row r="5914">
          <cell r="A5914" t="str">
            <v>EUROMEX</v>
          </cell>
          <cell r="B5914">
            <v>202510</v>
          </cell>
          <cell r="D5914" t="str">
            <v>Inmobiliario</v>
          </cell>
          <cell r="G5914" t="str">
            <v>Presupuesto</v>
          </cell>
        </row>
        <row r="5915">
          <cell r="A5915" t="str">
            <v>EUROMEX</v>
          </cell>
          <cell r="B5915">
            <v>202510</v>
          </cell>
          <cell r="D5915" t="str">
            <v>Líneas Financieras</v>
          </cell>
          <cell r="G5915" t="str">
            <v>Presupuesto</v>
          </cell>
        </row>
        <row r="5916">
          <cell r="A5916" t="str">
            <v>EUROMEX</v>
          </cell>
          <cell r="B5916">
            <v>202510</v>
          </cell>
          <cell r="D5916" t="str">
            <v>Líneas Financieras</v>
          </cell>
          <cell r="G5916" t="str">
            <v>Real</v>
          </cell>
        </row>
        <row r="5917">
          <cell r="A5917" t="str">
            <v>EUROMEX</v>
          </cell>
          <cell r="B5917">
            <v>202510</v>
          </cell>
          <cell r="D5917" t="str">
            <v>Náutica</v>
          </cell>
          <cell r="G5917" t="str">
            <v>Presupuesto</v>
          </cell>
        </row>
        <row r="5918">
          <cell r="A5918" t="str">
            <v>EUROMEX</v>
          </cell>
          <cell r="B5918">
            <v>202510</v>
          </cell>
          <cell r="D5918" t="str">
            <v>Particulares Resto</v>
          </cell>
          <cell r="G5918" t="str">
            <v>Presupuesto</v>
          </cell>
        </row>
        <row r="5919">
          <cell r="A5919" t="str">
            <v>EUROMEX</v>
          </cell>
          <cell r="B5919">
            <v>202510</v>
          </cell>
          <cell r="D5919" t="str">
            <v>Particulares Resto</v>
          </cell>
          <cell r="G5919" t="str">
            <v>Real</v>
          </cell>
        </row>
        <row r="5920">
          <cell r="A5920" t="str">
            <v>EUROMEX</v>
          </cell>
          <cell r="B5920">
            <v>202510</v>
          </cell>
          <cell r="D5920" t="str">
            <v>Property</v>
          </cell>
          <cell r="G5920" t="str">
            <v>Presupuesto</v>
          </cell>
        </row>
        <row r="5921">
          <cell r="A5921" t="str">
            <v>EUROMEX</v>
          </cell>
          <cell r="B5921">
            <v>202510</v>
          </cell>
          <cell r="D5921" t="str">
            <v>Property</v>
          </cell>
          <cell r="G5921" t="str">
            <v>Real</v>
          </cell>
        </row>
        <row r="5922">
          <cell r="A5922" t="str">
            <v>EUROMEX</v>
          </cell>
          <cell r="B5922">
            <v>202510</v>
          </cell>
          <cell r="D5922" t="str">
            <v>RC</v>
          </cell>
          <cell r="G5922" t="str">
            <v>Presupuesto</v>
          </cell>
        </row>
        <row r="5923">
          <cell r="A5923" t="str">
            <v>EUROMEX</v>
          </cell>
          <cell r="B5923">
            <v>202510</v>
          </cell>
          <cell r="D5923" t="str">
            <v>RC</v>
          </cell>
          <cell r="G5923" t="str">
            <v>Real</v>
          </cell>
        </row>
        <row r="5924">
          <cell r="A5924" t="str">
            <v>EUROMEX</v>
          </cell>
          <cell r="B5924">
            <v>202510</v>
          </cell>
          <cell r="D5924" t="str">
            <v>Resto de lineas</v>
          </cell>
          <cell r="G5924" t="str">
            <v>Presupuesto</v>
          </cell>
        </row>
        <row r="5925">
          <cell r="A5925" t="str">
            <v>EUROMEX</v>
          </cell>
          <cell r="B5925">
            <v>202510</v>
          </cell>
          <cell r="D5925" t="str">
            <v>Retirada</v>
          </cell>
          <cell r="G5925" t="str">
            <v>Presupuesto</v>
          </cell>
        </row>
        <row r="5926">
          <cell r="A5926" t="str">
            <v>EUROMEX</v>
          </cell>
          <cell r="B5926">
            <v>202510</v>
          </cell>
          <cell r="D5926" t="str">
            <v>Seguros Personales (No Vida) Colectivos</v>
          </cell>
          <cell r="G5926" t="str">
            <v>Presupuesto</v>
          </cell>
        </row>
        <row r="5927">
          <cell r="A5927" t="str">
            <v>EUROMEX</v>
          </cell>
          <cell r="B5927">
            <v>202510</v>
          </cell>
          <cell r="D5927" t="str">
            <v>Seguros Personales (No Vida) Colectivos</v>
          </cell>
          <cell r="G5927" t="str">
            <v>Real</v>
          </cell>
        </row>
        <row r="5928">
          <cell r="A5928" t="str">
            <v>EUROMEX</v>
          </cell>
          <cell r="B5928">
            <v>202510</v>
          </cell>
          <cell r="D5928" t="str">
            <v>Seguros Personales (No Vida) Particular</v>
          </cell>
          <cell r="G5928" t="str">
            <v>Presupuesto</v>
          </cell>
        </row>
        <row r="5929">
          <cell r="A5929" t="str">
            <v>EUROMEX</v>
          </cell>
          <cell r="B5929">
            <v>202510</v>
          </cell>
          <cell r="D5929" t="str">
            <v>Seguros Personales (No Vida) Particular</v>
          </cell>
          <cell r="G5929" t="str">
            <v>Real</v>
          </cell>
        </row>
        <row r="5930">
          <cell r="A5930" t="str">
            <v>EUROMEX</v>
          </cell>
          <cell r="B5930">
            <v>202510</v>
          </cell>
          <cell r="D5930" t="str">
            <v>Transporte</v>
          </cell>
          <cell r="G5930" t="str">
            <v>Presupuesto</v>
          </cell>
        </row>
        <row r="5931">
          <cell r="A5931" t="str">
            <v>EUROMEX</v>
          </cell>
          <cell r="B5931">
            <v>202510</v>
          </cell>
          <cell r="D5931" t="str">
            <v>Transporte</v>
          </cell>
          <cell r="G5931" t="str">
            <v>Real</v>
          </cell>
        </row>
        <row r="5932">
          <cell r="A5932" t="str">
            <v>EUROMEX</v>
          </cell>
          <cell r="B5932">
            <v>202510</v>
          </cell>
          <cell r="D5932" t="str">
            <v>Venta Cruzada</v>
          </cell>
          <cell r="G5932" t="str">
            <v>Presupuesto</v>
          </cell>
        </row>
        <row r="5933">
          <cell r="A5933" t="str">
            <v>EUROMEX</v>
          </cell>
          <cell r="B5933">
            <v>202510</v>
          </cell>
          <cell r="D5933" t="str">
            <v>Vida Ahorro Colectivo</v>
          </cell>
          <cell r="G5933" t="str">
            <v>Presupuesto</v>
          </cell>
        </row>
        <row r="5934">
          <cell r="A5934" t="str">
            <v>EUROMEX</v>
          </cell>
          <cell r="B5934">
            <v>202510</v>
          </cell>
          <cell r="D5934" t="str">
            <v>Vida Ahorro Colectivo</v>
          </cell>
          <cell r="G5934" t="str">
            <v>Real</v>
          </cell>
        </row>
        <row r="5935">
          <cell r="A5935" t="str">
            <v>EUROMEX</v>
          </cell>
          <cell r="B5935">
            <v>202510</v>
          </cell>
          <cell r="D5935" t="str">
            <v>Vida Ahorro Particular</v>
          </cell>
          <cell r="G5935" t="str">
            <v>Presupuesto</v>
          </cell>
        </row>
        <row r="5936">
          <cell r="A5936" t="str">
            <v>EUROMEX</v>
          </cell>
          <cell r="B5936">
            <v>202510</v>
          </cell>
          <cell r="D5936" t="str">
            <v>Vida Ahorro Particular</v>
          </cell>
          <cell r="G5936" t="str">
            <v>Real</v>
          </cell>
        </row>
        <row r="5937">
          <cell r="A5937" t="str">
            <v>EUROMEX</v>
          </cell>
          <cell r="B5937">
            <v>202510</v>
          </cell>
          <cell r="D5937" t="str">
            <v>Vida Ganado</v>
          </cell>
          <cell r="G5937" t="str">
            <v>Presupuesto</v>
          </cell>
        </row>
        <row r="5938">
          <cell r="A5938" t="str">
            <v>EUROMEX</v>
          </cell>
          <cell r="B5938">
            <v>202510</v>
          </cell>
          <cell r="D5938" t="str">
            <v>Vida Riesgo Colectivo</v>
          </cell>
          <cell r="G5938" t="str">
            <v>Presupuesto</v>
          </cell>
        </row>
        <row r="5939">
          <cell r="A5939" t="str">
            <v>EUROMEX</v>
          </cell>
          <cell r="B5939">
            <v>202510</v>
          </cell>
          <cell r="D5939" t="str">
            <v>Vida Riesgo Particular</v>
          </cell>
          <cell r="G5939" t="str">
            <v>Presupuesto</v>
          </cell>
        </row>
        <row r="5940">
          <cell r="A5940" t="str">
            <v>EUROMEX</v>
          </cell>
          <cell r="B5940">
            <v>202510</v>
          </cell>
          <cell r="D5940" t="str">
            <v>Vida Riesgo Particular</v>
          </cell>
          <cell r="G5940" t="str">
            <v>Real</v>
          </cell>
        </row>
        <row r="5941">
          <cell r="A5941" t="str">
            <v>EUROMEX</v>
          </cell>
          <cell r="B5941">
            <v>202511</v>
          </cell>
          <cell r="D5941" t="str">
            <v>--</v>
          </cell>
          <cell r="G5941" t="str">
            <v>Presupuesto</v>
          </cell>
        </row>
        <row r="5942">
          <cell r="A5942" t="str">
            <v>EUROMEX</v>
          </cell>
          <cell r="B5942">
            <v>202511</v>
          </cell>
          <cell r="D5942" t="str">
            <v>--</v>
          </cell>
          <cell r="G5942" t="str">
            <v>Real</v>
          </cell>
        </row>
        <row r="5943">
          <cell r="A5943" t="str">
            <v>EUROMEX</v>
          </cell>
          <cell r="B5943">
            <v>202511</v>
          </cell>
          <cell r="D5943" t="str">
            <v>Arte</v>
          </cell>
          <cell r="G5943" t="str">
            <v>Presupuesto</v>
          </cell>
        </row>
        <row r="5944">
          <cell r="A5944" t="str">
            <v>EUROMEX</v>
          </cell>
          <cell r="B5944">
            <v>202511</v>
          </cell>
          <cell r="D5944" t="str">
            <v>Autos</v>
          </cell>
          <cell r="G5944" t="str">
            <v>Presupuesto</v>
          </cell>
        </row>
        <row r="5945">
          <cell r="A5945" t="str">
            <v>EUROMEX</v>
          </cell>
          <cell r="B5945">
            <v>202511</v>
          </cell>
          <cell r="D5945" t="str">
            <v>Autos</v>
          </cell>
          <cell r="G5945" t="str">
            <v>Real</v>
          </cell>
        </row>
        <row r="5946">
          <cell r="A5946" t="str">
            <v>EUROMEX</v>
          </cell>
          <cell r="B5946">
            <v>202511</v>
          </cell>
          <cell r="D5946" t="str">
            <v>B2B2C</v>
          </cell>
          <cell r="G5946" t="str">
            <v>Presupuesto</v>
          </cell>
        </row>
        <row r="5947">
          <cell r="A5947" t="str">
            <v>EUROMEX</v>
          </cell>
          <cell r="B5947">
            <v>202511</v>
          </cell>
          <cell r="D5947" t="str">
            <v>Caución</v>
          </cell>
          <cell r="G5947" t="str">
            <v>Presupuesto</v>
          </cell>
        </row>
        <row r="5948">
          <cell r="A5948" t="str">
            <v>EUROMEX</v>
          </cell>
          <cell r="B5948">
            <v>202511</v>
          </cell>
          <cell r="D5948" t="str">
            <v>Crédito Nacional</v>
          </cell>
          <cell r="G5948" t="str">
            <v>Real</v>
          </cell>
        </row>
        <row r="5949">
          <cell r="A5949" t="str">
            <v>EUROMEX</v>
          </cell>
          <cell r="B5949">
            <v>202511</v>
          </cell>
          <cell r="D5949" t="str">
            <v>Crédito Internacional</v>
          </cell>
          <cell r="G5949" t="str">
            <v>Presupuesto</v>
          </cell>
        </row>
        <row r="5950">
          <cell r="A5950" t="str">
            <v>EUROMEX</v>
          </cell>
          <cell r="B5950">
            <v>202511</v>
          </cell>
          <cell r="D5950" t="str">
            <v>Crédito Nacional</v>
          </cell>
          <cell r="G5950" t="str">
            <v>Presupuesto</v>
          </cell>
        </row>
        <row r="5951">
          <cell r="A5951" t="str">
            <v>EUROMEX</v>
          </cell>
          <cell r="B5951">
            <v>202511</v>
          </cell>
          <cell r="D5951" t="str">
            <v>Eventos</v>
          </cell>
          <cell r="G5951" t="str">
            <v>Presupuesto</v>
          </cell>
        </row>
        <row r="5952">
          <cell r="A5952" t="str">
            <v>EUROMEX</v>
          </cell>
          <cell r="B5952">
            <v>202511</v>
          </cell>
          <cell r="D5952" t="str">
            <v>Flotas</v>
          </cell>
          <cell r="G5952" t="str">
            <v>Presupuesto</v>
          </cell>
        </row>
        <row r="5953">
          <cell r="A5953" t="str">
            <v>EUROMEX</v>
          </cell>
          <cell r="B5953">
            <v>202511</v>
          </cell>
          <cell r="D5953" t="str">
            <v>Flotas</v>
          </cell>
          <cell r="G5953" t="str">
            <v>Real</v>
          </cell>
        </row>
        <row r="5954">
          <cell r="A5954" t="str">
            <v>EUROMEX</v>
          </cell>
          <cell r="B5954">
            <v>202511</v>
          </cell>
          <cell r="D5954" t="str">
            <v>Hogar</v>
          </cell>
          <cell r="G5954" t="str">
            <v>Presupuesto</v>
          </cell>
        </row>
        <row r="5955">
          <cell r="A5955" t="str">
            <v>EUROMEX</v>
          </cell>
          <cell r="B5955">
            <v>202511</v>
          </cell>
          <cell r="D5955" t="str">
            <v>Hogar</v>
          </cell>
          <cell r="G5955" t="str">
            <v>Real</v>
          </cell>
        </row>
        <row r="5956">
          <cell r="A5956" t="str">
            <v>EUROMEX</v>
          </cell>
          <cell r="B5956">
            <v>202511</v>
          </cell>
          <cell r="D5956" t="str">
            <v>Ingeniería</v>
          </cell>
          <cell r="G5956" t="str">
            <v>Presupuesto</v>
          </cell>
        </row>
        <row r="5957">
          <cell r="A5957" t="str">
            <v>EUROMEX</v>
          </cell>
          <cell r="B5957">
            <v>202511</v>
          </cell>
          <cell r="D5957" t="str">
            <v>Ingeniería</v>
          </cell>
          <cell r="G5957" t="str">
            <v>Real</v>
          </cell>
        </row>
        <row r="5958">
          <cell r="A5958" t="str">
            <v>EUROMEX</v>
          </cell>
          <cell r="B5958">
            <v>202511</v>
          </cell>
          <cell r="D5958" t="str">
            <v>Inmobiliario</v>
          </cell>
          <cell r="G5958" t="str">
            <v>Presupuesto</v>
          </cell>
        </row>
        <row r="5959">
          <cell r="A5959" t="str">
            <v>EUROMEX</v>
          </cell>
          <cell r="B5959">
            <v>202511</v>
          </cell>
          <cell r="D5959" t="str">
            <v>Líneas Financieras</v>
          </cell>
          <cell r="G5959" t="str">
            <v>Presupuesto</v>
          </cell>
        </row>
        <row r="5960">
          <cell r="A5960" t="str">
            <v>EUROMEX</v>
          </cell>
          <cell r="B5960">
            <v>202511</v>
          </cell>
          <cell r="D5960" t="str">
            <v>Líneas Financieras</v>
          </cell>
          <cell r="G5960" t="str">
            <v>Real</v>
          </cell>
        </row>
        <row r="5961">
          <cell r="A5961" t="str">
            <v>EUROMEX</v>
          </cell>
          <cell r="B5961">
            <v>202511</v>
          </cell>
          <cell r="D5961" t="str">
            <v>Náutica</v>
          </cell>
          <cell r="G5961" t="str">
            <v>Presupuesto</v>
          </cell>
        </row>
        <row r="5962">
          <cell r="A5962" t="str">
            <v>EUROMEX</v>
          </cell>
          <cell r="B5962">
            <v>202511</v>
          </cell>
          <cell r="D5962" t="str">
            <v>Particulares Resto</v>
          </cell>
          <cell r="G5962" t="str">
            <v>Presupuesto</v>
          </cell>
        </row>
        <row r="5963">
          <cell r="A5963" t="str">
            <v>EUROMEX</v>
          </cell>
          <cell r="B5963">
            <v>202511</v>
          </cell>
          <cell r="D5963" t="str">
            <v>Particulares Resto</v>
          </cell>
          <cell r="G5963" t="str">
            <v>Real</v>
          </cell>
        </row>
        <row r="5964">
          <cell r="A5964" t="str">
            <v>EUROMEX</v>
          </cell>
          <cell r="B5964">
            <v>202511</v>
          </cell>
          <cell r="D5964" t="str">
            <v>Property</v>
          </cell>
          <cell r="G5964" t="str">
            <v>Presupuesto</v>
          </cell>
        </row>
        <row r="5965">
          <cell r="A5965" t="str">
            <v>EUROMEX</v>
          </cell>
          <cell r="B5965">
            <v>202511</v>
          </cell>
          <cell r="D5965" t="str">
            <v>Property</v>
          </cell>
          <cell r="G5965" t="str">
            <v>Real</v>
          </cell>
        </row>
        <row r="5966">
          <cell r="A5966" t="str">
            <v>EUROMEX</v>
          </cell>
          <cell r="B5966">
            <v>202511</v>
          </cell>
          <cell r="D5966" t="str">
            <v>RC</v>
          </cell>
          <cell r="G5966" t="str">
            <v>Presupuesto</v>
          </cell>
        </row>
        <row r="5967">
          <cell r="A5967" t="str">
            <v>EUROMEX</v>
          </cell>
          <cell r="B5967">
            <v>202511</v>
          </cell>
          <cell r="D5967" t="str">
            <v>RC</v>
          </cell>
          <cell r="G5967" t="str">
            <v>Real</v>
          </cell>
        </row>
        <row r="5968">
          <cell r="A5968" t="str">
            <v>EUROMEX</v>
          </cell>
          <cell r="B5968">
            <v>202511</v>
          </cell>
          <cell r="D5968" t="str">
            <v>Resto de lineas</v>
          </cell>
          <cell r="G5968" t="str">
            <v>Presupuesto</v>
          </cell>
        </row>
        <row r="5969">
          <cell r="A5969" t="str">
            <v>EUROMEX</v>
          </cell>
          <cell r="B5969">
            <v>202511</v>
          </cell>
          <cell r="D5969" t="str">
            <v>Retirada</v>
          </cell>
          <cell r="G5969" t="str">
            <v>Presupuesto</v>
          </cell>
        </row>
        <row r="5970">
          <cell r="A5970" t="str">
            <v>EUROMEX</v>
          </cell>
          <cell r="B5970">
            <v>202511</v>
          </cell>
          <cell r="D5970" t="str">
            <v>Seguros Personales (No Vida) Colectivos</v>
          </cell>
          <cell r="G5970" t="str">
            <v>Presupuesto</v>
          </cell>
        </row>
        <row r="5971">
          <cell r="A5971" t="str">
            <v>EUROMEX</v>
          </cell>
          <cell r="B5971">
            <v>202511</v>
          </cell>
          <cell r="D5971" t="str">
            <v>Seguros Personales (No Vida) Colectivos</v>
          </cell>
          <cell r="G5971" t="str">
            <v>Real</v>
          </cell>
        </row>
        <row r="5972">
          <cell r="A5972" t="str">
            <v>EUROMEX</v>
          </cell>
          <cell r="B5972">
            <v>202511</v>
          </cell>
          <cell r="D5972" t="str">
            <v>Seguros Personales (No Vida) Particular</v>
          </cell>
          <cell r="G5972" t="str">
            <v>Presupuesto</v>
          </cell>
        </row>
        <row r="5973">
          <cell r="A5973" t="str">
            <v>EUROMEX</v>
          </cell>
          <cell r="B5973">
            <v>202511</v>
          </cell>
          <cell r="D5973" t="str">
            <v>Seguros Personales (No Vida) Particular</v>
          </cell>
          <cell r="G5973" t="str">
            <v>Real</v>
          </cell>
        </row>
        <row r="5974">
          <cell r="A5974" t="str">
            <v>EUROMEX</v>
          </cell>
          <cell r="B5974">
            <v>202511</v>
          </cell>
          <cell r="D5974" t="str">
            <v>Transporte</v>
          </cell>
          <cell r="G5974" t="str">
            <v>Presupuesto</v>
          </cell>
        </row>
        <row r="5975">
          <cell r="A5975" t="str">
            <v>EUROMEX</v>
          </cell>
          <cell r="B5975">
            <v>202511</v>
          </cell>
          <cell r="D5975" t="str">
            <v>Transporte</v>
          </cell>
          <cell r="G5975" t="str">
            <v>Real</v>
          </cell>
        </row>
        <row r="5976">
          <cell r="A5976" t="str">
            <v>EUROMEX</v>
          </cell>
          <cell r="B5976">
            <v>202511</v>
          </cell>
          <cell r="D5976" t="str">
            <v>Venta Cruzada</v>
          </cell>
          <cell r="G5976" t="str">
            <v>Presupuesto</v>
          </cell>
        </row>
        <row r="5977">
          <cell r="A5977" t="str">
            <v>EUROMEX</v>
          </cell>
          <cell r="B5977">
            <v>202511</v>
          </cell>
          <cell r="D5977" t="str">
            <v>Vida Ahorro Colectivo</v>
          </cell>
          <cell r="G5977" t="str">
            <v>Presupuesto</v>
          </cell>
        </row>
        <row r="5978">
          <cell r="A5978" t="str">
            <v>EUROMEX</v>
          </cell>
          <cell r="B5978">
            <v>202511</v>
          </cell>
          <cell r="D5978" t="str">
            <v>Vida Ahorro Particular</v>
          </cell>
          <cell r="G5978" t="str">
            <v>Presupuesto</v>
          </cell>
        </row>
        <row r="5979">
          <cell r="A5979" t="str">
            <v>EUROMEX</v>
          </cell>
          <cell r="B5979">
            <v>202511</v>
          </cell>
          <cell r="D5979" t="str">
            <v>Vida Ahorro Particular</v>
          </cell>
          <cell r="G5979" t="str">
            <v>Real</v>
          </cell>
        </row>
        <row r="5980">
          <cell r="A5980" t="str">
            <v>EUROMEX</v>
          </cell>
          <cell r="B5980">
            <v>202511</v>
          </cell>
          <cell r="D5980" t="str">
            <v>Vida Ganado</v>
          </cell>
          <cell r="G5980" t="str">
            <v>Presupuesto</v>
          </cell>
        </row>
        <row r="5981">
          <cell r="A5981" t="str">
            <v>EUROMEX</v>
          </cell>
          <cell r="B5981">
            <v>202511</v>
          </cell>
          <cell r="D5981" t="str">
            <v>Vida Riesgo Colectivo</v>
          </cell>
          <cell r="G5981" t="str">
            <v>Presupuesto</v>
          </cell>
        </row>
        <row r="5982">
          <cell r="A5982" t="str">
            <v>EUROMEX</v>
          </cell>
          <cell r="B5982">
            <v>202511</v>
          </cell>
          <cell r="D5982" t="str">
            <v>Vida Riesgo Colectivo</v>
          </cell>
          <cell r="G5982" t="str">
            <v>Real</v>
          </cell>
        </row>
        <row r="5983">
          <cell r="A5983" t="str">
            <v>EUROMEX</v>
          </cell>
          <cell r="B5983">
            <v>202511</v>
          </cell>
          <cell r="D5983" t="str">
            <v>Vida Riesgo Particular</v>
          </cell>
          <cell r="G5983" t="str">
            <v>Presupuesto</v>
          </cell>
        </row>
        <row r="5984">
          <cell r="A5984" t="str">
            <v>EUROMEX</v>
          </cell>
          <cell r="B5984">
            <v>202511</v>
          </cell>
          <cell r="D5984" t="str">
            <v>Vida Riesgo Particular</v>
          </cell>
          <cell r="G5984" t="str">
            <v>Real</v>
          </cell>
        </row>
        <row r="5985">
          <cell r="A5985" t="str">
            <v>EUROMEX</v>
          </cell>
          <cell r="B5985">
            <v>202512</v>
          </cell>
          <cell r="D5985" t="str">
            <v>--</v>
          </cell>
          <cell r="G5985" t="str">
            <v>Presupuesto</v>
          </cell>
        </row>
        <row r="5986">
          <cell r="A5986" t="str">
            <v>EUROMEX</v>
          </cell>
          <cell r="B5986">
            <v>202512</v>
          </cell>
          <cell r="D5986" t="str">
            <v>--</v>
          </cell>
          <cell r="G5986" t="str">
            <v>Real</v>
          </cell>
        </row>
        <row r="5987">
          <cell r="A5987" t="str">
            <v>EUROMEX</v>
          </cell>
          <cell r="B5987">
            <v>202512</v>
          </cell>
          <cell r="D5987" t="str">
            <v>Arte</v>
          </cell>
          <cell r="G5987" t="str">
            <v>Presupuesto</v>
          </cell>
        </row>
        <row r="5988">
          <cell r="A5988" t="str">
            <v>EUROMEX</v>
          </cell>
          <cell r="B5988">
            <v>202512</v>
          </cell>
          <cell r="D5988" t="str">
            <v>Autos</v>
          </cell>
          <cell r="G5988" t="str">
            <v>Presupuesto</v>
          </cell>
        </row>
        <row r="5989">
          <cell r="A5989" t="str">
            <v>EUROMEX</v>
          </cell>
          <cell r="B5989">
            <v>202512</v>
          </cell>
          <cell r="D5989" t="str">
            <v>Autos</v>
          </cell>
          <cell r="G5989" t="str">
            <v>Real</v>
          </cell>
        </row>
        <row r="5990">
          <cell r="A5990" t="str">
            <v>EUROMEX</v>
          </cell>
          <cell r="B5990">
            <v>202512</v>
          </cell>
          <cell r="D5990" t="str">
            <v>B2B2C</v>
          </cell>
          <cell r="G5990" t="str">
            <v>Presupuesto</v>
          </cell>
        </row>
        <row r="5991">
          <cell r="A5991" t="str">
            <v>EUROMEX</v>
          </cell>
          <cell r="B5991">
            <v>202512</v>
          </cell>
          <cell r="D5991" t="str">
            <v>Caución</v>
          </cell>
          <cell r="G5991" t="str">
            <v>Presupuesto</v>
          </cell>
        </row>
        <row r="5992">
          <cell r="A5992" t="str">
            <v>EUROMEX</v>
          </cell>
          <cell r="B5992">
            <v>202512</v>
          </cell>
          <cell r="D5992" t="str">
            <v>Crédito Nacional</v>
          </cell>
          <cell r="G5992" t="str">
            <v>Real</v>
          </cell>
        </row>
        <row r="5993">
          <cell r="A5993" t="str">
            <v>EUROMEX</v>
          </cell>
          <cell r="B5993">
            <v>202512</v>
          </cell>
          <cell r="D5993" t="str">
            <v>Crédito Internacional</v>
          </cell>
          <cell r="G5993" t="str">
            <v>Presupuesto</v>
          </cell>
        </row>
        <row r="5994">
          <cell r="A5994" t="str">
            <v>EUROMEX</v>
          </cell>
          <cell r="B5994">
            <v>202512</v>
          </cell>
          <cell r="D5994" t="str">
            <v>Crédito Nacional</v>
          </cell>
          <cell r="G5994" t="str">
            <v>Presupuesto</v>
          </cell>
        </row>
        <row r="5995">
          <cell r="A5995" t="str">
            <v>EUROMEX</v>
          </cell>
          <cell r="B5995">
            <v>202512</v>
          </cell>
          <cell r="D5995" t="str">
            <v>Eventos</v>
          </cell>
          <cell r="G5995" t="str">
            <v>Presupuesto</v>
          </cell>
        </row>
        <row r="5996">
          <cell r="A5996" t="str">
            <v>EUROMEX</v>
          </cell>
          <cell r="B5996">
            <v>202512</v>
          </cell>
          <cell r="D5996" t="str">
            <v>Flotas</v>
          </cell>
          <cell r="G5996" t="str">
            <v>Presupuesto</v>
          </cell>
        </row>
        <row r="5997">
          <cell r="A5997" t="str">
            <v>EUROMEX</v>
          </cell>
          <cell r="B5997">
            <v>202512</v>
          </cell>
          <cell r="D5997" t="str">
            <v>Flotas</v>
          </cell>
          <cell r="G5997" t="str">
            <v>Real</v>
          </cell>
        </row>
        <row r="5998">
          <cell r="A5998" t="str">
            <v>EUROMEX</v>
          </cell>
          <cell r="B5998">
            <v>202512</v>
          </cell>
          <cell r="D5998" t="str">
            <v>Hogar</v>
          </cell>
          <cell r="G5998" t="str">
            <v>Presupuesto</v>
          </cell>
        </row>
        <row r="5999">
          <cell r="A5999" t="str">
            <v>EUROMEX</v>
          </cell>
          <cell r="B5999">
            <v>202512</v>
          </cell>
          <cell r="D5999" t="str">
            <v>Hogar</v>
          </cell>
          <cell r="G5999" t="str">
            <v>Real</v>
          </cell>
        </row>
        <row r="6000">
          <cell r="A6000" t="str">
            <v>EUROMEX</v>
          </cell>
          <cell r="B6000">
            <v>202512</v>
          </cell>
          <cell r="D6000" t="str">
            <v>Ingeniería</v>
          </cell>
          <cell r="G6000" t="str">
            <v>Presupuesto</v>
          </cell>
        </row>
        <row r="6001">
          <cell r="A6001" t="str">
            <v>EUROMEX</v>
          </cell>
          <cell r="B6001">
            <v>202512</v>
          </cell>
          <cell r="D6001" t="str">
            <v>Ingeniería</v>
          </cell>
          <cell r="G6001" t="str">
            <v>Real</v>
          </cell>
        </row>
        <row r="6002">
          <cell r="A6002" t="str">
            <v>EUROMEX</v>
          </cell>
          <cell r="B6002">
            <v>202512</v>
          </cell>
          <cell r="D6002" t="str">
            <v>Inmobiliario</v>
          </cell>
          <cell r="G6002" t="str">
            <v>Presupuesto</v>
          </cell>
        </row>
        <row r="6003">
          <cell r="A6003" t="str">
            <v>EUROMEX</v>
          </cell>
          <cell r="B6003">
            <v>202512</v>
          </cell>
          <cell r="D6003" t="str">
            <v>Líneas Financieras</v>
          </cell>
          <cell r="G6003" t="str">
            <v>Presupuesto</v>
          </cell>
        </row>
        <row r="6004">
          <cell r="A6004" t="str">
            <v>EUROMEX</v>
          </cell>
          <cell r="B6004">
            <v>202512</v>
          </cell>
          <cell r="D6004" t="str">
            <v>Líneas Financieras</v>
          </cell>
          <cell r="G6004" t="str">
            <v>Real</v>
          </cell>
        </row>
        <row r="6005">
          <cell r="A6005" t="str">
            <v>EUROMEX</v>
          </cell>
          <cell r="B6005">
            <v>202512</v>
          </cell>
          <cell r="D6005" t="str">
            <v>Náutica</v>
          </cell>
          <cell r="G6005" t="str">
            <v>Presupuesto</v>
          </cell>
        </row>
        <row r="6006">
          <cell r="A6006" t="str">
            <v>EUROMEX</v>
          </cell>
          <cell r="B6006">
            <v>202512</v>
          </cell>
          <cell r="D6006" t="str">
            <v>Particulares Resto</v>
          </cell>
          <cell r="G6006" t="str">
            <v>Presupuesto</v>
          </cell>
        </row>
        <row r="6007">
          <cell r="A6007" t="str">
            <v>EUROMEX</v>
          </cell>
          <cell r="B6007">
            <v>202512</v>
          </cell>
          <cell r="D6007" t="str">
            <v>Particulares Resto</v>
          </cell>
          <cell r="G6007" t="str">
            <v>Real</v>
          </cell>
        </row>
        <row r="6008">
          <cell r="A6008" t="str">
            <v>EUROMEX</v>
          </cell>
          <cell r="B6008">
            <v>202512</v>
          </cell>
          <cell r="D6008" t="str">
            <v>Property</v>
          </cell>
          <cell r="G6008" t="str">
            <v>Presupuesto</v>
          </cell>
        </row>
        <row r="6009">
          <cell r="A6009" t="str">
            <v>EUROMEX</v>
          </cell>
          <cell r="B6009">
            <v>202512</v>
          </cell>
          <cell r="D6009" t="str">
            <v>Property</v>
          </cell>
          <cell r="G6009" t="str">
            <v>Real</v>
          </cell>
        </row>
        <row r="6010">
          <cell r="A6010" t="str">
            <v>EUROMEX</v>
          </cell>
          <cell r="B6010">
            <v>202512</v>
          </cell>
          <cell r="D6010" t="str">
            <v>RC</v>
          </cell>
          <cell r="G6010" t="str">
            <v>Presupuesto</v>
          </cell>
        </row>
        <row r="6011">
          <cell r="A6011" t="str">
            <v>EUROMEX</v>
          </cell>
          <cell r="B6011">
            <v>202512</v>
          </cell>
          <cell r="D6011" t="str">
            <v>RC</v>
          </cell>
          <cell r="G6011" t="str">
            <v>Real</v>
          </cell>
        </row>
        <row r="6012">
          <cell r="A6012" t="str">
            <v>EUROMEX</v>
          </cell>
          <cell r="B6012">
            <v>202512</v>
          </cell>
          <cell r="D6012" t="str">
            <v>Resto de lineas</v>
          </cell>
          <cell r="G6012" t="str">
            <v>Presupuesto</v>
          </cell>
        </row>
        <row r="6013">
          <cell r="A6013" t="str">
            <v>EUROMEX</v>
          </cell>
          <cell r="B6013">
            <v>202512</v>
          </cell>
          <cell r="D6013" t="str">
            <v>Retirada</v>
          </cell>
          <cell r="G6013" t="str">
            <v>Presupuesto</v>
          </cell>
        </row>
        <row r="6014">
          <cell r="A6014" t="str">
            <v>EUROMEX</v>
          </cell>
          <cell r="B6014">
            <v>202512</v>
          </cell>
          <cell r="D6014" t="str">
            <v>Seguros Personales (No Vida) Colectivos</v>
          </cell>
          <cell r="G6014" t="str">
            <v>Presupuesto</v>
          </cell>
        </row>
        <row r="6015">
          <cell r="A6015" t="str">
            <v>EUROMEX</v>
          </cell>
          <cell r="B6015">
            <v>202512</v>
          </cell>
          <cell r="D6015" t="str">
            <v>Seguros Personales (No Vida) Colectivos</v>
          </cell>
          <cell r="G6015" t="str">
            <v>Real</v>
          </cell>
        </row>
        <row r="6016">
          <cell r="A6016" t="str">
            <v>EUROMEX</v>
          </cell>
          <cell r="B6016">
            <v>202512</v>
          </cell>
          <cell r="D6016" t="str">
            <v>Seguros Personales (No Vida) Particular</v>
          </cell>
          <cell r="G6016" t="str">
            <v>Presupuesto</v>
          </cell>
        </row>
        <row r="6017">
          <cell r="A6017" t="str">
            <v>EUROMEX</v>
          </cell>
          <cell r="B6017">
            <v>202512</v>
          </cell>
          <cell r="D6017" t="str">
            <v>Seguros Personales (No Vida) Particular</v>
          </cell>
          <cell r="G6017" t="str">
            <v>Real</v>
          </cell>
        </row>
        <row r="6018">
          <cell r="A6018" t="str">
            <v>EUROMEX</v>
          </cell>
          <cell r="B6018">
            <v>202512</v>
          </cell>
          <cell r="D6018" t="str">
            <v>Transporte</v>
          </cell>
          <cell r="G6018" t="str">
            <v>Presupuesto</v>
          </cell>
        </row>
        <row r="6019">
          <cell r="A6019" t="str">
            <v>EUROMEX</v>
          </cell>
          <cell r="B6019">
            <v>202512</v>
          </cell>
          <cell r="D6019" t="str">
            <v>Transporte</v>
          </cell>
          <cell r="G6019" t="str">
            <v>Real</v>
          </cell>
        </row>
        <row r="6020">
          <cell r="A6020" t="str">
            <v>EUROMEX</v>
          </cell>
          <cell r="B6020">
            <v>202512</v>
          </cell>
          <cell r="D6020" t="str">
            <v>Venta Cruzada</v>
          </cell>
          <cell r="G6020" t="str">
            <v>Presupuesto</v>
          </cell>
        </row>
        <row r="6021">
          <cell r="A6021" t="str">
            <v>EUROMEX</v>
          </cell>
          <cell r="B6021">
            <v>202512</v>
          </cell>
          <cell r="D6021" t="str">
            <v>Venta Cruzada</v>
          </cell>
          <cell r="G6021" t="str">
            <v>Real</v>
          </cell>
        </row>
        <row r="6022">
          <cell r="A6022" t="str">
            <v>EUROMEX</v>
          </cell>
          <cell r="B6022">
            <v>202512</v>
          </cell>
          <cell r="D6022" t="str">
            <v>Vida Ahorro Colectivo</v>
          </cell>
          <cell r="G6022" t="str">
            <v>Presupuesto</v>
          </cell>
        </row>
        <row r="6023">
          <cell r="A6023" t="str">
            <v>EUROMEX</v>
          </cell>
          <cell r="B6023">
            <v>202512</v>
          </cell>
          <cell r="D6023" t="str">
            <v>Vida Ahorro Colectivo</v>
          </cell>
          <cell r="G6023" t="str">
            <v>Real</v>
          </cell>
        </row>
        <row r="6024">
          <cell r="A6024" t="str">
            <v>EUROMEX</v>
          </cell>
          <cell r="B6024">
            <v>202512</v>
          </cell>
          <cell r="D6024" t="str">
            <v>Vida Ahorro Particular</v>
          </cell>
          <cell r="G6024" t="str">
            <v>Presupuesto</v>
          </cell>
        </row>
        <row r="6025">
          <cell r="A6025" t="str">
            <v>EUROMEX</v>
          </cell>
          <cell r="B6025">
            <v>202512</v>
          </cell>
          <cell r="D6025" t="str">
            <v>Vida Ahorro Particular</v>
          </cell>
          <cell r="G6025" t="str">
            <v>Real</v>
          </cell>
        </row>
        <row r="6026">
          <cell r="A6026" t="str">
            <v>EUROMEX</v>
          </cell>
          <cell r="B6026">
            <v>202512</v>
          </cell>
          <cell r="D6026" t="str">
            <v>Vida Ganado</v>
          </cell>
          <cell r="G6026" t="str">
            <v>Presupuesto</v>
          </cell>
        </row>
        <row r="6027">
          <cell r="A6027" t="str">
            <v>EUROMEX</v>
          </cell>
          <cell r="B6027">
            <v>202512</v>
          </cell>
          <cell r="D6027" t="str">
            <v>Vida Riesgo Colectivo</v>
          </cell>
          <cell r="G6027" t="str">
            <v>Presupuesto</v>
          </cell>
        </row>
        <row r="6028">
          <cell r="A6028" t="str">
            <v>EUROMEX</v>
          </cell>
          <cell r="B6028">
            <v>202512</v>
          </cell>
          <cell r="D6028" t="str">
            <v>Vida Riesgo Colectivo</v>
          </cell>
          <cell r="G6028" t="str">
            <v>Real</v>
          </cell>
        </row>
        <row r="6029">
          <cell r="A6029" t="str">
            <v>EUROMEX</v>
          </cell>
          <cell r="B6029">
            <v>202512</v>
          </cell>
          <cell r="D6029" t="str">
            <v>Vida Riesgo Particular</v>
          </cell>
          <cell r="G6029" t="str">
            <v>Presupuesto</v>
          </cell>
        </row>
        <row r="6030">
          <cell r="A6030" t="str">
            <v>EUROMEX</v>
          </cell>
          <cell r="B6030">
            <v>202512</v>
          </cell>
          <cell r="D6030" t="str">
            <v>Vida Riesgo Particular</v>
          </cell>
          <cell r="G6030" t="str">
            <v>Real</v>
          </cell>
        </row>
        <row r="6031">
          <cell r="A6031" t="str">
            <v>FUTURA</v>
          </cell>
          <cell r="B6031">
            <v>202401</v>
          </cell>
          <cell r="D6031" t="str">
            <v>--</v>
          </cell>
          <cell r="G6031" t="str">
            <v>Real</v>
          </cell>
        </row>
        <row r="6032">
          <cell r="A6032" t="str">
            <v>FUTURA</v>
          </cell>
          <cell r="B6032">
            <v>202401</v>
          </cell>
          <cell r="D6032" t="str">
            <v>Caución</v>
          </cell>
          <cell r="G6032" t="str">
            <v>Real</v>
          </cell>
        </row>
        <row r="6033">
          <cell r="A6033" t="str">
            <v>FUTURA</v>
          </cell>
          <cell r="B6033">
            <v>202401</v>
          </cell>
          <cell r="D6033" t="str">
            <v>Ingeniería</v>
          </cell>
          <cell r="G6033" t="str">
            <v>Real</v>
          </cell>
        </row>
        <row r="6034">
          <cell r="A6034" t="str">
            <v>FUTURA</v>
          </cell>
          <cell r="B6034">
            <v>202402</v>
          </cell>
          <cell r="D6034" t="str">
            <v>--</v>
          </cell>
          <cell r="G6034" t="str">
            <v>Real</v>
          </cell>
        </row>
        <row r="6035">
          <cell r="A6035" t="str">
            <v>FUTURA</v>
          </cell>
          <cell r="B6035">
            <v>202402</v>
          </cell>
          <cell r="D6035" t="str">
            <v>Caución</v>
          </cell>
          <cell r="G6035" t="str">
            <v>Real</v>
          </cell>
        </row>
        <row r="6036">
          <cell r="A6036" t="str">
            <v>FUTURA</v>
          </cell>
          <cell r="B6036">
            <v>202402</v>
          </cell>
          <cell r="D6036" t="str">
            <v>Ingeniería</v>
          </cell>
          <cell r="G6036" t="str">
            <v>Real</v>
          </cell>
        </row>
        <row r="6037">
          <cell r="A6037" t="str">
            <v>FUTURA</v>
          </cell>
          <cell r="B6037">
            <v>202403</v>
          </cell>
          <cell r="D6037" t="str">
            <v>--</v>
          </cell>
          <cell r="G6037" t="str">
            <v>Real</v>
          </cell>
        </row>
        <row r="6038">
          <cell r="A6038" t="str">
            <v>FUTURA</v>
          </cell>
          <cell r="B6038">
            <v>202403</v>
          </cell>
          <cell r="D6038" t="str">
            <v>Caución</v>
          </cell>
          <cell r="G6038" t="str">
            <v>Real</v>
          </cell>
        </row>
        <row r="6039">
          <cell r="A6039" t="str">
            <v>FUTURA</v>
          </cell>
          <cell r="B6039">
            <v>202403</v>
          </cell>
          <cell r="D6039" t="str">
            <v>Ingeniería</v>
          </cell>
          <cell r="G6039" t="str">
            <v>Real</v>
          </cell>
        </row>
        <row r="6040">
          <cell r="A6040" t="str">
            <v>FUTURA</v>
          </cell>
          <cell r="B6040">
            <v>202404</v>
          </cell>
          <cell r="D6040" t="str">
            <v>--</v>
          </cell>
          <cell r="G6040" t="str">
            <v>Real</v>
          </cell>
        </row>
        <row r="6041">
          <cell r="A6041" t="str">
            <v>FUTURA</v>
          </cell>
          <cell r="B6041">
            <v>202404</v>
          </cell>
          <cell r="D6041" t="str">
            <v>Caución</v>
          </cell>
          <cell r="G6041" t="str">
            <v>Real</v>
          </cell>
        </row>
        <row r="6042">
          <cell r="A6042" t="str">
            <v>FUTURA</v>
          </cell>
          <cell r="B6042">
            <v>202404</v>
          </cell>
          <cell r="D6042" t="str">
            <v>Ingeniería</v>
          </cell>
          <cell r="G6042" t="str">
            <v>Real</v>
          </cell>
        </row>
        <row r="6043">
          <cell r="A6043" t="str">
            <v>FUTURA</v>
          </cell>
          <cell r="B6043">
            <v>202405</v>
          </cell>
          <cell r="D6043" t="str">
            <v>--</v>
          </cell>
          <cell r="G6043" t="str">
            <v>Real</v>
          </cell>
        </row>
        <row r="6044">
          <cell r="A6044" t="str">
            <v>FUTURA</v>
          </cell>
          <cell r="B6044">
            <v>202405</v>
          </cell>
          <cell r="D6044" t="str">
            <v>Caución</v>
          </cell>
          <cell r="G6044" t="str">
            <v>Real</v>
          </cell>
        </row>
        <row r="6045">
          <cell r="A6045" t="str">
            <v>FUTURA</v>
          </cell>
          <cell r="B6045">
            <v>202405</v>
          </cell>
          <cell r="D6045" t="str">
            <v>Ingeniería</v>
          </cell>
          <cell r="G6045" t="str">
            <v>Real</v>
          </cell>
        </row>
        <row r="6046">
          <cell r="A6046" t="str">
            <v>FUTURA</v>
          </cell>
          <cell r="B6046">
            <v>202406</v>
          </cell>
          <cell r="D6046" t="str">
            <v>--</v>
          </cell>
          <cell r="G6046" t="str">
            <v>Real</v>
          </cell>
        </row>
        <row r="6047">
          <cell r="A6047" t="str">
            <v>FUTURA</v>
          </cell>
          <cell r="B6047">
            <v>202406</v>
          </cell>
          <cell r="D6047" t="str">
            <v>Caución</v>
          </cell>
          <cell r="G6047" t="str">
            <v>Real</v>
          </cell>
        </row>
        <row r="6048">
          <cell r="A6048" t="str">
            <v>FUTURA</v>
          </cell>
          <cell r="B6048">
            <v>202406</v>
          </cell>
          <cell r="D6048" t="str">
            <v>Ingeniería</v>
          </cell>
          <cell r="G6048" t="str">
            <v>Real</v>
          </cell>
        </row>
        <row r="6049">
          <cell r="A6049" t="str">
            <v>FUTURA</v>
          </cell>
          <cell r="B6049">
            <v>202407</v>
          </cell>
          <cell r="D6049" t="str">
            <v>--</v>
          </cell>
          <cell r="G6049" t="str">
            <v>Real</v>
          </cell>
        </row>
        <row r="6050">
          <cell r="A6050" t="str">
            <v>FUTURA</v>
          </cell>
          <cell r="B6050">
            <v>202407</v>
          </cell>
          <cell r="D6050" t="str">
            <v>Caución</v>
          </cell>
          <cell r="G6050" t="str">
            <v>Real</v>
          </cell>
        </row>
        <row r="6051">
          <cell r="A6051" t="str">
            <v>FUTURA</v>
          </cell>
          <cell r="B6051">
            <v>202407</v>
          </cell>
          <cell r="D6051" t="str">
            <v>Ingeniería</v>
          </cell>
          <cell r="G6051" t="str">
            <v>Real</v>
          </cell>
        </row>
        <row r="6052">
          <cell r="A6052" t="str">
            <v>FUTURA</v>
          </cell>
          <cell r="B6052">
            <v>202408</v>
          </cell>
          <cell r="D6052" t="str">
            <v>--</v>
          </cell>
          <cell r="G6052" t="str">
            <v>Real</v>
          </cell>
        </row>
        <row r="6053">
          <cell r="A6053" t="str">
            <v>FUTURA</v>
          </cell>
          <cell r="B6053">
            <v>202408</v>
          </cell>
          <cell r="D6053" t="str">
            <v>Caución</v>
          </cell>
          <cell r="G6053" t="str">
            <v>Real</v>
          </cell>
        </row>
        <row r="6054">
          <cell r="A6054" t="str">
            <v>FUTURA</v>
          </cell>
          <cell r="B6054">
            <v>202408</v>
          </cell>
          <cell r="D6054" t="str">
            <v>Ingeniería</v>
          </cell>
          <cell r="G6054" t="str">
            <v>Real</v>
          </cell>
        </row>
        <row r="6055">
          <cell r="A6055" t="str">
            <v>FUTURA</v>
          </cell>
          <cell r="B6055">
            <v>202409</v>
          </cell>
          <cell r="D6055" t="str">
            <v>--</v>
          </cell>
          <cell r="G6055" t="str">
            <v>Real</v>
          </cell>
        </row>
        <row r="6056">
          <cell r="A6056" t="str">
            <v>FUTURA</v>
          </cell>
          <cell r="B6056">
            <v>202409</v>
          </cell>
          <cell r="D6056" t="str">
            <v>Caución</v>
          </cell>
          <cell r="G6056" t="str">
            <v>Real</v>
          </cell>
        </row>
        <row r="6057">
          <cell r="A6057" t="str">
            <v>FUTURA</v>
          </cell>
          <cell r="B6057">
            <v>202409</v>
          </cell>
          <cell r="D6057" t="str">
            <v>Ingeniería</v>
          </cell>
          <cell r="G6057" t="str">
            <v>Real</v>
          </cell>
        </row>
        <row r="6058">
          <cell r="A6058" t="str">
            <v>FUTURA</v>
          </cell>
          <cell r="B6058">
            <v>202410</v>
          </cell>
          <cell r="D6058" t="str">
            <v>--</v>
          </cell>
          <cell r="G6058" t="str">
            <v>Real</v>
          </cell>
        </row>
        <row r="6059">
          <cell r="A6059" t="str">
            <v>FUTURA</v>
          </cell>
          <cell r="B6059">
            <v>202410</v>
          </cell>
          <cell r="D6059" t="str">
            <v>Caución</v>
          </cell>
          <cell r="G6059" t="str">
            <v>Real</v>
          </cell>
        </row>
        <row r="6060">
          <cell r="A6060" t="str">
            <v>FUTURA</v>
          </cell>
          <cell r="B6060">
            <v>202410</v>
          </cell>
          <cell r="D6060" t="str">
            <v>Ingeniería</v>
          </cell>
          <cell r="G6060" t="str">
            <v>Real</v>
          </cell>
        </row>
        <row r="6061">
          <cell r="A6061" t="str">
            <v>FUTURA</v>
          </cell>
          <cell r="B6061">
            <v>202411</v>
          </cell>
          <cell r="D6061" t="str">
            <v>--</v>
          </cell>
          <cell r="G6061" t="str">
            <v>Real</v>
          </cell>
        </row>
        <row r="6062">
          <cell r="A6062" t="str">
            <v>FUTURA</v>
          </cell>
          <cell r="B6062">
            <v>202411</v>
          </cell>
          <cell r="D6062" t="str">
            <v>Caución</v>
          </cell>
          <cell r="G6062" t="str">
            <v>Real</v>
          </cell>
        </row>
        <row r="6063">
          <cell r="A6063" t="str">
            <v>FUTURA</v>
          </cell>
          <cell r="B6063">
            <v>202412</v>
          </cell>
          <cell r="D6063" t="str">
            <v>--</v>
          </cell>
          <cell r="G6063" t="str">
            <v>Real</v>
          </cell>
        </row>
        <row r="6064">
          <cell r="A6064" t="str">
            <v>FUTURA</v>
          </cell>
          <cell r="B6064">
            <v>202412</v>
          </cell>
          <cell r="D6064" t="str">
            <v>Caución</v>
          </cell>
          <cell r="G6064" t="str">
            <v>Real</v>
          </cell>
        </row>
        <row r="6065">
          <cell r="A6065" t="str">
            <v>FUTURA</v>
          </cell>
          <cell r="B6065">
            <v>202412</v>
          </cell>
          <cell r="D6065" t="str">
            <v>Ingeniería</v>
          </cell>
          <cell r="G6065" t="str">
            <v>Real</v>
          </cell>
        </row>
        <row r="6066">
          <cell r="A6066" t="str">
            <v>FUTURA</v>
          </cell>
          <cell r="B6066">
            <v>202501</v>
          </cell>
          <cell r="D6066" t="str">
            <v>--</v>
          </cell>
          <cell r="G6066" t="str">
            <v>Presupuesto</v>
          </cell>
        </row>
        <row r="6067">
          <cell r="A6067" t="str">
            <v>FUTURA</v>
          </cell>
          <cell r="B6067">
            <v>202501</v>
          </cell>
          <cell r="D6067" t="str">
            <v>--</v>
          </cell>
          <cell r="G6067" t="str">
            <v>Real</v>
          </cell>
        </row>
        <row r="6068">
          <cell r="A6068" t="str">
            <v>FUTURA</v>
          </cell>
          <cell r="B6068">
            <v>202501</v>
          </cell>
          <cell r="D6068" t="str">
            <v>Caución</v>
          </cell>
          <cell r="G6068" t="str">
            <v>Presupuesto</v>
          </cell>
        </row>
        <row r="6069">
          <cell r="A6069" t="str">
            <v>FUTURA</v>
          </cell>
          <cell r="B6069">
            <v>202501</v>
          </cell>
          <cell r="D6069" t="str">
            <v>Caución</v>
          </cell>
          <cell r="G6069" t="str">
            <v>Real</v>
          </cell>
        </row>
        <row r="6070">
          <cell r="A6070" t="str">
            <v>FUTURA</v>
          </cell>
          <cell r="B6070">
            <v>202501</v>
          </cell>
          <cell r="D6070" t="str">
            <v>Ingeniería</v>
          </cell>
          <cell r="G6070" t="str">
            <v>Presupuesto</v>
          </cell>
        </row>
        <row r="6071">
          <cell r="A6071" t="str">
            <v>FUTURA</v>
          </cell>
          <cell r="B6071">
            <v>202501</v>
          </cell>
          <cell r="D6071" t="str">
            <v>Ingeniería</v>
          </cell>
          <cell r="G6071" t="str">
            <v>Real</v>
          </cell>
        </row>
        <row r="6072">
          <cell r="A6072" t="str">
            <v>FUTURA</v>
          </cell>
          <cell r="B6072">
            <v>202502</v>
          </cell>
          <cell r="D6072" t="str">
            <v>--</v>
          </cell>
          <cell r="G6072" t="str">
            <v>Presupuesto</v>
          </cell>
        </row>
        <row r="6073">
          <cell r="A6073" t="str">
            <v>FUTURA</v>
          </cell>
          <cell r="B6073">
            <v>202502</v>
          </cell>
          <cell r="D6073" t="str">
            <v>--</v>
          </cell>
          <cell r="G6073" t="str">
            <v>Real</v>
          </cell>
        </row>
        <row r="6074">
          <cell r="A6074" t="str">
            <v>FUTURA</v>
          </cell>
          <cell r="B6074">
            <v>202502</v>
          </cell>
          <cell r="D6074" t="str">
            <v>Caución</v>
          </cell>
          <cell r="G6074" t="str">
            <v>Presupuesto</v>
          </cell>
        </row>
        <row r="6075">
          <cell r="A6075" t="str">
            <v>FUTURA</v>
          </cell>
          <cell r="B6075">
            <v>202502</v>
          </cell>
          <cell r="D6075" t="str">
            <v>Caución</v>
          </cell>
          <cell r="G6075" t="str">
            <v>Real</v>
          </cell>
        </row>
        <row r="6076">
          <cell r="A6076" t="str">
            <v>FUTURA</v>
          </cell>
          <cell r="B6076">
            <v>202502</v>
          </cell>
          <cell r="D6076" t="str">
            <v>Ingeniería</v>
          </cell>
          <cell r="G6076" t="str">
            <v>Presupuesto</v>
          </cell>
        </row>
        <row r="6077">
          <cell r="A6077" t="str">
            <v>FUTURA</v>
          </cell>
          <cell r="B6077">
            <v>202502</v>
          </cell>
          <cell r="D6077" t="str">
            <v>Ingeniería</v>
          </cell>
          <cell r="G6077" t="str">
            <v>Real</v>
          </cell>
        </row>
        <row r="6078">
          <cell r="A6078" t="str">
            <v>FUTURA</v>
          </cell>
          <cell r="B6078">
            <v>202503</v>
          </cell>
          <cell r="D6078" t="str">
            <v>--</v>
          </cell>
          <cell r="G6078" t="str">
            <v>Presupuesto</v>
          </cell>
        </row>
        <row r="6079">
          <cell r="A6079" t="str">
            <v>FUTURA</v>
          </cell>
          <cell r="B6079">
            <v>202503</v>
          </cell>
          <cell r="D6079" t="str">
            <v>--</v>
          </cell>
          <cell r="G6079" t="str">
            <v>Real</v>
          </cell>
        </row>
        <row r="6080">
          <cell r="A6080" t="str">
            <v>FUTURA</v>
          </cell>
          <cell r="B6080">
            <v>202503</v>
          </cell>
          <cell r="D6080" t="str">
            <v>Caución</v>
          </cell>
          <cell r="G6080" t="str">
            <v>Presupuesto</v>
          </cell>
        </row>
        <row r="6081">
          <cell r="A6081" t="str">
            <v>FUTURA</v>
          </cell>
          <cell r="B6081">
            <v>202503</v>
          </cell>
          <cell r="D6081" t="str">
            <v>Caución</v>
          </cell>
          <cell r="G6081" t="str">
            <v>Real</v>
          </cell>
        </row>
        <row r="6082">
          <cell r="A6082" t="str">
            <v>FUTURA</v>
          </cell>
          <cell r="B6082">
            <v>202503</v>
          </cell>
          <cell r="D6082" t="str">
            <v>Ingeniería</v>
          </cell>
          <cell r="G6082" t="str">
            <v>Presupuesto</v>
          </cell>
        </row>
        <row r="6083">
          <cell r="A6083" t="str">
            <v>FUTURA</v>
          </cell>
          <cell r="B6083">
            <v>202503</v>
          </cell>
          <cell r="D6083" t="str">
            <v>Ingeniería</v>
          </cell>
          <cell r="G6083" t="str">
            <v>Real</v>
          </cell>
        </row>
        <row r="6084">
          <cell r="A6084" t="str">
            <v>FUTURA</v>
          </cell>
          <cell r="B6084">
            <v>202504</v>
          </cell>
          <cell r="D6084" t="str">
            <v>--</v>
          </cell>
          <cell r="G6084" t="str">
            <v>Presupuesto</v>
          </cell>
        </row>
        <row r="6085">
          <cell r="A6085" t="str">
            <v>FUTURA</v>
          </cell>
          <cell r="B6085">
            <v>202504</v>
          </cell>
          <cell r="D6085" t="str">
            <v>--</v>
          </cell>
          <cell r="G6085" t="str">
            <v>Real</v>
          </cell>
        </row>
        <row r="6086">
          <cell r="A6086" t="str">
            <v>FUTURA</v>
          </cell>
          <cell r="B6086">
            <v>202504</v>
          </cell>
          <cell r="D6086" t="str">
            <v>Caución</v>
          </cell>
          <cell r="G6086" t="str">
            <v>Presupuesto</v>
          </cell>
        </row>
        <row r="6087">
          <cell r="A6087" t="str">
            <v>FUTURA</v>
          </cell>
          <cell r="B6087">
            <v>202504</v>
          </cell>
          <cell r="D6087" t="str">
            <v>Caución</v>
          </cell>
          <cell r="G6087" t="str">
            <v>Real</v>
          </cell>
        </row>
        <row r="6088">
          <cell r="A6088" t="str">
            <v>FUTURA</v>
          </cell>
          <cell r="B6088">
            <v>202504</v>
          </cell>
          <cell r="D6088" t="str">
            <v>Ingeniería</v>
          </cell>
          <cell r="G6088" t="str">
            <v>Presupuesto</v>
          </cell>
        </row>
        <row r="6089">
          <cell r="A6089" t="str">
            <v>FUTURA</v>
          </cell>
          <cell r="B6089">
            <v>202504</v>
          </cell>
          <cell r="D6089" t="str">
            <v>Ingeniería</v>
          </cell>
          <cell r="G6089" t="str">
            <v>Real</v>
          </cell>
        </row>
        <row r="6090">
          <cell r="A6090" t="str">
            <v>FUTURA</v>
          </cell>
          <cell r="B6090">
            <v>202505</v>
          </cell>
          <cell r="D6090" t="str">
            <v>--</v>
          </cell>
          <cell r="G6090" t="str">
            <v>Presupuesto</v>
          </cell>
        </row>
        <row r="6091">
          <cell r="A6091" t="str">
            <v>FUTURA</v>
          </cell>
          <cell r="B6091">
            <v>202505</v>
          </cell>
          <cell r="D6091" t="str">
            <v>--</v>
          </cell>
          <cell r="G6091" t="str">
            <v>Real</v>
          </cell>
        </row>
        <row r="6092">
          <cell r="A6092" t="str">
            <v>FUTURA</v>
          </cell>
          <cell r="B6092">
            <v>202505</v>
          </cell>
          <cell r="D6092" t="str">
            <v>Caución</v>
          </cell>
          <cell r="G6092" t="str">
            <v>Presupuesto</v>
          </cell>
        </row>
        <row r="6093">
          <cell r="A6093" t="str">
            <v>FUTURA</v>
          </cell>
          <cell r="B6093">
            <v>202505</v>
          </cell>
          <cell r="D6093" t="str">
            <v>Caución</v>
          </cell>
          <cell r="G6093" t="str">
            <v>Real</v>
          </cell>
        </row>
        <row r="6094">
          <cell r="A6094" t="str">
            <v>FUTURA</v>
          </cell>
          <cell r="B6094">
            <v>202505</v>
          </cell>
          <cell r="D6094" t="str">
            <v>Ingeniería</v>
          </cell>
          <cell r="G6094" t="str">
            <v>Presupuesto</v>
          </cell>
        </row>
        <row r="6095">
          <cell r="A6095" t="str">
            <v>FUTURA</v>
          </cell>
          <cell r="B6095">
            <v>202505</v>
          </cell>
          <cell r="D6095" t="str">
            <v>Ingeniería</v>
          </cell>
          <cell r="G6095" t="str">
            <v>Real</v>
          </cell>
        </row>
        <row r="6096">
          <cell r="A6096" t="str">
            <v>FUTURA</v>
          </cell>
          <cell r="B6096">
            <v>202506</v>
          </cell>
          <cell r="D6096" t="str">
            <v>--</v>
          </cell>
          <cell r="G6096" t="str">
            <v>Presupuesto</v>
          </cell>
        </row>
        <row r="6097">
          <cell r="A6097" t="str">
            <v>FUTURA</v>
          </cell>
          <cell r="B6097">
            <v>202506</v>
          </cell>
          <cell r="D6097" t="str">
            <v>--</v>
          </cell>
          <cell r="G6097" t="str">
            <v>Real</v>
          </cell>
        </row>
        <row r="6098">
          <cell r="A6098" t="str">
            <v>FUTURA</v>
          </cell>
          <cell r="B6098">
            <v>202506</v>
          </cell>
          <cell r="D6098" t="str">
            <v>Caución</v>
          </cell>
          <cell r="G6098" t="str">
            <v>Presupuesto</v>
          </cell>
        </row>
        <row r="6099">
          <cell r="A6099" t="str">
            <v>FUTURA</v>
          </cell>
          <cell r="B6099">
            <v>202506</v>
          </cell>
          <cell r="D6099" t="str">
            <v>Caución</v>
          </cell>
          <cell r="G6099" t="str">
            <v>Real</v>
          </cell>
        </row>
        <row r="6100">
          <cell r="A6100" t="str">
            <v>FUTURA</v>
          </cell>
          <cell r="B6100">
            <v>202506</v>
          </cell>
          <cell r="D6100" t="str">
            <v>Ingeniería</v>
          </cell>
          <cell r="G6100" t="str">
            <v>Presupuesto</v>
          </cell>
        </row>
        <row r="6101">
          <cell r="A6101" t="str">
            <v>FUTURA</v>
          </cell>
          <cell r="B6101">
            <v>202506</v>
          </cell>
          <cell r="D6101" t="str">
            <v>Ingeniería</v>
          </cell>
          <cell r="G6101" t="str">
            <v>Real</v>
          </cell>
        </row>
        <row r="6102">
          <cell r="A6102" t="str">
            <v>FUTURA</v>
          </cell>
          <cell r="B6102">
            <v>202507</v>
          </cell>
          <cell r="D6102" t="str">
            <v>--</v>
          </cell>
          <cell r="G6102" t="str">
            <v>Presupuesto</v>
          </cell>
        </row>
        <row r="6103">
          <cell r="A6103" t="str">
            <v>FUTURA</v>
          </cell>
          <cell r="B6103">
            <v>202507</v>
          </cell>
          <cell r="D6103" t="str">
            <v>--</v>
          </cell>
          <cell r="G6103" t="str">
            <v>Real</v>
          </cell>
        </row>
        <row r="6104">
          <cell r="A6104" t="str">
            <v>FUTURA</v>
          </cell>
          <cell r="B6104">
            <v>202507</v>
          </cell>
          <cell r="D6104" t="str">
            <v>Caución</v>
          </cell>
          <cell r="G6104" t="str">
            <v>Presupuesto</v>
          </cell>
        </row>
        <row r="6105">
          <cell r="A6105" t="str">
            <v>FUTURA</v>
          </cell>
          <cell r="B6105">
            <v>202507</v>
          </cell>
          <cell r="D6105" t="str">
            <v>Caución</v>
          </cell>
          <cell r="G6105" t="str">
            <v>Real</v>
          </cell>
        </row>
        <row r="6106">
          <cell r="A6106" t="str">
            <v>FUTURA</v>
          </cell>
          <cell r="B6106">
            <v>202507</v>
          </cell>
          <cell r="D6106" t="str">
            <v>Ingeniería</v>
          </cell>
          <cell r="G6106" t="str">
            <v>Presupuesto</v>
          </cell>
        </row>
        <row r="6107">
          <cell r="A6107" t="str">
            <v>FUTURA</v>
          </cell>
          <cell r="B6107">
            <v>202507</v>
          </cell>
          <cell r="D6107" t="str">
            <v>Ingeniería</v>
          </cell>
          <cell r="G6107" t="str">
            <v>Real</v>
          </cell>
        </row>
        <row r="6108">
          <cell r="A6108" t="str">
            <v>FUTURA</v>
          </cell>
          <cell r="B6108">
            <v>202508</v>
          </cell>
          <cell r="D6108" t="str">
            <v>--</v>
          </cell>
          <cell r="G6108" t="str">
            <v>Presupuesto</v>
          </cell>
        </row>
        <row r="6109">
          <cell r="A6109" t="str">
            <v>FUTURA</v>
          </cell>
          <cell r="B6109">
            <v>202508</v>
          </cell>
          <cell r="D6109" t="str">
            <v>--</v>
          </cell>
          <cell r="G6109" t="str">
            <v>Real</v>
          </cell>
        </row>
        <row r="6110">
          <cell r="A6110" t="str">
            <v>FUTURA</v>
          </cell>
          <cell r="B6110">
            <v>202508</v>
          </cell>
          <cell r="D6110" t="str">
            <v>Caución</v>
          </cell>
          <cell r="G6110" t="str">
            <v>Presupuesto</v>
          </cell>
        </row>
        <row r="6111">
          <cell r="A6111" t="str">
            <v>FUTURA</v>
          </cell>
          <cell r="B6111">
            <v>202508</v>
          </cell>
          <cell r="D6111" t="str">
            <v>Caución</v>
          </cell>
          <cell r="G6111" t="str">
            <v>Real</v>
          </cell>
        </row>
        <row r="6112">
          <cell r="A6112" t="str">
            <v>FUTURA</v>
          </cell>
          <cell r="B6112">
            <v>202508</v>
          </cell>
          <cell r="D6112" t="str">
            <v>Ingeniería</v>
          </cell>
          <cell r="G6112" t="str">
            <v>Presupuesto</v>
          </cell>
        </row>
        <row r="6113">
          <cell r="A6113" t="str">
            <v>FUTURA</v>
          </cell>
          <cell r="B6113">
            <v>202508</v>
          </cell>
          <cell r="D6113" t="str">
            <v>Ingeniería</v>
          </cell>
          <cell r="G6113" t="str">
            <v>Real</v>
          </cell>
        </row>
        <row r="6114">
          <cell r="A6114" t="str">
            <v>FUTURA</v>
          </cell>
          <cell r="B6114">
            <v>202509</v>
          </cell>
          <cell r="D6114" t="str">
            <v>--</v>
          </cell>
          <cell r="G6114" t="str">
            <v>Presupuesto</v>
          </cell>
        </row>
        <row r="6115">
          <cell r="A6115" t="str">
            <v>FUTURA</v>
          </cell>
          <cell r="B6115">
            <v>202509</v>
          </cell>
          <cell r="D6115" t="str">
            <v>--</v>
          </cell>
          <cell r="G6115" t="str">
            <v>Real</v>
          </cell>
        </row>
        <row r="6116">
          <cell r="A6116" t="str">
            <v>FUTURA</v>
          </cell>
          <cell r="B6116">
            <v>202509</v>
          </cell>
          <cell r="D6116" t="str">
            <v>Caución</v>
          </cell>
          <cell r="G6116" t="str">
            <v>Presupuesto</v>
          </cell>
        </row>
        <row r="6117">
          <cell r="A6117" t="str">
            <v>FUTURA</v>
          </cell>
          <cell r="B6117">
            <v>202509</v>
          </cell>
          <cell r="D6117" t="str">
            <v>Caución</v>
          </cell>
          <cell r="G6117" t="str">
            <v>Real</v>
          </cell>
        </row>
        <row r="6118">
          <cell r="A6118" t="str">
            <v>FUTURA</v>
          </cell>
          <cell r="B6118">
            <v>202509</v>
          </cell>
          <cell r="D6118" t="str">
            <v>Ingeniería</v>
          </cell>
          <cell r="G6118" t="str">
            <v>Presupuesto</v>
          </cell>
        </row>
        <row r="6119">
          <cell r="A6119" t="str">
            <v>FUTURA</v>
          </cell>
          <cell r="B6119">
            <v>202509</v>
          </cell>
          <cell r="D6119" t="str">
            <v>Ingeniería</v>
          </cell>
          <cell r="G6119" t="str">
            <v>Real</v>
          </cell>
        </row>
        <row r="6120">
          <cell r="A6120" t="str">
            <v>FUTURA</v>
          </cell>
          <cell r="B6120">
            <v>202510</v>
          </cell>
          <cell r="D6120" t="str">
            <v>--</v>
          </cell>
          <cell r="G6120" t="str">
            <v>Presupuesto</v>
          </cell>
        </row>
        <row r="6121">
          <cell r="A6121" t="str">
            <v>FUTURA</v>
          </cell>
          <cell r="B6121">
            <v>202510</v>
          </cell>
          <cell r="D6121" t="str">
            <v>--</v>
          </cell>
          <cell r="G6121" t="str">
            <v>Real</v>
          </cell>
        </row>
        <row r="6122">
          <cell r="A6122" t="str">
            <v>FUTURA</v>
          </cell>
          <cell r="B6122">
            <v>202510</v>
          </cell>
          <cell r="D6122" t="str">
            <v>Caución</v>
          </cell>
          <cell r="G6122" t="str">
            <v>Presupuesto</v>
          </cell>
        </row>
        <row r="6123">
          <cell r="A6123" t="str">
            <v>FUTURA</v>
          </cell>
          <cell r="B6123">
            <v>202510</v>
          </cell>
          <cell r="D6123" t="str">
            <v>Caución</v>
          </cell>
          <cell r="G6123" t="str">
            <v>Real</v>
          </cell>
        </row>
        <row r="6124">
          <cell r="A6124" t="str">
            <v>FUTURA</v>
          </cell>
          <cell r="B6124">
            <v>202510</v>
          </cell>
          <cell r="D6124" t="str">
            <v>Ingeniería</v>
          </cell>
          <cell r="G6124" t="str">
            <v>Presupuesto</v>
          </cell>
        </row>
        <row r="6125">
          <cell r="A6125" t="str">
            <v>FUTURA</v>
          </cell>
          <cell r="B6125">
            <v>202510</v>
          </cell>
          <cell r="D6125" t="str">
            <v>Ingeniería</v>
          </cell>
          <cell r="G6125" t="str">
            <v>Real</v>
          </cell>
        </row>
        <row r="6126">
          <cell r="A6126" t="str">
            <v>FUTURA</v>
          </cell>
          <cell r="B6126">
            <v>202511</v>
          </cell>
          <cell r="D6126" t="str">
            <v>--</v>
          </cell>
          <cell r="G6126" t="str">
            <v>Presupuesto</v>
          </cell>
        </row>
        <row r="6127">
          <cell r="A6127" t="str">
            <v>FUTURA</v>
          </cell>
          <cell r="B6127">
            <v>202511</v>
          </cell>
          <cell r="D6127" t="str">
            <v>--</v>
          </cell>
          <cell r="G6127" t="str">
            <v>Real</v>
          </cell>
        </row>
        <row r="6128">
          <cell r="A6128" t="str">
            <v>FUTURA</v>
          </cell>
          <cell r="B6128">
            <v>202511</v>
          </cell>
          <cell r="D6128" t="str">
            <v>Caución</v>
          </cell>
          <cell r="G6128" t="str">
            <v>Presupuesto</v>
          </cell>
        </row>
        <row r="6129">
          <cell r="A6129" t="str">
            <v>FUTURA</v>
          </cell>
          <cell r="B6129">
            <v>202511</v>
          </cell>
          <cell r="D6129" t="str">
            <v>Caución</v>
          </cell>
          <cell r="G6129" t="str">
            <v>Real</v>
          </cell>
        </row>
        <row r="6130">
          <cell r="A6130" t="str">
            <v>FUTURA</v>
          </cell>
          <cell r="B6130">
            <v>202511</v>
          </cell>
          <cell r="D6130" t="str">
            <v>Ingeniería</v>
          </cell>
          <cell r="G6130" t="str">
            <v>Presupuesto</v>
          </cell>
        </row>
        <row r="6131">
          <cell r="A6131" t="str">
            <v>FUTURA</v>
          </cell>
          <cell r="B6131">
            <v>202511</v>
          </cell>
          <cell r="D6131" t="str">
            <v>Ingeniería</v>
          </cell>
          <cell r="G6131" t="str">
            <v>Real</v>
          </cell>
        </row>
        <row r="6132">
          <cell r="A6132" t="str">
            <v>FUTURA</v>
          </cell>
          <cell r="B6132">
            <v>202512</v>
          </cell>
          <cell r="D6132" t="str">
            <v>--</v>
          </cell>
          <cell r="G6132" t="str">
            <v>Presupuesto</v>
          </cell>
        </row>
        <row r="6133">
          <cell r="A6133" t="str">
            <v>FUTURA</v>
          </cell>
          <cell r="B6133">
            <v>202512</v>
          </cell>
          <cell r="D6133" t="str">
            <v>--</v>
          </cell>
          <cell r="G6133" t="str">
            <v>Real</v>
          </cell>
        </row>
        <row r="6134">
          <cell r="A6134" t="str">
            <v>FUTURA</v>
          </cell>
          <cell r="B6134">
            <v>202512</v>
          </cell>
          <cell r="D6134" t="str">
            <v>Caución</v>
          </cell>
          <cell r="G6134" t="str">
            <v>Presupuesto</v>
          </cell>
        </row>
        <row r="6135">
          <cell r="A6135" t="str">
            <v>FUTURA</v>
          </cell>
          <cell r="B6135">
            <v>202512</v>
          </cell>
          <cell r="D6135" t="str">
            <v>Caución</v>
          </cell>
          <cell r="G6135" t="str">
            <v>Real</v>
          </cell>
        </row>
        <row r="6136">
          <cell r="A6136" t="str">
            <v>FUTURA</v>
          </cell>
          <cell r="B6136">
            <v>202512</v>
          </cell>
          <cell r="D6136" t="str">
            <v>Ingeniería</v>
          </cell>
          <cell r="G6136" t="str">
            <v>Real</v>
          </cell>
        </row>
        <row r="6137">
          <cell r="A6137" t="str">
            <v>ICBA</v>
          </cell>
          <cell r="B6137">
            <v>202301</v>
          </cell>
          <cell r="D6137" t="str">
            <v>--</v>
          </cell>
          <cell r="G6137" t="str">
            <v>Real</v>
          </cell>
        </row>
        <row r="6138">
          <cell r="A6138" t="str">
            <v>ICBA</v>
          </cell>
          <cell r="B6138">
            <v>202302</v>
          </cell>
          <cell r="D6138" t="str">
            <v>--</v>
          </cell>
          <cell r="G6138" t="str">
            <v>Real</v>
          </cell>
        </row>
        <row r="6139">
          <cell r="A6139" t="str">
            <v>ICBA</v>
          </cell>
          <cell r="B6139">
            <v>202303</v>
          </cell>
          <cell r="D6139" t="str">
            <v>--</v>
          </cell>
          <cell r="G6139" t="str">
            <v>Real</v>
          </cell>
        </row>
        <row r="6140">
          <cell r="A6140" t="str">
            <v>ICBA</v>
          </cell>
          <cell r="B6140">
            <v>202304</v>
          </cell>
          <cell r="D6140" t="str">
            <v>--</v>
          </cell>
          <cell r="G6140" t="str">
            <v>Real</v>
          </cell>
        </row>
        <row r="6141">
          <cell r="A6141" t="str">
            <v>ICBA</v>
          </cell>
          <cell r="B6141">
            <v>202305</v>
          </cell>
          <cell r="D6141" t="str">
            <v>--</v>
          </cell>
          <cell r="G6141" t="str">
            <v>Real</v>
          </cell>
        </row>
        <row r="6142">
          <cell r="A6142" t="str">
            <v>ICBA</v>
          </cell>
          <cell r="B6142">
            <v>202306</v>
          </cell>
          <cell r="D6142" t="str">
            <v>--</v>
          </cell>
          <cell r="G6142" t="str">
            <v>Real</v>
          </cell>
        </row>
        <row r="6143">
          <cell r="A6143" t="str">
            <v>ICBA</v>
          </cell>
          <cell r="B6143">
            <v>202307</v>
          </cell>
          <cell r="D6143" t="str">
            <v>--</v>
          </cell>
          <cell r="G6143" t="str">
            <v>Real</v>
          </cell>
        </row>
        <row r="6144">
          <cell r="A6144" t="str">
            <v>ICBA</v>
          </cell>
          <cell r="B6144">
            <v>202308</v>
          </cell>
          <cell r="D6144" t="str">
            <v>--</v>
          </cell>
          <cell r="G6144" t="str">
            <v>Real</v>
          </cell>
        </row>
        <row r="6145">
          <cell r="A6145" t="str">
            <v>ICBA</v>
          </cell>
          <cell r="B6145">
            <v>202309</v>
          </cell>
          <cell r="D6145" t="str">
            <v>--</v>
          </cell>
          <cell r="G6145" t="str">
            <v>Real</v>
          </cell>
        </row>
        <row r="6146">
          <cell r="A6146" t="str">
            <v>ICBA</v>
          </cell>
          <cell r="B6146">
            <v>202310</v>
          </cell>
          <cell r="D6146" t="str">
            <v>--</v>
          </cell>
          <cell r="G6146" t="str">
            <v>Real</v>
          </cell>
        </row>
        <row r="6147">
          <cell r="A6147" t="str">
            <v>ICBA</v>
          </cell>
          <cell r="B6147">
            <v>202311</v>
          </cell>
          <cell r="D6147" t="str">
            <v>--</v>
          </cell>
          <cell r="G6147" t="str">
            <v>Real</v>
          </cell>
        </row>
        <row r="6148">
          <cell r="A6148" t="str">
            <v>ICBA</v>
          </cell>
          <cell r="B6148">
            <v>202401</v>
          </cell>
          <cell r="D6148" t="str">
            <v>--</v>
          </cell>
          <cell r="G6148" t="str">
            <v>Real</v>
          </cell>
        </row>
        <row r="6149">
          <cell r="A6149" t="str">
            <v>ICBA</v>
          </cell>
          <cell r="B6149">
            <v>202401</v>
          </cell>
          <cell r="D6149" t="str">
            <v>Crédito Nacional</v>
          </cell>
          <cell r="G6149" t="str">
            <v>Real</v>
          </cell>
        </row>
        <row r="6150">
          <cell r="A6150" t="str">
            <v>ICBA</v>
          </cell>
          <cell r="B6150">
            <v>202402</v>
          </cell>
          <cell r="D6150" t="str">
            <v>--</v>
          </cell>
          <cell r="G6150" t="str">
            <v>Real</v>
          </cell>
        </row>
        <row r="6151">
          <cell r="A6151" t="str">
            <v>ICBA</v>
          </cell>
          <cell r="B6151">
            <v>202402</v>
          </cell>
          <cell r="D6151" t="str">
            <v>Crédito Nacional</v>
          </cell>
          <cell r="G6151" t="str">
            <v>Real</v>
          </cell>
        </row>
        <row r="6152">
          <cell r="A6152" t="str">
            <v>ICBA</v>
          </cell>
          <cell r="B6152">
            <v>202402</v>
          </cell>
          <cell r="D6152" t="str">
            <v>Crédito Internacional</v>
          </cell>
          <cell r="G6152" t="str">
            <v>Real</v>
          </cell>
        </row>
        <row r="6153">
          <cell r="A6153" t="str">
            <v>ICBA</v>
          </cell>
          <cell r="B6153">
            <v>202403</v>
          </cell>
          <cell r="D6153" t="str">
            <v>--</v>
          </cell>
          <cell r="G6153" t="str">
            <v>Real</v>
          </cell>
        </row>
        <row r="6154">
          <cell r="A6154" t="str">
            <v>ICBA</v>
          </cell>
          <cell r="B6154">
            <v>202403</v>
          </cell>
          <cell r="D6154" t="str">
            <v>Crédito Nacional</v>
          </cell>
          <cell r="G6154" t="str">
            <v>Real</v>
          </cell>
        </row>
        <row r="6155">
          <cell r="A6155" t="str">
            <v>ICBA</v>
          </cell>
          <cell r="B6155">
            <v>202403</v>
          </cell>
          <cell r="D6155" t="str">
            <v>Crédito Internacional</v>
          </cell>
          <cell r="G6155" t="str">
            <v>Real</v>
          </cell>
        </row>
        <row r="6156">
          <cell r="A6156" t="str">
            <v>ICBA</v>
          </cell>
          <cell r="B6156">
            <v>202404</v>
          </cell>
          <cell r="D6156" t="str">
            <v>--</v>
          </cell>
          <cell r="G6156" t="str">
            <v>Real</v>
          </cell>
        </row>
        <row r="6157">
          <cell r="A6157" t="str">
            <v>ICBA</v>
          </cell>
          <cell r="B6157">
            <v>202404</v>
          </cell>
          <cell r="D6157" t="str">
            <v>Crédito Nacional</v>
          </cell>
          <cell r="G6157" t="str">
            <v>Real</v>
          </cell>
        </row>
        <row r="6158">
          <cell r="A6158" t="str">
            <v>ICBA</v>
          </cell>
          <cell r="B6158">
            <v>202405</v>
          </cell>
          <cell r="D6158" t="str">
            <v>--</v>
          </cell>
          <cell r="G6158" t="str">
            <v>Real</v>
          </cell>
        </row>
        <row r="6159">
          <cell r="A6159" t="str">
            <v>ICBA</v>
          </cell>
          <cell r="B6159">
            <v>202405</v>
          </cell>
          <cell r="D6159" t="str">
            <v>Crédito Nacional</v>
          </cell>
          <cell r="G6159" t="str">
            <v>Real</v>
          </cell>
        </row>
        <row r="6160">
          <cell r="A6160" t="str">
            <v>ICBA</v>
          </cell>
          <cell r="B6160">
            <v>202405</v>
          </cell>
          <cell r="D6160" t="str">
            <v>Crédito Internacional</v>
          </cell>
          <cell r="G6160" t="str">
            <v>Real</v>
          </cell>
        </row>
        <row r="6161">
          <cell r="A6161" t="str">
            <v>ICBA</v>
          </cell>
          <cell r="B6161">
            <v>202406</v>
          </cell>
          <cell r="D6161" t="str">
            <v>--</v>
          </cell>
          <cell r="G6161" t="str">
            <v>Real</v>
          </cell>
        </row>
        <row r="6162">
          <cell r="A6162" t="str">
            <v>ICBA</v>
          </cell>
          <cell r="B6162">
            <v>202406</v>
          </cell>
          <cell r="D6162" t="str">
            <v>Crédito Nacional</v>
          </cell>
          <cell r="G6162" t="str">
            <v>Real</v>
          </cell>
        </row>
        <row r="6163">
          <cell r="A6163" t="str">
            <v>ICBA</v>
          </cell>
          <cell r="B6163">
            <v>202407</v>
          </cell>
          <cell r="D6163" t="str">
            <v>--</v>
          </cell>
          <cell r="G6163" t="str">
            <v>Real</v>
          </cell>
        </row>
        <row r="6164">
          <cell r="A6164" t="str">
            <v>ICBA</v>
          </cell>
          <cell r="B6164">
            <v>202407</v>
          </cell>
          <cell r="D6164" t="str">
            <v>Crédito Nacional</v>
          </cell>
          <cell r="G6164" t="str">
            <v>Real</v>
          </cell>
        </row>
        <row r="6165">
          <cell r="A6165" t="str">
            <v>ICBA</v>
          </cell>
          <cell r="B6165">
            <v>202408</v>
          </cell>
          <cell r="D6165" t="str">
            <v>--</v>
          </cell>
          <cell r="G6165" t="str">
            <v>Real</v>
          </cell>
        </row>
        <row r="6166">
          <cell r="A6166" t="str">
            <v>ICBA</v>
          </cell>
          <cell r="B6166">
            <v>202408</v>
          </cell>
          <cell r="D6166" t="str">
            <v>Crédito Nacional</v>
          </cell>
          <cell r="G6166" t="str">
            <v>Real</v>
          </cell>
        </row>
        <row r="6167">
          <cell r="A6167" t="str">
            <v>ICBA</v>
          </cell>
          <cell r="B6167">
            <v>202409</v>
          </cell>
          <cell r="D6167" t="str">
            <v>--</v>
          </cell>
          <cell r="G6167" t="str">
            <v>Real</v>
          </cell>
        </row>
        <row r="6168">
          <cell r="A6168" t="str">
            <v>ICBA</v>
          </cell>
          <cell r="B6168">
            <v>202409</v>
          </cell>
          <cell r="D6168" t="str">
            <v>Crédito Nacional</v>
          </cell>
          <cell r="G6168" t="str">
            <v>Real</v>
          </cell>
        </row>
        <row r="6169">
          <cell r="A6169" t="str">
            <v>ICBA</v>
          </cell>
          <cell r="B6169">
            <v>202410</v>
          </cell>
          <cell r="D6169" t="str">
            <v>--</v>
          </cell>
          <cell r="G6169" t="str">
            <v>Real</v>
          </cell>
        </row>
        <row r="6170">
          <cell r="A6170" t="str">
            <v>ICBA</v>
          </cell>
          <cell r="B6170">
            <v>202410</v>
          </cell>
          <cell r="D6170" t="str">
            <v>Crédito Nacional</v>
          </cell>
          <cell r="G6170" t="str">
            <v>Real</v>
          </cell>
        </row>
        <row r="6171">
          <cell r="A6171" t="str">
            <v>ICBA</v>
          </cell>
          <cell r="B6171">
            <v>202411</v>
          </cell>
          <cell r="D6171" t="str">
            <v>--</v>
          </cell>
          <cell r="G6171" t="str">
            <v>Real</v>
          </cell>
        </row>
        <row r="6172">
          <cell r="A6172" t="str">
            <v>ICBA</v>
          </cell>
          <cell r="B6172">
            <v>202411</v>
          </cell>
          <cell r="D6172" t="str">
            <v>Crédito Nacional</v>
          </cell>
          <cell r="G6172" t="str">
            <v>Real</v>
          </cell>
        </row>
        <row r="6173">
          <cell r="A6173" t="str">
            <v>ICBA</v>
          </cell>
          <cell r="B6173">
            <v>202412</v>
          </cell>
          <cell r="D6173" t="str">
            <v>--</v>
          </cell>
          <cell r="G6173" t="str">
            <v>Real</v>
          </cell>
        </row>
        <row r="6174">
          <cell r="A6174" t="str">
            <v>ICBA</v>
          </cell>
          <cell r="B6174">
            <v>202501</v>
          </cell>
          <cell r="D6174" t="str">
            <v>--</v>
          </cell>
          <cell r="G6174" t="str">
            <v>Presupuesto</v>
          </cell>
        </row>
        <row r="6175">
          <cell r="A6175" t="str">
            <v>ICBA</v>
          </cell>
          <cell r="B6175">
            <v>202501</v>
          </cell>
          <cell r="D6175" t="str">
            <v>--</v>
          </cell>
          <cell r="G6175" t="str">
            <v>Presupuesto</v>
          </cell>
        </row>
        <row r="6176">
          <cell r="A6176" t="str">
            <v>ICBA</v>
          </cell>
          <cell r="B6176">
            <v>202501</v>
          </cell>
          <cell r="D6176" t="str">
            <v>--</v>
          </cell>
          <cell r="G6176" t="str">
            <v>Real</v>
          </cell>
        </row>
        <row r="6177">
          <cell r="A6177" t="str">
            <v>ICBA</v>
          </cell>
          <cell r="B6177">
            <v>202501</v>
          </cell>
          <cell r="D6177" t="str">
            <v>Arte</v>
          </cell>
          <cell r="G6177" t="str">
            <v>Presupuesto</v>
          </cell>
        </row>
        <row r="6178">
          <cell r="A6178" t="str">
            <v>ICBA</v>
          </cell>
          <cell r="B6178">
            <v>202501</v>
          </cell>
          <cell r="D6178" t="str">
            <v>Autos</v>
          </cell>
          <cell r="G6178" t="str">
            <v>Presupuesto</v>
          </cell>
        </row>
        <row r="6179">
          <cell r="A6179" t="str">
            <v>ICBA</v>
          </cell>
          <cell r="B6179">
            <v>202501</v>
          </cell>
          <cell r="D6179" t="str">
            <v>B2B2C</v>
          </cell>
          <cell r="G6179" t="str">
            <v>Presupuesto</v>
          </cell>
        </row>
        <row r="6180">
          <cell r="A6180" t="str">
            <v>ICBA</v>
          </cell>
          <cell r="B6180">
            <v>202501</v>
          </cell>
          <cell r="D6180" t="str">
            <v>Caución</v>
          </cell>
          <cell r="G6180" t="str">
            <v>Presupuesto</v>
          </cell>
        </row>
        <row r="6181">
          <cell r="A6181" t="str">
            <v>ICBA</v>
          </cell>
          <cell r="B6181">
            <v>202501</v>
          </cell>
          <cell r="D6181" t="str">
            <v>Crédito Nacional</v>
          </cell>
          <cell r="G6181" t="str">
            <v>Real</v>
          </cell>
        </row>
        <row r="6182">
          <cell r="A6182" t="str">
            <v>ICBA</v>
          </cell>
          <cell r="B6182">
            <v>202501</v>
          </cell>
          <cell r="D6182" t="str">
            <v>Crédito Internacional</v>
          </cell>
          <cell r="G6182" t="str">
            <v>Presupuesto</v>
          </cell>
        </row>
        <row r="6183">
          <cell r="A6183" t="str">
            <v>ICBA</v>
          </cell>
          <cell r="B6183">
            <v>202501</v>
          </cell>
          <cell r="D6183" t="str">
            <v>Crédito Nacional</v>
          </cell>
          <cell r="G6183" t="str">
            <v>Presupuesto</v>
          </cell>
        </row>
        <row r="6184">
          <cell r="A6184" t="str">
            <v>ICBA</v>
          </cell>
          <cell r="B6184">
            <v>202501</v>
          </cell>
          <cell r="D6184" t="str">
            <v>Eventos</v>
          </cell>
          <cell r="G6184" t="str">
            <v>Presupuesto</v>
          </cell>
        </row>
        <row r="6185">
          <cell r="A6185" t="str">
            <v>ICBA</v>
          </cell>
          <cell r="B6185">
            <v>202501</v>
          </cell>
          <cell r="D6185" t="str">
            <v>Flotas</v>
          </cell>
          <cell r="G6185" t="str">
            <v>Presupuesto</v>
          </cell>
        </row>
        <row r="6186">
          <cell r="A6186" t="str">
            <v>ICBA</v>
          </cell>
          <cell r="B6186">
            <v>202501</v>
          </cell>
          <cell r="D6186" t="str">
            <v>Hogar</v>
          </cell>
          <cell r="G6186" t="str">
            <v>Presupuesto</v>
          </cell>
        </row>
        <row r="6187">
          <cell r="A6187" t="str">
            <v>ICBA</v>
          </cell>
          <cell r="B6187">
            <v>202501</v>
          </cell>
          <cell r="D6187" t="str">
            <v>Ingeniería</v>
          </cell>
          <cell r="G6187" t="str">
            <v>Presupuesto</v>
          </cell>
        </row>
        <row r="6188">
          <cell r="A6188" t="str">
            <v>ICBA</v>
          </cell>
          <cell r="B6188">
            <v>202501</v>
          </cell>
          <cell r="D6188" t="str">
            <v>Inmobiliario</v>
          </cell>
          <cell r="G6188" t="str">
            <v>Presupuesto</v>
          </cell>
        </row>
        <row r="6189">
          <cell r="A6189" t="str">
            <v>ICBA</v>
          </cell>
          <cell r="B6189">
            <v>202501</v>
          </cell>
          <cell r="D6189" t="str">
            <v>Líneas Financieras</v>
          </cell>
          <cell r="G6189" t="str">
            <v>Presupuesto</v>
          </cell>
        </row>
        <row r="6190">
          <cell r="A6190" t="str">
            <v>ICBA</v>
          </cell>
          <cell r="B6190">
            <v>202501</v>
          </cell>
          <cell r="D6190" t="str">
            <v>Náutica</v>
          </cell>
          <cell r="G6190" t="str">
            <v>Presupuesto</v>
          </cell>
        </row>
        <row r="6191">
          <cell r="A6191" t="str">
            <v>ICBA</v>
          </cell>
          <cell r="B6191">
            <v>202501</v>
          </cell>
          <cell r="D6191" t="str">
            <v>Particulares Resto</v>
          </cell>
          <cell r="G6191" t="str">
            <v>Presupuesto</v>
          </cell>
        </row>
        <row r="6192">
          <cell r="A6192" t="str">
            <v>ICBA</v>
          </cell>
          <cell r="B6192">
            <v>202501</v>
          </cell>
          <cell r="D6192" t="str">
            <v>Property</v>
          </cell>
          <cell r="G6192" t="str">
            <v>Presupuesto</v>
          </cell>
        </row>
        <row r="6193">
          <cell r="A6193" t="str">
            <v>ICBA</v>
          </cell>
          <cell r="B6193">
            <v>202501</v>
          </cell>
          <cell r="D6193" t="str">
            <v>RC</v>
          </cell>
          <cell r="G6193" t="str">
            <v>Presupuesto</v>
          </cell>
        </row>
        <row r="6194">
          <cell r="A6194" t="str">
            <v>ICBA</v>
          </cell>
          <cell r="B6194">
            <v>202501</v>
          </cell>
          <cell r="D6194" t="str">
            <v>Resto de lineas</v>
          </cell>
          <cell r="G6194" t="str">
            <v>Presupuesto</v>
          </cell>
        </row>
        <row r="6195">
          <cell r="A6195" t="str">
            <v>ICBA</v>
          </cell>
          <cell r="B6195">
            <v>202501</v>
          </cell>
          <cell r="D6195" t="str">
            <v>Retirada</v>
          </cell>
          <cell r="G6195" t="str">
            <v>Presupuesto</v>
          </cell>
        </row>
        <row r="6196">
          <cell r="A6196" t="str">
            <v>ICBA</v>
          </cell>
          <cell r="B6196">
            <v>202501</v>
          </cell>
          <cell r="D6196" t="str">
            <v>Seguros Personales (No Vida) Colectivos</v>
          </cell>
          <cell r="G6196" t="str">
            <v>Presupuesto</v>
          </cell>
        </row>
        <row r="6197">
          <cell r="A6197" t="str">
            <v>ICBA</v>
          </cell>
          <cell r="B6197">
            <v>202501</v>
          </cell>
          <cell r="D6197" t="str">
            <v>Seguros Personales (No Vida) Particular</v>
          </cell>
          <cell r="G6197" t="str">
            <v>Presupuesto</v>
          </cell>
        </row>
        <row r="6198">
          <cell r="A6198" t="str">
            <v>ICBA</v>
          </cell>
          <cell r="B6198">
            <v>202501</v>
          </cell>
          <cell r="D6198" t="str">
            <v>Transporte</v>
          </cell>
          <cell r="G6198" t="str">
            <v>Presupuesto</v>
          </cell>
        </row>
        <row r="6199">
          <cell r="A6199" t="str">
            <v>ICBA</v>
          </cell>
          <cell r="B6199">
            <v>202501</v>
          </cell>
          <cell r="D6199" t="str">
            <v>Venta Cruzada</v>
          </cell>
          <cell r="G6199" t="str">
            <v>Presupuesto</v>
          </cell>
        </row>
        <row r="6200">
          <cell r="A6200" t="str">
            <v>ICBA</v>
          </cell>
          <cell r="B6200">
            <v>202501</v>
          </cell>
          <cell r="D6200" t="str">
            <v>Vida Ahorro Colectivo</v>
          </cell>
          <cell r="G6200" t="str">
            <v>Presupuesto</v>
          </cell>
        </row>
        <row r="6201">
          <cell r="A6201" t="str">
            <v>ICBA</v>
          </cell>
          <cell r="B6201">
            <v>202501</v>
          </cell>
          <cell r="D6201" t="str">
            <v>Vida Ahorro Particular</v>
          </cell>
          <cell r="G6201" t="str">
            <v>Presupuesto</v>
          </cell>
        </row>
        <row r="6202">
          <cell r="A6202" t="str">
            <v>ICBA</v>
          </cell>
          <cell r="B6202">
            <v>202501</v>
          </cell>
          <cell r="D6202" t="str">
            <v>Vida Ganado</v>
          </cell>
          <cell r="G6202" t="str">
            <v>Presupuesto</v>
          </cell>
        </row>
        <row r="6203">
          <cell r="A6203" t="str">
            <v>ICBA</v>
          </cell>
          <cell r="B6203">
            <v>202501</v>
          </cell>
          <cell r="D6203" t="str">
            <v>Vida Riesgo Colectivo</v>
          </cell>
          <cell r="G6203" t="str">
            <v>Presupuesto</v>
          </cell>
        </row>
        <row r="6204">
          <cell r="A6204" t="str">
            <v>ICBA</v>
          </cell>
          <cell r="B6204">
            <v>202501</v>
          </cell>
          <cell r="D6204" t="str">
            <v>Vida Riesgo Particular</v>
          </cell>
          <cell r="G6204" t="str">
            <v>Presupuesto</v>
          </cell>
        </row>
        <row r="6205">
          <cell r="A6205" t="str">
            <v>ICBA</v>
          </cell>
          <cell r="B6205">
            <v>202502</v>
          </cell>
          <cell r="D6205" t="str">
            <v>--</v>
          </cell>
          <cell r="G6205" t="str">
            <v>Presupuesto</v>
          </cell>
        </row>
        <row r="6206">
          <cell r="A6206" t="str">
            <v>ICBA</v>
          </cell>
          <cell r="B6206">
            <v>202502</v>
          </cell>
          <cell r="D6206" t="str">
            <v>--</v>
          </cell>
          <cell r="G6206" t="str">
            <v>Presupuesto</v>
          </cell>
        </row>
        <row r="6207">
          <cell r="A6207" t="str">
            <v>ICBA</v>
          </cell>
          <cell r="B6207">
            <v>202502</v>
          </cell>
          <cell r="D6207" t="str">
            <v>--</v>
          </cell>
          <cell r="G6207" t="str">
            <v>Real</v>
          </cell>
        </row>
        <row r="6208">
          <cell r="A6208" t="str">
            <v>ICBA</v>
          </cell>
          <cell r="B6208">
            <v>202502</v>
          </cell>
          <cell r="D6208" t="str">
            <v>Arte</v>
          </cell>
          <cell r="G6208" t="str">
            <v>Presupuesto</v>
          </cell>
        </row>
        <row r="6209">
          <cell r="A6209" t="str">
            <v>ICBA</v>
          </cell>
          <cell r="B6209">
            <v>202502</v>
          </cell>
          <cell r="D6209" t="str">
            <v>Autos</v>
          </cell>
          <cell r="G6209" t="str">
            <v>Presupuesto</v>
          </cell>
        </row>
        <row r="6210">
          <cell r="A6210" t="str">
            <v>ICBA</v>
          </cell>
          <cell r="B6210">
            <v>202502</v>
          </cell>
          <cell r="D6210" t="str">
            <v>B2B2C</v>
          </cell>
          <cell r="G6210" t="str">
            <v>Presupuesto</v>
          </cell>
        </row>
        <row r="6211">
          <cell r="A6211" t="str">
            <v>ICBA</v>
          </cell>
          <cell r="B6211">
            <v>202502</v>
          </cell>
          <cell r="D6211" t="str">
            <v>Caución</v>
          </cell>
          <cell r="G6211" t="str">
            <v>Presupuesto</v>
          </cell>
        </row>
        <row r="6212">
          <cell r="A6212" t="str">
            <v>ICBA</v>
          </cell>
          <cell r="B6212">
            <v>202502</v>
          </cell>
          <cell r="D6212" t="str">
            <v>Crédito Nacional</v>
          </cell>
          <cell r="G6212" t="str">
            <v>Real</v>
          </cell>
        </row>
        <row r="6213">
          <cell r="A6213" t="str">
            <v>ICBA</v>
          </cell>
          <cell r="B6213">
            <v>202502</v>
          </cell>
          <cell r="D6213" t="str">
            <v>Crédito Internacional</v>
          </cell>
          <cell r="G6213" t="str">
            <v>Presupuesto</v>
          </cell>
        </row>
        <row r="6214">
          <cell r="A6214" t="str">
            <v>ICBA</v>
          </cell>
          <cell r="B6214">
            <v>202502</v>
          </cell>
          <cell r="D6214" t="str">
            <v>Crédito Internacional</v>
          </cell>
          <cell r="G6214" t="str">
            <v>Real</v>
          </cell>
        </row>
        <row r="6215">
          <cell r="A6215" t="str">
            <v>ICBA</v>
          </cell>
          <cell r="B6215">
            <v>202502</v>
          </cell>
          <cell r="D6215" t="str">
            <v>Crédito Nacional</v>
          </cell>
          <cell r="G6215" t="str">
            <v>Presupuesto</v>
          </cell>
        </row>
        <row r="6216">
          <cell r="A6216" t="str">
            <v>ICBA</v>
          </cell>
          <cell r="B6216">
            <v>202502</v>
          </cell>
          <cell r="D6216" t="str">
            <v>Eventos</v>
          </cell>
          <cell r="G6216" t="str">
            <v>Presupuesto</v>
          </cell>
        </row>
        <row r="6217">
          <cell r="A6217" t="str">
            <v>ICBA</v>
          </cell>
          <cell r="B6217">
            <v>202502</v>
          </cell>
          <cell r="D6217" t="str">
            <v>Flotas</v>
          </cell>
          <cell r="G6217" t="str">
            <v>Presupuesto</v>
          </cell>
        </row>
        <row r="6218">
          <cell r="A6218" t="str">
            <v>ICBA</v>
          </cell>
          <cell r="B6218">
            <v>202502</v>
          </cell>
          <cell r="D6218" t="str">
            <v>Hogar</v>
          </cell>
          <cell r="G6218" t="str">
            <v>Presupuesto</v>
          </cell>
        </row>
        <row r="6219">
          <cell r="A6219" t="str">
            <v>ICBA</v>
          </cell>
          <cell r="B6219">
            <v>202502</v>
          </cell>
          <cell r="D6219" t="str">
            <v>Ingeniería</v>
          </cell>
          <cell r="G6219" t="str">
            <v>Presupuesto</v>
          </cell>
        </row>
        <row r="6220">
          <cell r="A6220" t="str">
            <v>ICBA</v>
          </cell>
          <cell r="B6220">
            <v>202502</v>
          </cell>
          <cell r="D6220" t="str">
            <v>Inmobiliario</v>
          </cell>
          <cell r="G6220" t="str">
            <v>Presupuesto</v>
          </cell>
        </row>
        <row r="6221">
          <cell r="A6221" t="str">
            <v>ICBA</v>
          </cell>
          <cell r="B6221">
            <v>202502</v>
          </cell>
          <cell r="D6221" t="str">
            <v>Líneas Financieras</v>
          </cell>
          <cell r="G6221" t="str">
            <v>Presupuesto</v>
          </cell>
        </row>
        <row r="6222">
          <cell r="A6222" t="str">
            <v>ICBA</v>
          </cell>
          <cell r="B6222">
            <v>202502</v>
          </cell>
          <cell r="D6222" t="str">
            <v>Náutica</v>
          </cell>
          <cell r="G6222" t="str">
            <v>Presupuesto</v>
          </cell>
        </row>
        <row r="6223">
          <cell r="A6223" t="str">
            <v>ICBA</v>
          </cell>
          <cell r="B6223">
            <v>202502</v>
          </cell>
          <cell r="D6223" t="str">
            <v>Particulares Resto</v>
          </cell>
          <cell r="G6223" t="str">
            <v>Presupuesto</v>
          </cell>
        </row>
        <row r="6224">
          <cell r="A6224" t="str">
            <v>ICBA</v>
          </cell>
          <cell r="B6224">
            <v>202502</v>
          </cell>
          <cell r="D6224" t="str">
            <v>Property</v>
          </cell>
          <cell r="G6224" t="str">
            <v>Presupuesto</v>
          </cell>
        </row>
        <row r="6225">
          <cell r="A6225" t="str">
            <v>ICBA</v>
          </cell>
          <cell r="B6225">
            <v>202502</v>
          </cell>
          <cell r="D6225" t="str">
            <v>RC</v>
          </cell>
          <cell r="G6225" t="str">
            <v>Presupuesto</v>
          </cell>
        </row>
        <row r="6226">
          <cell r="A6226" t="str">
            <v>ICBA</v>
          </cell>
          <cell r="B6226">
            <v>202502</v>
          </cell>
          <cell r="D6226" t="str">
            <v>Resto de lineas</v>
          </cell>
          <cell r="G6226" t="str">
            <v>Presupuesto</v>
          </cell>
        </row>
        <row r="6227">
          <cell r="A6227" t="str">
            <v>ICBA</v>
          </cell>
          <cell r="B6227">
            <v>202502</v>
          </cell>
          <cell r="D6227" t="str">
            <v>Retirada</v>
          </cell>
          <cell r="G6227" t="str">
            <v>Presupuesto</v>
          </cell>
        </row>
        <row r="6228">
          <cell r="A6228" t="str">
            <v>ICBA</v>
          </cell>
          <cell r="B6228">
            <v>202502</v>
          </cell>
          <cell r="D6228" t="str">
            <v>Seguros Personales (No Vida) Colectivos</v>
          </cell>
          <cell r="G6228" t="str">
            <v>Presupuesto</v>
          </cell>
        </row>
        <row r="6229">
          <cell r="A6229" t="str">
            <v>ICBA</v>
          </cell>
          <cell r="B6229">
            <v>202502</v>
          </cell>
          <cell r="D6229" t="str">
            <v>Seguros Personales (No Vida) Particular</v>
          </cell>
          <cell r="G6229" t="str">
            <v>Presupuesto</v>
          </cell>
        </row>
        <row r="6230">
          <cell r="A6230" t="str">
            <v>ICBA</v>
          </cell>
          <cell r="B6230">
            <v>202502</v>
          </cell>
          <cell r="D6230" t="str">
            <v>Transporte</v>
          </cell>
          <cell r="G6230" t="str">
            <v>Presupuesto</v>
          </cell>
        </row>
        <row r="6231">
          <cell r="A6231" t="str">
            <v>ICBA</v>
          </cell>
          <cell r="B6231">
            <v>202502</v>
          </cell>
          <cell r="D6231" t="str">
            <v>Venta Cruzada</v>
          </cell>
          <cell r="G6231" t="str">
            <v>Presupuesto</v>
          </cell>
        </row>
        <row r="6232">
          <cell r="A6232" t="str">
            <v>ICBA</v>
          </cell>
          <cell r="B6232">
            <v>202502</v>
          </cell>
          <cell r="D6232" t="str">
            <v>Vida Ahorro Colectivo</v>
          </cell>
          <cell r="G6232" t="str">
            <v>Presupuesto</v>
          </cell>
        </row>
        <row r="6233">
          <cell r="A6233" t="str">
            <v>ICBA</v>
          </cell>
          <cell r="B6233">
            <v>202502</v>
          </cell>
          <cell r="D6233" t="str">
            <v>Vida Ahorro Particular</v>
          </cell>
          <cell r="G6233" t="str">
            <v>Presupuesto</v>
          </cell>
        </row>
        <row r="6234">
          <cell r="A6234" t="str">
            <v>ICBA</v>
          </cell>
          <cell r="B6234">
            <v>202502</v>
          </cell>
          <cell r="D6234" t="str">
            <v>Vida Ganado</v>
          </cell>
          <cell r="G6234" t="str">
            <v>Presupuesto</v>
          </cell>
        </row>
        <row r="6235">
          <cell r="A6235" t="str">
            <v>ICBA</v>
          </cell>
          <cell r="B6235">
            <v>202502</v>
          </cell>
          <cell r="D6235" t="str">
            <v>Vida Riesgo Colectivo</v>
          </cell>
          <cell r="G6235" t="str">
            <v>Presupuesto</v>
          </cell>
        </row>
        <row r="6236">
          <cell r="A6236" t="str">
            <v>ICBA</v>
          </cell>
          <cell r="B6236">
            <v>202502</v>
          </cell>
          <cell r="D6236" t="str">
            <v>Vida Riesgo Particular</v>
          </cell>
          <cell r="G6236" t="str">
            <v>Presupuesto</v>
          </cell>
        </row>
        <row r="6237">
          <cell r="A6237" t="str">
            <v>ICBA</v>
          </cell>
          <cell r="B6237">
            <v>202503</v>
          </cell>
          <cell r="D6237" t="str">
            <v>--</v>
          </cell>
          <cell r="G6237" t="str">
            <v>Presupuesto</v>
          </cell>
        </row>
        <row r="6238">
          <cell r="A6238" t="str">
            <v>ICBA</v>
          </cell>
          <cell r="B6238">
            <v>202503</v>
          </cell>
          <cell r="D6238" t="str">
            <v>--</v>
          </cell>
          <cell r="G6238" t="str">
            <v>Presupuesto</v>
          </cell>
        </row>
        <row r="6239">
          <cell r="A6239" t="str">
            <v>ICBA</v>
          </cell>
          <cell r="B6239">
            <v>202503</v>
          </cell>
          <cell r="D6239" t="str">
            <v>--</v>
          </cell>
          <cell r="G6239" t="str">
            <v>Real</v>
          </cell>
        </row>
        <row r="6240">
          <cell r="A6240" t="str">
            <v>ICBA</v>
          </cell>
          <cell r="B6240">
            <v>202503</v>
          </cell>
          <cell r="D6240" t="str">
            <v>Arte</v>
          </cell>
          <cell r="G6240" t="str">
            <v>Presupuesto</v>
          </cell>
        </row>
        <row r="6241">
          <cell r="A6241" t="str">
            <v>ICBA</v>
          </cell>
          <cell r="B6241">
            <v>202503</v>
          </cell>
          <cell r="D6241" t="str">
            <v>Autos</v>
          </cell>
          <cell r="G6241" t="str">
            <v>Presupuesto</v>
          </cell>
        </row>
        <row r="6242">
          <cell r="A6242" t="str">
            <v>ICBA</v>
          </cell>
          <cell r="B6242">
            <v>202503</v>
          </cell>
          <cell r="D6242" t="str">
            <v>B2B2C</v>
          </cell>
          <cell r="G6242" t="str">
            <v>Presupuesto</v>
          </cell>
        </row>
        <row r="6243">
          <cell r="A6243" t="str">
            <v>ICBA</v>
          </cell>
          <cell r="B6243">
            <v>202503</v>
          </cell>
          <cell r="D6243" t="str">
            <v>Caución</v>
          </cell>
          <cell r="G6243" t="str">
            <v>Presupuesto</v>
          </cell>
        </row>
        <row r="6244">
          <cell r="A6244" t="str">
            <v>ICBA</v>
          </cell>
          <cell r="B6244">
            <v>202503</v>
          </cell>
          <cell r="D6244" t="str">
            <v>Crédito Nacional</v>
          </cell>
          <cell r="G6244" t="str">
            <v>Real</v>
          </cell>
        </row>
        <row r="6245">
          <cell r="A6245" t="str">
            <v>ICBA</v>
          </cell>
          <cell r="B6245">
            <v>202503</v>
          </cell>
          <cell r="D6245" t="str">
            <v>Crédito Internacional</v>
          </cell>
          <cell r="G6245" t="str">
            <v>Presupuesto</v>
          </cell>
        </row>
        <row r="6246">
          <cell r="A6246" t="str">
            <v>ICBA</v>
          </cell>
          <cell r="B6246">
            <v>202503</v>
          </cell>
          <cell r="D6246" t="str">
            <v>Crédito Internacional</v>
          </cell>
          <cell r="G6246" t="str">
            <v>Real</v>
          </cell>
        </row>
        <row r="6247">
          <cell r="A6247" t="str">
            <v>ICBA</v>
          </cell>
          <cell r="B6247">
            <v>202503</v>
          </cell>
          <cell r="D6247" t="str">
            <v>Crédito Nacional</v>
          </cell>
          <cell r="G6247" t="str">
            <v>Presupuesto</v>
          </cell>
        </row>
        <row r="6248">
          <cell r="A6248" t="str">
            <v>ICBA</v>
          </cell>
          <cell r="B6248">
            <v>202503</v>
          </cell>
          <cell r="D6248" t="str">
            <v>Eventos</v>
          </cell>
          <cell r="G6248" t="str">
            <v>Presupuesto</v>
          </cell>
        </row>
        <row r="6249">
          <cell r="A6249" t="str">
            <v>ICBA</v>
          </cell>
          <cell r="B6249">
            <v>202503</v>
          </cell>
          <cell r="D6249" t="str">
            <v>Flotas</v>
          </cell>
          <cell r="G6249" t="str">
            <v>Presupuesto</v>
          </cell>
        </row>
        <row r="6250">
          <cell r="A6250" t="str">
            <v>ICBA</v>
          </cell>
          <cell r="B6250">
            <v>202503</v>
          </cell>
          <cell r="D6250" t="str">
            <v>Hogar</v>
          </cell>
          <cell r="G6250" t="str">
            <v>Presupuesto</v>
          </cell>
        </row>
        <row r="6251">
          <cell r="A6251" t="str">
            <v>ICBA</v>
          </cell>
          <cell r="B6251">
            <v>202503</v>
          </cell>
          <cell r="D6251" t="str">
            <v>Ingeniería</v>
          </cell>
          <cell r="G6251" t="str">
            <v>Presupuesto</v>
          </cell>
        </row>
        <row r="6252">
          <cell r="A6252" t="str">
            <v>ICBA</v>
          </cell>
          <cell r="B6252">
            <v>202503</v>
          </cell>
          <cell r="D6252" t="str">
            <v>Inmobiliario</v>
          </cell>
          <cell r="G6252" t="str">
            <v>Presupuesto</v>
          </cell>
        </row>
        <row r="6253">
          <cell r="A6253" t="str">
            <v>ICBA</v>
          </cell>
          <cell r="B6253">
            <v>202503</v>
          </cell>
          <cell r="D6253" t="str">
            <v>Líneas Financieras</v>
          </cell>
          <cell r="G6253" t="str">
            <v>Presupuesto</v>
          </cell>
        </row>
        <row r="6254">
          <cell r="A6254" t="str">
            <v>ICBA</v>
          </cell>
          <cell r="B6254">
            <v>202503</v>
          </cell>
          <cell r="D6254" t="str">
            <v>Náutica</v>
          </cell>
          <cell r="G6254" t="str">
            <v>Presupuesto</v>
          </cell>
        </row>
        <row r="6255">
          <cell r="A6255" t="str">
            <v>ICBA</v>
          </cell>
          <cell r="B6255">
            <v>202503</v>
          </cell>
          <cell r="D6255" t="str">
            <v>Particulares Resto</v>
          </cell>
          <cell r="G6255" t="str">
            <v>Presupuesto</v>
          </cell>
        </row>
        <row r="6256">
          <cell r="A6256" t="str">
            <v>ICBA</v>
          </cell>
          <cell r="B6256">
            <v>202503</v>
          </cell>
          <cell r="D6256" t="str">
            <v>Property</v>
          </cell>
          <cell r="G6256" t="str">
            <v>Presupuesto</v>
          </cell>
        </row>
        <row r="6257">
          <cell r="A6257" t="str">
            <v>ICBA</v>
          </cell>
          <cell r="B6257">
            <v>202503</v>
          </cell>
          <cell r="D6257" t="str">
            <v>RC</v>
          </cell>
          <cell r="G6257" t="str">
            <v>Presupuesto</v>
          </cell>
        </row>
        <row r="6258">
          <cell r="A6258" t="str">
            <v>ICBA</v>
          </cell>
          <cell r="B6258">
            <v>202503</v>
          </cell>
          <cell r="D6258" t="str">
            <v>Resto de lineas</v>
          </cell>
          <cell r="G6258" t="str">
            <v>Presupuesto</v>
          </cell>
        </row>
        <row r="6259">
          <cell r="A6259" t="str">
            <v>ICBA</v>
          </cell>
          <cell r="B6259">
            <v>202503</v>
          </cell>
          <cell r="D6259" t="str">
            <v>Retirada</v>
          </cell>
          <cell r="G6259" t="str">
            <v>Presupuesto</v>
          </cell>
        </row>
        <row r="6260">
          <cell r="A6260" t="str">
            <v>ICBA</v>
          </cell>
          <cell r="B6260">
            <v>202503</v>
          </cell>
          <cell r="D6260" t="str">
            <v>Seguros Personales (No Vida) Colectivos</v>
          </cell>
          <cell r="G6260" t="str">
            <v>Presupuesto</v>
          </cell>
        </row>
        <row r="6261">
          <cell r="A6261" t="str">
            <v>ICBA</v>
          </cell>
          <cell r="B6261">
            <v>202503</v>
          </cell>
          <cell r="D6261" t="str">
            <v>Seguros Personales (No Vida) Particular</v>
          </cell>
          <cell r="G6261" t="str">
            <v>Presupuesto</v>
          </cell>
        </row>
        <row r="6262">
          <cell r="A6262" t="str">
            <v>ICBA</v>
          </cell>
          <cell r="B6262">
            <v>202503</v>
          </cell>
          <cell r="D6262" t="str">
            <v>Transporte</v>
          </cell>
          <cell r="G6262" t="str">
            <v>Presupuesto</v>
          </cell>
        </row>
        <row r="6263">
          <cell r="A6263" t="str">
            <v>ICBA</v>
          </cell>
          <cell r="B6263">
            <v>202503</v>
          </cell>
          <cell r="D6263" t="str">
            <v>Venta Cruzada</v>
          </cell>
          <cell r="G6263" t="str">
            <v>Presupuesto</v>
          </cell>
        </row>
        <row r="6264">
          <cell r="A6264" t="str">
            <v>ICBA</v>
          </cell>
          <cell r="B6264">
            <v>202503</v>
          </cell>
          <cell r="D6264" t="str">
            <v>Venta Cruzada</v>
          </cell>
          <cell r="G6264" t="str">
            <v>Real</v>
          </cell>
        </row>
        <row r="6265">
          <cell r="A6265" t="str">
            <v>ICBA</v>
          </cell>
          <cell r="B6265">
            <v>202503</v>
          </cell>
          <cell r="D6265" t="str">
            <v>Vida Ahorro Colectivo</v>
          </cell>
          <cell r="G6265" t="str">
            <v>Presupuesto</v>
          </cell>
        </row>
        <row r="6266">
          <cell r="A6266" t="str">
            <v>ICBA</v>
          </cell>
          <cell r="B6266">
            <v>202503</v>
          </cell>
          <cell r="D6266" t="str">
            <v>Vida Ahorro Particular</v>
          </cell>
          <cell r="G6266" t="str">
            <v>Presupuesto</v>
          </cell>
        </row>
        <row r="6267">
          <cell r="A6267" t="str">
            <v>ICBA</v>
          </cell>
          <cell r="B6267">
            <v>202503</v>
          </cell>
          <cell r="D6267" t="str">
            <v>Vida Ganado</v>
          </cell>
          <cell r="G6267" t="str">
            <v>Presupuesto</v>
          </cell>
        </row>
        <row r="6268">
          <cell r="A6268" t="str">
            <v>ICBA</v>
          </cell>
          <cell r="B6268">
            <v>202503</v>
          </cell>
          <cell r="D6268" t="str">
            <v>Vida Riesgo Colectivo</v>
          </cell>
          <cell r="G6268" t="str">
            <v>Presupuesto</v>
          </cell>
        </row>
        <row r="6269">
          <cell r="A6269" t="str">
            <v>ICBA</v>
          </cell>
          <cell r="B6269">
            <v>202503</v>
          </cell>
          <cell r="D6269" t="str">
            <v>Vida Riesgo Particular</v>
          </cell>
          <cell r="G6269" t="str">
            <v>Presupuesto</v>
          </cell>
        </row>
        <row r="6270">
          <cell r="A6270" t="str">
            <v>ICBA</v>
          </cell>
          <cell r="B6270">
            <v>202504</v>
          </cell>
          <cell r="D6270" t="str">
            <v>--</v>
          </cell>
          <cell r="G6270" t="str">
            <v>Presupuesto</v>
          </cell>
        </row>
        <row r="6271">
          <cell r="A6271" t="str">
            <v>ICBA</v>
          </cell>
          <cell r="B6271">
            <v>202504</v>
          </cell>
          <cell r="D6271" t="str">
            <v>--</v>
          </cell>
          <cell r="G6271" t="str">
            <v>Presupuesto</v>
          </cell>
        </row>
        <row r="6272">
          <cell r="A6272" t="str">
            <v>ICBA</v>
          </cell>
          <cell r="B6272">
            <v>202504</v>
          </cell>
          <cell r="D6272" t="str">
            <v>--</v>
          </cell>
          <cell r="G6272" t="str">
            <v>Real</v>
          </cell>
        </row>
        <row r="6273">
          <cell r="A6273" t="str">
            <v>ICBA</v>
          </cell>
          <cell r="B6273">
            <v>202504</v>
          </cell>
          <cell r="D6273" t="str">
            <v>Arte</v>
          </cell>
          <cell r="G6273" t="str">
            <v>Presupuesto</v>
          </cell>
        </row>
        <row r="6274">
          <cell r="A6274" t="str">
            <v>ICBA</v>
          </cell>
          <cell r="B6274">
            <v>202504</v>
          </cell>
          <cell r="D6274" t="str">
            <v>Autos</v>
          </cell>
          <cell r="G6274" t="str">
            <v>Presupuesto</v>
          </cell>
        </row>
        <row r="6275">
          <cell r="A6275" t="str">
            <v>ICBA</v>
          </cell>
          <cell r="B6275">
            <v>202504</v>
          </cell>
          <cell r="D6275" t="str">
            <v>B2B2C</v>
          </cell>
          <cell r="G6275" t="str">
            <v>Presupuesto</v>
          </cell>
        </row>
        <row r="6276">
          <cell r="A6276" t="str">
            <v>ICBA</v>
          </cell>
          <cell r="B6276">
            <v>202504</v>
          </cell>
          <cell r="D6276" t="str">
            <v>Caución</v>
          </cell>
          <cell r="G6276" t="str">
            <v>Presupuesto</v>
          </cell>
        </row>
        <row r="6277">
          <cell r="A6277" t="str">
            <v>ICBA</v>
          </cell>
          <cell r="B6277">
            <v>202504</v>
          </cell>
          <cell r="D6277" t="str">
            <v>Crédito Nacional</v>
          </cell>
          <cell r="G6277" t="str">
            <v>Real</v>
          </cell>
        </row>
        <row r="6278">
          <cell r="A6278" t="str">
            <v>ICBA</v>
          </cell>
          <cell r="B6278">
            <v>202504</v>
          </cell>
          <cell r="D6278" t="str">
            <v>Crédito Internacional</v>
          </cell>
          <cell r="G6278" t="str">
            <v>Presupuesto</v>
          </cell>
        </row>
        <row r="6279">
          <cell r="A6279" t="str">
            <v>ICBA</v>
          </cell>
          <cell r="B6279">
            <v>202504</v>
          </cell>
          <cell r="D6279" t="str">
            <v>Crédito Internacional</v>
          </cell>
          <cell r="G6279" t="str">
            <v>Real</v>
          </cell>
        </row>
        <row r="6280">
          <cell r="A6280" t="str">
            <v>ICBA</v>
          </cell>
          <cell r="B6280">
            <v>202504</v>
          </cell>
          <cell r="D6280" t="str">
            <v>Crédito Nacional</v>
          </cell>
          <cell r="G6280" t="str">
            <v>Presupuesto</v>
          </cell>
        </row>
        <row r="6281">
          <cell r="A6281" t="str">
            <v>ICBA</v>
          </cell>
          <cell r="B6281">
            <v>202504</v>
          </cell>
          <cell r="D6281" t="str">
            <v>Eventos</v>
          </cell>
          <cell r="G6281" t="str">
            <v>Presupuesto</v>
          </cell>
        </row>
        <row r="6282">
          <cell r="A6282" t="str">
            <v>ICBA</v>
          </cell>
          <cell r="B6282">
            <v>202504</v>
          </cell>
          <cell r="D6282" t="str">
            <v>Flotas</v>
          </cell>
          <cell r="G6282" t="str">
            <v>Presupuesto</v>
          </cell>
        </row>
        <row r="6283">
          <cell r="A6283" t="str">
            <v>ICBA</v>
          </cell>
          <cell r="B6283">
            <v>202504</v>
          </cell>
          <cell r="D6283" t="str">
            <v>Hogar</v>
          </cell>
          <cell r="G6283" t="str">
            <v>Presupuesto</v>
          </cell>
        </row>
        <row r="6284">
          <cell r="A6284" t="str">
            <v>ICBA</v>
          </cell>
          <cell r="B6284">
            <v>202504</v>
          </cell>
          <cell r="D6284" t="str">
            <v>Ingeniería</v>
          </cell>
          <cell r="G6284" t="str">
            <v>Presupuesto</v>
          </cell>
        </row>
        <row r="6285">
          <cell r="A6285" t="str">
            <v>ICBA</v>
          </cell>
          <cell r="B6285">
            <v>202504</v>
          </cell>
          <cell r="D6285" t="str">
            <v>Inmobiliario</v>
          </cell>
          <cell r="G6285" t="str">
            <v>Presupuesto</v>
          </cell>
        </row>
        <row r="6286">
          <cell r="A6286" t="str">
            <v>ICBA</v>
          </cell>
          <cell r="B6286">
            <v>202504</v>
          </cell>
          <cell r="D6286" t="str">
            <v>Líneas Financieras</v>
          </cell>
          <cell r="G6286" t="str">
            <v>Presupuesto</v>
          </cell>
        </row>
        <row r="6287">
          <cell r="A6287" t="str">
            <v>ICBA</v>
          </cell>
          <cell r="B6287">
            <v>202504</v>
          </cell>
          <cell r="D6287" t="str">
            <v>Náutica</v>
          </cell>
          <cell r="G6287" t="str">
            <v>Presupuesto</v>
          </cell>
        </row>
        <row r="6288">
          <cell r="A6288" t="str">
            <v>ICBA</v>
          </cell>
          <cell r="B6288">
            <v>202504</v>
          </cell>
          <cell r="D6288" t="str">
            <v>Particulares Resto</v>
          </cell>
          <cell r="G6288" t="str">
            <v>Presupuesto</v>
          </cell>
        </row>
        <row r="6289">
          <cell r="A6289" t="str">
            <v>ICBA</v>
          </cell>
          <cell r="B6289">
            <v>202504</v>
          </cell>
          <cell r="D6289" t="str">
            <v>Property</v>
          </cell>
          <cell r="G6289" t="str">
            <v>Presupuesto</v>
          </cell>
        </row>
        <row r="6290">
          <cell r="A6290" t="str">
            <v>ICBA</v>
          </cell>
          <cell r="B6290">
            <v>202504</v>
          </cell>
          <cell r="D6290" t="str">
            <v>RC</v>
          </cell>
          <cell r="G6290" t="str">
            <v>Presupuesto</v>
          </cell>
        </row>
        <row r="6291">
          <cell r="A6291" t="str">
            <v>ICBA</v>
          </cell>
          <cell r="B6291">
            <v>202504</v>
          </cell>
          <cell r="D6291" t="str">
            <v>Resto de lineas</v>
          </cell>
          <cell r="G6291" t="str">
            <v>Presupuesto</v>
          </cell>
        </row>
        <row r="6292">
          <cell r="A6292" t="str">
            <v>ICBA</v>
          </cell>
          <cell r="B6292">
            <v>202504</v>
          </cell>
          <cell r="D6292" t="str">
            <v>Retirada</v>
          </cell>
          <cell r="G6292" t="str">
            <v>Presupuesto</v>
          </cell>
        </row>
        <row r="6293">
          <cell r="A6293" t="str">
            <v>ICBA</v>
          </cell>
          <cell r="B6293">
            <v>202504</v>
          </cell>
          <cell r="D6293" t="str">
            <v>Seguros Personales (No Vida) Colectivos</v>
          </cell>
          <cell r="G6293" t="str">
            <v>Presupuesto</v>
          </cell>
        </row>
        <row r="6294">
          <cell r="A6294" t="str">
            <v>ICBA</v>
          </cell>
          <cell r="B6294">
            <v>202504</v>
          </cell>
          <cell r="D6294" t="str">
            <v>Seguros Personales (No Vida) Particular</v>
          </cell>
          <cell r="G6294" t="str">
            <v>Presupuesto</v>
          </cell>
        </row>
        <row r="6295">
          <cell r="A6295" t="str">
            <v>ICBA</v>
          </cell>
          <cell r="B6295">
            <v>202504</v>
          </cell>
          <cell r="D6295" t="str">
            <v>Transporte</v>
          </cell>
          <cell r="G6295" t="str">
            <v>Presupuesto</v>
          </cell>
        </row>
        <row r="6296">
          <cell r="A6296" t="str">
            <v>ICBA</v>
          </cell>
          <cell r="B6296">
            <v>202504</v>
          </cell>
          <cell r="D6296" t="str">
            <v>Venta Cruzada</v>
          </cell>
          <cell r="G6296" t="str">
            <v>Presupuesto</v>
          </cell>
        </row>
        <row r="6297">
          <cell r="A6297" t="str">
            <v>ICBA</v>
          </cell>
          <cell r="B6297">
            <v>202504</v>
          </cell>
          <cell r="D6297" t="str">
            <v>Venta Cruzada</v>
          </cell>
          <cell r="G6297" t="str">
            <v>Real</v>
          </cell>
        </row>
        <row r="6298">
          <cell r="A6298" t="str">
            <v>ICBA</v>
          </cell>
          <cell r="B6298">
            <v>202504</v>
          </cell>
          <cell r="D6298" t="str">
            <v>Vida Ahorro Colectivo</v>
          </cell>
          <cell r="G6298" t="str">
            <v>Presupuesto</v>
          </cell>
        </row>
        <row r="6299">
          <cell r="A6299" t="str">
            <v>ICBA</v>
          </cell>
          <cell r="B6299">
            <v>202504</v>
          </cell>
          <cell r="D6299" t="str">
            <v>Vida Ahorro Particular</v>
          </cell>
          <cell r="G6299" t="str">
            <v>Presupuesto</v>
          </cell>
        </row>
        <row r="6300">
          <cell r="A6300" t="str">
            <v>ICBA</v>
          </cell>
          <cell r="B6300">
            <v>202504</v>
          </cell>
          <cell r="D6300" t="str">
            <v>Vida Ganado</v>
          </cell>
          <cell r="G6300" t="str">
            <v>Presupuesto</v>
          </cell>
        </row>
        <row r="6301">
          <cell r="A6301" t="str">
            <v>ICBA</v>
          </cell>
          <cell r="B6301">
            <v>202504</v>
          </cell>
          <cell r="D6301" t="str">
            <v>Vida Riesgo Colectivo</v>
          </cell>
          <cell r="G6301" t="str">
            <v>Presupuesto</v>
          </cell>
        </row>
        <row r="6302">
          <cell r="A6302" t="str">
            <v>ICBA</v>
          </cell>
          <cell r="B6302">
            <v>202504</v>
          </cell>
          <cell r="D6302" t="str">
            <v>Vida Riesgo Particular</v>
          </cell>
          <cell r="G6302" t="str">
            <v>Presupuesto</v>
          </cell>
        </row>
        <row r="6303">
          <cell r="A6303" t="str">
            <v>ICBA</v>
          </cell>
          <cell r="B6303">
            <v>202505</v>
          </cell>
          <cell r="D6303" t="str">
            <v>--</v>
          </cell>
          <cell r="G6303" t="str">
            <v>Presupuesto</v>
          </cell>
        </row>
        <row r="6304">
          <cell r="A6304" t="str">
            <v>ICBA</v>
          </cell>
          <cell r="B6304">
            <v>202505</v>
          </cell>
          <cell r="D6304" t="str">
            <v>--</v>
          </cell>
          <cell r="G6304" t="str">
            <v>Presupuesto</v>
          </cell>
        </row>
        <row r="6305">
          <cell r="A6305" t="str">
            <v>ICBA</v>
          </cell>
          <cell r="B6305">
            <v>202505</v>
          </cell>
          <cell r="D6305" t="str">
            <v>--</v>
          </cell>
          <cell r="G6305" t="str">
            <v>Real</v>
          </cell>
        </row>
        <row r="6306">
          <cell r="A6306" t="str">
            <v>ICBA</v>
          </cell>
          <cell r="B6306">
            <v>202505</v>
          </cell>
          <cell r="D6306" t="str">
            <v>Arte</v>
          </cell>
          <cell r="G6306" t="str">
            <v>Presupuesto</v>
          </cell>
        </row>
        <row r="6307">
          <cell r="A6307" t="str">
            <v>ICBA</v>
          </cell>
          <cell r="B6307">
            <v>202505</v>
          </cell>
          <cell r="D6307" t="str">
            <v>Autos</v>
          </cell>
          <cell r="G6307" t="str">
            <v>Presupuesto</v>
          </cell>
        </row>
        <row r="6308">
          <cell r="A6308" t="str">
            <v>ICBA</v>
          </cell>
          <cell r="B6308">
            <v>202505</v>
          </cell>
          <cell r="D6308" t="str">
            <v>B2B2C</v>
          </cell>
          <cell r="G6308" t="str">
            <v>Presupuesto</v>
          </cell>
        </row>
        <row r="6309">
          <cell r="A6309" t="str">
            <v>ICBA</v>
          </cell>
          <cell r="B6309">
            <v>202505</v>
          </cell>
          <cell r="D6309" t="str">
            <v>Caución</v>
          </cell>
          <cell r="G6309" t="str">
            <v>Presupuesto</v>
          </cell>
        </row>
        <row r="6310">
          <cell r="A6310" t="str">
            <v>ICBA</v>
          </cell>
          <cell r="B6310">
            <v>202505</v>
          </cell>
          <cell r="D6310" t="str">
            <v>Crédito Nacional</v>
          </cell>
          <cell r="G6310" t="str">
            <v>Real</v>
          </cell>
        </row>
        <row r="6311">
          <cell r="A6311" t="str">
            <v>ICBA</v>
          </cell>
          <cell r="B6311">
            <v>202505</v>
          </cell>
          <cell r="D6311" t="str">
            <v>Crédito Internacional</v>
          </cell>
          <cell r="G6311" t="str">
            <v>Presupuesto</v>
          </cell>
        </row>
        <row r="6312">
          <cell r="A6312" t="str">
            <v>ICBA</v>
          </cell>
          <cell r="B6312">
            <v>202505</v>
          </cell>
          <cell r="D6312" t="str">
            <v>Crédito Internacional</v>
          </cell>
          <cell r="G6312" t="str">
            <v>Real</v>
          </cell>
        </row>
        <row r="6313">
          <cell r="A6313" t="str">
            <v>ICBA</v>
          </cell>
          <cell r="B6313">
            <v>202505</v>
          </cell>
          <cell r="D6313" t="str">
            <v>Crédito Nacional</v>
          </cell>
          <cell r="G6313" t="str">
            <v>Presupuesto</v>
          </cell>
        </row>
        <row r="6314">
          <cell r="A6314" t="str">
            <v>ICBA</v>
          </cell>
          <cell r="B6314">
            <v>202505</v>
          </cell>
          <cell r="D6314" t="str">
            <v>Eventos</v>
          </cell>
          <cell r="G6314" t="str">
            <v>Presupuesto</v>
          </cell>
        </row>
        <row r="6315">
          <cell r="A6315" t="str">
            <v>ICBA</v>
          </cell>
          <cell r="B6315">
            <v>202505</v>
          </cell>
          <cell r="D6315" t="str">
            <v>Flotas</v>
          </cell>
          <cell r="G6315" t="str">
            <v>Presupuesto</v>
          </cell>
        </row>
        <row r="6316">
          <cell r="A6316" t="str">
            <v>ICBA</v>
          </cell>
          <cell r="B6316">
            <v>202505</v>
          </cell>
          <cell r="D6316" t="str">
            <v>Hogar</v>
          </cell>
          <cell r="G6316" t="str">
            <v>Presupuesto</v>
          </cell>
        </row>
        <row r="6317">
          <cell r="A6317" t="str">
            <v>ICBA</v>
          </cell>
          <cell r="B6317">
            <v>202505</v>
          </cell>
          <cell r="D6317" t="str">
            <v>Ingeniería</v>
          </cell>
          <cell r="G6317" t="str">
            <v>Presupuesto</v>
          </cell>
        </row>
        <row r="6318">
          <cell r="A6318" t="str">
            <v>ICBA</v>
          </cell>
          <cell r="B6318">
            <v>202505</v>
          </cell>
          <cell r="D6318" t="str">
            <v>Inmobiliario</v>
          </cell>
          <cell r="G6318" t="str">
            <v>Presupuesto</v>
          </cell>
        </row>
        <row r="6319">
          <cell r="A6319" t="str">
            <v>ICBA</v>
          </cell>
          <cell r="B6319">
            <v>202505</v>
          </cell>
          <cell r="D6319" t="str">
            <v>Líneas Financieras</v>
          </cell>
          <cell r="G6319" t="str">
            <v>Presupuesto</v>
          </cell>
        </row>
        <row r="6320">
          <cell r="A6320" t="str">
            <v>ICBA</v>
          </cell>
          <cell r="B6320">
            <v>202505</v>
          </cell>
          <cell r="D6320" t="str">
            <v>Náutica</v>
          </cell>
          <cell r="G6320" t="str">
            <v>Presupuesto</v>
          </cell>
        </row>
        <row r="6321">
          <cell r="A6321" t="str">
            <v>ICBA</v>
          </cell>
          <cell r="B6321">
            <v>202505</v>
          </cell>
          <cell r="D6321" t="str">
            <v>Particulares Resto</v>
          </cell>
          <cell r="G6321" t="str">
            <v>Presupuesto</v>
          </cell>
        </row>
        <row r="6322">
          <cell r="A6322" t="str">
            <v>ICBA</v>
          </cell>
          <cell r="B6322">
            <v>202505</v>
          </cell>
          <cell r="D6322" t="str">
            <v>Property</v>
          </cell>
          <cell r="G6322" t="str">
            <v>Presupuesto</v>
          </cell>
        </row>
        <row r="6323">
          <cell r="A6323" t="str">
            <v>ICBA</v>
          </cell>
          <cell r="B6323">
            <v>202505</v>
          </cell>
          <cell r="D6323" t="str">
            <v>RC</v>
          </cell>
          <cell r="G6323" t="str">
            <v>Presupuesto</v>
          </cell>
        </row>
        <row r="6324">
          <cell r="A6324" t="str">
            <v>ICBA</v>
          </cell>
          <cell r="B6324">
            <v>202505</v>
          </cell>
          <cell r="D6324" t="str">
            <v>Resto de lineas</v>
          </cell>
          <cell r="G6324" t="str">
            <v>Presupuesto</v>
          </cell>
        </row>
        <row r="6325">
          <cell r="A6325" t="str">
            <v>ICBA</v>
          </cell>
          <cell r="B6325">
            <v>202505</v>
          </cell>
          <cell r="D6325" t="str">
            <v>Retirada</v>
          </cell>
          <cell r="G6325" t="str">
            <v>Presupuesto</v>
          </cell>
        </row>
        <row r="6326">
          <cell r="A6326" t="str">
            <v>ICBA</v>
          </cell>
          <cell r="B6326">
            <v>202505</v>
          </cell>
          <cell r="D6326" t="str">
            <v>Seguros Personales (No Vida) Colectivos</v>
          </cell>
          <cell r="G6326" t="str">
            <v>Presupuesto</v>
          </cell>
        </row>
        <row r="6327">
          <cell r="A6327" t="str">
            <v>ICBA</v>
          </cell>
          <cell r="B6327">
            <v>202505</v>
          </cell>
          <cell r="D6327" t="str">
            <v>Seguros Personales (No Vida) Particular</v>
          </cell>
          <cell r="G6327" t="str">
            <v>Presupuesto</v>
          </cell>
        </row>
        <row r="6328">
          <cell r="A6328" t="str">
            <v>ICBA</v>
          </cell>
          <cell r="B6328">
            <v>202505</v>
          </cell>
          <cell r="D6328" t="str">
            <v>Transporte</v>
          </cell>
          <cell r="G6328" t="str">
            <v>Presupuesto</v>
          </cell>
        </row>
        <row r="6329">
          <cell r="A6329" t="str">
            <v>ICBA</v>
          </cell>
          <cell r="B6329">
            <v>202505</v>
          </cell>
          <cell r="D6329" t="str">
            <v>Venta Cruzada</v>
          </cell>
          <cell r="G6329" t="str">
            <v>Presupuesto</v>
          </cell>
        </row>
        <row r="6330">
          <cell r="A6330" t="str">
            <v>ICBA</v>
          </cell>
          <cell r="B6330">
            <v>202505</v>
          </cell>
          <cell r="D6330" t="str">
            <v>Venta Cruzada</v>
          </cell>
          <cell r="G6330" t="str">
            <v>Real</v>
          </cell>
        </row>
        <row r="6331">
          <cell r="A6331" t="str">
            <v>ICBA</v>
          </cell>
          <cell r="B6331">
            <v>202505</v>
          </cell>
          <cell r="D6331" t="str">
            <v>Vida Ahorro Colectivo</v>
          </cell>
          <cell r="G6331" t="str">
            <v>Presupuesto</v>
          </cell>
        </row>
        <row r="6332">
          <cell r="A6332" t="str">
            <v>ICBA</v>
          </cell>
          <cell r="B6332">
            <v>202505</v>
          </cell>
          <cell r="D6332" t="str">
            <v>Vida Ahorro Particular</v>
          </cell>
          <cell r="G6332" t="str">
            <v>Presupuesto</v>
          </cell>
        </row>
        <row r="6333">
          <cell r="A6333" t="str">
            <v>ICBA</v>
          </cell>
          <cell r="B6333">
            <v>202505</v>
          </cell>
          <cell r="D6333" t="str">
            <v>Vida Ganado</v>
          </cell>
          <cell r="G6333" t="str">
            <v>Presupuesto</v>
          </cell>
        </row>
        <row r="6334">
          <cell r="A6334" t="str">
            <v>ICBA</v>
          </cell>
          <cell r="B6334">
            <v>202505</v>
          </cell>
          <cell r="D6334" t="str">
            <v>Vida Riesgo Colectivo</v>
          </cell>
          <cell r="G6334" t="str">
            <v>Presupuesto</v>
          </cell>
        </row>
        <row r="6335">
          <cell r="A6335" t="str">
            <v>ICBA</v>
          </cell>
          <cell r="B6335">
            <v>202505</v>
          </cell>
          <cell r="D6335" t="str">
            <v>Vida Riesgo Particular</v>
          </cell>
          <cell r="G6335" t="str">
            <v>Presupuesto</v>
          </cell>
        </row>
        <row r="6336">
          <cell r="A6336" t="str">
            <v>ICBA</v>
          </cell>
          <cell r="B6336">
            <v>202506</v>
          </cell>
          <cell r="D6336" t="str">
            <v>--</v>
          </cell>
          <cell r="G6336" t="str">
            <v>Presupuesto</v>
          </cell>
        </row>
        <row r="6337">
          <cell r="A6337" t="str">
            <v>ICBA</v>
          </cell>
          <cell r="B6337">
            <v>202506</v>
          </cell>
          <cell r="D6337" t="str">
            <v>--</v>
          </cell>
          <cell r="G6337" t="str">
            <v>Presupuesto</v>
          </cell>
        </row>
        <row r="6338">
          <cell r="A6338" t="str">
            <v>ICBA</v>
          </cell>
          <cell r="B6338">
            <v>202506</v>
          </cell>
          <cell r="D6338" t="str">
            <v>--</v>
          </cell>
          <cell r="G6338" t="str">
            <v>Real</v>
          </cell>
        </row>
        <row r="6339">
          <cell r="A6339" t="str">
            <v>ICBA</v>
          </cell>
          <cell r="B6339">
            <v>202506</v>
          </cell>
          <cell r="D6339" t="str">
            <v>Arte</v>
          </cell>
          <cell r="G6339" t="str">
            <v>Presupuesto</v>
          </cell>
        </row>
        <row r="6340">
          <cell r="A6340" t="str">
            <v>ICBA</v>
          </cell>
          <cell r="B6340">
            <v>202506</v>
          </cell>
          <cell r="D6340" t="str">
            <v>Autos</v>
          </cell>
          <cell r="G6340" t="str">
            <v>Presupuesto</v>
          </cell>
        </row>
        <row r="6341">
          <cell r="A6341" t="str">
            <v>ICBA</v>
          </cell>
          <cell r="B6341">
            <v>202506</v>
          </cell>
          <cell r="D6341" t="str">
            <v>B2B2C</v>
          </cell>
          <cell r="G6341" t="str">
            <v>Presupuesto</v>
          </cell>
        </row>
        <row r="6342">
          <cell r="A6342" t="str">
            <v>ICBA</v>
          </cell>
          <cell r="B6342">
            <v>202506</v>
          </cell>
          <cell r="D6342" t="str">
            <v>Caución</v>
          </cell>
          <cell r="G6342" t="str">
            <v>Presupuesto</v>
          </cell>
        </row>
        <row r="6343">
          <cell r="A6343" t="str">
            <v>ICBA</v>
          </cell>
          <cell r="B6343">
            <v>202506</v>
          </cell>
          <cell r="D6343" t="str">
            <v>Crédito Nacional</v>
          </cell>
          <cell r="G6343" t="str">
            <v>Real</v>
          </cell>
        </row>
        <row r="6344">
          <cell r="A6344" t="str">
            <v>ICBA</v>
          </cell>
          <cell r="B6344">
            <v>202506</v>
          </cell>
          <cell r="D6344" t="str">
            <v>Crédito Internacional</v>
          </cell>
          <cell r="G6344" t="str">
            <v>Presupuesto</v>
          </cell>
        </row>
        <row r="6345">
          <cell r="A6345" t="str">
            <v>ICBA</v>
          </cell>
          <cell r="B6345">
            <v>202506</v>
          </cell>
          <cell r="D6345" t="str">
            <v>Crédito Internacional</v>
          </cell>
          <cell r="G6345" t="str">
            <v>Real</v>
          </cell>
        </row>
        <row r="6346">
          <cell r="A6346" t="str">
            <v>ICBA</v>
          </cell>
          <cell r="B6346">
            <v>202506</v>
          </cell>
          <cell r="D6346" t="str">
            <v>Crédito Nacional</v>
          </cell>
          <cell r="G6346" t="str">
            <v>Presupuesto</v>
          </cell>
        </row>
        <row r="6347">
          <cell r="A6347" t="str">
            <v>ICBA</v>
          </cell>
          <cell r="B6347">
            <v>202506</v>
          </cell>
          <cell r="D6347" t="str">
            <v>Eventos</v>
          </cell>
          <cell r="G6347" t="str">
            <v>Presupuesto</v>
          </cell>
        </row>
        <row r="6348">
          <cell r="A6348" t="str">
            <v>ICBA</v>
          </cell>
          <cell r="B6348">
            <v>202506</v>
          </cell>
          <cell r="D6348" t="str">
            <v>Flotas</v>
          </cell>
          <cell r="G6348" t="str">
            <v>Presupuesto</v>
          </cell>
        </row>
        <row r="6349">
          <cell r="A6349" t="str">
            <v>ICBA</v>
          </cell>
          <cell r="B6349">
            <v>202506</v>
          </cell>
          <cell r="D6349" t="str">
            <v>Hogar</v>
          </cell>
          <cell r="G6349" t="str">
            <v>Presupuesto</v>
          </cell>
        </row>
        <row r="6350">
          <cell r="A6350" t="str">
            <v>ICBA</v>
          </cell>
          <cell r="B6350">
            <v>202506</v>
          </cell>
          <cell r="D6350" t="str">
            <v>Ingeniería</v>
          </cell>
          <cell r="G6350" t="str">
            <v>Presupuesto</v>
          </cell>
        </row>
        <row r="6351">
          <cell r="A6351" t="str">
            <v>ICBA</v>
          </cell>
          <cell r="B6351">
            <v>202506</v>
          </cell>
          <cell r="D6351" t="str">
            <v>Inmobiliario</v>
          </cell>
          <cell r="G6351" t="str">
            <v>Presupuesto</v>
          </cell>
        </row>
        <row r="6352">
          <cell r="A6352" t="str">
            <v>ICBA</v>
          </cell>
          <cell r="B6352">
            <v>202506</v>
          </cell>
          <cell r="D6352" t="str">
            <v>Líneas Financieras</v>
          </cell>
          <cell r="G6352" t="str">
            <v>Presupuesto</v>
          </cell>
        </row>
        <row r="6353">
          <cell r="A6353" t="str">
            <v>ICBA</v>
          </cell>
          <cell r="B6353">
            <v>202506</v>
          </cell>
          <cell r="D6353" t="str">
            <v>Náutica</v>
          </cell>
          <cell r="G6353" t="str">
            <v>Presupuesto</v>
          </cell>
        </row>
        <row r="6354">
          <cell r="A6354" t="str">
            <v>ICBA</v>
          </cell>
          <cell r="B6354">
            <v>202506</v>
          </cell>
          <cell r="D6354" t="str">
            <v>Particulares Resto</v>
          </cell>
          <cell r="G6354" t="str">
            <v>Presupuesto</v>
          </cell>
        </row>
        <row r="6355">
          <cell r="A6355" t="str">
            <v>ICBA</v>
          </cell>
          <cell r="B6355">
            <v>202506</v>
          </cell>
          <cell r="D6355" t="str">
            <v>Property</v>
          </cell>
          <cell r="G6355" t="str">
            <v>Presupuesto</v>
          </cell>
        </row>
        <row r="6356">
          <cell r="A6356" t="str">
            <v>ICBA</v>
          </cell>
          <cell r="B6356">
            <v>202506</v>
          </cell>
          <cell r="D6356" t="str">
            <v>RC</v>
          </cell>
          <cell r="G6356" t="str">
            <v>Presupuesto</v>
          </cell>
        </row>
        <row r="6357">
          <cell r="A6357" t="str">
            <v>ICBA</v>
          </cell>
          <cell r="B6357">
            <v>202506</v>
          </cell>
          <cell r="D6357" t="str">
            <v>Resto de lineas</v>
          </cell>
          <cell r="G6357" t="str">
            <v>Presupuesto</v>
          </cell>
        </row>
        <row r="6358">
          <cell r="A6358" t="str">
            <v>ICBA</v>
          </cell>
          <cell r="B6358">
            <v>202506</v>
          </cell>
          <cell r="D6358" t="str">
            <v>Retirada</v>
          </cell>
          <cell r="G6358" t="str">
            <v>Presupuesto</v>
          </cell>
        </row>
        <row r="6359">
          <cell r="A6359" t="str">
            <v>ICBA</v>
          </cell>
          <cell r="B6359">
            <v>202506</v>
          </cell>
          <cell r="D6359" t="str">
            <v>Seguros Personales (No Vida) Colectivos</v>
          </cell>
          <cell r="G6359" t="str">
            <v>Presupuesto</v>
          </cell>
        </row>
        <row r="6360">
          <cell r="A6360" t="str">
            <v>ICBA</v>
          </cell>
          <cell r="B6360">
            <v>202506</v>
          </cell>
          <cell r="D6360" t="str">
            <v>Seguros Personales (No Vida) Particular</v>
          </cell>
          <cell r="G6360" t="str">
            <v>Presupuesto</v>
          </cell>
        </row>
        <row r="6361">
          <cell r="A6361" t="str">
            <v>ICBA</v>
          </cell>
          <cell r="B6361">
            <v>202506</v>
          </cell>
          <cell r="D6361" t="str">
            <v>Transporte</v>
          </cell>
          <cell r="G6361" t="str">
            <v>Presupuesto</v>
          </cell>
        </row>
        <row r="6362">
          <cell r="A6362" t="str">
            <v>ICBA</v>
          </cell>
          <cell r="B6362">
            <v>202506</v>
          </cell>
          <cell r="D6362" t="str">
            <v>Venta Cruzada</v>
          </cell>
          <cell r="G6362" t="str">
            <v>Presupuesto</v>
          </cell>
        </row>
        <row r="6363">
          <cell r="A6363" t="str">
            <v>ICBA</v>
          </cell>
          <cell r="B6363">
            <v>202506</v>
          </cell>
          <cell r="D6363" t="str">
            <v>Venta Cruzada</v>
          </cell>
          <cell r="G6363" t="str">
            <v>Real</v>
          </cell>
        </row>
        <row r="6364">
          <cell r="A6364" t="str">
            <v>ICBA</v>
          </cell>
          <cell r="B6364">
            <v>202506</v>
          </cell>
          <cell r="D6364" t="str">
            <v>Vida Ahorro Colectivo</v>
          </cell>
          <cell r="G6364" t="str">
            <v>Presupuesto</v>
          </cell>
        </row>
        <row r="6365">
          <cell r="A6365" t="str">
            <v>ICBA</v>
          </cell>
          <cell r="B6365">
            <v>202506</v>
          </cell>
          <cell r="D6365" t="str">
            <v>Vida Ahorro Particular</v>
          </cell>
          <cell r="G6365" t="str">
            <v>Presupuesto</v>
          </cell>
        </row>
        <row r="6366">
          <cell r="A6366" t="str">
            <v>ICBA</v>
          </cell>
          <cell r="B6366">
            <v>202506</v>
          </cell>
          <cell r="D6366" t="str">
            <v>Vida Ganado</v>
          </cell>
          <cell r="G6366" t="str">
            <v>Presupuesto</v>
          </cell>
        </row>
        <row r="6367">
          <cell r="A6367" t="str">
            <v>ICBA</v>
          </cell>
          <cell r="B6367">
            <v>202506</v>
          </cell>
          <cell r="D6367" t="str">
            <v>Vida Riesgo Colectivo</v>
          </cell>
          <cell r="G6367" t="str">
            <v>Presupuesto</v>
          </cell>
        </row>
        <row r="6368">
          <cell r="A6368" t="str">
            <v>ICBA</v>
          </cell>
          <cell r="B6368">
            <v>202506</v>
          </cell>
          <cell r="D6368" t="str">
            <v>Vida Riesgo Particular</v>
          </cell>
          <cell r="G6368" t="str">
            <v>Presupuesto</v>
          </cell>
        </row>
        <row r="6369">
          <cell r="A6369" t="str">
            <v>ICBA</v>
          </cell>
          <cell r="B6369">
            <v>202507</v>
          </cell>
          <cell r="D6369" t="str">
            <v>--</v>
          </cell>
          <cell r="G6369" t="str">
            <v>Presupuesto</v>
          </cell>
        </row>
        <row r="6370">
          <cell r="A6370" t="str">
            <v>ICBA</v>
          </cell>
          <cell r="B6370">
            <v>202507</v>
          </cell>
          <cell r="D6370" t="str">
            <v>--</v>
          </cell>
          <cell r="G6370" t="str">
            <v>Presupuesto</v>
          </cell>
        </row>
        <row r="6371">
          <cell r="A6371" t="str">
            <v>ICBA</v>
          </cell>
          <cell r="B6371">
            <v>202507</v>
          </cell>
          <cell r="D6371" t="str">
            <v>--</v>
          </cell>
          <cell r="G6371" t="str">
            <v>Real</v>
          </cell>
        </row>
        <row r="6372">
          <cell r="A6372" t="str">
            <v>ICBA</v>
          </cell>
          <cell r="B6372">
            <v>202507</v>
          </cell>
          <cell r="D6372" t="str">
            <v>Arte</v>
          </cell>
          <cell r="G6372" t="str">
            <v>Presupuesto</v>
          </cell>
        </row>
        <row r="6373">
          <cell r="A6373" t="str">
            <v>ICBA</v>
          </cell>
          <cell r="B6373">
            <v>202507</v>
          </cell>
          <cell r="D6373" t="str">
            <v>Autos</v>
          </cell>
          <cell r="G6373" t="str">
            <v>Presupuesto</v>
          </cell>
        </row>
        <row r="6374">
          <cell r="A6374" t="str">
            <v>ICBA</v>
          </cell>
          <cell r="B6374">
            <v>202507</v>
          </cell>
          <cell r="D6374" t="str">
            <v>B2B2C</v>
          </cell>
          <cell r="G6374" t="str">
            <v>Presupuesto</v>
          </cell>
        </row>
        <row r="6375">
          <cell r="A6375" t="str">
            <v>ICBA</v>
          </cell>
          <cell r="B6375">
            <v>202507</v>
          </cell>
          <cell r="D6375" t="str">
            <v>Caución</v>
          </cell>
          <cell r="G6375" t="str">
            <v>Presupuesto</v>
          </cell>
        </row>
        <row r="6376">
          <cell r="A6376" t="str">
            <v>ICBA</v>
          </cell>
          <cell r="B6376">
            <v>202507</v>
          </cell>
          <cell r="D6376" t="str">
            <v>Crédito Nacional</v>
          </cell>
          <cell r="G6376" t="str">
            <v>Real</v>
          </cell>
        </row>
        <row r="6377">
          <cell r="A6377" t="str">
            <v>ICBA</v>
          </cell>
          <cell r="B6377">
            <v>202507</v>
          </cell>
          <cell r="D6377" t="str">
            <v>Crédito Internacional</v>
          </cell>
          <cell r="G6377" t="str">
            <v>Presupuesto</v>
          </cell>
        </row>
        <row r="6378">
          <cell r="A6378" t="str">
            <v>ICBA</v>
          </cell>
          <cell r="B6378">
            <v>202507</v>
          </cell>
          <cell r="D6378" t="str">
            <v>Crédito Internacional</v>
          </cell>
          <cell r="G6378" t="str">
            <v>Real</v>
          </cell>
        </row>
        <row r="6379">
          <cell r="A6379" t="str">
            <v>ICBA</v>
          </cell>
          <cell r="B6379">
            <v>202507</v>
          </cell>
          <cell r="D6379" t="str">
            <v>Crédito Nacional</v>
          </cell>
          <cell r="G6379" t="str">
            <v>Presupuesto</v>
          </cell>
        </row>
        <row r="6380">
          <cell r="A6380" t="str">
            <v>ICBA</v>
          </cell>
          <cell r="B6380">
            <v>202507</v>
          </cell>
          <cell r="D6380" t="str">
            <v>Eventos</v>
          </cell>
          <cell r="G6380" t="str">
            <v>Presupuesto</v>
          </cell>
        </row>
        <row r="6381">
          <cell r="A6381" t="str">
            <v>ICBA</v>
          </cell>
          <cell r="B6381">
            <v>202507</v>
          </cell>
          <cell r="D6381" t="str">
            <v>Flotas</v>
          </cell>
          <cell r="G6381" t="str">
            <v>Presupuesto</v>
          </cell>
        </row>
        <row r="6382">
          <cell r="A6382" t="str">
            <v>ICBA</v>
          </cell>
          <cell r="B6382">
            <v>202507</v>
          </cell>
          <cell r="D6382" t="str">
            <v>GENERAL</v>
          </cell>
          <cell r="G6382" t="str">
            <v>Real</v>
          </cell>
        </row>
        <row r="6383">
          <cell r="A6383" t="str">
            <v>ICBA</v>
          </cell>
          <cell r="B6383">
            <v>202507</v>
          </cell>
          <cell r="D6383" t="str">
            <v>Hogar</v>
          </cell>
          <cell r="G6383" t="str">
            <v>Presupuesto</v>
          </cell>
        </row>
        <row r="6384">
          <cell r="A6384" t="str">
            <v>ICBA</v>
          </cell>
          <cell r="B6384">
            <v>202507</v>
          </cell>
          <cell r="D6384" t="str">
            <v>Ingeniería</v>
          </cell>
          <cell r="G6384" t="str">
            <v>Presupuesto</v>
          </cell>
        </row>
        <row r="6385">
          <cell r="A6385" t="str">
            <v>ICBA</v>
          </cell>
          <cell r="B6385">
            <v>202507</v>
          </cell>
          <cell r="D6385" t="str">
            <v>Inmobiliario</v>
          </cell>
          <cell r="G6385" t="str">
            <v>Presupuesto</v>
          </cell>
        </row>
        <row r="6386">
          <cell r="A6386" t="str">
            <v>ICBA</v>
          </cell>
          <cell r="B6386">
            <v>202507</v>
          </cell>
          <cell r="D6386" t="str">
            <v>Líneas Financieras</v>
          </cell>
          <cell r="G6386" t="str">
            <v>Presupuesto</v>
          </cell>
        </row>
        <row r="6387">
          <cell r="A6387" t="str">
            <v>ICBA</v>
          </cell>
          <cell r="B6387">
            <v>202507</v>
          </cell>
          <cell r="D6387" t="str">
            <v>Náutica</v>
          </cell>
          <cell r="G6387" t="str">
            <v>Presupuesto</v>
          </cell>
        </row>
        <row r="6388">
          <cell r="A6388" t="str">
            <v>ICBA</v>
          </cell>
          <cell r="B6388">
            <v>202507</v>
          </cell>
          <cell r="D6388" t="str">
            <v>Particulares Resto</v>
          </cell>
          <cell r="G6388" t="str">
            <v>Presupuesto</v>
          </cell>
        </row>
        <row r="6389">
          <cell r="A6389" t="str">
            <v>ICBA</v>
          </cell>
          <cell r="B6389">
            <v>202507</v>
          </cell>
          <cell r="D6389" t="str">
            <v>Property</v>
          </cell>
          <cell r="G6389" t="str">
            <v>Presupuesto</v>
          </cell>
        </row>
        <row r="6390">
          <cell r="A6390" t="str">
            <v>ICBA</v>
          </cell>
          <cell r="B6390">
            <v>202507</v>
          </cell>
          <cell r="D6390" t="str">
            <v>Property</v>
          </cell>
          <cell r="G6390" t="str">
            <v>Real</v>
          </cell>
        </row>
        <row r="6391">
          <cell r="A6391" t="str">
            <v>ICBA</v>
          </cell>
          <cell r="B6391">
            <v>202507</v>
          </cell>
          <cell r="D6391" t="str">
            <v>RC</v>
          </cell>
          <cell r="G6391" t="str">
            <v>Presupuesto</v>
          </cell>
        </row>
        <row r="6392">
          <cell r="A6392" t="str">
            <v>ICBA</v>
          </cell>
          <cell r="B6392">
            <v>202507</v>
          </cell>
          <cell r="D6392" t="str">
            <v>Resto de lineas</v>
          </cell>
          <cell r="G6392" t="str">
            <v>Presupuesto</v>
          </cell>
        </row>
        <row r="6393">
          <cell r="A6393" t="str">
            <v>ICBA</v>
          </cell>
          <cell r="B6393">
            <v>202507</v>
          </cell>
          <cell r="D6393" t="str">
            <v>Retirada</v>
          </cell>
          <cell r="G6393" t="str">
            <v>Presupuesto</v>
          </cell>
        </row>
        <row r="6394">
          <cell r="A6394" t="str">
            <v>ICBA</v>
          </cell>
          <cell r="B6394">
            <v>202507</v>
          </cell>
          <cell r="D6394" t="str">
            <v>Seguros Personales (No Vida) Colectivos</v>
          </cell>
          <cell r="G6394" t="str">
            <v>Presupuesto</v>
          </cell>
        </row>
        <row r="6395">
          <cell r="A6395" t="str">
            <v>ICBA</v>
          </cell>
          <cell r="B6395">
            <v>202507</v>
          </cell>
          <cell r="D6395" t="str">
            <v>Seguros Personales (No Vida) Particular</v>
          </cell>
          <cell r="G6395" t="str">
            <v>Presupuesto</v>
          </cell>
        </row>
        <row r="6396">
          <cell r="A6396" t="str">
            <v>ICBA</v>
          </cell>
          <cell r="B6396">
            <v>202507</v>
          </cell>
          <cell r="D6396" t="str">
            <v>Transporte</v>
          </cell>
          <cell r="G6396" t="str">
            <v>Presupuesto</v>
          </cell>
        </row>
        <row r="6397">
          <cell r="A6397" t="str">
            <v>ICBA</v>
          </cell>
          <cell r="B6397">
            <v>202507</v>
          </cell>
          <cell r="D6397" t="str">
            <v>Venta Cruzada</v>
          </cell>
          <cell r="G6397" t="str">
            <v>Presupuesto</v>
          </cell>
        </row>
        <row r="6398">
          <cell r="A6398" t="str">
            <v>ICBA</v>
          </cell>
          <cell r="B6398">
            <v>202507</v>
          </cell>
          <cell r="D6398" t="str">
            <v>Venta Cruzada</v>
          </cell>
          <cell r="G6398" t="str">
            <v>Real</v>
          </cell>
        </row>
        <row r="6399">
          <cell r="A6399" t="str">
            <v>ICBA</v>
          </cell>
          <cell r="B6399">
            <v>202507</v>
          </cell>
          <cell r="D6399" t="str">
            <v>Vida Ahorro Colectivo</v>
          </cell>
          <cell r="G6399" t="str">
            <v>Presupuesto</v>
          </cell>
        </row>
        <row r="6400">
          <cell r="A6400" t="str">
            <v>ICBA</v>
          </cell>
          <cell r="B6400">
            <v>202507</v>
          </cell>
          <cell r="D6400" t="str">
            <v>Vida Ahorro Particular</v>
          </cell>
          <cell r="G6400" t="str">
            <v>Presupuesto</v>
          </cell>
        </row>
        <row r="6401">
          <cell r="A6401" t="str">
            <v>ICBA</v>
          </cell>
          <cell r="B6401">
            <v>202507</v>
          </cell>
          <cell r="D6401" t="str">
            <v>Vida Ganado</v>
          </cell>
          <cell r="G6401" t="str">
            <v>Presupuesto</v>
          </cell>
        </row>
        <row r="6402">
          <cell r="A6402" t="str">
            <v>ICBA</v>
          </cell>
          <cell r="B6402">
            <v>202507</v>
          </cell>
          <cell r="D6402" t="str">
            <v>Vida Riesgo Colectivo</v>
          </cell>
          <cell r="G6402" t="str">
            <v>Presupuesto</v>
          </cell>
        </row>
        <row r="6403">
          <cell r="A6403" t="str">
            <v>ICBA</v>
          </cell>
          <cell r="B6403">
            <v>202507</v>
          </cell>
          <cell r="D6403" t="str">
            <v>Vida Riesgo Particular</v>
          </cell>
          <cell r="G6403" t="str">
            <v>Presupuesto</v>
          </cell>
        </row>
        <row r="6404">
          <cell r="A6404" t="str">
            <v>ICBA</v>
          </cell>
          <cell r="B6404">
            <v>202508</v>
          </cell>
          <cell r="D6404" t="str">
            <v>--</v>
          </cell>
          <cell r="G6404" t="str">
            <v>Presupuesto</v>
          </cell>
        </row>
        <row r="6405">
          <cell r="A6405" t="str">
            <v>ICBA</v>
          </cell>
          <cell r="B6405">
            <v>202508</v>
          </cell>
          <cell r="D6405" t="str">
            <v>--</v>
          </cell>
          <cell r="G6405" t="str">
            <v>Presupuesto</v>
          </cell>
        </row>
        <row r="6406">
          <cell r="A6406" t="str">
            <v>ICBA</v>
          </cell>
          <cell r="B6406">
            <v>202508</v>
          </cell>
          <cell r="D6406" t="str">
            <v>--</v>
          </cell>
          <cell r="G6406" t="str">
            <v>Real</v>
          </cell>
        </row>
        <row r="6407">
          <cell r="A6407" t="str">
            <v>ICBA</v>
          </cell>
          <cell r="B6407">
            <v>202508</v>
          </cell>
          <cell r="D6407" t="str">
            <v>Arte</v>
          </cell>
          <cell r="G6407" t="str">
            <v>Presupuesto</v>
          </cell>
        </row>
        <row r="6408">
          <cell r="A6408" t="str">
            <v>ICBA</v>
          </cell>
          <cell r="B6408">
            <v>202508</v>
          </cell>
          <cell r="D6408" t="str">
            <v>Autos</v>
          </cell>
          <cell r="G6408" t="str">
            <v>Presupuesto</v>
          </cell>
        </row>
        <row r="6409">
          <cell r="A6409" t="str">
            <v>ICBA</v>
          </cell>
          <cell r="B6409">
            <v>202508</v>
          </cell>
          <cell r="D6409" t="str">
            <v>B2B2C</v>
          </cell>
          <cell r="G6409" t="str">
            <v>Presupuesto</v>
          </cell>
        </row>
        <row r="6410">
          <cell r="A6410" t="str">
            <v>ICBA</v>
          </cell>
          <cell r="B6410">
            <v>202508</v>
          </cell>
          <cell r="D6410" t="str">
            <v>Caución</v>
          </cell>
          <cell r="G6410" t="str">
            <v>Presupuesto</v>
          </cell>
        </row>
        <row r="6411">
          <cell r="A6411" t="str">
            <v>ICBA</v>
          </cell>
          <cell r="B6411">
            <v>202508</v>
          </cell>
          <cell r="D6411" t="str">
            <v>Crédito Nacional</v>
          </cell>
          <cell r="G6411" t="str">
            <v>Real</v>
          </cell>
        </row>
        <row r="6412">
          <cell r="A6412" t="str">
            <v>ICBA</v>
          </cell>
          <cell r="B6412">
            <v>202508</v>
          </cell>
          <cell r="D6412" t="str">
            <v>Crédito Internacional</v>
          </cell>
          <cell r="G6412" t="str">
            <v>Presupuesto</v>
          </cell>
        </row>
        <row r="6413">
          <cell r="A6413" t="str">
            <v>ICBA</v>
          </cell>
          <cell r="B6413">
            <v>202508</v>
          </cell>
          <cell r="D6413" t="str">
            <v>Crédito Nacional</v>
          </cell>
          <cell r="G6413" t="str">
            <v>Presupuesto</v>
          </cell>
        </row>
        <row r="6414">
          <cell r="A6414" t="str">
            <v>ICBA</v>
          </cell>
          <cell r="B6414">
            <v>202508</v>
          </cell>
          <cell r="D6414" t="str">
            <v>Eventos</v>
          </cell>
          <cell r="G6414" t="str">
            <v>Presupuesto</v>
          </cell>
        </row>
        <row r="6415">
          <cell r="A6415" t="str">
            <v>ICBA</v>
          </cell>
          <cell r="B6415">
            <v>202508</v>
          </cell>
          <cell r="D6415" t="str">
            <v>Flotas</v>
          </cell>
          <cell r="G6415" t="str">
            <v>Presupuesto</v>
          </cell>
        </row>
        <row r="6416">
          <cell r="A6416" t="str">
            <v>ICBA</v>
          </cell>
          <cell r="B6416">
            <v>202508</v>
          </cell>
          <cell r="D6416" t="str">
            <v>Hogar</v>
          </cell>
          <cell r="G6416" t="str">
            <v>Presupuesto</v>
          </cell>
        </row>
        <row r="6417">
          <cell r="A6417" t="str">
            <v>ICBA</v>
          </cell>
          <cell r="B6417">
            <v>202508</v>
          </cell>
          <cell r="D6417" t="str">
            <v>Ingeniería</v>
          </cell>
          <cell r="G6417" t="str">
            <v>Presupuesto</v>
          </cell>
        </row>
        <row r="6418">
          <cell r="A6418" t="str">
            <v>ICBA</v>
          </cell>
          <cell r="B6418">
            <v>202508</v>
          </cell>
          <cell r="D6418" t="str">
            <v>Inmobiliario</v>
          </cell>
          <cell r="G6418" t="str">
            <v>Presupuesto</v>
          </cell>
        </row>
        <row r="6419">
          <cell r="A6419" t="str">
            <v>ICBA</v>
          </cell>
          <cell r="B6419">
            <v>202508</v>
          </cell>
          <cell r="D6419" t="str">
            <v>Líneas Financieras</v>
          </cell>
          <cell r="G6419" t="str">
            <v>Presupuesto</v>
          </cell>
        </row>
        <row r="6420">
          <cell r="A6420" t="str">
            <v>ICBA</v>
          </cell>
          <cell r="B6420">
            <v>202508</v>
          </cell>
          <cell r="D6420" t="str">
            <v>Náutica</v>
          </cell>
          <cell r="G6420" t="str">
            <v>Presupuesto</v>
          </cell>
        </row>
        <row r="6421">
          <cell r="A6421" t="str">
            <v>ICBA</v>
          </cell>
          <cell r="B6421">
            <v>202508</v>
          </cell>
          <cell r="D6421" t="str">
            <v>Particulares Resto</v>
          </cell>
          <cell r="G6421" t="str">
            <v>Presupuesto</v>
          </cell>
        </row>
        <row r="6422">
          <cell r="A6422" t="str">
            <v>ICBA</v>
          </cell>
          <cell r="B6422">
            <v>202508</v>
          </cell>
          <cell r="D6422" t="str">
            <v>Property</v>
          </cell>
          <cell r="G6422" t="str">
            <v>Presupuesto</v>
          </cell>
        </row>
        <row r="6423">
          <cell r="A6423" t="str">
            <v>ICBA</v>
          </cell>
          <cell r="B6423">
            <v>202508</v>
          </cell>
          <cell r="D6423" t="str">
            <v>Property</v>
          </cell>
          <cell r="G6423" t="str">
            <v>Real</v>
          </cell>
        </row>
        <row r="6424">
          <cell r="A6424" t="str">
            <v>ICBA</v>
          </cell>
          <cell r="B6424">
            <v>202508</v>
          </cell>
          <cell r="D6424" t="str">
            <v>RC</v>
          </cell>
          <cell r="G6424" t="str">
            <v>Presupuesto</v>
          </cell>
        </row>
        <row r="6425">
          <cell r="A6425" t="str">
            <v>ICBA</v>
          </cell>
          <cell r="B6425">
            <v>202508</v>
          </cell>
          <cell r="D6425" t="str">
            <v>Resto de lineas</v>
          </cell>
          <cell r="G6425" t="str">
            <v>Presupuesto</v>
          </cell>
        </row>
        <row r="6426">
          <cell r="A6426" t="str">
            <v>ICBA</v>
          </cell>
          <cell r="B6426">
            <v>202508</v>
          </cell>
          <cell r="D6426" t="str">
            <v>Retirada</v>
          </cell>
          <cell r="G6426" t="str">
            <v>Presupuesto</v>
          </cell>
        </row>
        <row r="6427">
          <cell r="A6427" t="str">
            <v>ICBA</v>
          </cell>
          <cell r="B6427">
            <v>202508</v>
          </cell>
          <cell r="D6427" t="str">
            <v>Seguros Personales (No Vida) Colectivos</v>
          </cell>
          <cell r="G6427" t="str">
            <v>Presupuesto</v>
          </cell>
        </row>
        <row r="6428">
          <cell r="A6428" t="str">
            <v>ICBA</v>
          </cell>
          <cell r="B6428">
            <v>202508</v>
          </cell>
          <cell r="D6428" t="str">
            <v>Seguros Personales (No Vida) Particular</v>
          </cell>
          <cell r="G6428" t="str">
            <v>Presupuesto</v>
          </cell>
        </row>
        <row r="6429">
          <cell r="A6429" t="str">
            <v>ICBA</v>
          </cell>
          <cell r="B6429">
            <v>202508</v>
          </cell>
          <cell r="D6429" t="str">
            <v>Transporte</v>
          </cell>
          <cell r="G6429" t="str">
            <v>Presupuesto</v>
          </cell>
        </row>
        <row r="6430">
          <cell r="A6430" t="str">
            <v>ICBA</v>
          </cell>
          <cell r="B6430">
            <v>202508</v>
          </cell>
          <cell r="D6430" t="str">
            <v>Venta Cruzada</v>
          </cell>
          <cell r="G6430" t="str">
            <v>Presupuesto</v>
          </cell>
        </row>
        <row r="6431">
          <cell r="A6431" t="str">
            <v>ICBA</v>
          </cell>
          <cell r="B6431">
            <v>202508</v>
          </cell>
          <cell r="D6431" t="str">
            <v>Vida Ahorro Colectivo</v>
          </cell>
          <cell r="G6431" t="str">
            <v>Presupuesto</v>
          </cell>
        </row>
        <row r="6432">
          <cell r="A6432" t="str">
            <v>ICBA</v>
          </cell>
          <cell r="B6432">
            <v>202508</v>
          </cell>
          <cell r="D6432" t="str">
            <v>Vida Ahorro Particular</v>
          </cell>
          <cell r="G6432" t="str">
            <v>Presupuesto</v>
          </cell>
        </row>
        <row r="6433">
          <cell r="A6433" t="str">
            <v>ICBA</v>
          </cell>
          <cell r="B6433">
            <v>202508</v>
          </cell>
          <cell r="D6433" t="str">
            <v>Vida Ganado</v>
          </cell>
          <cell r="G6433" t="str">
            <v>Presupuesto</v>
          </cell>
        </row>
        <row r="6434">
          <cell r="A6434" t="str">
            <v>ICBA</v>
          </cell>
          <cell r="B6434">
            <v>202508</v>
          </cell>
          <cell r="D6434" t="str">
            <v>Vida Riesgo Colectivo</v>
          </cell>
          <cell r="G6434" t="str">
            <v>Presupuesto</v>
          </cell>
        </row>
        <row r="6435">
          <cell r="A6435" t="str">
            <v>ICBA</v>
          </cell>
          <cell r="B6435">
            <v>202508</v>
          </cell>
          <cell r="D6435" t="str">
            <v>Vida Riesgo Particular</v>
          </cell>
          <cell r="G6435" t="str">
            <v>Presupuesto</v>
          </cell>
        </row>
        <row r="6436">
          <cell r="A6436" t="str">
            <v>ICBA</v>
          </cell>
          <cell r="B6436">
            <v>202509</v>
          </cell>
          <cell r="D6436" t="str">
            <v>--</v>
          </cell>
          <cell r="G6436" t="str">
            <v>Presupuesto</v>
          </cell>
        </row>
        <row r="6437">
          <cell r="A6437" t="str">
            <v>ICBA</v>
          </cell>
          <cell r="B6437">
            <v>202509</v>
          </cell>
          <cell r="D6437" t="str">
            <v>--</v>
          </cell>
          <cell r="G6437" t="str">
            <v>Presupuesto</v>
          </cell>
        </row>
        <row r="6438">
          <cell r="A6438" t="str">
            <v>ICBA</v>
          </cell>
          <cell r="B6438">
            <v>202509</v>
          </cell>
          <cell r="D6438" t="str">
            <v>Arte</v>
          </cell>
          <cell r="G6438" t="str">
            <v>Presupuesto</v>
          </cell>
        </row>
        <row r="6439">
          <cell r="A6439" t="str">
            <v>ICBA</v>
          </cell>
          <cell r="B6439">
            <v>202509</v>
          </cell>
          <cell r="D6439" t="str">
            <v>Autos</v>
          </cell>
          <cell r="G6439" t="str">
            <v>Presupuesto</v>
          </cell>
        </row>
        <row r="6440">
          <cell r="A6440" t="str">
            <v>ICBA</v>
          </cell>
          <cell r="B6440">
            <v>202509</v>
          </cell>
          <cell r="D6440" t="str">
            <v>B2B2C</v>
          </cell>
          <cell r="G6440" t="str">
            <v>Presupuesto</v>
          </cell>
        </row>
        <row r="6441">
          <cell r="A6441" t="str">
            <v>ICBA</v>
          </cell>
          <cell r="B6441">
            <v>202509</v>
          </cell>
          <cell r="D6441" t="str">
            <v>Caución</v>
          </cell>
          <cell r="G6441" t="str">
            <v>Presupuesto</v>
          </cell>
        </row>
        <row r="6442">
          <cell r="A6442" t="str">
            <v>ICBA</v>
          </cell>
          <cell r="B6442">
            <v>202509</v>
          </cell>
          <cell r="D6442" t="str">
            <v>Crédito Nacional</v>
          </cell>
          <cell r="G6442" t="str">
            <v>Real</v>
          </cell>
        </row>
        <row r="6443">
          <cell r="A6443" t="str">
            <v>ICBA</v>
          </cell>
          <cell r="B6443">
            <v>202509</v>
          </cell>
          <cell r="D6443" t="str">
            <v>Crédito Internacional</v>
          </cell>
          <cell r="G6443" t="str">
            <v>Presupuesto</v>
          </cell>
        </row>
        <row r="6444">
          <cell r="A6444" t="str">
            <v>ICBA</v>
          </cell>
          <cell r="B6444">
            <v>202509</v>
          </cell>
          <cell r="D6444" t="str">
            <v>Crédito Internacional</v>
          </cell>
          <cell r="G6444" t="str">
            <v>Real</v>
          </cell>
        </row>
        <row r="6445">
          <cell r="A6445" t="str">
            <v>ICBA</v>
          </cell>
          <cell r="B6445">
            <v>202509</v>
          </cell>
          <cell r="D6445" t="str">
            <v>Crédito Nacional</v>
          </cell>
          <cell r="G6445" t="str">
            <v>Presupuesto</v>
          </cell>
        </row>
        <row r="6446">
          <cell r="A6446" t="str">
            <v>ICBA</v>
          </cell>
          <cell r="B6446">
            <v>202509</v>
          </cell>
          <cell r="D6446" t="str">
            <v>Eventos</v>
          </cell>
          <cell r="G6446" t="str">
            <v>Presupuesto</v>
          </cell>
        </row>
        <row r="6447">
          <cell r="A6447" t="str">
            <v>ICBA</v>
          </cell>
          <cell r="B6447">
            <v>202509</v>
          </cell>
          <cell r="D6447" t="str">
            <v>Flotas</v>
          </cell>
          <cell r="G6447" t="str">
            <v>Presupuesto</v>
          </cell>
        </row>
        <row r="6448">
          <cell r="A6448" t="str">
            <v>ICBA</v>
          </cell>
          <cell r="B6448">
            <v>202509</v>
          </cell>
          <cell r="D6448" t="str">
            <v>Hogar</v>
          </cell>
          <cell r="G6448" t="str">
            <v>Presupuesto</v>
          </cell>
        </row>
        <row r="6449">
          <cell r="A6449" t="str">
            <v>ICBA</v>
          </cell>
          <cell r="B6449">
            <v>202509</v>
          </cell>
          <cell r="D6449" t="str">
            <v>Ingeniería</v>
          </cell>
          <cell r="G6449" t="str">
            <v>Presupuesto</v>
          </cell>
        </row>
        <row r="6450">
          <cell r="A6450" t="str">
            <v>ICBA</v>
          </cell>
          <cell r="B6450">
            <v>202509</v>
          </cell>
          <cell r="D6450" t="str">
            <v>Inmobiliario</v>
          </cell>
          <cell r="G6450" t="str">
            <v>Presupuesto</v>
          </cell>
        </row>
        <row r="6451">
          <cell r="A6451" t="str">
            <v>ICBA</v>
          </cell>
          <cell r="B6451">
            <v>202509</v>
          </cell>
          <cell r="D6451" t="str">
            <v>Líneas Financieras</v>
          </cell>
          <cell r="G6451" t="str">
            <v>Presupuesto</v>
          </cell>
        </row>
        <row r="6452">
          <cell r="A6452" t="str">
            <v>ICBA</v>
          </cell>
          <cell r="B6452">
            <v>202509</v>
          </cell>
          <cell r="D6452" t="str">
            <v>Náutica</v>
          </cell>
          <cell r="G6452" t="str">
            <v>Presupuesto</v>
          </cell>
        </row>
        <row r="6453">
          <cell r="A6453" t="str">
            <v>ICBA</v>
          </cell>
          <cell r="B6453">
            <v>202509</v>
          </cell>
          <cell r="D6453" t="str">
            <v>Particulares Resto</v>
          </cell>
          <cell r="G6453" t="str">
            <v>Presupuesto</v>
          </cell>
        </row>
        <row r="6454">
          <cell r="A6454" t="str">
            <v>ICBA</v>
          </cell>
          <cell r="B6454">
            <v>202509</v>
          </cell>
          <cell r="D6454" t="str">
            <v>Property</v>
          </cell>
          <cell r="G6454" t="str">
            <v>Presupuesto</v>
          </cell>
        </row>
        <row r="6455">
          <cell r="A6455" t="str">
            <v>ICBA</v>
          </cell>
          <cell r="B6455">
            <v>202509</v>
          </cell>
          <cell r="D6455" t="str">
            <v>Property</v>
          </cell>
          <cell r="G6455" t="str">
            <v>Real</v>
          </cell>
        </row>
        <row r="6456">
          <cell r="A6456" t="str">
            <v>ICBA</v>
          </cell>
          <cell r="B6456">
            <v>202509</v>
          </cell>
          <cell r="D6456" t="str">
            <v>RC</v>
          </cell>
          <cell r="G6456" t="str">
            <v>Presupuesto</v>
          </cell>
        </row>
        <row r="6457">
          <cell r="A6457" t="str">
            <v>ICBA</v>
          </cell>
          <cell r="B6457">
            <v>202509</v>
          </cell>
          <cell r="D6457" t="str">
            <v>Resto de lineas</v>
          </cell>
          <cell r="G6457" t="str">
            <v>Presupuesto</v>
          </cell>
        </row>
        <row r="6458">
          <cell r="A6458" t="str">
            <v>ICBA</v>
          </cell>
          <cell r="B6458">
            <v>202509</v>
          </cell>
          <cell r="D6458" t="str">
            <v>Retirada</v>
          </cell>
          <cell r="G6458" t="str">
            <v>Presupuesto</v>
          </cell>
        </row>
        <row r="6459">
          <cell r="A6459" t="str">
            <v>ICBA</v>
          </cell>
          <cell r="B6459">
            <v>202509</v>
          </cell>
          <cell r="D6459" t="str">
            <v>Seguros Personales (No Vida) Colectivos</v>
          </cell>
          <cell r="G6459" t="str">
            <v>Presupuesto</v>
          </cell>
        </row>
        <row r="6460">
          <cell r="A6460" t="str">
            <v>ICBA</v>
          </cell>
          <cell r="B6460">
            <v>202509</v>
          </cell>
          <cell r="D6460" t="str">
            <v>Seguros Personales (No Vida) Particular</v>
          </cell>
          <cell r="G6460" t="str">
            <v>Presupuesto</v>
          </cell>
        </row>
        <row r="6461">
          <cell r="A6461" t="str">
            <v>ICBA</v>
          </cell>
          <cell r="B6461">
            <v>202509</v>
          </cell>
          <cell r="D6461" t="str">
            <v>Transporte</v>
          </cell>
          <cell r="G6461" t="str">
            <v>Presupuesto</v>
          </cell>
        </row>
        <row r="6462">
          <cell r="A6462" t="str">
            <v>ICBA</v>
          </cell>
          <cell r="B6462">
            <v>202509</v>
          </cell>
          <cell r="D6462" t="str">
            <v>Venta Cruzada</v>
          </cell>
          <cell r="G6462" t="str">
            <v>Presupuesto</v>
          </cell>
        </row>
        <row r="6463">
          <cell r="A6463" t="str">
            <v>ICBA</v>
          </cell>
          <cell r="B6463">
            <v>202509</v>
          </cell>
          <cell r="D6463" t="str">
            <v>Venta Cruzada</v>
          </cell>
          <cell r="G6463" t="str">
            <v>Real</v>
          </cell>
        </row>
        <row r="6464">
          <cell r="A6464" t="str">
            <v>ICBA</v>
          </cell>
          <cell r="B6464">
            <v>202509</v>
          </cell>
          <cell r="D6464" t="str">
            <v>Vida Ahorro Colectivo</v>
          </cell>
          <cell r="G6464" t="str">
            <v>Presupuesto</v>
          </cell>
        </row>
        <row r="6465">
          <cell r="A6465" t="str">
            <v>ICBA</v>
          </cell>
          <cell r="B6465">
            <v>202509</v>
          </cell>
          <cell r="D6465" t="str">
            <v>Vida Ahorro Particular</v>
          </cell>
          <cell r="G6465" t="str">
            <v>Presupuesto</v>
          </cell>
        </row>
        <row r="6466">
          <cell r="A6466" t="str">
            <v>ICBA</v>
          </cell>
          <cell r="B6466">
            <v>202509</v>
          </cell>
          <cell r="D6466" t="str">
            <v>Vida Ganado</v>
          </cell>
          <cell r="G6466" t="str">
            <v>Presupuesto</v>
          </cell>
        </row>
        <row r="6467">
          <cell r="A6467" t="str">
            <v>ICBA</v>
          </cell>
          <cell r="B6467">
            <v>202509</v>
          </cell>
          <cell r="D6467" t="str">
            <v>Vida Riesgo Colectivo</v>
          </cell>
          <cell r="G6467" t="str">
            <v>Presupuesto</v>
          </cell>
        </row>
        <row r="6468">
          <cell r="A6468" t="str">
            <v>ICBA</v>
          </cell>
          <cell r="B6468">
            <v>202509</v>
          </cell>
          <cell r="D6468" t="str">
            <v>Vida Riesgo Particular</v>
          </cell>
          <cell r="G6468" t="str">
            <v>Presupuesto</v>
          </cell>
        </row>
        <row r="6469">
          <cell r="A6469" t="str">
            <v>ICBA</v>
          </cell>
          <cell r="B6469">
            <v>202510</v>
          </cell>
          <cell r="D6469" t="str">
            <v>--</v>
          </cell>
          <cell r="G6469" t="str">
            <v>Presupuesto</v>
          </cell>
        </row>
        <row r="6470">
          <cell r="A6470" t="str">
            <v>ICBA</v>
          </cell>
          <cell r="B6470">
            <v>202510</v>
          </cell>
          <cell r="D6470" t="str">
            <v>--</v>
          </cell>
          <cell r="G6470" t="str">
            <v>Presupuesto</v>
          </cell>
        </row>
        <row r="6471">
          <cell r="A6471" t="str">
            <v>ICBA</v>
          </cell>
          <cell r="B6471">
            <v>202510</v>
          </cell>
          <cell r="D6471" t="str">
            <v>--</v>
          </cell>
          <cell r="G6471" t="str">
            <v>Real</v>
          </cell>
        </row>
        <row r="6472">
          <cell r="A6472" t="str">
            <v>ICBA</v>
          </cell>
          <cell r="B6472">
            <v>202510</v>
          </cell>
          <cell r="D6472" t="str">
            <v>Arte</v>
          </cell>
          <cell r="G6472" t="str">
            <v>Presupuesto</v>
          </cell>
        </row>
        <row r="6473">
          <cell r="A6473" t="str">
            <v>ICBA</v>
          </cell>
          <cell r="B6473">
            <v>202510</v>
          </cell>
          <cell r="D6473" t="str">
            <v>Autos</v>
          </cell>
          <cell r="G6473" t="str">
            <v>Presupuesto</v>
          </cell>
        </row>
        <row r="6474">
          <cell r="A6474" t="str">
            <v>ICBA</v>
          </cell>
          <cell r="B6474">
            <v>202510</v>
          </cell>
          <cell r="D6474" t="str">
            <v>B2B2C</v>
          </cell>
          <cell r="G6474" t="str">
            <v>Presupuesto</v>
          </cell>
        </row>
        <row r="6475">
          <cell r="A6475" t="str">
            <v>ICBA</v>
          </cell>
          <cell r="B6475">
            <v>202510</v>
          </cell>
          <cell r="D6475" t="str">
            <v>Caución</v>
          </cell>
          <cell r="G6475" t="str">
            <v>Presupuesto</v>
          </cell>
        </row>
        <row r="6476">
          <cell r="A6476" t="str">
            <v>ICBA</v>
          </cell>
          <cell r="B6476">
            <v>202510</v>
          </cell>
          <cell r="D6476" t="str">
            <v>Crédito Nacional</v>
          </cell>
          <cell r="G6476" t="str">
            <v>Real</v>
          </cell>
        </row>
        <row r="6477">
          <cell r="A6477" t="str">
            <v>ICBA</v>
          </cell>
          <cell r="B6477">
            <v>202510</v>
          </cell>
          <cell r="D6477" t="str">
            <v>Crédito Internacional</v>
          </cell>
          <cell r="G6477" t="str">
            <v>Presupuesto</v>
          </cell>
        </row>
        <row r="6478">
          <cell r="A6478" t="str">
            <v>ICBA</v>
          </cell>
          <cell r="B6478">
            <v>202510</v>
          </cell>
          <cell r="D6478" t="str">
            <v>Crédito Internacional</v>
          </cell>
          <cell r="G6478" t="str">
            <v>Real</v>
          </cell>
        </row>
        <row r="6479">
          <cell r="A6479" t="str">
            <v>ICBA</v>
          </cell>
          <cell r="B6479">
            <v>202510</v>
          </cell>
          <cell r="D6479" t="str">
            <v>Crédito Nacional</v>
          </cell>
          <cell r="G6479" t="str">
            <v>Presupuesto</v>
          </cell>
        </row>
        <row r="6480">
          <cell r="A6480" t="str">
            <v>ICBA</v>
          </cell>
          <cell r="B6480">
            <v>202510</v>
          </cell>
          <cell r="D6480" t="str">
            <v>Eventos</v>
          </cell>
          <cell r="G6480" t="str">
            <v>Presupuesto</v>
          </cell>
        </row>
        <row r="6481">
          <cell r="A6481" t="str">
            <v>ICBA</v>
          </cell>
          <cell r="B6481">
            <v>202510</v>
          </cell>
          <cell r="D6481" t="str">
            <v>Flotas</v>
          </cell>
          <cell r="G6481" t="str">
            <v>Presupuesto</v>
          </cell>
        </row>
        <row r="6482">
          <cell r="A6482" t="str">
            <v>ICBA</v>
          </cell>
          <cell r="B6482">
            <v>202510</v>
          </cell>
          <cell r="D6482" t="str">
            <v>GENERAL</v>
          </cell>
          <cell r="G6482" t="str">
            <v>Real</v>
          </cell>
        </row>
        <row r="6483">
          <cell r="A6483" t="str">
            <v>ICBA</v>
          </cell>
          <cell r="B6483">
            <v>202510</v>
          </cell>
          <cell r="D6483" t="str">
            <v>Hogar</v>
          </cell>
          <cell r="G6483" t="str">
            <v>Presupuesto</v>
          </cell>
        </row>
        <row r="6484">
          <cell r="A6484" t="str">
            <v>ICBA</v>
          </cell>
          <cell r="B6484">
            <v>202510</v>
          </cell>
          <cell r="D6484" t="str">
            <v>Ingeniería</v>
          </cell>
          <cell r="G6484" t="str">
            <v>Presupuesto</v>
          </cell>
        </row>
        <row r="6485">
          <cell r="A6485" t="str">
            <v>ICBA</v>
          </cell>
          <cell r="B6485">
            <v>202510</v>
          </cell>
          <cell r="D6485" t="str">
            <v>Inmobiliario</v>
          </cell>
          <cell r="G6485" t="str">
            <v>Presupuesto</v>
          </cell>
        </row>
        <row r="6486">
          <cell r="A6486" t="str">
            <v>ICBA</v>
          </cell>
          <cell r="B6486">
            <v>202510</v>
          </cell>
          <cell r="D6486" t="str">
            <v>Líneas Financieras</v>
          </cell>
          <cell r="G6486" t="str">
            <v>Presupuesto</v>
          </cell>
        </row>
        <row r="6487">
          <cell r="A6487" t="str">
            <v>ICBA</v>
          </cell>
          <cell r="B6487">
            <v>202510</v>
          </cell>
          <cell r="D6487" t="str">
            <v>Náutica</v>
          </cell>
          <cell r="G6487" t="str">
            <v>Presupuesto</v>
          </cell>
        </row>
        <row r="6488">
          <cell r="A6488" t="str">
            <v>ICBA</v>
          </cell>
          <cell r="B6488">
            <v>202510</v>
          </cell>
          <cell r="D6488" t="str">
            <v>Particulares Resto</v>
          </cell>
          <cell r="G6488" t="str">
            <v>Presupuesto</v>
          </cell>
        </row>
        <row r="6489">
          <cell r="A6489" t="str">
            <v>ICBA</v>
          </cell>
          <cell r="B6489">
            <v>202510</v>
          </cell>
          <cell r="D6489" t="str">
            <v>Property</v>
          </cell>
          <cell r="G6489" t="str">
            <v>Presupuesto</v>
          </cell>
        </row>
        <row r="6490">
          <cell r="A6490" t="str">
            <v>ICBA</v>
          </cell>
          <cell r="B6490">
            <v>202510</v>
          </cell>
          <cell r="D6490" t="str">
            <v>Property</v>
          </cell>
          <cell r="G6490" t="str">
            <v>Real</v>
          </cell>
        </row>
        <row r="6491">
          <cell r="A6491" t="str">
            <v>ICBA</v>
          </cell>
          <cell r="B6491">
            <v>202510</v>
          </cell>
          <cell r="D6491" t="str">
            <v>RC</v>
          </cell>
          <cell r="G6491" t="str">
            <v>Presupuesto</v>
          </cell>
        </row>
        <row r="6492">
          <cell r="A6492" t="str">
            <v>ICBA</v>
          </cell>
          <cell r="B6492">
            <v>202510</v>
          </cell>
          <cell r="D6492" t="str">
            <v>Resto de lineas</v>
          </cell>
          <cell r="G6492" t="str">
            <v>Presupuesto</v>
          </cell>
        </row>
        <row r="6493">
          <cell r="A6493" t="str">
            <v>ICBA</v>
          </cell>
          <cell r="B6493">
            <v>202510</v>
          </cell>
          <cell r="D6493" t="str">
            <v>Retirada</v>
          </cell>
          <cell r="G6493" t="str">
            <v>Presupuesto</v>
          </cell>
        </row>
        <row r="6494">
          <cell r="A6494" t="str">
            <v>ICBA</v>
          </cell>
          <cell r="B6494">
            <v>202510</v>
          </cell>
          <cell r="D6494" t="str">
            <v>Seguros Personales (No Vida) Colectivos</v>
          </cell>
          <cell r="G6494" t="str">
            <v>Presupuesto</v>
          </cell>
        </row>
        <row r="6495">
          <cell r="A6495" t="str">
            <v>ICBA</v>
          </cell>
          <cell r="B6495">
            <v>202510</v>
          </cell>
          <cell r="D6495" t="str">
            <v>Seguros Personales (No Vida) Particular</v>
          </cell>
          <cell r="G6495" t="str">
            <v>Presupuesto</v>
          </cell>
        </row>
        <row r="6496">
          <cell r="A6496" t="str">
            <v>ICBA</v>
          </cell>
          <cell r="B6496">
            <v>202510</v>
          </cell>
          <cell r="D6496" t="str">
            <v>Transporte</v>
          </cell>
          <cell r="G6496" t="str">
            <v>Presupuesto</v>
          </cell>
        </row>
        <row r="6497">
          <cell r="A6497" t="str">
            <v>ICBA</v>
          </cell>
          <cell r="B6497">
            <v>202510</v>
          </cell>
          <cell r="D6497" t="str">
            <v>Venta Cruzada</v>
          </cell>
          <cell r="G6497" t="str">
            <v>Presupuesto</v>
          </cell>
        </row>
        <row r="6498">
          <cell r="A6498" t="str">
            <v>ICBA</v>
          </cell>
          <cell r="B6498">
            <v>202510</v>
          </cell>
          <cell r="D6498" t="str">
            <v>Venta Cruzada</v>
          </cell>
          <cell r="G6498" t="str">
            <v>Real</v>
          </cell>
        </row>
        <row r="6499">
          <cell r="A6499" t="str">
            <v>ICBA</v>
          </cell>
          <cell r="B6499">
            <v>202510</v>
          </cell>
          <cell r="D6499" t="str">
            <v>Vida Ahorro Colectivo</v>
          </cell>
          <cell r="G6499" t="str">
            <v>Presupuesto</v>
          </cell>
        </row>
        <row r="6500">
          <cell r="A6500" t="str">
            <v>ICBA</v>
          </cell>
          <cell r="B6500">
            <v>202510</v>
          </cell>
          <cell r="D6500" t="str">
            <v>Vida Ahorro Particular</v>
          </cell>
          <cell r="G6500" t="str">
            <v>Presupuesto</v>
          </cell>
        </row>
        <row r="6501">
          <cell r="A6501" t="str">
            <v>ICBA</v>
          </cell>
          <cell r="B6501">
            <v>202510</v>
          </cell>
          <cell r="D6501" t="str">
            <v>Vida Ganado</v>
          </cell>
          <cell r="G6501" t="str">
            <v>Presupuesto</v>
          </cell>
        </row>
        <row r="6502">
          <cell r="A6502" t="str">
            <v>ICBA</v>
          </cell>
          <cell r="B6502">
            <v>202510</v>
          </cell>
          <cell r="D6502" t="str">
            <v>Vida Riesgo Colectivo</v>
          </cell>
          <cell r="G6502" t="str">
            <v>Presupuesto</v>
          </cell>
        </row>
        <row r="6503">
          <cell r="A6503" t="str">
            <v>ICBA</v>
          </cell>
          <cell r="B6503">
            <v>202510</v>
          </cell>
          <cell r="D6503" t="str">
            <v>Vida Riesgo Particular</v>
          </cell>
          <cell r="G6503" t="str">
            <v>Presupuesto</v>
          </cell>
        </row>
        <row r="6504">
          <cell r="A6504" t="str">
            <v>ICBA</v>
          </cell>
          <cell r="B6504">
            <v>202511</v>
          </cell>
          <cell r="D6504" t="str">
            <v>--</v>
          </cell>
          <cell r="G6504" t="str">
            <v>Presupuesto</v>
          </cell>
        </row>
        <row r="6505">
          <cell r="A6505" t="str">
            <v>ICBA</v>
          </cell>
          <cell r="B6505">
            <v>202511</v>
          </cell>
          <cell r="D6505" t="str">
            <v>--</v>
          </cell>
          <cell r="G6505" t="str">
            <v>Presupuesto</v>
          </cell>
        </row>
        <row r="6506">
          <cell r="A6506" t="str">
            <v>ICBA</v>
          </cell>
          <cell r="B6506">
            <v>202511</v>
          </cell>
          <cell r="D6506" t="str">
            <v>--</v>
          </cell>
          <cell r="G6506" t="str">
            <v>Real</v>
          </cell>
        </row>
        <row r="6507">
          <cell r="A6507" t="str">
            <v>ICBA</v>
          </cell>
          <cell r="B6507">
            <v>202511</v>
          </cell>
          <cell r="D6507" t="str">
            <v>Arte</v>
          </cell>
          <cell r="G6507" t="str">
            <v>Presupuesto</v>
          </cell>
        </row>
        <row r="6508">
          <cell r="A6508" t="str">
            <v>ICBA</v>
          </cell>
          <cell r="B6508">
            <v>202511</v>
          </cell>
          <cell r="D6508" t="str">
            <v>Autos</v>
          </cell>
          <cell r="G6508" t="str">
            <v>Presupuesto</v>
          </cell>
        </row>
        <row r="6509">
          <cell r="A6509" t="str">
            <v>ICBA</v>
          </cell>
          <cell r="B6509">
            <v>202511</v>
          </cell>
          <cell r="D6509" t="str">
            <v>B2B2C</v>
          </cell>
          <cell r="G6509" t="str">
            <v>Presupuesto</v>
          </cell>
        </row>
        <row r="6510">
          <cell r="A6510" t="str">
            <v>ICBA</v>
          </cell>
          <cell r="B6510">
            <v>202511</v>
          </cell>
          <cell r="D6510" t="str">
            <v>Caución</v>
          </cell>
          <cell r="G6510" t="str">
            <v>Presupuesto</v>
          </cell>
        </row>
        <row r="6511">
          <cell r="A6511" t="str">
            <v>ICBA</v>
          </cell>
          <cell r="B6511">
            <v>202511</v>
          </cell>
          <cell r="D6511" t="str">
            <v>Crédito Nacional</v>
          </cell>
          <cell r="G6511" t="str">
            <v>Real</v>
          </cell>
        </row>
        <row r="6512">
          <cell r="A6512" t="str">
            <v>ICBA</v>
          </cell>
          <cell r="B6512">
            <v>202511</v>
          </cell>
          <cell r="D6512" t="str">
            <v>Crédito Internacional</v>
          </cell>
          <cell r="G6512" t="str">
            <v>Presupuesto</v>
          </cell>
        </row>
        <row r="6513">
          <cell r="A6513" t="str">
            <v>ICBA</v>
          </cell>
          <cell r="B6513">
            <v>202511</v>
          </cell>
          <cell r="D6513" t="str">
            <v>Crédito Internacional</v>
          </cell>
          <cell r="G6513" t="str">
            <v>Real</v>
          </cell>
        </row>
        <row r="6514">
          <cell r="A6514" t="str">
            <v>ICBA</v>
          </cell>
          <cell r="B6514">
            <v>202511</v>
          </cell>
          <cell r="D6514" t="str">
            <v>Crédito Nacional</v>
          </cell>
          <cell r="G6514" t="str">
            <v>Presupuesto</v>
          </cell>
        </row>
        <row r="6515">
          <cell r="A6515" t="str">
            <v>ICBA</v>
          </cell>
          <cell r="B6515">
            <v>202511</v>
          </cell>
          <cell r="D6515" t="str">
            <v>Eventos</v>
          </cell>
          <cell r="G6515" t="str">
            <v>Presupuesto</v>
          </cell>
        </row>
        <row r="6516">
          <cell r="A6516" t="str">
            <v>ICBA</v>
          </cell>
          <cell r="B6516">
            <v>202511</v>
          </cell>
          <cell r="D6516" t="str">
            <v>Flotas</v>
          </cell>
          <cell r="G6516" t="str">
            <v>Presupuesto</v>
          </cell>
        </row>
        <row r="6517">
          <cell r="A6517" t="str">
            <v>ICBA</v>
          </cell>
          <cell r="B6517">
            <v>202511</v>
          </cell>
          <cell r="D6517" t="str">
            <v>Hogar</v>
          </cell>
          <cell r="G6517" t="str">
            <v>Presupuesto</v>
          </cell>
        </row>
        <row r="6518">
          <cell r="A6518" t="str">
            <v>ICBA</v>
          </cell>
          <cell r="B6518">
            <v>202511</v>
          </cell>
          <cell r="D6518" t="str">
            <v>Ingeniería</v>
          </cell>
          <cell r="G6518" t="str">
            <v>Presupuesto</v>
          </cell>
        </row>
        <row r="6519">
          <cell r="A6519" t="str">
            <v>ICBA</v>
          </cell>
          <cell r="B6519">
            <v>202511</v>
          </cell>
          <cell r="D6519" t="str">
            <v>Inmobiliario</v>
          </cell>
          <cell r="G6519" t="str">
            <v>Presupuesto</v>
          </cell>
        </row>
        <row r="6520">
          <cell r="A6520" t="str">
            <v>ICBA</v>
          </cell>
          <cell r="B6520">
            <v>202511</v>
          </cell>
          <cell r="D6520" t="str">
            <v>Líneas Financieras</v>
          </cell>
          <cell r="G6520" t="str">
            <v>Presupuesto</v>
          </cell>
        </row>
        <row r="6521">
          <cell r="A6521" t="str">
            <v>ICBA</v>
          </cell>
          <cell r="B6521">
            <v>202511</v>
          </cell>
          <cell r="D6521" t="str">
            <v>Náutica</v>
          </cell>
          <cell r="G6521" t="str">
            <v>Presupuesto</v>
          </cell>
        </row>
        <row r="6522">
          <cell r="A6522" t="str">
            <v>ICBA</v>
          </cell>
          <cell r="B6522">
            <v>202511</v>
          </cell>
          <cell r="D6522" t="str">
            <v>Particulares Resto</v>
          </cell>
          <cell r="G6522" t="str">
            <v>Presupuesto</v>
          </cell>
        </row>
        <row r="6523">
          <cell r="A6523" t="str">
            <v>ICBA</v>
          </cell>
          <cell r="B6523">
            <v>202511</v>
          </cell>
          <cell r="D6523" t="str">
            <v>Property</v>
          </cell>
          <cell r="G6523" t="str">
            <v>Presupuesto</v>
          </cell>
        </row>
        <row r="6524">
          <cell r="A6524" t="str">
            <v>ICBA</v>
          </cell>
          <cell r="B6524">
            <v>202511</v>
          </cell>
          <cell r="D6524" t="str">
            <v>Property</v>
          </cell>
          <cell r="G6524" t="str">
            <v>Real</v>
          </cell>
        </row>
        <row r="6525">
          <cell r="A6525" t="str">
            <v>ICBA</v>
          </cell>
          <cell r="B6525">
            <v>202511</v>
          </cell>
          <cell r="D6525" t="str">
            <v>RC</v>
          </cell>
          <cell r="G6525" t="str">
            <v>Presupuesto</v>
          </cell>
        </row>
        <row r="6526">
          <cell r="A6526" t="str">
            <v>ICBA</v>
          </cell>
          <cell r="B6526">
            <v>202511</v>
          </cell>
          <cell r="D6526" t="str">
            <v>Resto de lineas</v>
          </cell>
          <cell r="G6526" t="str">
            <v>Presupuesto</v>
          </cell>
        </row>
        <row r="6527">
          <cell r="A6527" t="str">
            <v>ICBA</v>
          </cell>
          <cell r="B6527">
            <v>202511</v>
          </cell>
          <cell r="D6527" t="str">
            <v>Retirada</v>
          </cell>
          <cell r="G6527" t="str">
            <v>Presupuesto</v>
          </cell>
        </row>
        <row r="6528">
          <cell r="A6528" t="str">
            <v>ICBA</v>
          </cell>
          <cell r="B6528">
            <v>202511</v>
          </cell>
          <cell r="D6528" t="str">
            <v>Seguros Personales (No Vida) Colectivos</v>
          </cell>
          <cell r="G6528" t="str">
            <v>Presupuesto</v>
          </cell>
        </row>
        <row r="6529">
          <cell r="A6529" t="str">
            <v>ICBA</v>
          </cell>
          <cell r="B6529">
            <v>202511</v>
          </cell>
          <cell r="D6529" t="str">
            <v>Seguros Personales (No Vida) Particular</v>
          </cell>
          <cell r="G6529" t="str">
            <v>Presupuesto</v>
          </cell>
        </row>
        <row r="6530">
          <cell r="A6530" t="str">
            <v>ICBA</v>
          </cell>
          <cell r="B6530">
            <v>202511</v>
          </cell>
          <cell r="D6530" t="str">
            <v>Transporte</v>
          </cell>
          <cell r="G6530" t="str">
            <v>Presupuesto</v>
          </cell>
        </row>
        <row r="6531">
          <cell r="A6531" t="str">
            <v>ICBA</v>
          </cell>
          <cell r="B6531">
            <v>202511</v>
          </cell>
          <cell r="D6531" t="str">
            <v>Venta Cruzada</v>
          </cell>
          <cell r="G6531" t="str">
            <v>Presupuesto</v>
          </cell>
        </row>
        <row r="6532">
          <cell r="A6532" t="str">
            <v>ICBA</v>
          </cell>
          <cell r="B6532">
            <v>202511</v>
          </cell>
          <cell r="D6532" t="str">
            <v>Venta Cruzada</v>
          </cell>
          <cell r="G6532" t="str">
            <v>Real</v>
          </cell>
        </row>
        <row r="6533">
          <cell r="A6533" t="str">
            <v>ICBA</v>
          </cell>
          <cell r="B6533">
            <v>202511</v>
          </cell>
          <cell r="D6533" t="str">
            <v>Vida Ahorro Colectivo</v>
          </cell>
          <cell r="G6533" t="str">
            <v>Presupuesto</v>
          </cell>
        </row>
        <row r="6534">
          <cell r="A6534" t="str">
            <v>ICBA</v>
          </cell>
          <cell r="B6534">
            <v>202511</v>
          </cell>
          <cell r="D6534" t="str">
            <v>Vida Ahorro Particular</v>
          </cell>
          <cell r="G6534" t="str">
            <v>Presupuesto</v>
          </cell>
        </row>
        <row r="6535">
          <cell r="A6535" t="str">
            <v>ICBA</v>
          </cell>
          <cell r="B6535">
            <v>202511</v>
          </cell>
          <cell r="D6535" t="str">
            <v>Vida Ganado</v>
          </cell>
          <cell r="G6535" t="str">
            <v>Presupuesto</v>
          </cell>
        </row>
        <row r="6536">
          <cell r="A6536" t="str">
            <v>ICBA</v>
          </cell>
          <cell r="B6536">
            <v>202511</v>
          </cell>
          <cell r="D6536" t="str">
            <v>Vida Riesgo Colectivo</v>
          </cell>
          <cell r="G6536" t="str">
            <v>Presupuesto</v>
          </cell>
        </row>
        <row r="6537">
          <cell r="A6537" t="str">
            <v>ICBA</v>
          </cell>
          <cell r="B6537">
            <v>202511</v>
          </cell>
          <cell r="D6537" t="str">
            <v>Vida Riesgo Particular</v>
          </cell>
          <cell r="G6537" t="str">
            <v>Presupuesto</v>
          </cell>
        </row>
        <row r="6538">
          <cell r="A6538" t="str">
            <v>ICBA</v>
          </cell>
          <cell r="B6538">
            <v>202512</v>
          </cell>
          <cell r="D6538" t="str">
            <v>--</v>
          </cell>
          <cell r="G6538" t="str">
            <v>Presupuesto</v>
          </cell>
        </row>
        <row r="6539">
          <cell r="A6539" t="str">
            <v>ICBA</v>
          </cell>
          <cell r="B6539">
            <v>202512</v>
          </cell>
          <cell r="D6539" t="str">
            <v>--</v>
          </cell>
          <cell r="G6539" t="str">
            <v>Presupuesto</v>
          </cell>
        </row>
        <row r="6540">
          <cell r="A6540" t="str">
            <v>ICBA</v>
          </cell>
          <cell r="B6540">
            <v>202512</v>
          </cell>
          <cell r="D6540" t="str">
            <v>--</v>
          </cell>
          <cell r="G6540" t="str">
            <v>Real</v>
          </cell>
        </row>
        <row r="6541">
          <cell r="A6541" t="str">
            <v>ICBA</v>
          </cell>
          <cell r="B6541">
            <v>202512</v>
          </cell>
          <cell r="D6541" t="str">
            <v>Arte</v>
          </cell>
          <cell r="G6541" t="str">
            <v>Presupuesto</v>
          </cell>
        </row>
        <row r="6542">
          <cell r="A6542" t="str">
            <v>ICBA</v>
          </cell>
          <cell r="B6542">
            <v>202512</v>
          </cell>
          <cell r="D6542" t="str">
            <v>Autos</v>
          </cell>
          <cell r="G6542" t="str">
            <v>Presupuesto</v>
          </cell>
        </row>
        <row r="6543">
          <cell r="A6543" t="str">
            <v>ICBA</v>
          </cell>
          <cell r="B6543">
            <v>202512</v>
          </cell>
          <cell r="D6543" t="str">
            <v>B2B2C</v>
          </cell>
          <cell r="G6543" t="str">
            <v>Presupuesto</v>
          </cell>
        </row>
        <row r="6544">
          <cell r="A6544" t="str">
            <v>ICBA</v>
          </cell>
          <cell r="B6544">
            <v>202512</v>
          </cell>
          <cell r="D6544" t="str">
            <v>Caución</v>
          </cell>
          <cell r="G6544" t="str">
            <v>Presupuesto</v>
          </cell>
        </row>
        <row r="6545">
          <cell r="A6545" t="str">
            <v>ICBA</v>
          </cell>
          <cell r="B6545">
            <v>202512</v>
          </cell>
          <cell r="D6545" t="str">
            <v>Crédito Nacional</v>
          </cell>
          <cell r="G6545" t="str">
            <v>Real</v>
          </cell>
        </row>
        <row r="6546">
          <cell r="A6546" t="str">
            <v>ICBA</v>
          </cell>
          <cell r="B6546">
            <v>202512</v>
          </cell>
          <cell r="D6546" t="str">
            <v>Crédito Internacional</v>
          </cell>
          <cell r="G6546" t="str">
            <v>Presupuesto</v>
          </cell>
        </row>
        <row r="6547">
          <cell r="A6547" t="str">
            <v>ICBA</v>
          </cell>
          <cell r="B6547">
            <v>202512</v>
          </cell>
          <cell r="D6547" t="str">
            <v>Crédito Nacional</v>
          </cell>
          <cell r="G6547" t="str">
            <v>Presupuesto</v>
          </cell>
        </row>
        <row r="6548">
          <cell r="A6548" t="str">
            <v>ICBA</v>
          </cell>
          <cell r="B6548">
            <v>202512</v>
          </cell>
          <cell r="D6548" t="str">
            <v>Eventos</v>
          </cell>
          <cell r="G6548" t="str">
            <v>Presupuesto</v>
          </cell>
        </row>
        <row r="6549">
          <cell r="A6549" t="str">
            <v>ICBA</v>
          </cell>
          <cell r="B6549">
            <v>202512</v>
          </cell>
          <cell r="D6549" t="str">
            <v>Flotas</v>
          </cell>
          <cell r="G6549" t="str">
            <v>Presupuesto</v>
          </cell>
        </row>
        <row r="6550">
          <cell r="A6550" t="str">
            <v>ICBA</v>
          </cell>
          <cell r="B6550">
            <v>202512</v>
          </cell>
          <cell r="D6550" t="str">
            <v>Hogar</v>
          </cell>
          <cell r="G6550" t="str">
            <v>Presupuesto</v>
          </cell>
        </row>
        <row r="6551">
          <cell r="A6551" t="str">
            <v>ICBA</v>
          </cell>
          <cell r="B6551">
            <v>202512</v>
          </cell>
          <cell r="D6551" t="str">
            <v>Ingeniería</v>
          </cell>
          <cell r="G6551" t="str">
            <v>Presupuesto</v>
          </cell>
        </row>
        <row r="6552">
          <cell r="A6552" t="str">
            <v>ICBA</v>
          </cell>
          <cell r="B6552">
            <v>202512</v>
          </cell>
          <cell r="D6552" t="str">
            <v>Inmobiliario</v>
          </cell>
          <cell r="G6552" t="str">
            <v>Presupuesto</v>
          </cell>
        </row>
        <row r="6553">
          <cell r="A6553" t="str">
            <v>ICBA</v>
          </cell>
          <cell r="B6553">
            <v>202512</v>
          </cell>
          <cell r="D6553" t="str">
            <v>Líneas Financieras</v>
          </cell>
          <cell r="G6553" t="str">
            <v>Presupuesto</v>
          </cell>
        </row>
        <row r="6554">
          <cell r="A6554" t="str">
            <v>ICBA</v>
          </cell>
          <cell r="B6554">
            <v>202512</v>
          </cell>
          <cell r="D6554" t="str">
            <v>Náutica</v>
          </cell>
          <cell r="G6554" t="str">
            <v>Presupuesto</v>
          </cell>
        </row>
        <row r="6555">
          <cell r="A6555" t="str">
            <v>ICBA</v>
          </cell>
          <cell r="B6555">
            <v>202512</v>
          </cell>
          <cell r="D6555" t="str">
            <v>Particulares Resto</v>
          </cell>
          <cell r="G6555" t="str">
            <v>Presupuesto</v>
          </cell>
        </row>
        <row r="6556">
          <cell r="A6556" t="str">
            <v>ICBA</v>
          </cell>
          <cell r="B6556">
            <v>202512</v>
          </cell>
          <cell r="D6556" t="str">
            <v>Property</v>
          </cell>
          <cell r="G6556" t="str">
            <v>Presupuesto</v>
          </cell>
        </row>
        <row r="6557">
          <cell r="A6557" t="str">
            <v>ICBA</v>
          </cell>
          <cell r="B6557">
            <v>202512</v>
          </cell>
          <cell r="D6557" t="str">
            <v>RC</v>
          </cell>
          <cell r="G6557" t="str">
            <v>Presupuesto</v>
          </cell>
        </row>
        <row r="6558">
          <cell r="A6558" t="str">
            <v>ICBA</v>
          </cell>
          <cell r="B6558">
            <v>202512</v>
          </cell>
          <cell r="D6558" t="str">
            <v>Resto de lineas</v>
          </cell>
          <cell r="G6558" t="str">
            <v>Presupuesto</v>
          </cell>
        </row>
        <row r="6559">
          <cell r="A6559" t="str">
            <v>ICBA</v>
          </cell>
          <cell r="B6559">
            <v>202512</v>
          </cell>
          <cell r="D6559" t="str">
            <v>Retirada</v>
          </cell>
          <cell r="G6559" t="str">
            <v>Presupuesto</v>
          </cell>
        </row>
        <row r="6560">
          <cell r="A6560" t="str">
            <v>ICBA</v>
          </cell>
          <cell r="B6560">
            <v>202512</v>
          </cell>
          <cell r="D6560" t="str">
            <v>Seguros Personales (No Vida) Colectivos</v>
          </cell>
          <cell r="G6560" t="str">
            <v>Presupuesto</v>
          </cell>
        </row>
        <row r="6561">
          <cell r="A6561" t="str">
            <v>ICBA</v>
          </cell>
          <cell r="B6561">
            <v>202512</v>
          </cell>
          <cell r="D6561" t="str">
            <v>Seguros Personales (No Vida) Particular</v>
          </cell>
          <cell r="G6561" t="str">
            <v>Presupuesto</v>
          </cell>
        </row>
        <row r="6562">
          <cell r="A6562" t="str">
            <v>ICBA</v>
          </cell>
          <cell r="B6562">
            <v>202512</v>
          </cell>
          <cell r="D6562" t="str">
            <v>Transporte</v>
          </cell>
          <cell r="G6562" t="str">
            <v>Presupuesto</v>
          </cell>
        </row>
        <row r="6563">
          <cell r="A6563" t="str">
            <v>ICBA</v>
          </cell>
          <cell r="B6563">
            <v>202512</v>
          </cell>
          <cell r="D6563" t="str">
            <v>Venta Cruzada</v>
          </cell>
          <cell r="G6563" t="str">
            <v>Presupuesto</v>
          </cell>
        </row>
        <row r="6564">
          <cell r="A6564" t="str">
            <v>ICBA</v>
          </cell>
          <cell r="B6564">
            <v>202512</v>
          </cell>
          <cell r="D6564" t="str">
            <v>Vida Ahorro Colectivo</v>
          </cell>
          <cell r="G6564" t="str">
            <v>Presupuesto</v>
          </cell>
        </row>
        <row r="6565">
          <cell r="A6565" t="str">
            <v>ICBA</v>
          </cell>
          <cell r="B6565">
            <v>202512</v>
          </cell>
          <cell r="D6565" t="str">
            <v>Vida Ahorro Particular</v>
          </cell>
          <cell r="G6565" t="str">
            <v>Presupuesto</v>
          </cell>
        </row>
        <row r="6566">
          <cell r="A6566" t="str">
            <v>ICBA</v>
          </cell>
          <cell r="B6566">
            <v>202512</v>
          </cell>
          <cell r="D6566" t="str">
            <v>Vida Ganado</v>
          </cell>
          <cell r="G6566" t="str">
            <v>Presupuesto</v>
          </cell>
        </row>
        <row r="6567">
          <cell r="A6567" t="str">
            <v>ICBA</v>
          </cell>
          <cell r="B6567">
            <v>202512</v>
          </cell>
          <cell r="D6567" t="str">
            <v>Vida Riesgo Colectivo</v>
          </cell>
          <cell r="G6567" t="str">
            <v>Presupuesto</v>
          </cell>
        </row>
        <row r="6568">
          <cell r="A6568" t="str">
            <v>ICBA</v>
          </cell>
          <cell r="B6568">
            <v>202512</v>
          </cell>
          <cell r="D6568" t="str">
            <v>Vida Riesgo Particular</v>
          </cell>
          <cell r="G6568" t="str">
            <v>Presupuesto</v>
          </cell>
        </row>
        <row r="6569">
          <cell r="A6569" t="str">
            <v>INSURART</v>
          </cell>
          <cell r="B6569">
            <v>202301</v>
          </cell>
          <cell r="D6569" t="str">
            <v>--</v>
          </cell>
          <cell r="G6569" t="str">
            <v>Real</v>
          </cell>
        </row>
        <row r="6570">
          <cell r="A6570" t="str">
            <v>INSURART</v>
          </cell>
          <cell r="B6570">
            <v>202301</v>
          </cell>
          <cell r="D6570" t="str">
            <v>Arte</v>
          </cell>
          <cell r="G6570" t="str">
            <v>Real</v>
          </cell>
        </row>
        <row r="6571">
          <cell r="A6571" t="str">
            <v>INSURART</v>
          </cell>
          <cell r="B6571">
            <v>202302</v>
          </cell>
          <cell r="D6571" t="str">
            <v>--</v>
          </cell>
          <cell r="G6571" t="str">
            <v>Real</v>
          </cell>
        </row>
        <row r="6572">
          <cell r="A6572" t="str">
            <v>INSURART</v>
          </cell>
          <cell r="B6572">
            <v>202302</v>
          </cell>
          <cell r="D6572" t="str">
            <v>Arte</v>
          </cell>
          <cell r="G6572" t="str">
            <v>Real</v>
          </cell>
        </row>
        <row r="6573">
          <cell r="A6573" t="str">
            <v>INSURART</v>
          </cell>
          <cell r="B6573">
            <v>202303</v>
          </cell>
          <cell r="D6573" t="str">
            <v>--</v>
          </cell>
          <cell r="G6573" t="str">
            <v>Real</v>
          </cell>
        </row>
        <row r="6574">
          <cell r="A6574" t="str">
            <v>INSURART</v>
          </cell>
          <cell r="B6574">
            <v>202303</v>
          </cell>
          <cell r="D6574" t="str">
            <v>Arte</v>
          </cell>
          <cell r="G6574" t="str">
            <v>Real</v>
          </cell>
        </row>
        <row r="6575">
          <cell r="A6575" t="str">
            <v>INSURART</v>
          </cell>
          <cell r="B6575">
            <v>202304</v>
          </cell>
          <cell r="D6575" t="str">
            <v>--</v>
          </cell>
          <cell r="G6575" t="str">
            <v>Real</v>
          </cell>
        </row>
        <row r="6576">
          <cell r="A6576" t="str">
            <v>INSURART</v>
          </cell>
          <cell r="B6576">
            <v>202304</v>
          </cell>
          <cell r="D6576" t="str">
            <v>Arte</v>
          </cell>
          <cell r="G6576" t="str">
            <v>Real</v>
          </cell>
        </row>
        <row r="6577">
          <cell r="A6577" t="str">
            <v>INSURART</v>
          </cell>
          <cell r="B6577">
            <v>202305</v>
          </cell>
          <cell r="D6577" t="str">
            <v>--</v>
          </cell>
          <cell r="G6577" t="str">
            <v>Real</v>
          </cell>
        </row>
        <row r="6578">
          <cell r="A6578" t="str">
            <v>INSURART</v>
          </cell>
          <cell r="B6578">
            <v>202305</v>
          </cell>
          <cell r="D6578" t="str">
            <v>Arte</v>
          </cell>
          <cell r="G6578" t="str">
            <v>Real</v>
          </cell>
        </row>
        <row r="6579">
          <cell r="A6579" t="str">
            <v>INSURART</v>
          </cell>
          <cell r="B6579">
            <v>202306</v>
          </cell>
          <cell r="D6579" t="str">
            <v>--</v>
          </cell>
          <cell r="G6579" t="str">
            <v>Real</v>
          </cell>
        </row>
        <row r="6580">
          <cell r="A6580" t="str">
            <v>INSURART</v>
          </cell>
          <cell r="B6580">
            <v>202306</v>
          </cell>
          <cell r="D6580" t="str">
            <v>Arte</v>
          </cell>
          <cell r="G6580" t="str">
            <v>Real</v>
          </cell>
        </row>
        <row r="6581">
          <cell r="A6581" t="str">
            <v>INSURART</v>
          </cell>
          <cell r="B6581">
            <v>202307</v>
          </cell>
          <cell r="D6581" t="str">
            <v>--</v>
          </cell>
          <cell r="G6581" t="str">
            <v>Real</v>
          </cell>
        </row>
        <row r="6582">
          <cell r="A6582" t="str">
            <v>INSURART</v>
          </cell>
          <cell r="B6582">
            <v>202307</v>
          </cell>
          <cell r="D6582" t="str">
            <v>Arte</v>
          </cell>
          <cell r="G6582" t="str">
            <v>Real</v>
          </cell>
        </row>
        <row r="6583">
          <cell r="A6583" t="str">
            <v>INSURART</v>
          </cell>
          <cell r="B6583">
            <v>202308</v>
          </cell>
          <cell r="D6583" t="str">
            <v>--</v>
          </cell>
          <cell r="G6583" t="str">
            <v>Real</v>
          </cell>
        </row>
        <row r="6584">
          <cell r="A6584" t="str">
            <v>INSURART</v>
          </cell>
          <cell r="B6584">
            <v>202308</v>
          </cell>
          <cell r="D6584" t="str">
            <v>Arte</v>
          </cell>
          <cell r="G6584" t="str">
            <v>Real</v>
          </cell>
        </row>
        <row r="6585">
          <cell r="A6585" t="str">
            <v>INSURART</v>
          </cell>
          <cell r="B6585">
            <v>202309</v>
          </cell>
          <cell r="D6585" t="str">
            <v>--</v>
          </cell>
          <cell r="G6585" t="str">
            <v>Real</v>
          </cell>
        </row>
        <row r="6586">
          <cell r="A6586" t="str">
            <v>INSURART</v>
          </cell>
          <cell r="B6586">
            <v>202309</v>
          </cell>
          <cell r="D6586" t="str">
            <v>Arte</v>
          </cell>
          <cell r="G6586" t="str">
            <v>Real</v>
          </cell>
        </row>
        <row r="6587">
          <cell r="A6587" t="str">
            <v>INSURART</v>
          </cell>
          <cell r="B6587">
            <v>202310</v>
          </cell>
          <cell r="D6587" t="str">
            <v>--</v>
          </cell>
          <cell r="G6587" t="str">
            <v>Real</v>
          </cell>
        </row>
        <row r="6588">
          <cell r="A6588" t="str">
            <v>INSURART</v>
          </cell>
          <cell r="B6588">
            <v>202310</v>
          </cell>
          <cell r="D6588" t="str">
            <v>Arte</v>
          </cell>
          <cell r="G6588" t="str">
            <v>Real</v>
          </cell>
        </row>
        <row r="6589">
          <cell r="A6589" t="str">
            <v>INSURART</v>
          </cell>
          <cell r="B6589">
            <v>202311</v>
          </cell>
          <cell r="D6589" t="str">
            <v>--</v>
          </cell>
          <cell r="G6589" t="str">
            <v>Real</v>
          </cell>
        </row>
        <row r="6590">
          <cell r="A6590" t="str">
            <v>INSURART</v>
          </cell>
          <cell r="B6590">
            <v>202311</v>
          </cell>
          <cell r="D6590" t="str">
            <v>Arte</v>
          </cell>
          <cell r="G6590" t="str">
            <v>Real</v>
          </cell>
        </row>
        <row r="6591">
          <cell r="A6591" t="str">
            <v>INSURART</v>
          </cell>
          <cell r="B6591">
            <v>202312</v>
          </cell>
          <cell r="D6591" t="str">
            <v>--</v>
          </cell>
          <cell r="G6591" t="str">
            <v>Real</v>
          </cell>
        </row>
        <row r="6592">
          <cell r="A6592" t="str">
            <v>INSURART</v>
          </cell>
          <cell r="B6592">
            <v>202312</v>
          </cell>
          <cell r="D6592" t="str">
            <v>Arte</v>
          </cell>
          <cell r="G6592" t="str">
            <v>Real</v>
          </cell>
        </row>
        <row r="6593">
          <cell r="A6593" t="str">
            <v>INSURART</v>
          </cell>
          <cell r="B6593">
            <v>202401</v>
          </cell>
          <cell r="D6593" t="str">
            <v>--</v>
          </cell>
          <cell r="G6593" t="str">
            <v>Real</v>
          </cell>
        </row>
        <row r="6594">
          <cell r="A6594" t="str">
            <v>INSURART</v>
          </cell>
          <cell r="B6594">
            <v>202401</v>
          </cell>
          <cell r="D6594" t="str">
            <v>Arte</v>
          </cell>
          <cell r="G6594" t="str">
            <v>Real</v>
          </cell>
        </row>
        <row r="6595">
          <cell r="A6595" t="str">
            <v>INSURART</v>
          </cell>
          <cell r="B6595">
            <v>202402</v>
          </cell>
          <cell r="D6595" t="str">
            <v>--</v>
          </cell>
          <cell r="G6595" t="str">
            <v>Real</v>
          </cell>
        </row>
        <row r="6596">
          <cell r="A6596" t="str">
            <v>INSURART</v>
          </cell>
          <cell r="B6596">
            <v>202402</v>
          </cell>
          <cell r="D6596" t="str">
            <v>Arte</v>
          </cell>
          <cell r="G6596" t="str">
            <v>Real</v>
          </cell>
        </row>
        <row r="6597">
          <cell r="A6597" t="str">
            <v>INSURART</v>
          </cell>
          <cell r="B6597">
            <v>202403</v>
          </cell>
          <cell r="D6597" t="str">
            <v>--</v>
          </cell>
          <cell r="G6597" t="str">
            <v>Real</v>
          </cell>
        </row>
        <row r="6598">
          <cell r="A6598" t="str">
            <v>INSURART</v>
          </cell>
          <cell r="B6598">
            <v>202403</v>
          </cell>
          <cell r="D6598" t="str">
            <v>Arte</v>
          </cell>
          <cell r="G6598" t="str">
            <v>Real</v>
          </cell>
        </row>
        <row r="6599">
          <cell r="A6599" t="str">
            <v>INSURART</v>
          </cell>
          <cell r="B6599">
            <v>202404</v>
          </cell>
          <cell r="D6599" t="str">
            <v>--</v>
          </cell>
          <cell r="G6599" t="str">
            <v>Real</v>
          </cell>
        </row>
        <row r="6600">
          <cell r="A6600" t="str">
            <v>INSURART</v>
          </cell>
          <cell r="B6600">
            <v>202404</v>
          </cell>
          <cell r="D6600" t="str">
            <v>Arte</v>
          </cell>
          <cell r="G6600" t="str">
            <v>Real</v>
          </cell>
        </row>
        <row r="6601">
          <cell r="A6601" t="str">
            <v>INSURART</v>
          </cell>
          <cell r="B6601">
            <v>202405</v>
          </cell>
          <cell r="D6601" t="str">
            <v>--</v>
          </cell>
          <cell r="G6601" t="str">
            <v>Real</v>
          </cell>
        </row>
        <row r="6602">
          <cell r="A6602" t="str">
            <v>INSURART</v>
          </cell>
          <cell r="B6602">
            <v>202405</v>
          </cell>
          <cell r="D6602" t="str">
            <v>Arte</v>
          </cell>
          <cell r="G6602" t="str">
            <v>Real</v>
          </cell>
        </row>
        <row r="6603">
          <cell r="A6603" t="str">
            <v>INSURART</v>
          </cell>
          <cell r="B6603">
            <v>202406</v>
          </cell>
          <cell r="D6603" t="str">
            <v>--</v>
          </cell>
          <cell r="G6603" t="str">
            <v>Real</v>
          </cell>
        </row>
        <row r="6604">
          <cell r="A6604" t="str">
            <v>INSURART</v>
          </cell>
          <cell r="B6604">
            <v>202406</v>
          </cell>
          <cell r="D6604" t="str">
            <v>Arte</v>
          </cell>
          <cell r="G6604" t="str">
            <v>Real</v>
          </cell>
        </row>
        <row r="6605">
          <cell r="A6605" t="str">
            <v>INSURART</v>
          </cell>
          <cell r="B6605">
            <v>202407</v>
          </cell>
          <cell r="D6605" t="str">
            <v>--</v>
          </cell>
          <cell r="G6605" t="str">
            <v>Real</v>
          </cell>
        </row>
        <row r="6606">
          <cell r="A6606" t="str">
            <v>INSURART</v>
          </cell>
          <cell r="B6606">
            <v>202407</v>
          </cell>
          <cell r="D6606" t="str">
            <v>Arte</v>
          </cell>
          <cell r="G6606" t="str">
            <v>Real</v>
          </cell>
        </row>
        <row r="6607">
          <cell r="A6607" t="str">
            <v>INSURART</v>
          </cell>
          <cell r="B6607">
            <v>202408</v>
          </cell>
          <cell r="D6607" t="str">
            <v>--</v>
          </cell>
          <cell r="G6607" t="str">
            <v>Real</v>
          </cell>
        </row>
        <row r="6608">
          <cell r="A6608" t="str">
            <v>INSURART</v>
          </cell>
          <cell r="B6608">
            <v>202408</v>
          </cell>
          <cell r="D6608" t="str">
            <v>Arte</v>
          </cell>
          <cell r="G6608" t="str">
            <v>Real</v>
          </cell>
        </row>
        <row r="6609">
          <cell r="A6609" t="str">
            <v>INSURART</v>
          </cell>
          <cell r="B6609">
            <v>202409</v>
          </cell>
          <cell r="D6609" t="str">
            <v>--</v>
          </cell>
          <cell r="G6609" t="str">
            <v>Real</v>
          </cell>
        </row>
        <row r="6610">
          <cell r="A6610" t="str">
            <v>INSURART</v>
          </cell>
          <cell r="B6610">
            <v>202409</v>
          </cell>
          <cell r="D6610" t="str">
            <v>Arte</v>
          </cell>
          <cell r="G6610" t="str">
            <v>Real</v>
          </cell>
        </row>
        <row r="6611">
          <cell r="A6611" t="str">
            <v>INSURART</v>
          </cell>
          <cell r="B6611">
            <v>202410</v>
          </cell>
          <cell r="D6611" t="str">
            <v>--</v>
          </cell>
          <cell r="G6611" t="str">
            <v>Real</v>
          </cell>
        </row>
        <row r="6612">
          <cell r="A6612" t="str">
            <v>INSURART</v>
          </cell>
          <cell r="B6612">
            <v>202410</v>
          </cell>
          <cell r="D6612" t="str">
            <v>Arte</v>
          </cell>
          <cell r="G6612" t="str">
            <v>Real</v>
          </cell>
        </row>
        <row r="6613">
          <cell r="A6613" t="str">
            <v>INSURART</v>
          </cell>
          <cell r="B6613">
            <v>202411</v>
          </cell>
          <cell r="D6613" t="str">
            <v>--</v>
          </cell>
          <cell r="G6613" t="str">
            <v>Real</v>
          </cell>
        </row>
        <row r="6614">
          <cell r="A6614" t="str">
            <v>INSURART</v>
          </cell>
          <cell r="B6614">
            <v>202411</v>
          </cell>
          <cell r="D6614" t="str">
            <v>Arte</v>
          </cell>
          <cell r="G6614" t="str">
            <v>Real</v>
          </cell>
        </row>
        <row r="6615">
          <cell r="A6615" t="str">
            <v>INSURART</v>
          </cell>
          <cell r="B6615">
            <v>202412</v>
          </cell>
          <cell r="D6615" t="str">
            <v>--</v>
          </cell>
          <cell r="G6615" t="str">
            <v>Real</v>
          </cell>
        </row>
        <row r="6616">
          <cell r="A6616" t="str">
            <v>INSURART</v>
          </cell>
          <cell r="B6616">
            <v>202412</v>
          </cell>
          <cell r="D6616" t="str">
            <v>Arte</v>
          </cell>
          <cell r="G6616" t="str">
            <v>Real</v>
          </cell>
        </row>
        <row r="6617">
          <cell r="A6617" t="str">
            <v>INSURART</v>
          </cell>
          <cell r="B6617">
            <v>202501</v>
          </cell>
          <cell r="D6617" t="str">
            <v>--</v>
          </cell>
          <cell r="G6617" t="str">
            <v>Presupuesto</v>
          </cell>
        </row>
        <row r="6618">
          <cell r="A6618" t="str">
            <v>INSURART</v>
          </cell>
          <cell r="B6618">
            <v>202501</v>
          </cell>
          <cell r="D6618" t="str">
            <v>--</v>
          </cell>
          <cell r="G6618" t="str">
            <v>Real</v>
          </cell>
        </row>
        <row r="6619">
          <cell r="A6619" t="str">
            <v>INSURART</v>
          </cell>
          <cell r="B6619">
            <v>202501</v>
          </cell>
          <cell r="D6619" t="str">
            <v>Arte</v>
          </cell>
          <cell r="G6619" t="str">
            <v>Presupuesto</v>
          </cell>
        </row>
        <row r="6620">
          <cell r="A6620" t="str">
            <v>INSURART</v>
          </cell>
          <cell r="B6620">
            <v>202501</v>
          </cell>
          <cell r="D6620" t="str">
            <v>Arte</v>
          </cell>
          <cell r="G6620" t="str">
            <v>Real</v>
          </cell>
        </row>
        <row r="6621">
          <cell r="A6621" t="str">
            <v>INSURART</v>
          </cell>
          <cell r="B6621">
            <v>202501</v>
          </cell>
          <cell r="D6621" t="str">
            <v>Autos</v>
          </cell>
          <cell r="G6621" t="str">
            <v>Presupuesto</v>
          </cell>
        </row>
        <row r="6622">
          <cell r="A6622" t="str">
            <v>INSURART</v>
          </cell>
          <cell r="B6622">
            <v>202501</v>
          </cell>
          <cell r="D6622" t="str">
            <v>B2B2C</v>
          </cell>
          <cell r="G6622" t="str">
            <v>Presupuesto</v>
          </cell>
        </row>
        <row r="6623">
          <cell r="A6623" t="str">
            <v>INSURART</v>
          </cell>
          <cell r="B6623">
            <v>202501</v>
          </cell>
          <cell r="D6623" t="str">
            <v>Caución</v>
          </cell>
          <cell r="G6623" t="str">
            <v>Presupuesto</v>
          </cell>
        </row>
        <row r="6624">
          <cell r="A6624" t="str">
            <v>INSURART</v>
          </cell>
          <cell r="B6624">
            <v>202501</v>
          </cell>
          <cell r="D6624" t="str">
            <v>Crédito Internacional</v>
          </cell>
          <cell r="G6624" t="str">
            <v>Presupuesto</v>
          </cell>
        </row>
        <row r="6625">
          <cell r="A6625" t="str">
            <v>INSURART</v>
          </cell>
          <cell r="B6625">
            <v>202501</v>
          </cell>
          <cell r="D6625" t="str">
            <v>Crédito Nacional</v>
          </cell>
          <cell r="G6625" t="str">
            <v>Presupuesto</v>
          </cell>
        </row>
        <row r="6626">
          <cell r="A6626" t="str">
            <v>INSURART</v>
          </cell>
          <cell r="B6626">
            <v>202501</v>
          </cell>
          <cell r="D6626" t="str">
            <v>Eventos</v>
          </cell>
          <cell r="G6626" t="str">
            <v>Presupuesto</v>
          </cell>
        </row>
        <row r="6627">
          <cell r="A6627" t="str">
            <v>INSURART</v>
          </cell>
          <cell r="B6627">
            <v>202501</v>
          </cell>
          <cell r="D6627" t="str">
            <v>Flotas</v>
          </cell>
          <cell r="G6627" t="str">
            <v>Presupuesto</v>
          </cell>
        </row>
        <row r="6628">
          <cell r="A6628" t="str">
            <v>INSURART</v>
          </cell>
          <cell r="B6628">
            <v>202501</v>
          </cell>
          <cell r="D6628" t="str">
            <v>Hogar</v>
          </cell>
          <cell r="G6628" t="str">
            <v>Presupuesto</v>
          </cell>
        </row>
        <row r="6629">
          <cell r="A6629" t="str">
            <v>INSURART</v>
          </cell>
          <cell r="B6629">
            <v>202501</v>
          </cell>
          <cell r="D6629" t="str">
            <v>Ingeniería</v>
          </cell>
          <cell r="G6629" t="str">
            <v>Presupuesto</v>
          </cell>
        </row>
        <row r="6630">
          <cell r="A6630" t="str">
            <v>INSURART</v>
          </cell>
          <cell r="B6630">
            <v>202501</v>
          </cell>
          <cell r="D6630" t="str">
            <v>Inmobiliario</v>
          </cell>
          <cell r="G6630" t="str">
            <v>Presupuesto</v>
          </cell>
        </row>
        <row r="6631">
          <cell r="A6631" t="str">
            <v>INSURART</v>
          </cell>
          <cell r="B6631">
            <v>202501</v>
          </cell>
          <cell r="D6631" t="str">
            <v>Líneas Financieras</v>
          </cell>
          <cell r="G6631" t="str">
            <v>Presupuesto</v>
          </cell>
        </row>
        <row r="6632">
          <cell r="A6632" t="str">
            <v>INSURART</v>
          </cell>
          <cell r="B6632">
            <v>202501</v>
          </cell>
          <cell r="D6632" t="str">
            <v>Náutica</v>
          </cell>
          <cell r="G6632" t="str">
            <v>Presupuesto</v>
          </cell>
        </row>
        <row r="6633">
          <cell r="A6633" t="str">
            <v>INSURART</v>
          </cell>
          <cell r="B6633">
            <v>202501</v>
          </cell>
          <cell r="D6633" t="str">
            <v>Particulares Resto</v>
          </cell>
          <cell r="G6633" t="str">
            <v>Presupuesto</v>
          </cell>
        </row>
        <row r="6634">
          <cell r="A6634" t="str">
            <v>INSURART</v>
          </cell>
          <cell r="B6634">
            <v>202501</v>
          </cell>
          <cell r="D6634" t="str">
            <v>Property</v>
          </cell>
          <cell r="G6634" t="str">
            <v>Presupuesto</v>
          </cell>
        </row>
        <row r="6635">
          <cell r="A6635" t="str">
            <v>INSURART</v>
          </cell>
          <cell r="B6635">
            <v>202501</v>
          </cell>
          <cell r="D6635" t="str">
            <v>RC</v>
          </cell>
          <cell r="G6635" t="str">
            <v>Presupuesto</v>
          </cell>
        </row>
        <row r="6636">
          <cell r="A6636" t="str">
            <v>INSURART</v>
          </cell>
          <cell r="B6636">
            <v>202501</v>
          </cell>
          <cell r="D6636" t="str">
            <v>Resto de lineas</v>
          </cell>
          <cell r="G6636" t="str">
            <v>Presupuesto</v>
          </cell>
        </row>
        <row r="6637">
          <cell r="A6637" t="str">
            <v>INSURART</v>
          </cell>
          <cell r="B6637">
            <v>202501</v>
          </cell>
          <cell r="D6637" t="str">
            <v>Retirada</v>
          </cell>
          <cell r="G6637" t="str">
            <v>Presupuesto</v>
          </cell>
        </row>
        <row r="6638">
          <cell r="A6638" t="str">
            <v>INSURART</v>
          </cell>
          <cell r="B6638">
            <v>202501</v>
          </cell>
          <cell r="D6638" t="str">
            <v>Seguros Personales (No Vida) Colectivos</v>
          </cell>
          <cell r="G6638" t="str">
            <v>Presupuesto</v>
          </cell>
        </row>
        <row r="6639">
          <cell r="A6639" t="str">
            <v>INSURART</v>
          </cell>
          <cell r="B6639">
            <v>202501</v>
          </cell>
          <cell r="D6639" t="str">
            <v>Seguros Personales (No Vida) Particular</v>
          </cell>
          <cell r="G6639" t="str">
            <v>Presupuesto</v>
          </cell>
        </row>
        <row r="6640">
          <cell r="A6640" t="str">
            <v>INSURART</v>
          </cell>
          <cell r="B6640">
            <v>202501</v>
          </cell>
          <cell r="D6640" t="str">
            <v>Transporte</v>
          </cell>
          <cell r="G6640" t="str">
            <v>Presupuesto</v>
          </cell>
        </row>
        <row r="6641">
          <cell r="A6641" t="str">
            <v>INSURART</v>
          </cell>
          <cell r="B6641">
            <v>202501</v>
          </cell>
          <cell r="D6641" t="str">
            <v>Venta Cruzada</v>
          </cell>
          <cell r="G6641" t="str">
            <v>Presupuesto</v>
          </cell>
        </row>
        <row r="6642">
          <cell r="A6642" t="str">
            <v>INSURART</v>
          </cell>
          <cell r="B6642">
            <v>202501</v>
          </cell>
          <cell r="D6642" t="str">
            <v>Vida Ahorro Colectivo</v>
          </cell>
          <cell r="G6642" t="str">
            <v>Presupuesto</v>
          </cell>
        </row>
        <row r="6643">
          <cell r="A6643" t="str">
            <v>INSURART</v>
          </cell>
          <cell r="B6643">
            <v>202501</v>
          </cell>
          <cell r="D6643" t="str">
            <v>Vida Ahorro Particular</v>
          </cell>
          <cell r="G6643" t="str">
            <v>Presupuesto</v>
          </cell>
        </row>
        <row r="6644">
          <cell r="A6644" t="str">
            <v>INSURART</v>
          </cell>
          <cell r="B6644">
            <v>202501</v>
          </cell>
          <cell r="D6644" t="str">
            <v>Vida Ganado</v>
          </cell>
          <cell r="G6644" t="str">
            <v>Presupuesto</v>
          </cell>
        </row>
        <row r="6645">
          <cell r="A6645" t="str">
            <v>INSURART</v>
          </cell>
          <cell r="B6645">
            <v>202501</v>
          </cell>
          <cell r="D6645" t="str">
            <v>Vida Riesgo Colectivo</v>
          </cell>
          <cell r="G6645" t="str">
            <v>Presupuesto</v>
          </cell>
        </row>
        <row r="6646">
          <cell r="A6646" t="str">
            <v>INSURART</v>
          </cell>
          <cell r="B6646">
            <v>202501</v>
          </cell>
          <cell r="D6646" t="str">
            <v>Vida Riesgo Particular</v>
          </cell>
          <cell r="G6646" t="str">
            <v>Presupuesto</v>
          </cell>
        </row>
        <row r="6647">
          <cell r="A6647" t="str">
            <v>INSURART</v>
          </cell>
          <cell r="B6647">
            <v>202502</v>
          </cell>
          <cell r="D6647" t="str">
            <v>--</v>
          </cell>
          <cell r="G6647" t="str">
            <v>Presupuesto</v>
          </cell>
        </row>
        <row r="6648">
          <cell r="A6648" t="str">
            <v>INSURART</v>
          </cell>
          <cell r="B6648">
            <v>202502</v>
          </cell>
          <cell r="D6648" t="str">
            <v>--</v>
          </cell>
          <cell r="G6648" t="str">
            <v>Real</v>
          </cell>
        </row>
        <row r="6649">
          <cell r="A6649" t="str">
            <v>INSURART</v>
          </cell>
          <cell r="B6649">
            <v>202502</v>
          </cell>
          <cell r="D6649" t="str">
            <v>Arte</v>
          </cell>
          <cell r="G6649" t="str">
            <v>Presupuesto</v>
          </cell>
        </row>
        <row r="6650">
          <cell r="A6650" t="str">
            <v>INSURART</v>
          </cell>
          <cell r="B6650">
            <v>202502</v>
          </cell>
          <cell r="D6650" t="str">
            <v>Arte</v>
          </cell>
          <cell r="G6650" t="str">
            <v>Real</v>
          </cell>
        </row>
        <row r="6651">
          <cell r="A6651" t="str">
            <v>INSURART</v>
          </cell>
          <cell r="B6651">
            <v>202502</v>
          </cell>
          <cell r="D6651" t="str">
            <v>Autos</v>
          </cell>
          <cell r="G6651" t="str">
            <v>Presupuesto</v>
          </cell>
        </row>
        <row r="6652">
          <cell r="A6652" t="str">
            <v>INSURART</v>
          </cell>
          <cell r="B6652">
            <v>202502</v>
          </cell>
          <cell r="D6652" t="str">
            <v>B2B2C</v>
          </cell>
          <cell r="G6652" t="str">
            <v>Presupuesto</v>
          </cell>
        </row>
        <row r="6653">
          <cell r="A6653" t="str">
            <v>INSURART</v>
          </cell>
          <cell r="B6653">
            <v>202502</v>
          </cell>
          <cell r="D6653" t="str">
            <v>Caución</v>
          </cell>
          <cell r="G6653" t="str">
            <v>Presupuesto</v>
          </cell>
        </row>
        <row r="6654">
          <cell r="A6654" t="str">
            <v>INSURART</v>
          </cell>
          <cell r="B6654">
            <v>202502</v>
          </cell>
          <cell r="D6654" t="str">
            <v>Crédito Internacional</v>
          </cell>
          <cell r="G6654" t="str">
            <v>Presupuesto</v>
          </cell>
        </row>
        <row r="6655">
          <cell r="A6655" t="str">
            <v>INSURART</v>
          </cell>
          <cell r="B6655">
            <v>202502</v>
          </cell>
          <cell r="D6655" t="str">
            <v>Crédito Nacional</v>
          </cell>
          <cell r="G6655" t="str">
            <v>Presupuesto</v>
          </cell>
        </row>
        <row r="6656">
          <cell r="A6656" t="str">
            <v>INSURART</v>
          </cell>
          <cell r="B6656">
            <v>202502</v>
          </cell>
          <cell r="D6656" t="str">
            <v>Eventos</v>
          </cell>
          <cell r="G6656" t="str">
            <v>Presupuesto</v>
          </cell>
        </row>
        <row r="6657">
          <cell r="A6657" t="str">
            <v>INSURART</v>
          </cell>
          <cell r="B6657">
            <v>202502</v>
          </cell>
          <cell r="D6657" t="str">
            <v>Flotas</v>
          </cell>
          <cell r="G6657" t="str">
            <v>Presupuesto</v>
          </cell>
        </row>
        <row r="6658">
          <cell r="A6658" t="str">
            <v>INSURART</v>
          </cell>
          <cell r="B6658">
            <v>202502</v>
          </cell>
          <cell r="D6658" t="str">
            <v>Hogar</v>
          </cell>
          <cell r="G6658" t="str">
            <v>Presupuesto</v>
          </cell>
        </row>
        <row r="6659">
          <cell r="A6659" t="str">
            <v>INSURART</v>
          </cell>
          <cell r="B6659">
            <v>202502</v>
          </cell>
          <cell r="D6659" t="str">
            <v>Ingeniería</v>
          </cell>
          <cell r="G6659" t="str">
            <v>Presupuesto</v>
          </cell>
        </row>
        <row r="6660">
          <cell r="A6660" t="str">
            <v>INSURART</v>
          </cell>
          <cell r="B6660">
            <v>202502</v>
          </cell>
          <cell r="D6660" t="str">
            <v>Inmobiliario</v>
          </cell>
          <cell r="G6660" t="str">
            <v>Presupuesto</v>
          </cell>
        </row>
        <row r="6661">
          <cell r="A6661" t="str">
            <v>INSURART</v>
          </cell>
          <cell r="B6661">
            <v>202502</v>
          </cell>
          <cell r="D6661" t="str">
            <v>Líneas Financieras</v>
          </cell>
          <cell r="G6661" t="str">
            <v>Presupuesto</v>
          </cell>
        </row>
        <row r="6662">
          <cell r="A6662" t="str">
            <v>INSURART</v>
          </cell>
          <cell r="B6662">
            <v>202502</v>
          </cell>
          <cell r="D6662" t="str">
            <v>Náutica</v>
          </cell>
          <cell r="G6662" t="str">
            <v>Presupuesto</v>
          </cell>
        </row>
        <row r="6663">
          <cell r="A6663" t="str">
            <v>INSURART</v>
          </cell>
          <cell r="B6663">
            <v>202502</v>
          </cell>
          <cell r="D6663" t="str">
            <v>Particulares Resto</v>
          </cell>
          <cell r="G6663" t="str">
            <v>Presupuesto</v>
          </cell>
        </row>
        <row r="6664">
          <cell r="A6664" t="str">
            <v>INSURART</v>
          </cell>
          <cell r="B6664">
            <v>202502</v>
          </cell>
          <cell r="D6664" t="str">
            <v>Property</v>
          </cell>
          <cell r="G6664" t="str">
            <v>Presupuesto</v>
          </cell>
        </row>
        <row r="6665">
          <cell r="A6665" t="str">
            <v>INSURART</v>
          </cell>
          <cell r="B6665">
            <v>202502</v>
          </cell>
          <cell r="D6665" t="str">
            <v>RC</v>
          </cell>
          <cell r="G6665" t="str">
            <v>Presupuesto</v>
          </cell>
        </row>
        <row r="6666">
          <cell r="A6666" t="str">
            <v>INSURART</v>
          </cell>
          <cell r="B6666">
            <v>202502</v>
          </cell>
          <cell r="D6666" t="str">
            <v>Resto de lineas</v>
          </cell>
          <cell r="G6666" t="str">
            <v>Presupuesto</v>
          </cell>
        </row>
        <row r="6667">
          <cell r="A6667" t="str">
            <v>INSURART</v>
          </cell>
          <cell r="B6667">
            <v>202502</v>
          </cell>
          <cell r="D6667" t="str">
            <v>Retirada</v>
          </cell>
          <cell r="G6667" t="str">
            <v>Presupuesto</v>
          </cell>
        </row>
        <row r="6668">
          <cell r="A6668" t="str">
            <v>INSURART</v>
          </cell>
          <cell r="B6668">
            <v>202502</v>
          </cell>
          <cell r="D6668" t="str">
            <v>Seguros Personales (No Vida) Colectivos</v>
          </cell>
          <cell r="G6668" t="str">
            <v>Presupuesto</v>
          </cell>
        </row>
        <row r="6669">
          <cell r="A6669" t="str">
            <v>INSURART</v>
          </cell>
          <cell r="B6669">
            <v>202502</v>
          </cell>
          <cell r="D6669" t="str">
            <v>Seguros Personales (No Vida) Particular</v>
          </cell>
          <cell r="G6669" t="str">
            <v>Presupuesto</v>
          </cell>
        </row>
        <row r="6670">
          <cell r="A6670" t="str">
            <v>INSURART</v>
          </cell>
          <cell r="B6670">
            <v>202502</v>
          </cell>
          <cell r="D6670" t="str">
            <v>Transporte</v>
          </cell>
          <cell r="G6670" t="str">
            <v>Presupuesto</v>
          </cell>
        </row>
        <row r="6671">
          <cell r="A6671" t="str">
            <v>INSURART</v>
          </cell>
          <cell r="B6671">
            <v>202502</v>
          </cell>
          <cell r="D6671" t="str">
            <v>Venta Cruzada</v>
          </cell>
          <cell r="G6671" t="str">
            <v>Presupuesto</v>
          </cell>
        </row>
        <row r="6672">
          <cell r="A6672" t="str">
            <v>INSURART</v>
          </cell>
          <cell r="B6672">
            <v>202502</v>
          </cell>
          <cell r="D6672" t="str">
            <v>Vida Ahorro Colectivo</v>
          </cell>
          <cell r="G6672" t="str">
            <v>Presupuesto</v>
          </cell>
        </row>
        <row r="6673">
          <cell r="A6673" t="str">
            <v>INSURART</v>
          </cell>
          <cell r="B6673">
            <v>202502</v>
          </cell>
          <cell r="D6673" t="str">
            <v>Vida Ahorro Particular</v>
          </cell>
          <cell r="G6673" t="str">
            <v>Presupuesto</v>
          </cell>
        </row>
        <row r="6674">
          <cell r="A6674" t="str">
            <v>INSURART</v>
          </cell>
          <cell r="B6674">
            <v>202502</v>
          </cell>
          <cell r="D6674" t="str">
            <v>Vida Ganado</v>
          </cell>
          <cell r="G6674" t="str">
            <v>Presupuesto</v>
          </cell>
        </row>
        <row r="6675">
          <cell r="A6675" t="str">
            <v>INSURART</v>
          </cell>
          <cell r="B6675">
            <v>202502</v>
          </cell>
          <cell r="D6675" t="str">
            <v>Vida Riesgo Colectivo</v>
          </cell>
          <cell r="G6675" t="str">
            <v>Presupuesto</v>
          </cell>
        </row>
        <row r="6676">
          <cell r="A6676" t="str">
            <v>INSURART</v>
          </cell>
          <cell r="B6676">
            <v>202502</v>
          </cell>
          <cell r="D6676" t="str">
            <v>Vida Riesgo Particular</v>
          </cell>
          <cell r="G6676" t="str">
            <v>Presupuesto</v>
          </cell>
        </row>
        <row r="6677">
          <cell r="A6677" t="str">
            <v>INSURART</v>
          </cell>
          <cell r="B6677">
            <v>202503</v>
          </cell>
          <cell r="D6677" t="str">
            <v>--</v>
          </cell>
          <cell r="G6677" t="str">
            <v>Presupuesto</v>
          </cell>
        </row>
        <row r="6678">
          <cell r="A6678" t="str">
            <v>INSURART</v>
          </cell>
          <cell r="B6678">
            <v>202503</v>
          </cell>
          <cell r="D6678" t="str">
            <v>--</v>
          </cell>
          <cell r="G6678" t="str">
            <v>Real</v>
          </cell>
        </row>
        <row r="6679">
          <cell r="A6679" t="str">
            <v>INSURART</v>
          </cell>
          <cell r="B6679">
            <v>202503</v>
          </cell>
          <cell r="D6679" t="str">
            <v>Arte</v>
          </cell>
          <cell r="G6679" t="str">
            <v>Presupuesto</v>
          </cell>
        </row>
        <row r="6680">
          <cell r="A6680" t="str">
            <v>INSURART</v>
          </cell>
          <cell r="B6680">
            <v>202503</v>
          </cell>
          <cell r="D6680" t="str">
            <v>Arte</v>
          </cell>
          <cell r="G6680" t="str">
            <v>Real</v>
          </cell>
        </row>
        <row r="6681">
          <cell r="A6681" t="str">
            <v>INSURART</v>
          </cell>
          <cell r="B6681">
            <v>202503</v>
          </cell>
          <cell r="D6681" t="str">
            <v>Autos</v>
          </cell>
          <cell r="G6681" t="str">
            <v>Presupuesto</v>
          </cell>
        </row>
        <row r="6682">
          <cell r="A6682" t="str">
            <v>INSURART</v>
          </cell>
          <cell r="B6682">
            <v>202503</v>
          </cell>
          <cell r="D6682" t="str">
            <v>B2B2C</v>
          </cell>
          <cell r="G6682" t="str">
            <v>Presupuesto</v>
          </cell>
        </row>
        <row r="6683">
          <cell r="A6683" t="str">
            <v>INSURART</v>
          </cell>
          <cell r="B6683">
            <v>202503</v>
          </cell>
          <cell r="D6683" t="str">
            <v>Caución</v>
          </cell>
          <cell r="G6683" t="str">
            <v>Presupuesto</v>
          </cell>
        </row>
        <row r="6684">
          <cell r="A6684" t="str">
            <v>INSURART</v>
          </cell>
          <cell r="B6684">
            <v>202503</v>
          </cell>
          <cell r="D6684" t="str">
            <v>Crédito Internacional</v>
          </cell>
          <cell r="G6684" t="str">
            <v>Presupuesto</v>
          </cell>
        </row>
        <row r="6685">
          <cell r="A6685" t="str">
            <v>INSURART</v>
          </cell>
          <cell r="B6685">
            <v>202503</v>
          </cell>
          <cell r="D6685" t="str">
            <v>Crédito Nacional</v>
          </cell>
          <cell r="G6685" t="str">
            <v>Presupuesto</v>
          </cell>
        </row>
        <row r="6686">
          <cell r="A6686" t="str">
            <v>INSURART</v>
          </cell>
          <cell r="B6686">
            <v>202503</v>
          </cell>
          <cell r="D6686" t="str">
            <v>Eventos</v>
          </cell>
          <cell r="G6686" t="str">
            <v>Presupuesto</v>
          </cell>
        </row>
        <row r="6687">
          <cell r="A6687" t="str">
            <v>INSURART</v>
          </cell>
          <cell r="B6687">
            <v>202503</v>
          </cell>
          <cell r="D6687" t="str">
            <v>Flotas</v>
          </cell>
          <cell r="G6687" t="str">
            <v>Presupuesto</v>
          </cell>
        </row>
        <row r="6688">
          <cell r="A6688" t="str">
            <v>INSURART</v>
          </cell>
          <cell r="B6688">
            <v>202503</v>
          </cell>
          <cell r="D6688" t="str">
            <v>Hogar</v>
          </cell>
          <cell r="G6688" t="str">
            <v>Presupuesto</v>
          </cell>
        </row>
        <row r="6689">
          <cell r="A6689" t="str">
            <v>INSURART</v>
          </cell>
          <cell r="B6689">
            <v>202503</v>
          </cell>
          <cell r="D6689" t="str">
            <v>Ingeniería</v>
          </cell>
          <cell r="G6689" t="str">
            <v>Presupuesto</v>
          </cell>
        </row>
        <row r="6690">
          <cell r="A6690" t="str">
            <v>INSURART</v>
          </cell>
          <cell r="B6690">
            <v>202503</v>
          </cell>
          <cell r="D6690" t="str">
            <v>Inmobiliario</v>
          </cell>
          <cell r="G6690" t="str">
            <v>Presupuesto</v>
          </cell>
        </row>
        <row r="6691">
          <cell r="A6691" t="str">
            <v>INSURART</v>
          </cell>
          <cell r="B6691">
            <v>202503</v>
          </cell>
          <cell r="D6691" t="str">
            <v>Líneas Financieras</v>
          </cell>
          <cell r="G6691" t="str">
            <v>Presupuesto</v>
          </cell>
        </row>
        <row r="6692">
          <cell r="A6692" t="str">
            <v>INSURART</v>
          </cell>
          <cell r="B6692">
            <v>202503</v>
          </cell>
          <cell r="D6692" t="str">
            <v>Náutica</v>
          </cell>
          <cell r="G6692" t="str">
            <v>Presupuesto</v>
          </cell>
        </row>
        <row r="6693">
          <cell r="A6693" t="str">
            <v>INSURART</v>
          </cell>
          <cell r="B6693">
            <v>202503</v>
          </cell>
          <cell r="D6693" t="str">
            <v>Particulares Resto</v>
          </cell>
          <cell r="G6693" t="str">
            <v>Presupuesto</v>
          </cell>
        </row>
        <row r="6694">
          <cell r="A6694" t="str">
            <v>INSURART</v>
          </cell>
          <cell r="B6694">
            <v>202503</v>
          </cell>
          <cell r="D6694" t="str">
            <v>Property</v>
          </cell>
          <cell r="G6694" t="str">
            <v>Presupuesto</v>
          </cell>
        </row>
        <row r="6695">
          <cell r="A6695" t="str">
            <v>INSURART</v>
          </cell>
          <cell r="B6695">
            <v>202503</v>
          </cell>
          <cell r="D6695" t="str">
            <v>RC</v>
          </cell>
          <cell r="G6695" t="str">
            <v>Presupuesto</v>
          </cell>
        </row>
        <row r="6696">
          <cell r="A6696" t="str">
            <v>INSURART</v>
          </cell>
          <cell r="B6696">
            <v>202503</v>
          </cell>
          <cell r="D6696" t="str">
            <v>Resto de lineas</v>
          </cell>
          <cell r="G6696" t="str">
            <v>Presupuesto</v>
          </cell>
        </row>
        <row r="6697">
          <cell r="A6697" t="str">
            <v>INSURART</v>
          </cell>
          <cell r="B6697">
            <v>202503</v>
          </cell>
          <cell r="D6697" t="str">
            <v>Retirada</v>
          </cell>
          <cell r="G6697" t="str">
            <v>Presupuesto</v>
          </cell>
        </row>
        <row r="6698">
          <cell r="A6698" t="str">
            <v>INSURART</v>
          </cell>
          <cell r="B6698">
            <v>202503</v>
          </cell>
          <cell r="D6698" t="str">
            <v>Seguros Personales (No Vida) Colectivos</v>
          </cell>
          <cell r="G6698" t="str">
            <v>Presupuesto</v>
          </cell>
        </row>
        <row r="6699">
          <cell r="A6699" t="str">
            <v>INSURART</v>
          </cell>
          <cell r="B6699">
            <v>202503</v>
          </cell>
          <cell r="D6699" t="str">
            <v>Seguros Personales (No Vida) Particular</v>
          </cell>
          <cell r="G6699" t="str">
            <v>Presupuesto</v>
          </cell>
        </row>
        <row r="6700">
          <cell r="A6700" t="str">
            <v>INSURART</v>
          </cell>
          <cell r="B6700">
            <v>202503</v>
          </cell>
          <cell r="D6700" t="str">
            <v>Transporte</v>
          </cell>
          <cell r="G6700" t="str">
            <v>Presupuesto</v>
          </cell>
        </row>
        <row r="6701">
          <cell r="A6701" t="str">
            <v>INSURART</v>
          </cell>
          <cell r="B6701">
            <v>202503</v>
          </cell>
          <cell r="D6701" t="str">
            <v>Venta Cruzada</v>
          </cell>
          <cell r="G6701" t="str">
            <v>Presupuesto</v>
          </cell>
        </row>
        <row r="6702">
          <cell r="A6702" t="str">
            <v>INSURART</v>
          </cell>
          <cell r="B6702">
            <v>202503</v>
          </cell>
          <cell r="D6702" t="str">
            <v>Vida Ahorro Colectivo</v>
          </cell>
          <cell r="G6702" t="str">
            <v>Presupuesto</v>
          </cell>
        </row>
        <row r="6703">
          <cell r="A6703" t="str">
            <v>INSURART</v>
          </cell>
          <cell r="B6703">
            <v>202503</v>
          </cell>
          <cell r="D6703" t="str">
            <v>Vida Ahorro Particular</v>
          </cell>
          <cell r="G6703" t="str">
            <v>Presupuesto</v>
          </cell>
        </row>
        <row r="6704">
          <cell r="A6704" t="str">
            <v>INSURART</v>
          </cell>
          <cell r="B6704">
            <v>202503</v>
          </cell>
          <cell r="D6704" t="str">
            <v>Vida Ganado</v>
          </cell>
          <cell r="G6704" t="str">
            <v>Presupuesto</v>
          </cell>
        </row>
        <row r="6705">
          <cell r="A6705" t="str">
            <v>INSURART</v>
          </cell>
          <cell r="B6705">
            <v>202503</v>
          </cell>
          <cell r="D6705" t="str">
            <v>Vida Riesgo Colectivo</v>
          </cell>
          <cell r="G6705" t="str">
            <v>Presupuesto</v>
          </cell>
        </row>
        <row r="6706">
          <cell r="A6706" t="str">
            <v>INSURART</v>
          </cell>
          <cell r="B6706">
            <v>202503</v>
          </cell>
          <cell r="D6706" t="str">
            <v>Vida Riesgo Particular</v>
          </cell>
          <cell r="G6706" t="str">
            <v>Presupuesto</v>
          </cell>
        </row>
        <row r="6707">
          <cell r="A6707" t="str">
            <v>INSURART</v>
          </cell>
          <cell r="B6707">
            <v>202504</v>
          </cell>
          <cell r="D6707" t="str">
            <v>--</v>
          </cell>
          <cell r="G6707" t="str">
            <v>Presupuesto</v>
          </cell>
        </row>
        <row r="6708">
          <cell r="A6708" t="str">
            <v>INSURART</v>
          </cell>
          <cell r="B6708">
            <v>202504</v>
          </cell>
          <cell r="D6708" t="str">
            <v>--</v>
          </cell>
          <cell r="G6708" t="str">
            <v>Real</v>
          </cell>
        </row>
        <row r="6709">
          <cell r="A6709" t="str">
            <v>INSURART</v>
          </cell>
          <cell r="B6709">
            <v>202504</v>
          </cell>
          <cell r="D6709" t="str">
            <v>Arte</v>
          </cell>
          <cell r="G6709" t="str">
            <v>Presupuesto</v>
          </cell>
        </row>
        <row r="6710">
          <cell r="A6710" t="str">
            <v>INSURART</v>
          </cell>
          <cell r="B6710">
            <v>202504</v>
          </cell>
          <cell r="D6710" t="str">
            <v>Arte</v>
          </cell>
          <cell r="G6710" t="str">
            <v>Real</v>
          </cell>
        </row>
        <row r="6711">
          <cell r="A6711" t="str">
            <v>INSURART</v>
          </cell>
          <cell r="B6711">
            <v>202504</v>
          </cell>
          <cell r="D6711" t="str">
            <v>Autos</v>
          </cell>
          <cell r="G6711" t="str">
            <v>Presupuesto</v>
          </cell>
        </row>
        <row r="6712">
          <cell r="A6712" t="str">
            <v>INSURART</v>
          </cell>
          <cell r="B6712">
            <v>202504</v>
          </cell>
          <cell r="D6712" t="str">
            <v>B2B2C</v>
          </cell>
          <cell r="G6712" t="str">
            <v>Presupuesto</v>
          </cell>
        </row>
        <row r="6713">
          <cell r="A6713" t="str">
            <v>INSURART</v>
          </cell>
          <cell r="B6713">
            <v>202504</v>
          </cell>
          <cell r="D6713" t="str">
            <v>Caución</v>
          </cell>
          <cell r="G6713" t="str">
            <v>Presupuesto</v>
          </cell>
        </row>
        <row r="6714">
          <cell r="A6714" t="str">
            <v>INSURART</v>
          </cell>
          <cell r="B6714">
            <v>202504</v>
          </cell>
          <cell r="D6714" t="str">
            <v>Crédito Internacional</v>
          </cell>
          <cell r="G6714" t="str">
            <v>Presupuesto</v>
          </cell>
        </row>
        <row r="6715">
          <cell r="A6715" t="str">
            <v>INSURART</v>
          </cell>
          <cell r="B6715">
            <v>202504</v>
          </cell>
          <cell r="D6715" t="str">
            <v>Crédito Nacional</v>
          </cell>
          <cell r="G6715" t="str">
            <v>Presupuesto</v>
          </cell>
        </row>
        <row r="6716">
          <cell r="A6716" t="str">
            <v>INSURART</v>
          </cell>
          <cell r="B6716">
            <v>202504</v>
          </cell>
          <cell r="D6716" t="str">
            <v>Eventos</v>
          </cell>
          <cell r="G6716" t="str">
            <v>Presupuesto</v>
          </cell>
        </row>
        <row r="6717">
          <cell r="A6717" t="str">
            <v>INSURART</v>
          </cell>
          <cell r="B6717">
            <v>202504</v>
          </cell>
          <cell r="D6717" t="str">
            <v>Flotas</v>
          </cell>
          <cell r="G6717" t="str">
            <v>Presupuesto</v>
          </cell>
        </row>
        <row r="6718">
          <cell r="A6718" t="str">
            <v>INSURART</v>
          </cell>
          <cell r="B6718">
            <v>202504</v>
          </cell>
          <cell r="D6718" t="str">
            <v>Hogar</v>
          </cell>
          <cell r="G6718" t="str">
            <v>Presupuesto</v>
          </cell>
        </row>
        <row r="6719">
          <cell r="A6719" t="str">
            <v>INSURART</v>
          </cell>
          <cell r="B6719">
            <v>202504</v>
          </cell>
          <cell r="D6719" t="str">
            <v>Ingeniería</v>
          </cell>
          <cell r="G6719" t="str">
            <v>Presupuesto</v>
          </cell>
        </row>
        <row r="6720">
          <cell r="A6720" t="str">
            <v>INSURART</v>
          </cell>
          <cell r="B6720">
            <v>202504</v>
          </cell>
          <cell r="D6720" t="str">
            <v>Inmobiliario</v>
          </cell>
          <cell r="G6720" t="str">
            <v>Presupuesto</v>
          </cell>
        </row>
        <row r="6721">
          <cell r="A6721" t="str">
            <v>INSURART</v>
          </cell>
          <cell r="B6721">
            <v>202504</v>
          </cell>
          <cell r="D6721" t="str">
            <v>Líneas Financieras</v>
          </cell>
          <cell r="G6721" t="str">
            <v>Presupuesto</v>
          </cell>
        </row>
        <row r="6722">
          <cell r="A6722" t="str">
            <v>INSURART</v>
          </cell>
          <cell r="B6722">
            <v>202504</v>
          </cell>
          <cell r="D6722" t="str">
            <v>Náutica</v>
          </cell>
          <cell r="G6722" t="str">
            <v>Presupuesto</v>
          </cell>
        </row>
        <row r="6723">
          <cell r="A6723" t="str">
            <v>INSURART</v>
          </cell>
          <cell r="B6723">
            <v>202504</v>
          </cell>
          <cell r="D6723" t="str">
            <v>Particulares Resto</v>
          </cell>
          <cell r="G6723" t="str">
            <v>Presupuesto</v>
          </cell>
        </row>
        <row r="6724">
          <cell r="A6724" t="str">
            <v>INSURART</v>
          </cell>
          <cell r="B6724">
            <v>202504</v>
          </cell>
          <cell r="D6724" t="str">
            <v>Property</v>
          </cell>
          <cell r="G6724" t="str">
            <v>Presupuesto</v>
          </cell>
        </row>
        <row r="6725">
          <cell r="A6725" t="str">
            <v>INSURART</v>
          </cell>
          <cell r="B6725">
            <v>202504</v>
          </cell>
          <cell r="D6725" t="str">
            <v>RC</v>
          </cell>
          <cell r="G6725" t="str">
            <v>Presupuesto</v>
          </cell>
        </row>
        <row r="6726">
          <cell r="A6726" t="str">
            <v>INSURART</v>
          </cell>
          <cell r="B6726">
            <v>202504</v>
          </cell>
          <cell r="D6726" t="str">
            <v>Resto de lineas</v>
          </cell>
          <cell r="G6726" t="str">
            <v>Presupuesto</v>
          </cell>
        </row>
        <row r="6727">
          <cell r="A6727" t="str">
            <v>INSURART</v>
          </cell>
          <cell r="B6727">
            <v>202504</v>
          </cell>
          <cell r="D6727" t="str">
            <v>Retirada</v>
          </cell>
          <cell r="G6727" t="str">
            <v>Presupuesto</v>
          </cell>
        </row>
        <row r="6728">
          <cell r="A6728" t="str">
            <v>INSURART</v>
          </cell>
          <cell r="B6728">
            <v>202504</v>
          </cell>
          <cell r="D6728" t="str">
            <v>Seguros Personales (No Vida) Colectivos</v>
          </cell>
          <cell r="G6728" t="str">
            <v>Presupuesto</v>
          </cell>
        </row>
        <row r="6729">
          <cell r="A6729" t="str">
            <v>INSURART</v>
          </cell>
          <cell r="B6729">
            <v>202504</v>
          </cell>
          <cell r="D6729" t="str">
            <v>Seguros Personales (No Vida) Particular</v>
          </cell>
          <cell r="G6729" t="str">
            <v>Presupuesto</v>
          </cell>
        </row>
        <row r="6730">
          <cell r="A6730" t="str">
            <v>INSURART</v>
          </cell>
          <cell r="B6730">
            <v>202504</v>
          </cell>
          <cell r="D6730" t="str">
            <v>Transporte</v>
          </cell>
          <cell r="G6730" t="str">
            <v>Presupuesto</v>
          </cell>
        </row>
        <row r="6731">
          <cell r="A6731" t="str">
            <v>INSURART</v>
          </cell>
          <cell r="B6731">
            <v>202504</v>
          </cell>
          <cell r="D6731" t="str">
            <v>Venta Cruzada</v>
          </cell>
          <cell r="G6731" t="str">
            <v>Presupuesto</v>
          </cell>
        </row>
        <row r="6732">
          <cell r="A6732" t="str">
            <v>INSURART</v>
          </cell>
          <cell r="B6732">
            <v>202504</v>
          </cell>
          <cell r="D6732" t="str">
            <v>Vida Ahorro Colectivo</v>
          </cell>
          <cell r="G6732" t="str">
            <v>Presupuesto</v>
          </cell>
        </row>
        <row r="6733">
          <cell r="A6733" t="str">
            <v>INSURART</v>
          </cell>
          <cell r="B6733">
            <v>202504</v>
          </cell>
          <cell r="D6733" t="str">
            <v>Vida Ahorro Particular</v>
          </cell>
          <cell r="G6733" t="str">
            <v>Presupuesto</v>
          </cell>
        </row>
        <row r="6734">
          <cell r="A6734" t="str">
            <v>INSURART</v>
          </cell>
          <cell r="B6734">
            <v>202504</v>
          </cell>
          <cell r="D6734" t="str">
            <v>Vida Ganado</v>
          </cell>
          <cell r="G6734" t="str">
            <v>Presupuesto</v>
          </cell>
        </row>
        <row r="6735">
          <cell r="A6735" t="str">
            <v>INSURART</v>
          </cell>
          <cell r="B6735">
            <v>202504</v>
          </cell>
          <cell r="D6735" t="str">
            <v>Vida Riesgo Colectivo</v>
          </cell>
          <cell r="G6735" t="str">
            <v>Presupuesto</v>
          </cell>
        </row>
        <row r="6736">
          <cell r="A6736" t="str">
            <v>INSURART</v>
          </cell>
          <cell r="B6736">
            <v>202504</v>
          </cell>
          <cell r="D6736" t="str">
            <v>Vida Riesgo Particular</v>
          </cell>
          <cell r="G6736" t="str">
            <v>Presupuesto</v>
          </cell>
        </row>
        <row r="6737">
          <cell r="A6737" t="str">
            <v>INSURART</v>
          </cell>
          <cell r="B6737">
            <v>202505</v>
          </cell>
          <cell r="D6737" t="str">
            <v>--</v>
          </cell>
          <cell r="G6737" t="str">
            <v>Presupuesto</v>
          </cell>
        </row>
        <row r="6738">
          <cell r="A6738" t="str">
            <v>INSURART</v>
          </cell>
          <cell r="B6738">
            <v>202505</v>
          </cell>
          <cell r="D6738" t="str">
            <v>--</v>
          </cell>
          <cell r="G6738" t="str">
            <v>Real</v>
          </cell>
        </row>
        <row r="6739">
          <cell r="A6739" t="str">
            <v>INSURART</v>
          </cell>
          <cell r="B6739">
            <v>202505</v>
          </cell>
          <cell r="D6739" t="str">
            <v>Arte</v>
          </cell>
          <cell r="G6739" t="str">
            <v>Presupuesto</v>
          </cell>
        </row>
        <row r="6740">
          <cell r="A6740" t="str">
            <v>INSURART</v>
          </cell>
          <cell r="B6740">
            <v>202505</v>
          </cell>
          <cell r="D6740" t="str">
            <v>Arte</v>
          </cell>
          <cell r="G6740" t="str">
            <v>Real</v>
          </cell>
        </row>
        <row r="6741">
          <cell r="A6741" t="str">
            <v>INSURART</v>
          </cell>
          <cell r="B6741">
            <v>202505</v>
          </cell>
          <cell r="D6741" t="str">
            <v>Autos</v>
          </cell>
          <cell r="G6741" t="str">
            <v>Presupuesto</v>
          </cell>
        </row>
        <row r="6742">
          <cell r="A6742" t="str">
            <v>INSURART</v>
          </cell>
          <cell r="B6742">
            <v>202505</v>
          </cell>
          <cell r="D6742" t="str">
            <v>B2B2C</v>
          </cell>
          <cell r="G6742" t="str">
            <v>Presupuesto</v>
          </cell>
        </row>
        <row r="6743">
          <cell r="A6743" t="str">
            <v>INSURART</v>
          </cell>
          <cell r="B6743">
            <v>202505</v>
          </cell>
          <cell r="D6743" t="str">
            <v>Caución</v>
          </cell>
          <cell r="G6743" t="str">
            <v>Presupuesto</v>
          </cell>
        </row>
        <row r="6744">
          <cell r="A6744" t="str">
            <v>INSURART</v>
          </cell>
          <cell r="B6744">
            <v>202505</v>
          </cell>
          <cell r="D6744" t="str">
            <v>Crédito Internacional</v>
          </cell>
          <cell r="G6744" t="str">
            <v>Presupuesto</v>
          </cell>
        </row>
        <row r="6745">
          <cell r="A6745" t="str">
            <v>INSURART</v>
          </cell>
          <cell r="B6745">
            <v>202505</v>
          </cell>
          <cell r="D6745" t="str">
            <v>Crédito Nacional</v>
          </cell>
          <cell r="G6745" t="str">
            <v>Presupuesto</v>
          </cell>
        </row>
        <row r="6746">
          <cell r="A6746" t="str">
            <v>INSURART</v>
          </cell>
          <cell r="B6746">
            <v>202505</v>
          </cell>
          <cell r="D6746" t="str">
            <v>Eventos</v>
          </cell>
          <cell r="G6746" t="str">
            <v>Presupuesto</v>
          </cell>
        </row>
        <row r="6747">
          <cell r="A6747" t="str">
            <v>INSURART</v>
          </cell>
          <cell r="B6747">
            <v>202505</v>
          </cell>
          <cell r="D6747" t="str">
            <v>Flotas</v>
          </cell>
          <cell r="G6747" t="str">
            <v>Presupuesto</v>
          </cell>
        </row>
        <row r="6748">
          <cell r="A6748" t="str">
            <v>INSURART</v>
          </cell>
          <cell r="B6748">
            <v>202505</v>
          </cell>
          <cell r="D6748" t="str">
            <v>Hogar</v>
          </cell>
          <cell r="G6748" t="str">
            <v>Presupuesto</v>
          </cell>
        </row>
        <row r="6749">
          <cell r="A6749" t="str">
            <v>INSURART</v>
          </cell>
          <cell r="B6749">
            <v>202505</v>
          </cell>
          <cell r="D6749" t="str">
            <v>Ingeniería</v>
          </cell>
          <cell r="G6749" t="str">
            <v>Presupuesto</v>
          </cell>
        </row>
        <row r="6750">
          <cell r="A6750" t="str">
            <v>INSURART</v>
          </cell>
          <cell r="B6750">
            <v>202505</v>
          </cell>
          <cell r="D6750" t="str">
            <v>Inmobiliario</v>
          </cell>
          <cell r="G6750" t="str">
            <v>Presupuesto</v>
          </cell>
        </row>
        <row r="6751">
          <cell r="A6751" t="str">
            <v>INSURART</v>
          </cell>
          <cell r="B6751">
            <v>202505</v>
          </cell>
          <cell r="D6751" t="str">
            <v>Líneas Financieras</v>
          </cell>
          <cell r="G6751" t="str">
            <v>Presupuesto</v>
          </cell>
        </row>
        <row r="6752">
          <cell r="A6752" t="str">
            <v>INSURART</v>
          </cell>
          <cell r="B6752">
            <v>202505</v>
          </cell>
          <cell r="D6752" t="str">
            <v>Náutica</v>
          </cell>
          <cell r="G6752" t="str">
            <v>Presupuesto</v>
          </cell>
        </row>
        <row r="6753">
          <cell r="A6753" t="str">
            <v>INSURART</v>
          </cell>
          <cell r="B6753">
            <v>202505</v>
          </cell>
          <cell r="D6753" t="str">
            <v>Particulares Resto</v>
          </cell>
          <cell r="G6753" t="str">
            <v>Presupuesto</v>
          </cell>
        </row>
        <row r="6754">
          <cell r="A6754" t="str">
            <v>INSURART</v>
          </cell>
          <cell r="B6754">
            <v>202505</v>
          </cell>
          <cell r="D6754" t="str">
            <v>Property</v>
          </cell>
          <cell r="G6754" t="str">
            <v>Presupuesto</v>
          </cell>
        </row>
        <row r="6755">
          <cell r="A6755" t="str">
            <v>INSURART</v>
          </cell>
          <cell r="B6755">
            <v>202505</v>
          </cell>
          <cell r="D6755" t="str">
            <v>RC</v>
          </cell>
          <cell r="G6755" t="str">
            <v>Presupuesto</v>
          </cell>
        </row>
        <row r="6756">
          <cell r="A6756" t="str">
            <v>INSURART</v>
          </cell>
          <cell r="B6756">
            <v>202505</v>
          </cell>
          <cell r="D6756" t="str">
            <v>Resto de lineas</v>
          </cell>
          <cell r="G6756" t="str">
            <v>Presupuesto</v>
          </cell>
        </row>
        <row r="6757">
          <cell r="A6757" t="str">
            <v>INSURART</v>
          </cell>
          <cell r="B6757">
            <v>202505</v>
          </cell>
          <cell r="D6757" t="str">
            <v>Retirada</v>
          </cell>
          <cell r="G6757" t="str">
            <v>Presupuesto</v>
          </cell>
        </row>
        <row r="6758">
          <cell r="A6758" t="str">
            <v>INSURART</v>
          </cell>
          <cell r="B6758">
            <v>202505</v>
          </cell>
          <cell r="D6758" t="str">
            <v>Seguros Personales (No Vida) Colectivos</v>
          </cell>
          <cell r="G6758" t="str">
            <v>Presupuesto</v>
          </cell>
        </row>
        <row r="6759">
          <cell r="A6759" t="str">
            <v>INSURART</v>
          </cell>
          <cell r="B6759">
            <v>202505</v>
          </cell>
          <cell r="D6759" t="str">
            <v>Seguros Personales (No Vida) Particular</v>
          </cell>
          <cell r="G6759" t="str">
            <v>Presupuesto</v>
          </cell>
        </row>
        <row r="6760">
          <cell r="A6760" t="str">
            <v>INSURART</v>
          </cell>
          <cell r="B6760">
            <v>202505</v>
          </cell>
          <cell r="D6760" t="str">
            <v>Transporte</v>
          </cell>
          <cell r="G6760" t="str">
            <v>Presupuesto</v>
          </cell>
        </row>
        <row r="6761">
          <cell r="A6761" t="str">
            <v>INSURART</v>
          </cell>
          <cell r="B6761">
            <v>202505</v>
          </cell>
          <cell r="D6761" t="str">
            <v>Venta Cruzada</v>
          </cell>
          <cell r="G6761" t="str">
            <v>Presupuesto</v>
          </cell>
        </row>
        <row r="6762">
          <cell r="A6762" t="str">
            <v>INSURART</v>
          </cell>
          <cell r="B6762">
            <v>202505</v>
          </cell>
          <cell r="D6762" t="str">
            <v>Vida Ahorro Colectivo</v>
          </cell>
          <cell r="G6762" t="str">
            <v>Presupuesto</v>
          </cell>
        </row>
        <row r="6763">
          <cell r="A6763" t="str">
            <v>INSURART</v>
          </cell>
          <cell r="B6763">
            <v>202505</v>
          </cell>
          <cell r="D6763" t="str">
            <v>Vida Ahorro Particular</v>
          </cell>
          <cell r="G6763" t="str">
            <v>Presupuesto</v>
          </cell>
        </row>
        <row r="6764">
          <cell r="A6764" t="str">
            <v>INSURART</v>
          </cell>
          <cell r="B6764">
            <v>202505</v>
          </cell>
          <cell r="D6764" t="str">
            <v>Vida Ganado</v>
          </cell>
          <cell r="G6764" t="str">
            <v>Presupuesto</v>
          </cell>
        </row>
        <row r="6765">
          <cell r="A6765" t="str">
            <v>INSURART</v>
          </cell>
          <cell r="B6765">
            <v>202505</v>
          </cell>
          <cell r="D6765" t="str">
            <v>Vida Riesgo Colectivo</v>
          </cell>
          <cell r="G6765" t="str">
            <v>Presupuesto</v>
          </cell>
        </row>
        <row r="6766">
          <cell r="A6766" t="str">
            <v>INSURART</v>
          </cell>
          <cell r="B6766">
            <v>202505</v>
          </cell>
          <cell r="D6766" t="str">
            <v>Vida Riesgo Particular</v>
          </cell>
          <cell r="G6766" t="str">
            <v>Presupuesto</v>
          </cell>
        </row>
        <row r="6767">
          <cell r="A6767" t="str">
            <v>INSURART</v>
          </cell>
          <cell r="B6767">
            <v>202506</v>
          </cell>
          <cell r="D6767" t="str">
            <v>--</v>
          </cell>
          <cell r="G6767" t="str">
            <v>Presupuesto</v>
          </cell>
        </row>
        <row r="6768">
          <cell r="A6768" t="str">
            <v>INSURART</v>
          </cell>
          <cell r="B6768">
            <v>202506</v>
          </cell>
          <cell r="D6768" t="str">
            <v>--</v>
          </cell>
          <cell r="G6768" t="str">
            <v>Real</v>
          </cell>
        </row>
        <row r="6769">
          <cell r="A6769" t="str">
            <v>INSURART</v>
          </cell>
          <cell r="B6769">
            <v>202506</v>
          </cell>
          <cell r="D6769" t="str">
            <v>Arte</v>
          </cell>
          <cell r="G6769" t="str">
            <v>Presupuesto</v>
          </cell>
        </row>
        <row r="6770">
          <cell r="A6770" t="str">
            <v>INSURART</v>
          </cell>
          <cell r="B6770">
            <v>202506</v>
          </cell>
          <cell r="D6770" t="str">
            <v>Arte</v>
          </cell>
          <cell r="G6770" t="str">
            <v>Real</v>
          </cell>
        </row>
        <row r="6771">
          <cell r="A6771" t="str">
            <v>INSURART</v>
          </cell>
          <cell r="B6771">
            <v>202506</v>
          </cell>
          <cell r="D6771" t="str">
            <v>Autos</v>
          </cell>
          <cell r="G6771" t="str">
            <v>Presupuesto</v>
          </cell>
        </row>
        <row r="6772">
          <cell r="A6772" t="str">
            <v>INSURART</v>
          </cell>
          <cell r="B6772">
            <v>202506</v>
          </cell>
          <cell r="D6772" t="str">
            <v>B2B2C</v>
          </cell>
          <cell r="G6772" t="str">
            <v>Presupuesto</v>
          </cell>
        </row>
        <row r="6773">
          <cell r="A6773" t="str">
            <v>INSURART</v>
          </cell>
          <cell r="B6773">
            <v>202506</v>
          </cell>
          <cell r="D6773" t="str">
            <v>Caución</v>
          </cell>
          <cell r="G6773" t="str">
            <v>Presupuesto</v>
          </cell>
        </row>
        <row r="6774">
          <cell r="A6774" t="str">
            <v>INSURART</v>
          </cell>
          <cell r="B6774">
            <v>202506</v>
          </cell>
          <cell r="D6774" t="str">
            <v>Crédito Internacional</v>
          </cell>
          <cell r="G6774" t="str">
            <v>Presupuesto</v>
          </cell>
        </row>
        <row r="6775">
          <cell r="A6775" t="str">
            <v>INSURART</v>
          </cell>
          <cell r="B6775">
            <v>202506</v>
          </cell>
          <cell r="D6775" t="str">
            <v>Crédito Nacional</v>
          </cell>
          <cell r="G6775" t="str">
            <v>Presupuesto</v>
          </cell>
        </row>
        <row r="6776">
          <cell r="A6776" t="str">
            <v>INSURART</v>
          </cell>
          <cell r="B6776">
            <v>202506</v>
          </cell>
          <cell r="D6776" t="str">
            <v>Eventos</v>
          </cell>
          <cell r="G6776" t="str">
            <v>Presupuesto</v>
          </cell>
        </row>
        <row r="6777">
          <cell r="A6777" t="str">
            <v>INSURART</v>
          </cell>
          <cell r="B6777">
            <v>202506</v>
          </cell>
          <cell r="D6777" t="str">
            <v>Flotas</v>
          </cell>
          <cell r="G6777" t="str">
            <v>Presupuesto</v>
          </cell>
        </row>
        <row r="6778">
          <cell r="A6778" t="str">
            <v>INSURART</v>
          </cell>
          <cell r="B6778">
            <v>202506</v>
          </cell>
          <cell r="D6778" t="str">
            <v>Hogar</v>
          </cell>
          <cell r="G6778" t="str">
            <v>Presupuesto</v>
          </cell>
        </row>
        <row r="6779">
          <cell r="A6779" t="str">
            <v>INSURART</v>
          </cell>
          <cell r="B6779">
            <v>202506</v>
          </cell>
          <cell r="D6779" t="str">
            <v>Ingeniería</v>
          </cell>
          <cell r="G6779" t="str">
            <v>Presupuesto</v>
          </cell>
        </row>
        <row r="6780">
          <cell r="A6780" t="str">
            <v>INSURART</v>
          </cell>
          <cell r="B6780">
            <v>202506</v>
          </cell>
          <cell r="D6780" t="str">
            <v>Inmobiliario</v>
          </cell>
          <cell r="G6780" t="str">
            <v>Presupuesto</v>
          </cell>
        </row>
        <row r="6781">
          <cell r="A6781" t="str">
            <v>INSURART</v>
          </cell>
          <cell r="B6781">
            <v>202506</v>
          </cell>
          <cell r="D6781" t="str">
            <v>Líneas Financieras</v>
          </cell>
          <cell r="G6781" t="str">
            <v>Presupuesto</v>
          </cell>
        </row>
        <row r="6782">
          <cell r="A6782" t="str">
            <v>INSURART</v>
          </cell>
          <cell r="B6782">
            <v>202506</v>
          </cell>
          <cell r="D6782" t="str">
            <v>Náutica</v>
          </cell>
          <cell r="G6782" t="str">
            <v>Presupuesto</v>
          </cell>
        </row>
        <row r="6783">
          <cell r="A6783" t="str">
            <v>INSURART</v>
          </cell>
          <cell r="B6783">
            <v>202506</v>
          </cell>
          <cell r="D6783" t="str">
            <v>Particulares Resto</v>
          </cell>
          <cell r="G6783" t="str">
            <v>Presupuesto</v>
          </cell>
        </row>
        <row r="6784">
          <cell r="A6784" t="str">
            <v>INSURART</v>
          </cell>
          <cell r="B6784">
            <v>202506</v>
          </cell>
          <cell r="D6784" t="str">
            <v>Property</v>
          </cell>
          <cell r="G6784" t="str">
            <v>Presupuesto</v>
          </cell>
        </row>
        <row r="6785">
          <cell r="A6785" t="str">
            <v>INSURART</v>
          </cell>
          <cell r="B6785">
            <v>202506</v>
          </cell>
          <cell r="D6785" t="str">
            <v>RC</v>
          </cell>
          <cell r="G6785" t="str">
            <v>Presupuesto</v>
          </cell>
        </row>
        <row r="6786">
          <cell r="A6786" t="str">
            <v>INSURART</v>
          </cell>
          <cell r="B6786">
            <v>202506</v>
          </cell>
          <cell r="D6786" t="str">
            <v>Resto de lineas</v>
          </cell>
          <cell r="G6786" t="str">
            <v>Presupuesto</v>
          </cell>
        </row>
        <row r="6787">
          <cell r="A6787" t="str">
            <v>INSURART</v>
          </cell>
          <cell r="B6787">
            <v>202506</v>
          </cell>
          <cell r="D6787" t="str">
            <v>Retirada</v>
          </cell>
          <cell r="G6787" t="str">
            <v>Presupuesto</v>
          </cell>
        </row>
        <row r="6788">
          <cell r="A6788" t="str">
            <v>INSURART</v>
          </cell>
          <cell r="B6788">
            <v>202506</v>
          </cell>
          <cell r="D6788" t="str">
            <v>Seguros Personales (No Vida) Colectivos</v>
          </cell>
          <cell r="G6788" t="str">
            <v>Presupuesto</v>
          </cell>
        </row>
        <row r="6789">
          <cell r="A6789" t="str">
            <v>INSURART</v>
          </cell>
          <cell r="B6789">
            <v>202506</v>
          </cell>
          <cell r="D6789" t="str">
            <v>Seguros Personales (No Vida) Particular</v>
          </cell>
          <cell r="G6789" t="str">
            <v>Presupuesto</v>
          </cell>
        </row>
        <row r="6790">
          <cell r="A6790" t="str">
            <v>INSURART</v>
          </cell>
          <cell r="B6790">
            <v>202506</v>
          </cell>
          <cell r="D6790" t="str">
            <v>Transporte</v>
          </cell>
          <cell r="G6790" t="str">
            <v>Presupuesto</v>
          </cell>
        </row>
        <row r="6791">
          <cell r="A6791" t="str">
            <v>INSURART</v>
          </cell>
          <cell r="B6791">
            <v>202506</v>
          </cell>
          <cell r="D6791" t="str">
            <v>Venta Cruzada</v>
          </cell>
          <cell r="G6791" t="str">
            <v>Presupuesto</v>
          </cell>
        </row>
        <row r="6792">
          <cell r="A6792" t="str">
            <v>INSURART</v>
          </cell>
          <cell r="B6792">
            <v>202506</v>
          </cell>
          <cell r="D6792" t="str">
            <v>Vida Ahorro Colectivo</v>
          </cell>
          <cell r="G6792" t="str">
            <v>Presupuesto</v>
          </cell>
        </row>
        <row r="6793">
          <cell r="A6793" t="str">
            <v>INSURART</v>
          </cell>
          <cell r="B6793">
            <v>202506</v>
          </cell>
          <cell r="D6793" t="str">
            <v>Vida Ahorro Particular</v>
          </cell>
          <cell r="G6793" t="str">
            <v>Presupuesto</v>
          </cell>
        </row>
        <row r="6794">
          <cell r="A6794" t="str">
            <v>INSURART</v>
          </cell>
          <cell r="B6794">
            <v>202506</v>
          </cell>
          <cell r="D6794" t="str">
            <v>Vida Ganado</v>
          </cell>
          <cell r="G6794" t="str">
            <v>Presupuesto</v>
          </cell>
        </row>
        <row r="6795">
          <cell r="A6795" t="str">
            <v>INSURART</v>
          </cell>
          <cell r="B6795">
            <v>202506</v>
          </cell>
          <cell r="D6795" t="str">
            <v>Vida Riesgo Colectivo</v>
          </cell>
          <cell r="G6795" t="str">
            <v>Presupuesto</v>
          </cell>
        </row>
        <row r="6796">
          <cell r="A6796" t="str">
            <v>INSURART</v>
          </cell>
          <cell r="B6796">
            <v>202506</v>
          </cell>
          <cell r="D6796" t="str">
            <v>Vida Riesgo Particular</v>
          </cell>
          <cell r="G6796" t="str">
            <v>Presupuesto</v>
          </cell>
        </row>
        <row r="6797">
          <cell r="A6797" t="str">
            <v>INSURART</v>
          </cell>
          <cell r="B6797">
            <v>202507</v>
          </cell>
          <cell r="D6797" t="str">
            <v>--</v>
          </cell>
          <cell r="G6797" t="str">
            <v>Presupuesto</v>
          </cell>
        </row>
        <row r="6798">
          <cell r="A6798" t="str">
            <v>INSURART</v>
          </cell>
          <cell r="B6798">
            <v>202507</v>
          </cell>
          <cell r="D6798" t="str">
            <v>--</v>
          </cell>
          <cell r="G6798" t="str">
            <v>Real</v>
          </cell>
        </row>
        <row r="6799">
          <cell r="A6799" t="str">
            <v>INSURART</v>
          </cell>
          <cell r="B6799">
            <v>202507</v>
          </cell>
          <cell r="D6799" t="str">
            <v>Arte</v>
          </cell>
          <cell r="G6799" t="str">
            <v>Presupuesto</v>
          </cell>
        </row>
        <row r="6800">
          <cell r="A6800" t="str">
            <v>INSURART</v>
          </cell>
          <cell r="B6800">
            <v>202507</v>
          </cell>
          <cell r="D6800" t="str">
            <v>Arte</v>
          </cell>
          <cell r="G6800" t="str">
            <v>Real</v>
          </cell>
        </row>
        <row r="6801">
          <cell r="A6801" t="str">
            <v>INSURART</v>
          </cell>
          <cell r="B6801">
            <v>202507</v>
          </cell>
          <cell r="D6801" t="str">
            <v>Autos</v>
          </cell>
          <cell r="G6801" t="str">
            <v>Presupuesto</v>
          </cell>
        </row>
        <row r="6802">
          <cell r="A6802" t="str">
            <v>INSURART</v>
          </cell>
          <cell r="B6802">
            <v>202507</v>
          </cell>
          <cell r="D6802" t="str">
            <v>B2B2C</v>
          </cell>
          <cell r="G6802" t="str">
            <v>Presupuesto</v>
          </cell>
        </row>
        <row r="6803">
          <cell r="A6803" t="str">
            <v>INSURART</v>
          </cell>
          <cell r="B6803">
            <v>202507</v>
          </cell>
          <cell r="D6803" t="str">
            <v>Caución</v>
          </cell>
          <cell r="G6803" t="str">
            <v>Presupuesto</v>
          </cell>
        </row>
        <row r="6804">
          <cell r="A6804" t="str">
            <v>INSURART</v>
          </cell>
          <cell r="B6804">
            <v>202507</v>
          </cell>
          <cell r="D6804" t="str">
            <v>Crédito Internacional</v>
          </cell>
          <cell r="G6804" t="str">
            <v>Presupuesto</v>
          </cell>
        </row>
        <row r="6805">
          <cell r="A6805" t="str">
            <v>INSURART</v>
          </cell>
          <cell r="B6805">
            <v>202507</v>
          </cell>
          <cell r="D6805" t="str">
            <v>Crédito Nacional</v>
          </cell>
          <cell r="G6805" t="str">
            <v>Presupuesto</v>
          </cell>
        </row>
        <row r="6806">
          <cell r="A6806" t="str">
            <v>INSURART</v>
          </cell>
          <cell r="B6806">
            <v>202507</v>
          </cell>
          <cell r="D6806" t="str">
            <v>Eventos</v>
          </cell>
          <cell r="G6806" t="str">
            <v>Presupuesto</v>
          </cell>
        </row>
        <row r="6807">
          <cell r="A6807" t="str">
            <v>INSURART</v>
          </cell>
          <cell r="B6807">
            <v>202507</v>
          </cell>
          <cell r="D6807" t="str">
            <v>Flotas</v>
          </cell>
          <cell r="G6807" t="str">
            <v>Presupuesto</v>
          </cell>
        </row>
        <row r="6808">
          <cell r="A6808" t="str">
            <v>INSURART</v>
          </cell>
          <cell r="B6808">
            <v>202507</v>
          </cell>
          <cell r="D6808" t="str">
            <v>Hogar</v>
          </cell>
          <cell r="G6808" t="str">
            <v>Presupuesto</v>
          </cell>
        </row>
        <row r="6809">
          <cell r="A6809" t="str">
            <v>INSURART</v>
          </cell>
          <cell r="B6809">
            <v>202507</v>
          </cell>
          <cell r="D6809" t="str">
            <v>Ingeniería</v>
          </cell>
          <cell r="G6809" t="str">
            <v>Presupuesto</v>
          </cell>
        </row>
        <row r="6810">
          <cell r="A6810" t="str">
            <v>INSURART</v>
          </cell>
          <cell r="B6810">
            <v>202507</v>
          </cell>
          <cell r="D6810" t="str">
            <v>Inmobiliario</v>
          </cell>
          <cell r="G6810" t="str">
            <v>Presupuesto</v>
          </cell>
        </row>
        <row r="6811">
          <cell r="A6811" t="str">
            <v>INSURART</v>
          </cell>
          <cell r="B6811">
            <v>202507</v>
          </cell>
          <cell r="D6811" t="str">
            <v>Líneas Financieras</v>
          </cell>
          <cell r="G6811" t="str">
            <v>Presupuesto</v>
          </cell>
        </row>
        <row r="6812">
          <cell r="A6812" t="str">
            <v>INSURART</v>
          </cell>
          <cell r="B6812">
            <v>202507</v>
          </cell>
          <cell r="D6812" t="str">
            <v>Náutica</v>
          </cell>
          <cell r="G6812" t="str">
            <v>Presupuesto</v>
          </cell>
        </row>
        <row r="6813">
          <cell r="A6813" t="str">
            <v>INSURART</v>
          </cell>
          <cell r="B6813">
            <v>202507</v>
          </cell>
          <cell r="D6813" t="str">
            <v>Particulares Resto</v>
          </cell>
          <cell r="G6813" t="str">
            <v>Presupuesto</v>
          </cell>
        </row>
        <row r="6814">
          <cell r="A6814" t="str">
            <v>INSURART</v>
          </cell>
          <cell r="B6814">
            <v>202507</v>
          </cell>
          <cell r="D6814" t="str">
            <v>Property</v>
          </cell>
          <cell r="G6814" t="str">
            <v>Presupuesto</v>
          </cell>
        </row>
        <row r="6815">
          <cell r="A6815" t="str">
            <v>INSURART</v>
          </cell>
          <cell r="B6815">
            <v>202507</v>
          </cell>
          <cell r="D6815" t="str">
            <v>RC</v>
          </cell>
          <cell r="G6815" t="str">
            <v>Presupuesto</v>
          </cell>
        </row>
        <row r="6816">
          <cell r="A6816" t="str">
            <v>INSURART</v>
          </cell>
          <cell r="B6816">
            <v>202507</v>
          </cell>
          <cell r="D6816" t="str">
            <v>Resto de lineas</v>
          </cell>
          <cell r="G6816" t="str">
            <v>Presupuesto</v>
          </cell>
        </row>
        <row r="6817">
          <cell r="A6817" t="str">
            <v>INSURART</v>
          </cell>
          <cell r="B6817">
            <v>202507</v>
          </cell>
          <cell r="D6817" t="str">
            <v>Retirada</v>
          </cell>
          <cell r="G6817" t="str">
            <v>Presupuesto</v>
          </cell>
        </row>
        <row r="6818">
          <cell r="A6818" t="str">
            <v>INSURART</v>
          </cell>
          <cell r="B6818">
            <v>202507</v>
          </cell>
          <cell r="D6818" t="str">
            <v>Seguros Personales (No Vida) Colectivos</v>
          </cell>
          <cell r="G6818" t="str">
            <v>Presupuesto</v>
          </cell>
        </row>
        <row r="6819">
          <cell r="A6819" t="str">
            <v>INSURART</v>
          </cell>
          <cell r="B6819">
            <v>202507</v>
          </cell>
          <cell r="D6819" t="str">
            <v>Seguros Personales (No Vida) Particular</v>
          </cell>
          <cell r="G6819" t="str">
            <v>Presupuesto</v>
          </cell>
        </row>
        <row r="6820">
          <cell r="A6820" t="str">
            <v>INSURART</v>
          </cell>
          <cell r="B6820">
            <v>202507</v>
          </cell>
          <cell r="D6820" t="str">
            <v>Transporte</v>
          </cell>
          <cell r="G6820" t="str">
            <v>Presupuesto</v>
          </cell>
        </row>
        <row r="6821">
          <cell r="A6821" t="str">
            <v>INSURART</v>
          </cell>
          <cell r="B6821">
            <v>202507</v>
          </cell>
          <cell r="D6821" t="str">
            <v>Venta Cruzada</v>
          </cell>
          <cell r="G6821" t="str">
            <v>Presupuesto</v>
          </cell>
        </row>
        <row r="6822">
          <cell r="A6822" t="str">
            <v>INSURART</v>
          </cell>
          <cell r="B6822">
            <v>202507</v>
          </cell>
          <cell r="D6822" t="str">
            <v>Vida Ahorro Colectivo</v>
          </cell>
          <cell r="G6822" t="str">
            <v>Presupuesto</v>
          </cell>
        </row>
        <row r="6823">
          <cell r="A6823" t="str">
            <v>INSURART</v>
          </cell>
          <cell r="B6823">
            <v>202507</v>
          </cell>
          <cell r="D6823" t="str">
            <v>Vida Ahorro Particular</v>
          </cell>
          <cell r="G6823" t="str">
            <v>Presupuesto</v>
          </cell>
        </row>
        <row r="6824">
          <cell r="A6824" t="str">
            <v>INSURART</v>
          </cell>
          <cell r="B6824">
            <v>202507</v>
          </cell>
          <cell r="D6824" t="str">
            <v>Vida Ganado</v>
          </cell>
          <cell r="G6824" t="str">
            <v>Presupuesto</v>
          </cell>
        </row>
        <row r="6825">
          <cell r="A6825" t="str">
            <v>INSURART</v>
          </cell>
          <cell r="B6825">
            <v>202507</v>
          </cell>
          <cell r="D6825" t="str">
            <v>Vida Riesgo Colectivo</v>
          </cell>
          <cell r="G6825" t="str">
            <v>Presupuesto</v>
          </cell>
        </row>
        <row r="6826">
          <cell r="A6826" t="str">
            <v>INSURART</v>
          </cell>
          <cell r="B6826">
            <v>202507</v>
          </cell>
          <cell r="D6826" t="str">
            <v>Vida Riesgo Particular</v>
          </cell>
          <cell r="G6826" t="str">
            <v>Presupuesto</v>
          </cell>
        </row>
        <row r="6827">
          <cell r="A6827" t="str">
            <v>INSURART</v>
          </cell>
          <cell r="B6827">
            <v>202508</v>
          </cell>
          <cell r="D6827" t="str">
            <v>--</v>
          </cell>
          <cell r="G6827" t="str">
            <v>Presupuesto</v>
          </cell>
        </row>
        <row r="6828">
          <cell r="A6828" t="str">
            <v>INSURART</v>
          </cell>
          <cell r="B6828">
            <v>202508</v>
          </cell>
          <cell r="D6828" t="str">
            <v>--</v>
          </cell>
          <cell r="G6828" t="str">
            <v>Real</v>
          </cell>
        </row>
        <row r="6829">
          <cell r="A6829" t="str">
            <v>INSURART</v>
          </cell>
          <cell r="B6829">
            <v>202508</v>
          </cell>
          <cell r="D6829" t="str">
            <v>Arte</v>
          </cell>
          <cell r="G6829" t="str">
            <v>Presupuesto</v>
          </cell>
        </row>
        <row r="6830">
          <cell r="A6830" t="str">
            <v>INSURART</v>
          </cell>
          <cell r="B6830">
            <v>202508</v>
          </cell>
          <cell r="D6830" t="str">
            <v>Arte</v>
          </cell>
          <cell r="G6830" t="str">
            <v>Real</v>
          </cell>
        </row>
        <row r="6831">
          <cell r="A6831" t="str">
            <v>INSURART</v>
          </cell>
          <cell r="B6831">
            <v>202508</v>
          </cell>
          <cell r="D6831" t="str">
            <v>Autos</v>
          </cell>
          <cell r="G6831" t="str">
            <v>Presupuesto</v>
          </cell>
        </row>
        <row r="6832">
          <cell r="A6832" t="str">
            <v>INSURART</v>
          </cell>
          <cell r="B6832">
            <v>202508</v>
          </cell>
          <cell r="D6832" t="str">
            <v>B2B2C</v>
          </cell>
          <cell r="G6832" t="str">
            <v>Presupuesto</v>
          </cell>
        </row>
        <row r="6833">
          <cell r="A6833" t="str">
            <v>INSURART</v>
          </cell>
          <cell r="B6833">
            <v>202508</v>
          </cell>
          <cell r="D6833" t="str">
            <v>Caución</v>
          </cell>
          <cell r="G6833" t="str">
            <v>Presupuesto</v>
          </cell>
        </row>
        <row r="6834">
          <cell r="A6834" t="str">
            <v>INSURART</v>
          </cell>
          <cell r="B6834">
            <v>202508</v>
          </cell>
          <cell r="D6834" t="str">
            <v>Crédito Internacional</v>
          </cell>
          <cell r="G6834" t="str">
            <v>Presupuesto</v>
          </cell>
        </row>
        <row r="6835">
          <cell r="A6835" t="str">
            <v>INSURART</v>
          </cell>
          <cell r="B6835">
            <v>202508</v>
          </cell>
          <cell r="D6835" t="str">
            <v>Crédito Nacional</v>
          </cell>
          <cell r="G6835" t="str">
            <v>Presupuesto</v>
          </cell>
        </row>
        <row r="6836">
          <cell r="A6836" t="str">
            <v>INSURART</v>
          </cell>
          <cell r="B6836">
            <v>202508</v>
          </cell>
          <cell r="D6836" t="str">
            <v>Eventos</v>
          </cell>
          <cell r="G6836" t="str">
            <v>Presupuesto</v>
          </cell>
        </row>
        <row r="6837">
          <cell r="A6837" t="str">
            <v>INSURART</v>
          </cell>
          <cell r="B6837">
            <v>202508</v>
          </cell>
          <cell r="D6837" t="str">
            <v>Flotas</v>
          </cell>
          <cell r="G6837" t="str">
            <v>Presupuesto</v>
          </cell>
        </row>
        <row r="6838">
          <cell r="A6838" t="str">
            <v>INSURART</v>
          </cell>
          <cell r="B6838">
            <v>202508</v>
          </cell>
          <cell r="D6838" t="str">
            <v>Hogar</v>
          </cell>
          <cell r="G6838" t="str">
            <v>Presupuesto</v>
          </cell>
        </row>
        <row r="6839">
          <cell r="A6839" t="str">
            <v>INSURART</v>
          </cell>
          <cell r="B6839">
            <v>202508</v>
          </cell>
          <cell r="D6839" t="str">
            <v>Ingeniería</v>
          </cell>
          <cell r="G6839" t="str">
            <v>Presupuesto</v>
          </cell>
        </row>
        <row r="6840">
          <cell r="A6840" t="str">
            <v>INSURART</v>
          </cell>
          <cell r="B6840">
            <v>202508</v>
          </cell>
          <cell r="D6840" t="str">
            <v>Inmobiliario</v>
          </cell>
          <cell r="G6840" t="str">
            <v>Presupuesto</v>
          </cell>
        </row>
        <row r="6841">
          <cell r="A6841" t="str">
            <v>INSURART</v>
          </cell>
          <cell r="B6841">
            <v>202508</v>
          </cell>
          <cell r="D6841" t="str">
            <v>Líneas Financieras</v>
          </cell>
          <cell r="G6841" t="str">
            <v>Presupuesto</v>
          </cell>
        </row>
        <row r="6842">
          <cell r="A6842" t="str">
            <v>INSURART</v>
          </cell>
          <cell r="B6842">
            <v>202508</v>
          </cell>
          <cell r="D6842" t="str">
            <v>Náutica</v>
          </cell>
          <cell r="G6842" t="str">
            <v>Presupuesto</v>
          </cell>
        </row>
        <row r="6843">
          <cell r="A6843" t="str">
            <v>INSURART</v>
          </cell>
          <cell r="B6843">
            <v>202508</v>
          </cell>
          <cell r="D6843" t="str">
            <v>Particulares Resto</v>
          </cell>
          <cell r="G6843" t="str">
            <v>Presupuesto</v>
          </cell>
        </row>
        <row r="6844">
          <cell r="A6844" t="str">
            <v>INSURART</v>
          </cell>
          <cell r="B6844">
            <v>202508</v>
          </cell>
          <cell r="D6844" t="str">
            <v>Property</v>
          </cell>
          <cell r="G6844" t="str">
            <v>Presupuesto</v>
          </cell>
        </row>
        <row r="6845">
          <cell r="A6845" t="str">
            <v>INSURART</v>
          </cell>
          <cell r="B6845">
            <v>202508</v>
          </cell>
          <cell r="D6845" t="str">
            <v>RC</v>
          </cell>
          <cell r="G6845" t="str">
            <v>Presupuesto</v>
          </cell>
        </row>
        <row r="6846">
          <cell r="A6846" t="str">
            <v>INSURART</v>
          </cell>
          <cell r="B6846">
            <v>202508</v>
          </cell>
          <cell r="D6846" t="str">
            <v>Resto de lineas</v>
          </cell>
          <cell r="G6846" t="str">
            <v>Presupuesto</v>
          </cell>
        </row>
        <row r="6847">
          <cell r="A6847" t="str">
            <v>INSURART</v>
          </cell>
          <cell r="B6847">
            <v>202508</v>
          </cell>
          <cell r="D6847" t="str">
            <v>Retirada</v>
          </cell>
          <cell r="G6847" t="str">
            <v>Presupuesto</v>
          </cell>
        </row>
        <row r="6848">
          <cell r="A6848" t="str">
            <v>INSURART</v>
          </cell>
          <cell r="B6848">
            <v>202508</v>
          </cell>
          <cell r="D6848" t="str">
            <v>Seguros Personales (No Vida) Colectivos</v>
          </cell>
          <cell r="G6848" t="str">
            <v>Presupuesto</v>
          </cell>
        </row>
        <row r="6849">
          <cell r="A6849" t="str">
            <v>INSURART</v>
          </cell>
          <cell r="B6849">
            <v>202508</v>
          </cell>
          <cell r="D6849" t="str">
            <v>Seguros Personales (No Vida) Particular</v>
          </cell>
          <cell r="G6849" t="str">
            <v>Presupuesto</v>
          </cell>
        </row>
        <row r="6850">
          <cell r="A6850" t="str">
            <v>INSURART</v>
          </cell>
          <cell r="B6850">
            <v>202508</v>
          </cell>
          <cell r="D6850" t="str">
            <v>Transporte</v>
          </cell>
          <cell r="G6850" t="str">
            <v>Presupuesto</v>
          </cell>
        </row>
        <row r="6851">
          <cell r="A6851" t="str">
            <v>INSURART</v>
          </cell>
          <cell r="B6851">
            <v>202508</v>
          </cell>
          <cell r="D6851" t="str">
            <v>Venta Cruzada</v>
          </cell>
          <cell r="G6851" t="str">
            <v>Presupuesto</v>
          </cell>
        </row>
        <row r="6852">
          <cell r="A6852" t="str">
            <v>INSURART</v>
          </cell>
          <cell r="B6852">
            <v>202508</v>
          </cell>
          <cell r="D6852" t="str">
            <v>Vida Ahorro Colectivo</v>
          </cell>
          <cell r="G6852" t="str">
            <v>Presupuesto</v>
          </cell>
        </row>
        <row r="6853">
          <cell r="A6853" t="str">
            <v>INSURART</v>
          </cell>
          <cell r="B6853">
            <v>202508</v>
          </cell>
          <cell r="D6853" t="str">
            <v>Vida Ahorro Particular</v>
          </cell>
          <cell r="G6853" t="str">
            <v>Presupuesto</v>
          </cell>
        </row>
        <row r="6854">
          <cell r="A6854" t="str">
            <v>INSURART</v>
          </cell>
          <cell r="B6854">
            <v>202508</v>
          </cell>
          <cell r="D6854" t="str">
            <v>Vida Ganado</v>
          </cell>
          <cell r="G6854" t="str">
            <v>Presupuesto</v>
          </cell>
        </row>
        <row r="6855">
          <cell r="A6855" t="str">
            <v>INSURART</v>
          </cell>
          <cell r="B6855">
            <v>202508</v>
          </cell>
          <cell r="D6855" t="str">
            <v>Vida Riesgo Colectivo</v>
          </cell>
          <cell r="G6855" t="str">
            <v>Presupuesto</v>
          </cell>
        </row>
        <row r="6856">
          <cell r="A6856" t="str">
            <v>INSURART</v>
          </cell>
          <cell r="B6856">
            <v>202508</v>
          </cell>
          <cell r="D6856" t="str">
            <v>Vida Riesgo Particular</v>
          </cell>
          <cell r="G6856" t="str">
            <v>Presupuesto</v>
          </cell>
        </row>
        <row r="6857">
          <cell r="A6857" t="str">
            <v>INSURART</v>
          </cell>
          <cell r="B6857">
            <v>202509</v>
          </cell>
          <cell r="D6857" t="str">
            <v>--</v>
          </cell>
          <cell r="G6857" t="str">
            <v>Presupuesto</v>
          </cell>
        </row>
        <row r="6858">
          <cell r="A6858" t="str">
            <v>INSURART</v>
          </cell>
          <cell r="B6858">
            <v>202509</v>
          </cell>
          <cell r="D6858" t="str">
            <v>--</v>
          </cell>
          <cell r="G6858" t="str">
            <v>Real</v>
          </cell>
        </row>
        <row r="6859">
          <cell r="A6859" t="str">
            <v>INSURART</v>
          </cell>
          <cell r="B6859">
            <v>202509</v>
          </cell>
          <cell r="D6859" t="str">
            <v>Arte</v>
          </cell>
          <cell r="G6859" t="str">
            <v>Presupuesto</v>
          </cell>
        </row>
        <row r="6860">
          <cell r="A6860" t="str">
            <v>INSURART</v>
          </cell>
          <cell r="B6860">
            <v>202509</v>
          </cell>
          <cell r="D6860" t="str">
            <v>Arte</v>
          </cell>
          <cell r="G6860" t="str">
            <v>Real</v>
          </cell>
        </row>
        <row r="6861">
          <cell r="A6861" t="str">
            <v>INSURART</v>
          </cell>
          <cell r="B6861">
            <v>202509</v>
          </cell>
          <cell r="D6861" t="str">
            <v>Autos</v>
          </cell>
          <cell r="G6861" t="str">
            <v>Presupuesto</v>
          </cell>
        </row>
        <row r="6862">
          <cell r="A6862" t="str">
            <v>INSURART</v>
          </cell>
          <cell r="B6862">
            <v>202509</v>
          </cell>
          <cell r="D6862" t="str">
            <v>B2B2C</v>
          </cell>
          <cell r="G6862" t="str">
            <v>Presupuesto</v>
          </cell>
        </row>
        <row r="6863">
          <cell r="A6863" t="str">
            <v>INSURART</v>
          </cell>
          <cell r="B6863">
            <v>202509</v>
          </cell>
          <cell r="D6863" t="str">
            <v>Caución</v>
          </cell>
          <cell r="G6863" t="str">
            <v>Presupuesto</v>
          </cell>
        </row>
        <row r="6864">
          <cell r="A6864" t="str">
            <v>INSURART</v>
          </cell>
          <cell r="B6864">
            <v>202509</v>
          </cell>
          <cell r="D6864" t="str">
            <v>Crédito Internacional</v>
          </cell>
          <cell r="G6864" t="str">
            <v>Presupuesto</v>
          </cell>
        </row>
        <row r="6865">
          <cell r="A6865" t="str">
            <v>INSURART</v>
          </cell>
          <cell r="B6865">
            <v>202509</v>
          </cell>
          <cell r="D6865" t="str">
            <v>Crédito Nacional</v>
          </cell>
          <cell r="G6865" t="str">
            <v>Presupuesto</v>
          </cell>
        </row>
        <row r="6866">
          <cell r="A6866" t="str">
            <v>INSURART</v>
          </cell>
          <cell r="B6866">
            <v>202509</v>
          </cell>
          <cell r="D6866" t="str">
            <v>Eventos</v>
          </cell>
          <cell r="G6866" t="str">
            <v>Presupuesto</v>
          </cell>
        </row>
        <row r="6867">
          <cell r="A6867" t="str">
            <v>INSURART</v>
          </cell>
          <cell r="B6867">
            <v>202509</v>
          </cell>
          <cell r="D6867" t="str">
            <v>Flotas</v>
          </cell>
          <cell r="G6867" t="str">
            <v>Presupuesto</v>
          </cell>
        </row>
        <row r="6868">
          <cell r="A6868" t="str">
            <v>INSURART</v>
          </cell>
          <cell r="B6868">
            <v>202509</v>
          </cell>
          <cell r="D6868" t="str">
            <v>Hogar</v>
          </cell>
          <cell r="G6868" t="str">
            <v>Presupuesto</v>
          </cell>
        </row>
        <row r="6869">
          <cell r="A6869" t="str">
            <v>INSURART</v>
          </cell>
          <cell r="B6869">
            <v>202509</v>
          </cell>
          <cell r="D6869" t="str">
            <v>Ingeniería</v>
          </cell>
          <cell r="G6869" t="str">
            <v>Presupuesto</v>
          </cell>
        </row>
        <row r="6870">
          <cell r="A6870" t="str">
            <v>INSURART</v>
          </cell>
          <cell r="B6870">
            <v>202509</v>
          </cell>
          <cell r="D6870" t="str">
            <v>Inmobiliario</v>
          </cell>
          <cell r="G6870" t="str">
            <v>Presupuesto</v>
          </cell>
        </row>
        <row r="6871">
          <cell r="A6871" t="str">
            <v>INSURART</v>
          </cell>
          <cell r="B6871">
            <v>202509</v>
          </cell>
          <cell r="D6871" t="str">
            <v>Líneas Financieras</v>
          </cell>
          <cell r="G6871" t="str">
            <v>Presupuesto</v>
          </cell>
        </row>
        <row r="6872">
          <cell r="A6872" t="str">
            <v>INSURART</v>
          </cell>
          <cell r="B6872">
            <v>202509</v>
          </cell>
          <cell r="D6872" t="str">
            <v>Náutica</v>
          </cell>
          <cell r="G6872" t="str">
            <v>Presupuesto</v>
          </cell>
        </row>
        <row r="6873">
          <cell r="A6873" t="str">
            <v>INSURART</v>
          </cell>
          <cell r="B6873">
            <v>202509</v>
          </cell>
          <cell r="D6873" t="str">
            <v>Particulares Resto</v>
          </cell>
          <cell r="G6873" t="str">
            <v>Presupuesto</v>
          </cell>
        </row>
        <row r="6874">
          <cell r="A6874" t="str">
            <v>INSURART</v>
          </cell>
          <cell r="B6874">
            <v>202509</v>
          </cell>
          <cell r="D6874" t="str">
            <v>Property</v>
          </cell>
          <cell r="G6874" t="str">
            <v>Presupuesto</v>
          </cell>
        </row>
        <row r="6875">
          <cell r="A6875" t="str">
            <v>INSURART</v>
          </cell>
          <cell r="B6875">
            <v>202509</v>
          </cell>
          <cell r="D6875" t="str">
            <v>RC</v>
          </cell>
          <cell r="G6875" t="str">
            <v>Presupuesto</v>
          </cell>
        </row>
        <row r="6876">
          <cell r="A6876" t="str">
            <v>INSURART</v>
          </cell>
          <cell r="B6876">
            <v>202509</v>
          </cell>
          <cell r="D6876" t="str">
            <v>Resto de lineas</v>
          </cell>
          <cell r="G6876" t="str">
            <v>Presupuesto</v>
          </cell>
        </row>
        <row r="6877">
          <cell r="A6877" t="str">
            <v>INSURART</v>
          </cell>
          <cell r="B6877">
            <v>202509</v>
          </cell>
          <cell r="D6877" t="str">
            <v>Retirada</v>
          </cell>
          <cell r="G6877" t="str">
            <v>Presupuesto</v>
          </cell>
        </row>
        <row r="6878">
          <cell r="A6878" t="str">
            <v>INSURART</v>
          </cell>
          <cell r="B6878">
            <v>202509</v>
          </cell>
          <cell r="D6878" t="str">
            <v>Seguros Personales (No Vida) Colectivos</v>
          </cell>
          <cell r="G6878" t="str">
            <v>Presupuesto</v>
          </cell>
        </row>
        <row r="6879">
          <cell r="A6879" t="str">
            <v>INSURART</v>
          </cell>
          <cell r="B6879">
            <v>202509</v>
          </cell>
          <cell r="D6879" t="str">
            <v>Seguros Personales (No Vida) Particular</v>
          </cell>
          <cell r="G6879" t="str">
            <v>Presupuesto</v>
          </cell>
        </row>
        <row r="6880">
          <cell r="A6880" t="str">
            <v>INSURART</v>
          </cell>
          <cell r="B6880">
            <v>202509</v>
          </cell>
          <cell r="D6880" t="str">
            <v>Transporte</v>
          </cell>
          <cell r="G6880" t="str">
            <v>Presupuesto</v>
          </cell>
        </row>
        <row r="6881">
          <cell r="A6881" t="str">
            <v>INSURART</v>
          </cell>
          <cell r="B6881">
            <v>202509</v>
          </cell>
          <cell r="D6881" t="str">
            <v>Venta Cruzada</v>
          </cell>
          <cell r="G6881" t="str">
            <v>Presupuesto</v>
          </cell>
        </row>
        <row r="6882">
          <cell r="A6882" t="str">
            <v>INSURART</v>
          </cell>
          <cell r="B6882">
            <v>202509</v>
          </cell>
          <cell r="D6882" t="str">
            <v>Vida Ahorro Colectivo</v>
          </cell>
          <cell r="G6882" t="str">
            <v>Presupuesto</v>
          </cell>
        </row>
        <row r="6883">
          <cell r="A6883" t="str">
            <v>INSURART</v>
          </cell>
          <cell r="B6883">
            <v>202509</v>
          </cell>
          <cell r="D6883" t="str">
            <v>Vida Ahorro Particular</v>
          </cell>
          <cell r="G6883" t="str">
            <v>Presupuesto</v>
          </cell>
        </row>
        <row r="6884">
          <cell r="A6884" t="str">
            <v>INSURART</v>
          </cell>
          <cell r="B6884">
            <v>202509</v>
          </cell>
          <cell r="D6884" t="str">
            <v>Vida Ganado</v>
          </cell>
          <cell r="G6884" t="str">
            <v>Presupuesto</v>
          </cell>
        </row>
        <row r="6885">
          <cell r="A6885" t="str">
            <v>INSURART</v>
          </cell>
          <cell r="B6885">
            <v>202509</v>
          </cell>
          <cell r="D6885" t="str">
            <v>Vida Riesgo Colectivo</v>
          </cell>
          <cell r="G6885" t="str">
            <v>Presupuesto</v>
          </cell>
        </row>
        <row r="6886">
          <cell r="A6886" t="str">
            <v>INSURART</v>
          </cell>
          <cell r="B6886">
            <v>202509</v>
          </cell>
          <cell r="D6886" t="str">
            <v>Vida Riesgo Particular</v>
          </cell>
          <cell r="G6886" t="str">
            <v>Presupuesto</v>
          </cell>
        </row>
        <row r="6887">
          <cell r="A6887" t="str">
            <v>INSURART</v>
          </cell>
          <cell r="B6887">
            <v>202510</v>
          </cell>
          <cell r="D6887" t="str">
            <v>--</v>
          </cell>
          <cell r="G6887" t="str">
            <v>Presupuesto</v>
          </cell>
        </row>
        <row r="6888">
          <cell r="A6888" t="str">
            <v>INSURART</v>
          </cell>
          <cell r="B6888">
            <v>202510</v>
          </cell>
          <cell r="D6888" t="str">
            <v>--</v>
          </cell>
          <cell r="G6888" t="str">
            <v>Real</v>
          </cell>
        </row>
        <row r="6889">
          <cell r="A6889" t="str">
            <v>INSURART</v>
          </cell>
          <cell r="B6889">
            <v>202510</v>
          </cell>
          <cell r="D6889" t="str">
            <v>Arte</v>
          </cell>
          <cell r="G6889" t="str">
            <v>Presupuesto</v>
          </cell>
        </row>
        <row r="6890">
          <cell r="A6890" t="str">
            <v>INSURART</v>
          </cell>
          <cell r="B6890">
            <v>202510</v>
          </cell>
          <cell r="D6890" t="str">
            <v>Arte</v>
          </cell>
          <cell r="G6890" t="str">
            <v>Real</v>
          </cell>
        </row>
        <row r="6891">
          <cell r="A6891" t="str">
            <v>INSURART</v>
          </cell>
          <cell r="B6891">
            <v>202510</v>
          </cell>
          <cell r="D6891" t="str">
            <v>Autos</v>
          </cell>
          <cell r="G6891" t="str">
            <v>Presupuesto</v>
          </cell>
        </row>
        <row r="6892">
          <cell r="A6892" t="str">
            <v>INSURART</v>
          </cell>
          <cell r="B6892">
            <v>202510</v>
          </cell>
          <cell r="D6892" t="str">
            <v>B2B2C</v>
          </cell>
          <cell r="G6892" t="str">
            <v>Presupuesto</v>
          </cell>
        </row>
        <row r="6893">
          <cell r="A6893" t="str">
            <v>INSURART</v>
          </cell>
          <cell r="B6893">
            <v>202510</v>
          </cell>
          <cell r="D6893" t="str">
            <v>Caución</v>
          </cell>
          <cell r="G6893" t="str">
            <v>Presupuesto</v>
          </cell>
        </row>
        <row r="6894">
          <cell r="A6894" t="str">
            <v>INSURART</v>
          </cell>
          <cell r="B6894">
            <v>202510</v>
          </cell>
          <cell r="D6894" t="str">
            <v>Crédito Internacional</v>
          </cell>
          <cell r="G6894" t="str">
            <v>Presupuesto</v>
          </cell>
        </row>
        <row r="6895">
          <cell r="A6895" t="str">
            <v>INSURART</v>
          </cell>
          <cell r="B6895">
            <v>202510</v>
          </cell>
          <cell r="D6895" t="str">
            <v>Crédito Nacional</v>
          </cell>
          <cell r="G6895" t="str">
            <v>Presupuesto</v>
          </cell>
        </row>
        <row r="6896">
          <cell r="A6896" t="str">
            <v>INSURART</v>
          </cell>
          <cell r="B6896">
            <v>202510</v>
          </cell>
          <cell r="D6896" t="str">
            <v>Eventos</v>
          </cell>
          <cell r="G6896" t="str">
            <v>Presupuesto</v>
          </cell>
        </row>
        <row r="6897">
          <cell r="A6897" t="str">
            <v>INSURART</v>
          </cell>
          <cell r="B6897">
            <v>202510</v>
          </cell>
          <cell r="D6897" t="str">
            <v>Flotas</v>
          </cell>
          <cell r="G6897" t="str">
            <v>Presupuesto</v>
          </cell>
        </row>
        <row r="6898">
          <cell r="A6898" t="str">
            <v>INSURART</v>
          </cell>
          <cell r="B6898">
            <v>202510</v>
          </cell>
          <cell r="D6898" t="str">
            <v>Hogar</v>
          </cell>
          <cell r="G6898" t="str">
            <v>Presupuesto</v>
          </cell>
        </row>
        <row r="6899">
          <cell r="A6899" t="str">
            <v>INSURART</v>
          </cell>
          <cell r="B6899">
            <v>202510</v>
          </cell>
          <cell r="D6899" t="str">
            <v>Ingeniería</v>
          </cell>
          <cell r="G6899" t="str">
            <v>Presupuesto</v>
          </cell>
        </row>
        <row r="6900">
          <cell r="A6900" t="str">
            <v>INSURART</v>
          </cell>
          <cell r="B6900">
            <v>202510</v>
          </cell>
          <cell r="D6900" t="str">
            <v>Inmobiliario</v>
          </cell>
          <cell r="G6900" t="str">
            <v>Presupuesto</v>
          </cell>
        </row>
        <row r="6901">
          <cell r="A6901" t="str">
            <v>INSURART</v>
          </cell>
          <cell r="B6901">
            <v>202510</v>
          </cell>
          <cell r="D6901" t="str">
            <v>Líneas Financieras</v>
          </cell>
          <cell r="G6901" t="str">
            <v>Presupuesto</v>
          </cell>
        </row>
        <row r="6902">
          <cell r="A6902" t="str">
            <v>INSURART</v>
          </cell>
          <cell r="B6902">
            <v>202510</v>
          </cell>
          <cell r="D6902" t="str">
            <v>Náutica</v>
          </cell>
          <cell r="G6902" t="str">
            <v>Presupuesto</v>
          </cell>
        </row>
        <row r="6903">
          <cell r="A6903" t="str">
            <v>INSURART</v>
          </cell>
          <cell r="B6903">
            <v>202510</v>
          </cell>
          <cell r="D6903" t="str">
            <v>Particulares Resto</v>
          </cell>
          <cell r="G6903" t="str">
            <v>Presupuesto</v>
          </cell>
        </row>
        <row r="6904">
          <cell r="A6904" t="str">
            <v>INSURART</v>
          </cell>
          <cell r="B6904">
            <v>202510</v>
          </cell>
          <cell r="D6904" t="str">
            <v>Property</v>
          </cell>
          <cell r="G6904" t="str">
            <v>Presupuesto</v>
          </cell>
        </row>
        <row r="6905">
          <cell r="A6905" t="str">
            <v>INSURART</v>
          </cell>
          <cell r="B6905">
            <v>202510</v>
          </cell>
          <cell r="D6905" t="str">
            <v>RC</v>
          </cell>
          <cell r="G6905" t="str">
            <v>Presupuesto</v>
          </cell>
        </row>
        <row r="6906">
          <cell r="A6906" t="str">
            <v>INSURART</v>
          </cell>
          <cell r="B6906">
            <v>202510</v>
          </cell>
          <cell r="D6906" t="str">
            <v>Resto de lineas</v>
          </cell>
          <cell r="G6906" t="str">
            <v>Presupuesto</v>
          </cell>
        </row>
        <row r="6907">
          <cell r="A6907" t="str">
            <v>INSURART</v>
          </cell>
          <cell r="B6907">
            <v>202510</v>
          </cell>
          <cell r="D6907" t="str">
            <v>Retirada</v>
          </cell>
          <cell r="G6907" t="str">
            <v>Presupuesto</v>
          </cell>
        </row>
        <row r="6908">
          <cell r="A6908" t="str">
            <v>INSURART</v>
          </cell>
          <cell r="B6908">
            <v>202510</v>
          </cell>
          <cell r="D6908" t="str">
            <v>Seguros Personales (No Vida) Colectivos</v>
          </cell>
          <cell r="G6908" t="str">
            <v>Presupuesto</v>
          </cell>
        </row>
        <row r="6909">
          <cell r="A6909" t="str">
            <v>INSURART</v>
          </cell>
          <cell r="B6909">
            <v>202510</v>
          </cell>
          <cell r="D6909" t="str">
            <v>Seguros Personales (No Vida) Particular</v>
          </cell>
          <cell r="G6909" t="str">
            <v>Presupuesto</v>
          </cell>
        </row>
        <row r="6910">
          <cell r="A6910" t="str">
            <v>INSURART</v>
          </cell>
          <cell r="B6910">
            <v>202510</v>
          </cell>
          <cell r="D6910" t="str">
            <v>Transporte</v>
          </cell>
          <cell r="G6910" t="str">
            <v>Presupuesto</v>
          </cell>
        </row>
        <row r="6911">
          <cell r="A6911" t="str">
            <v>INSURART</v>
          </cell>
          <cell r="B6911">
            <v>202510</v>
          </cell>
          <cell r="D6911" t="str">
            <v>Venta Cruzada</v>
          </cell>
          <cell r="G6911" t="str">
            <v>Presupuesto</v>
          </cell>
        </row>
        <row r="6912">
          <cell r="A6912" t="str">
            <v>INSURART</v>
          </cell>
          <cell r="B6912">
            <v>202510</v>
          </cell>
          <cell r="D6912" t="str">
            <v>Vida Ahorro Colectivo</v>
          </cell>
          <cell r="G6912" t="str">
            <v>Presupuesto</v>
          </cell>
        </row>
        <row r="6913">
          <cell r="A6913" t="str">
            <v>INSURART</v>
          </cell>
          <cell r="B6913">
            <v>202510</v>
          </cell>
          <cell r="D6913" t="str">
            <v>Vida Ahorro Particular</v>
          </cell>
          <cell r="G6913" t="str">
            <v>Presupuesto</v>
          </cell>
        </row>
        <row r="6914">
          <cell r="A6914" t="str">
            <v>INSURART</v>
          </cell>
          <cell r="B6914">
            <v>202510</v>
          </cell>
          <cell r="D6914" t="str">
            <v>Vida Ganado</v>
          </cell>
          <cell r="G6914" t="str">
            <v>Presupuesto</v>
          </cell>
        </row>
        <row r="6915">
          <cell r="A6915" t="str">
            <v>INSURART</v>
          </cell>
          <cell r="B6915">
            <v>202510</v>
          </cell>
          <cell r="D6915" t="str">
            <v>Vida Riesgo Colectivo</v>
          </cell>
          <cell r="G6915" t="str">
            <v>Presupuesto</v>
          </cell>
        </row>
        <row r="6916">
          <cell r="A6916" t="str">
            <v>INSURART</v>
          </cell>
          <cell r="B6916">
            <v>202510</v>
          </cell>
          <cell r="D6916" t="str">
            <v>Vida Riesgo Particular</v>
          </cell>
          <cell r="G6916" t="str">
            <v>Presupuesto</v>
          </cell>
        </row>
        <row r="6917">
          <cell r="A6917" t="str">
            <v>INSURART</v>
          </cell>
          <cell r="B6917">
            <v>202511</v>
          </cell>
          <cell r="D6917" t="str">
            <v>--</v>
          </cell>
          <cell r="G6917" t="str">
            <v>Presupuesto</v>
          </cell>
        </row>
        <row r="6918">
          <cell r="A6918" t="str">
            <v>INSURART</v>
          </cell>
          <cell r="B6918">
            <v>202511</v>
          </cell>
          <cell r="D6918" t="str">
            <v>--</v>
          </cell>
          <cell r="G6918" t="str">
            <v>Real</v>
          </cell>
        </row>
        <row r="6919">
          <cell r="A6919" t="str">
            <v>INSURART</v>
          </cell>
          <cell r="B6919">
            <v>202511</v>
          </cell>
          <cell r="D6919" t="str">
            <v>Arte</v>
          </cell>
          <cell r="G6919" t="str">
            <v>Presupuesto</v>
          </cell>
        </row>
        <row r="6920">
          <cell r="A6920" t="str">
            <v>INSURART</v>
          </cell>
          <cell r="B6920">
            <v>202511</v>
          </cell>
          <cell r="D6920" t="str">
            <v>Arte</v>
          </cell>
          <cell r="G6920" t="str">
            <v>Real</v>
          </cell>
        </row>
        <row r="6921">
          <cell r="A6921" t="str">
            <v>INSURART</v>
          </cell>
          <cell r="B6921">
            <v>202511</v>
          </cell>
          <cell r="D6921" t="str">
            <v>Autos</v>
          </cell>
          <cell r="G6921" t="str">
            <v>Presupuesto</v>
          </cell>
        </row>
        <row r="6922">
          <cell r="A6922" t="str">
            <v>INSURART</v>
          </cell>
          <cell r="B6922">
            <v>202511</v>
          </cell>
          <cell r="D6922" t="str">
            <v>B2B2C</v>
          </cell>
          <cell r="G6922" t="str">
            <v>Presupuesto</v>
          </cell>
        </row>
        <row r="6923">
          <cell r="A6923" t="str">
            <v>INSURART</v>
          </cell>
          <cell r="B6923">
            <v>202511</v>
          </cell>
          <cell r="D6923" t="str">
            <v>Caución</v>
          </cell>
          <cell r="G6923" t="str">
            <v>Presupuesto</v>
          </cell>
        </row>
        <row r="6924">
          <cell r="A6924" t="str">
            <v>INSURART</v>
          </cell>
          <cell r="B6924">
            <v>202511</v>
          </cell>
          <cell r="D6924" t="str">
            <v>Crédito Internacional</v>
          </cell>
          <cell r="G6924" t="str">
            <v>Presupuesto</v>
          </cell>
        </row>
        <row r="6925">
          <cell r="A6925" t="str">
            <v>INSURART</v>
          </cell>
          <cell r="B6925">
            <v>202511</v>
          </cell>
          <cell r="D6925" t="str">
            <v>Crédito Nacional</v>
          </cell>
          <cell r="G6925" t="str">
            <v>Presupuesto</v>
          </cell>
        </row>
        <row r="6926">
          <cell r="A6926" t="str">
            <v>INSURART</v>
          </cell>
          <cell r="B6926">
            <v>202511</v>
          </cell>
          <cell r="D6926" t="str">
            <v>Eventos</v>
          </cell>
          <cell r="G6926" t="str">
            <v>Presupuesto</v>
          </cell>
        </row>
        <row r="6927">
          <cell r="A6927" t="str">
            <v>INSURART</v>
          </cell>
          <cell r="B6927">
            <v>202511</v>
          </cell>
          <cell r="D6927" t="str">
            <v>Flotas</v>
          </cell>
          <cell r="G6927" t="str">
            <v>Presupuesto</v>
          </cell>
        </row>
        <row r="6928">
          <cell r="A6928" t="str">
            <v>INSURART</v>
          </cell>
          <cell r="B6928">
            <v>202511</v>
          </cell>
          <cell r="D6928" t="str">
            <v>Hogar</v>
          </cell>
          <cell r="G6928" t="str">
            <v>Presupuesto</v>
          </cell>
        </row>
        <row r="6929">
          <cell r="A6929" t="str">
            <v>INSURART</v>
          </cell>
          <cell r="B6929">
            <v>202511</v>
          </cell>
          <cell r="D6929" t="str">
            <v>Ingeniería</v>
          </cell>
          <cell r="G6929" t="str">
            <v>Presupuesto</v>
          </cell>
        </row>
        <row r="6930">
          <cell r="A6930" t="str">
            <v>INSURART</v>
          </cell>
          <cell r="B6930">
            <v>202511</v>
          </cell>
          <cell r="D6930" t="str">
            <v>Inmobiliario</v>
          </cell>
          <cell r="G6930" t="str">
            <v>Presupuesto</v>
          </cell>
        </row>
        <row r="6931">
          <cell r="A6931" t="str">
            <v>INSURART</v>
          </cell>
          <cell r="B6931">
            <v>202511</v>
          </cell>
          <cell r="D6931" t="str">
            <v>Líneas Financieras</v>
          </cell>
          <cell r="G6931" t="str">
            <v>Presupuesto</v>
          </cell>
        </row>
        <row r="6932">
          <cell r="A6932" t="str">
            <v>INSURART</v>
          </cell>
          <cell r="B6932">
            <v>202511</v>
          </cell>
          <cell r="D6932" t="str">
            <v>Náutica</v>
          </cell>
          <cell r="G6932" t="str">
            <v>Presupuesto</v>
          </cell>
        </row>
        <row r="6933">
          <cell r="A6933" t="str">
            <v>INSURART</v>
          </cell>
          <cell r="B6933">
            <v>202511</v>
          </cell>
          <cell r="D6933" t="str">
            <v>Particulares Resto</v>
          </cell>
          <cell r="G6933" t="str">
            <v>Presupuesto</v>
          </cell>
        </row>
        <row r="6934">
          <cell r="A6934" t="str">
            <v>INSURART</v>
          </cell>
          <cell r="B6934">
            <v>202511</v>
          </cell>
          <cell r="D6934" t="str">
            <v>Property</v>
          </cell>
          <cell r="G6934" t="str">
            <v>Presupuesto</v>
          </cell>
        </row>
        <row r="6935">
          <cell r="A6935" t="str">
            <v>INSURART</v>
          </cell>
          <cell r="B6935">
            <v>202511</v>
          </cell>
          <cell r="D6935" t="str">
            <v>RC</v>
          </cell>
          <cell r="G6935" t="str">
            <v>Presupuesto</v>
          </cell>
        </row>
        <row r="6936">
          <cell r="A6936" t="str">
            <v>INSURART</v>
          </cell>
          <cell r="B6936">
            <v>202511</v>
          </cell>
          <cell r="D6936" t="str">
            <v>Resto de lineas</v>
          </cell>
          <cell r="G6936" t="str">
            <v>Presupuesto</v>
          </cell>
        </row>
        <row r="6937">
          <cell r="A6937" t="str">
            <v>INSURART</v>
          </cell>
          <cell r="B6937">
            <v>202511</v>
          </cell>
          <cell r="D6937" t="str">
            <v>Retirada</v>
          </cell>
          <cell r="G6937" t="str">
            <v>Presupuesto</v>
          </cell>
        </row>
        <row r="6938">
          <cell r="A6938" t="str">
            <v>INSURART</v>
          </cell>
          <cell r="B6938">
            <v>202511</v>
          </cell>
          <cell r="D6938" t="str">
            <v>Seguros Personales (No Vida) Colectivos</v>
          </cell>
          <cell r="G6938" t="str">
            <v>Presupuesto</v>
          </cell>
        </row>
        <row r="6939">
          <cell r="A6939" t="str">
            <v>INSURART</v>
          </cell>
          <cell r="B6939">
            <v>202511</v>
          </cell>
          <cell r="D6939" t="str">
            <v>Seguros Personales (No Vida) Particular</v>
          </cell>
          <cell r="G6939" t="str">
            <v>Presupuesto</v>
          </cell>
        </row>
        <row r="6940">
          <cell r="A6940" t="str">
            <v>INSURART</v>
          </cell>
          <cell r="B6940">
            <v>202511</v>
          </cell>
          <cell r="D6940" t="str">
            <v>Transporte</v>
          </cell>
          <cell r="G6940" t="str">
            <v>Presupuesto</v>
          </cell>
        </row>
        <row r="6941">
          <cell r="A6941" t="str">
            <v>INSURART</v>
          </cell>
          <cell r="B6941">
            <v>202511</v>
          </cell>
          <cell r="D6941" t="str">
            <v>Venta Cruzada</v>
          </cell>
          <cell r="G6941" t="str">
            <v>Presupuesto</v>
          </cell>
        </row>
        <row r="6942">
          <cell r="A6942" t="str">
            <v>INSURART</v>
          </cell>
          <cell r="B6942">
            <v>202511</v>
          </cell>
          <cell r="D6942" t="str">
            <v>Vida Ahorro Colectivo</v>
          </cell>
          <cell r="G6942" t="str">
            <v>Presupuesto</v>
          </cell>
        </row>
        <row r="6943">
          <cell r="A6943" t="str">
            <v>INSURART</v>
          </cell>
          <cell r="B6943">
            <v>202511</v>
          </cell>
          <cell r="D6943" t="str">
            <v>Vida Ahorro Particular</v>
          </cell>
          <cell r="G6943" t="str">
            <v>Presupuesto</v>
          </cell>
        </row>
        <row r="6944">
          <cell r="A6944" t="str">
            <v>INSURART</v>
          </cell>
          <cell r="B6944">
            <v>202511</v>
          </cell>
          <cell r="D6944" t="str">
            <v>Vida Ganado</v>
          </cell>
          <cell r="G6944" t="str">
            <v>Presupuesto</v>
          </cell>
        </row>
        <row r="6945">
          <cell r="A6945" t="str">
            <v>INSURART</v>
          </cell>
          <cell r="B6945">
            <v>202511</v>
          </cell>
          <cell r="D6945" t="str">
            <v>Vida Riesgo Colectivo</v>
          </cell>
          <cell r="G6945" t="str">
            <v>Presupuesto</v>
          </cell>
        </row>
        <row r="6946">
          <cell r="A6946" t="str">
            <v>INSURART</v>
          </cell>
          <cell r="B6946">
            <v>202511</v>
          </cell>
          <cell r="D6946" t="str">
            <v>Vida Riesgo Particular</v>
          </cell>
          <cell r="G6946" t="str">
            <v>Presupuesto</v>
          </cell>
        </row>
        <row r="6947">
          <cell r="A6947" t="str">
            <v>INSURART</v>
          </cell>
          <cell r="B6947">
            <v>202512</v>
          </cell>
          <cell r="D6947" t="str">
            <v>--</v>
          </cell>
          <cell r="G6947" t="str">
            <v>Presupuesto</v>
          </cell>
        </row>
        <row r="6948">
          <cell r="A6948" t="str">
            <v>INSURART</v>
          </cell>
          <cell r="B6948">
            <v>202512</v>
          </cell>
          <cell r="D6948" t="str">
            <v>--</v>
          </cell>
          <cell r="G6948" t="str">
            <v>Real</v>
          </cell>
        </row>
        <row r="6949">
          <cell r="A6949" t="str">
            <v>INSURART</v>
          </cell>
          <cell r="B6949">
            <v>202512</v>
          </cell>
          <cell r="D6949" t="str">
            <v>Arte</v>
          </cell>
          <cell r="G6949" t="str">
            <v>Presupuesto</v>
          </cell>
        </row>
        <row r="6950">
          <cell r="A6950" t="str">
            <v>INSURART</v>
          </cell>
          <cell r="B6950">
            <v>202512</v>
          </cell>
          <cell r="D6950" t="str">
            <v>Arte</v>
          </cell>
          <cell r="G6950" t="str">
            <v>Real</v>
          </cell>
        </row>
        <row r="6951">
          <cell r="A6951" t="str">
            <v>INSURART</v>
          </cell>
          <cell r="B6951">
            <v>202512</v>
          </cell>
          <cell r="D6951" t="str">
            <v>Autos</v>
          </cell>
          <cell r="G6951" t="str">
            <v>Presupuesto</v>
          </cell>
        </row>
        <row r="6952">
          <cell r="A6952" t="str">
            <v>INSURART</v>
          </cell>
          <cell r="B6952">
            <v>202512</v>
          </cell>
          <cell r="D6952" t="str">
            <v>B2B2C</v>
          </cell>
          <cell r="G6952" t="str">
            <v>Presupuesto</v>
          </cell>
        </row>
        <row r="6953">
          <cell r="A6953" t="str">
            <v>INSURART</v>
          </cell>
          <cell r="B6953">
            <v>202512</v>
          </cell>
          <cell r="D6953" t="str">
            <v>Caución</v>
          </cell>
          <cell r="G6953" t="str">
            <v>Presupuesto</v>
          </cell>
        </row>
        <row r="6954">
          <cell r="A6954" t="str">
            <v>INSURART</v>
          </cell>
          <cell r="B6954">
            <v>202512</v>
          </cell>
          <cell r="D6954" t="str">
            <v>Crédito Internacional</v>
          </cell>
          <cell r="G6954" t="str">
            <v>Presupuesto</v>
          </cell>
        </row>
        <row r="6955">
          <cell r="A6955" t="str">
            <v>INSURART</v>
          </cell>
          <cell r="B6955">
            <v>202512</v>
          </cell>
          <cell r="D6955" t="str">
            <v>Crédito Nacional</v>
          </cell>
          <cell r="G6955" t="str">
            <v>Presupuesto</v>
          </cell>
        </row>
        <row r="6956">
          <cell r="A6956" t="str">
            <v>INSURART</v>
          </cell>
          <cell r="B6956">
            <v>202512</v>
          </cell>
          <cell r="D6956" t="str">
            <v>Eventos</v>
          </cell>
          <cell r="G6956" t="str">
            <v>Presupuesto</v>
          </cell>
        </row>
        <row r="6957">
          <cell r="A6957" t="str">
            <v>INSURART</v>
          </cell>
          <cell r="B6957">
            <v>202512</v>
          </cell>
          <cell r="D6957" t="str">
            <v>Flotas</v>
          </cell>
          <cell r="G6957" t="str">
            <v>Presupuesto</v>
          </cell>
        </row>
        <row r="6958">
          <cell r="A6958" t="str">
            <v>INSURART</v>
          </cell>
          <cell r="B6958">
            <v>202512</v>
          </cell>
          <cell r="D6958" t="str">
            <v>Hogar</v>
          </cell>
          <cell r="G6958" t="str">
            <v>Presupuesto</v>
          </cell>
        </row>
        <row r="6959">
          <cell r="A6959" t="str">
            <v>INSURART</v>
          </cell>
          <cell r="B6959">
            <v>202512</v>
          </cell>
          <cell r="D6959" t="str">
            <v>Ingeniería</v>
          </cell>
          <cell r="G6959" t="str">
            <v>Presupuesto</v>
          </cell>
        </row>
        <row r="6960">
          <cell r="A6960" t="str">
            <v>INSURART</v>
          </cell>
          <cell r="B6960">
            <v>202512</v>
          </cell>
          <cell r="D6960" t="str">
            <v>Inmobiliario</v>
          </cell>
          <cell r="G6960" t="str">
            <v>Presupuesto</v>
          </cell>
        </row>
        <row r="6961">
          <cell r="A6961" t="str">
            <v>INSURART</v>
          </cell>
          <cell r="B6961">
            <v>202512</v>
          </cell>
          <cell r="D6961" t="str">
            <v>Líneas Financieras</v>
          </cell>
          <cell r="G6961" t="str">
            <v>Presupuesto</v>
          </cell>
        </row>
        <row r="6962">
          <cell r="A6962" t="str">
            <v>INSURART</v>
          </cell>
          <cell r="B6962">
            <v>202512</v>
          </cell>
          <cell r="D6962" t="str">
            <v>Náutica</v>
          </cell>
          <cell r="G6962" t="str">
            <v>Presupuesto</v>
          </cell>
        </row>
        <row r="6963">
          <cell r="A6963" t="str">
            <v>INSURART</v>
          </cell>
          <cell r="B6963">
            <v>202512</v>
          </cell>
          <cell r="D6963" t="str">
            <v>Particulares Resto</v>
          </cell>
          <cell r="G6963" t="str">
            <v>Presupuesto</v>
          </cell>
        </row>
        <row r="6964">
          <cell r="A6964" t="str">
            <v>INSURART</v>
          </cell>
          <cell r="B6964">
            <v>202512</v>
          </cell>
          <cell r="D6964" t="str">
            <v>Property</v>
          </cell>
          <cell r="G6964" t="str">
            <v>Presupuesto</v>
          </cell>
        </row>
        <row r="6965">
          <cell r="A6965" t="str">
            <v>INSURART</v>
          </cell>
          <cell r="B6965">
            <v>202512</v>
          </cell>
          <cell r="D6965" t="str">
            <v>RC</v>
          </cell>
          <cell r="G6965" t="str">
            <v>Presupuesto</v>
          </cell>
        </row>
        <row r="6966">
          <cell r="A6966" t="str">
            <v>INSURART</v>
          </cell>
          <cell r="B6966">
            <v>202512</v>
          </cell>
          <cell r="D6966" t="str">
            <v>Resto de lineas</v>
          </cell>
          <cell r="G6966" t="str">
            <v>Presupuesto</v>
          </cell>
        </row>
        <row r="6967">
          <cell r="A6967" t="str">
            <v>INSURART</v>
          </cell>
          <cell r="B6967">
            <v>202512</v>
          </cell>
          <cell r="D6967" t="str">
            <v>Retirada</v>
          </cell>
          <cell r="G6967" t="str">
            <v>Presupuesto</v>
          </cell>
        </row>
        <row r="6968">
          <cell r="A6968" t="str">
            <v>INSURART</v>
          </cell>
          <cell r="B6968">
            <v>202512</v>
          </cell>
          <cell r="D6968" t="str">
            <v>Seguros Personales (No Vida) Colectivos</v>
          </cell>
          <cell r="G6968" t="str">
            <v>Presupuesto</v>
          </cell>
        </row>
        <row r="6969">
          <cell r="A6969" t="str">
            <v>INSURART</v>
          </cell>
          <cell r="B6969">
            <v>202512</v>
          </cell>
          <cell r="D6969" t="str">
            <v>Seguros Personales (No Vida) Particular</v>
          </cell>
          <cell r="G6969" t="str">
            <v>Presupuesto</v>
          </cell>
        </row>
        <row r="6970">
          <cell r="A6970" t="str">
            <v>INSURART</v>
          </cell>
          <cell r="B6970">
            <v>202512</v>
          </cell>
          <cell r="D6970" t="str">
            <v>Transporte</v>
          </cell>
          <cell r="G6970" t="str">
            <v>Presupuesto</v>
          </cell>
        </row>
        <row r="6971">
          <cell r="A6971" t="str">
            <v>INSURART</v>
          </cell>
          <cell r="B6971">
            <v>202512</v>
          </cell>
          <cell r="D6971" t="str">
            <v>Venta Cruzada</v>
          </cell>
          <cell r="G6971" t="str">
            <v>Presupuesto</v>
          </cell>
        </row>
        <row r="6972">
          <cell r="A6972" t="str">
            <v>INSURART</v>
          </cell>
          <cell r="B6972">
            <v>202512</v>
          </cell>
          <cell r="D6972" t="str">
            <v>Vida Ahorro Colectivo</v>
          </cell>
          <cell r="G6972" t="str">
            <v>Presupuesto</v>
          </cell>
        </row>
        <row r="6973">
          <cell r="A6973" t="str">
            <v>INSURART</v>
          </cell>
          <cell r="B6973">
            <v>202512</v>
          </cell>
          <cell r="D6973" t="str">
            <v>Vida Ahorro Particular</v>
          </cell>
          <cell r="G6973" t="str">
            <v>Presupuesto</v>
          </cell>
        </row>
        <row r="6974">
          <cell r="A6974" t="str">
            <v>INSURART</v>
          </cell>
          <cell r="B6974">
            <v>202512</v>
          </cell>
          <cell r="D6974" t="str">
            <v>Vida Ganado</v>
          </cell>
          <cell r="G6974" t="str">
            <v>Presupuesto</v>
          </cell>
        </row>
        <row r="6975">
          <cell r="A6975" t="str">
            <v>INSURART</v>
          </cell>
          <cell r="B6975">
            <v>202512</v>
          </cell>
          <cell r="D6975" t="str">
            <v>Vida Riesgo Colectivo</v>
          </cell>
          <cell r="G6975" t="str">
            <v>Presupuesto</v>
          </cell>
        </row>
        <row r="6976">
          <cell r="A6976" t="str">
            <v>INSURART</v>
          </cell>
          <cell r="B6976">
            <v>202512</v>
          </cell>
          <cell r="D6976" t="str">
            <v>Vida Riesgo Particular</v>
          </cell>
          <cell r="G6976" t="str">
            <v>Presupuesto</v>
          </cell>
        </row>
        <row r="6977">
          <cell r="A6977" t="str">
            <v>ITALIA</v>
          </cell>
          <cell r="B6977">
            <v>202401</v>
          </cell>
          <cell r="D6977" t="str">
            <v>--</v>
          </cell>
          <cell r="G6977" t="str">
            <v>Presupuesto</v>
          </cell>
        </row>
        <row r="6978">
          <cell r="A6978" t="str">
            <v>ITALIA</v>
          </cell>
          <cell r="B6978">
            <v>202401</v>
          </cell>
          <cell r="D6978" t="str">
            <v>--</v>
          </cell>
          <cell r="G6978" t="str">
            <v>Real</v>
          </cell>
        </row>
        <row r="6979">
          <cell r="A6979" t="str">
            <v>ITALIA</v>
          </cell>
          <cell r="B6979">
            <v>202401</v>
          </cell>
          <cell r="D6979" t="str">
            <v>ITALIA</v>
          </cell>
          <cell r="G6979" t="str">
            <v>Real</v>
          </cell>
        </row>
        <row r="6980">
          <cell r="A6980" t="str">
            <v>ITALIA</v>
          </cell>
          <cell r="B6980">
            <v>202401</v>
          </cell>
          <cell r="D6980" t="str">
            <v>ITALIA</v>
          </cell>
          <cell r="G6980" t="str">
            <v>Real</v>
          </cell>
        </row>
        <row r="6981">
          <cell r="A6981" t="str">
            <v>ITALIA</v>
          </cell>
          <cell r="B6981">
            <v>202401</v>
          </cell>
          <cell r="D6981" t="str">
            <v>ITALIA</v>
          </cell>
          <cell r="G6981" t="str">
            <v>Real</v>
          </cell>
        </row>
        <row r="6982">
          <cell r="A6982" t="str">
            <v>ITALIA</v>
          </cell>
          <cell r="B6982">
            <v>202401</v>
          </cell>
          <cell r="D6982" t="str">
            <v>ITALIA</v>
          </cell>
          <cell r="G6982" t="str">
            <v>Real</v>
          </cell>
        </row>
        <row r="6983">
          <cell r="A6983" t="str">
            <v>ITALIA</v>
          </cell>
          <cell r="B6983">
            <v>202401</v>
          </cell>
          <cell r="D6983" t="str">
            <v>ITALIA</v>
          </cell>
          <cell r="G6983" t="str">
            <v>Real</v>
          </cell>
        </row>
        <row r="6984">
          <cell r="A6984" t="str">
            <v>ITALIA</v>
          </cell>
          <cell r="B6984">
            <v>202401</v>
          </cell>
          <cell r="D6984" t="str">
            <v>ITALIA</v>
          </cell>
          <cell r="G6984" t="str">
            <v>Real</v>
          </cell>
        </row>
        <row r="6985">
          <cell r="A6985" t="str">
            <v>ITALIA</v>
          </cell>
          <cell r="B6985">
            <v>202401</v>
          </cell>
          <cell r="D6985" t="str">
            <v>ITALIA</v>
          </cell>
          <cell r="G6985" t="str">
            <v>Real</v>
          </cell>
        </row>
        <row r="6986">
          <cell r="A6986" t="str">
            <v>ITALIA</v>
          </cell>
          <cell r="B6986">
            <v>202401</v>
          </cell>
          <cell r="D6986" t="str">
            <v>ITALIA</v>
          </cell>
          <cell r="G6986" t="str">
            <v>Real</v>
          </cell>
        </row>
        <row r="6987">
          <cell r="A6987" t="str">
            <v>ITALIA</v>
          </cell>
          <cell r="B6987">
            <v>202401</v>
          </cell>
          <cell r="D6987" t="str">
            <v>ITALIA</v>
          </cell>
          <cell r="G6987" t="str">
            <v>Real</v>
          </cell>
        </row>
        <row r="6988">
          <cell r="A6988" t="str">
            <v>ITALIA</v>
          </cell>
          <cell r="B6988">
            <v>202401</v>
          </cell>
          <cell r="D6988" t="str">
            <v>ITALIA</v>
          </cell>
          <cell r="G6988" t="str">
            <v>Real</v>
          </cell>
        </row>
        <row r="6989">
          <cell r="A6989" t="str">
            <v>ITALIA</v>
          </cell>
          <cell r="B6989">
            <v>202401</v>
          </cell>
          <cell r="D6989" t="str">
            <v>ITALIA</v>
          </cell>
          <cell r="G6989" t="str">
            <v>Real</v>
          </cell>
        </row>
        <row r="6990">
          <cell r="A6990" t="str">
            <v>ITALIA</v>
          </cell>
          <cell r="B6990">
            <v>202401</v>
          </cell>
          <cell r="D6990" t="str">
            <v>ITALIA</v>
          </cell>
          <cell r="G6990" t="str">
            <v>Real</v>
          </cell>
        </row>
        <row r="6991">
          <cell r="A6991" t="str">
            <v>ITALIA</v>
          </cell>
          <cell r="B6991">
            <v>202401</v>
          </cell>
          <cell r="D6991" t="str">
            <v>ITALIA</v>
          </cell>
          <cell r="G6991" t="str">
            <v>Real</v>
          </cell>
        </row>
        <row r="6992">
          <cell r="A6992" t="str">
            <v>ITALIA</v>
          </cell>
          <cell r="B6992">
            <v>202401</v>
          </cell>
          <cell r="D6992" t="str">
            <v>ITALIA</v>
          </cell>
          <cell r="G6992" t="str">
            <v>Real</v>
          </cell>
        </row>
        <row r="6993">
          <cell r="A6993" t="str">
            <v>ITALIA</v>
          </cell>
          <cell r="B6993">
            <v>202401</v>
          </cell>
          <cell r="D6993" t="str">
            <v>ITALIA</v>
          </cell>
          <cell r="G6993" t="str">
            <v>Real</v>
          </cell>
        </row>
        <row r="6994">
          <cell r="A6994" t="str">
            <v>ITALIA</v>
          </cell>
          <cell r="B6994">
            <v>202401</v>
          </cell>
          <cell r="D6994" t="str">
            <v>ITALIA</v>
          </cell>
          <cell r="G6994" t="str">
            <v>Real</v>
          </cell>
        </row>
        <row r="6995">
          <cell r="A6995" t="str">
            <v>ITALIA</v>
          </cell>
          <cell r="B6995">
            <v>202401</v>
          </cell>
          <cell r="D6995" t="str">
            <v>ITALIA</v>
          </cell>
          <cell r="G6995" t="str">
            <v>Real</v>
          </cell>
        </row>
        <row r="6996">
          <cell r="A6996" t="str">
            <v>ITALIA</v>
          </cell>
          <cell r="B6996">
            <v>202401</v>
          </cell>
          <cell r="D6996" t="str">
            <v>ITALIA</v>
          </cell>
          <cell r="G6996" t="str">
            <v>Real</v>
          </cell>
        </row>
        <row r="6997">
          <cell r="A6997" t="str">
            <v>ITALIA</v>
          </cell>
          <cell r="B6997">
            <v>202402</v>
          </cell>
          <cell r="D6997" t="str">
            <v>--</v>
          </cell>
          <cell r="G6997" t="str">
            <v>Presupuesto</v>
          </cell>
        </row>
        <row r="6998">
          <cell r="A6998" t="str">
            <v>ITALIA</v>
          </cell>
          <cell r="B6998">
            <v>202402</v>
          </cell>
          <cell r="D6998" t="str">
            <v>--</v>
          </cell>
          <cell r="G6998" t="str">
            <v>Real</v>
          </cell>
        </row>
        <row r="6999">
          <cell r="A6999" t="str">
            <v>ITALIA</v>
          </cell>
          <cell r="B6999">
            <v>202402</v>
          </cell>
          <cell r="D6999" t="str">
            <v>ITALIA</v>
          </cell>
          <cell r="G6999" t="str">
            <v>Real</v>
          </cell>
        </row>
        <row r="7000">
          <cell r="A7000" t="str">
            <v>ITALIA</v>
          </cell>
          <cell r="B7000">
            <v>202402</v>
          </cell>
          <cell r="D7000" t="str">
            <v>ITALIA</v>
          </cell>
          <cell r="G7000" t="str">
            <v>Real</v>
          </cell>
        </row>
        <row r="7001">
          <cell r="A7001" t="str">
            <v>ITALIA</v>
          </cell>
          <cell r="B7001">
            <v>202402</v>
          </cell>
          <cell r="D7001" t="str">
            <v>ITALIA</v>
          </cell>
          <cell r="G7001" t="str">
            <v>Real</v>
          </cell>
        </row>
        <row r="7002">
          <cell r="A7002" t="str">
            <v>ITALIA</v>
          </cell>
          <cell r="B7002">
            <v>202402</v>
          </cell>
          <cell r="D7002" t="str">
            <v>ITALIA</v>
          </cell>
          <cell r="G7002" t="str">
            <v>Real</v>
          </cell>
        </row>
        <row r="7003">
          <cell r="A7003" t="str">
            <v>ITALIA</v>
          </cell>
          <cell r="B7003">
            <v>202402</v>
          </cell>
          <cell r="D7003" t="str">
            <v>ITALIA</v>
          </cell>
          <cell r="G7003" t="str">
            <v>Real</v>
          </cell>
        </row>
        <row r="7004">
          <cell r="A7004" t="str">
            <v>ITALIA</v>
          </cell>
          <cell r="B7004">
            <v>202402</v>
          </cell>
          <cell r="D7004" t="str">
            <v>ITALIA</v>
          </cell>
          <cell r="G7004" t="str">
            <v>Real</v>
          </cell>
        </row>
        <row r="7005">
          <cell r="A7005" t="str">
            <v>ITALIA</v>
          </cell>
          <cell r="B7005">
            <v>202402</v>
          </cell>
          <cell r="D7005" t="str">
            <v>ITALIA</v>
          </cell>
          <cell r="G7005" t="str">
            <v>Real</v>
          </cell>
        </row>
        <row r="7006">
          <cell r="A7006" t="str">
            <v>ITALIA</v>
          </cell>
          <cell r="B7006">
            <v>202402</v>
          </cell>
          <cell r="D7006" t="str">
            <v>ITALIA</v>
          </cell>
          <cell r="G7006" t="str">
            <v>Real</v>
          </cell>
        </row>
        <row r="7007">
          <cell r="A7007" t="str">
            <v>ITALIA</v>
          </cell>
          <cell r="B7007">
            <v>202402</v>
          </cell>
          <cell r="D7007" t="str">
            <v>ITALIA</v>
          </cell>
          <cell r="G7007" t="str">
            <v>Real</v>
          </cell>
        </row>
        <row r="7008">
          <cell r="A7008" t="str">
            <v>ITALIA</v>
          </cell>
          <cell r="B7008">
            <v>202402</v>
          </cell>
          <cell r="D7008" t="str">
            <v>ITALIA</v>
          </cell>
          <cell r="G7008" t="str">
            <v>Real</v>
          </cell>
        </row>
        <row r="7009">
          <cell r="A7009" t="str">
            <v>ITALIA</v>
          </cell>
          <cell r="B7009">
            <v>202402</v>
          </cell>
          <cell r="D7009" t="str">
            <v>ITALIA</v>
          </cell>
          <cell r="G7009" t="str">
            <v>Real</v>
          </cell>
        </row>
        <row r="7010">
          <cell r="A7010" t="str">
            <v>ITALIA</v>
          </cell>
          <cell r="B7010">
            <v>202402</v>
          </cell>
          <cell r="D7010" t="str">
            <v>ITALIA</v>
          </cell>
          <cell r="G7010" t="str">
            <v>Real</v>
          </cell>
        </row>
        <row r="7011">
          <cell r="A7011" t="str">
            <v>ITALIA</v>
          </cell>
          <cell r="B7011">
            <v>202402</v>
          </cell>
          <cell r="D7011" t="str">
            <v>ITALIA</v>
          </cell>
          <cell r="G7011" t="str">
            <v>Real</v>
          </cell>
        </row>
        <row r="7012">
          <cell r="A7012" t="str">
            <v>ITALIA</v>
          </cell>
          <cell r="B7012">
            <v>202402</v>
          </cell>
          <cell r="D7012" t="str">
            <v>ITALIA</v>
          </cell>
          <cell r="G7012" t="str">
            <v>Real</v>
          </cell>
        </row>
        <row r="7013">
          <cell r="A7013" t="str">
            <v>ITALIA</v>
          </cell>
          <cell r="B7013">
            <v>202402</v>
          </cell>
          <cell r="D7013" t="str">
            <v>ITALIA</v>
          </cell>
          <cell r="G7013" t="str">
            <v>Real</v>
          </cell>
        </row>
        <row r="7014">
          <cell r="A7014" t="str">
            <v>ITALIA</v>
          </cell>
          <cell r="B7014">
            <v>202402</v>
          </cell>
          <cell r="D7014" t="str">
            <v>ITALIA</v>
          </cell>
          <cell r="G7014" t="str">
            <v>Real</v>
          </cell>
        </row>
        <row r="7015">
          <cell r="A7015" t="str">
            <v>ITALIA</v>
          </cell>
          <cell r="B7015">
            <v>202403</v>
          </cell>
          <cell r="D7015" t="str">
            <v>--</v>
          </cell>
          <cell r="G7015" t="str">
            <v>Presupuesto</v>
          </cell>
        </row>
        <row r="7016">
          <cell r="A7016" t="str">
            <v>ITALIA</v>
          </cell>
          <cell r="B7016">
            <v>202403</v>
          </cell>
          <cell r="D7016" t="str">
            <v>--</v>
          </cell>
          <cell r="G7016" t="str">
            <v>Real</v>
          </cell>
        </row>
        <row r="7017">
          <cell r="A7017" t="str">
            <v>ITALIA</v>
          </cell>
          <cell r="B7017">
            <v>202403</v>
          </cell>
          <cell r="D7017" t="str">
            <v>ITALIA</v>
          </cell>
          <cell r="G7017" t="str">
            <v>Real</v>
          </cell>
        </row>
        <row r="7018">
          <cell r="A7018" t="str">
            <v>ITALIA</v>
          </cell>
          <cell r="B7018">
            <v>202403</v>
          </cell>
          <cell r="D7018" t="str">
            <v>ITALIA</v>
          </cell>
          <cell r="G7018" t="str">
            <v>Real</v>
          </cell>
        </row>
        <row r="7019">
          <cell r="A7019" t="str">
            <v>ITALIA</v>
          </cell>
          <cell r="B7019">
            <v>202403</v>
          </cell>
          <cell r="D7019" t="str">
            <v>ITALIA</v>
          </cell>
          <cell r="G7019" t="str">
            <v>Real</v>
          </cell>
        </row>
        <row r="7020">
          <cell r="A7020" t="str">
            <v>ITALIA</v>
          </cell>
          <cell r="B7020">
            <v>202403</v>
          </cell>
          <cell r="D7020" t="str">
            <v>ITALIA</v>
          </cell>
          <cell r="G7020" t="str">
            <v>Real</v>
          </cell>
        </row>
        <row r="7021">
          <cell r="A7021" t="str">
            <v>ITALIA</v>
          </cell>
          <cell r="B7021">
            <v>202403</v>
          </cell>
          <cell r="D7021" t="str">
            <v>ITALIA</v>
          </cell>
          <cell r="G7021" t="str">
            <v>Real</v>
          </cell>
        </row>
        <row r="7022">
          <cell r="A7022" t="str">
            <v>ITALIA</v>
          </cell>
          <cell r="B7022">
            <v>202403</v>
          </cell>
          <cell r="D7022" t="str">
            <v>ITALIA</v>
          </cell>
          <cell r="G7022" t="str">
            <v>Real</v>
          </cell>
        </row>
        <row r="7023">
          <cell r="A7023" t="str">
            <v>ITALIA</v>
          </cell>
          <cell r="B7023">
            <v>202403</v>
          </cell>
          <cell r="D7023" t="str">
            <v>ITALIA</v>
          </cell>
          <cell r="G7023" t="str">
            <v>Real</v>
          </cell>
        </row>
        <row r="7024">
          <cell r="A7024" t="str">
            <v>ITALIA</v>
          </cell>
          <cell r="B7024">
            <v>202403</v>
          </cell>
          <cell r="D7024" t="str">
            <v>ITALIA</v>
          </cell>
          <cell r="G7024" t="str">
            <v>Real</v>
          </cell>
        </row>
        <row r="7025">
          <cell r="A7025" t="str">
            <v>ITALIA</v>
          </cell>
          <cell r="B7025">
            <v>202403</v>
          </cell>
          <cell r="D7025" t="str">
            <v>ITALIA</v>
          </cell>
          <cell r="G7025" t="str">
            <v>Real</v>
          </cell>
        </row>
        <row r="7026">
          <cell r="A7026" t="str">
            <v>ITALIA</v>
          </cell>
          <cell r="B7026">
            <v>202403</v>
          </cell>
          <cell r="D7026" t="str">
            <v>ITALIA</v>
          </cell>
          <cell r="G7026" t="str">
            <v>Real</v>
          </cell>
        </row>
        <row r="7027">
          <cell r="A7027" t="str">
            <v>ITALIA</v>
          </cell>
          <cell r="B7027">
            <v>202403</v>
          </cell>
          <cell r="D7027" t="str">
            <v>ITALIA</v>
          </cell>
          <cell r="G7027" t="str">
            <v>Real</v>
          </cell>
        </row>
        <row r="7028">
          <cell r="A7028" t="str">
            <v>ITALIA</v>
          </cell>
          <cell r="B7028">
            <v>202403</v>
          </cell>
          <cell r="D7028" t="str">
            <v>ITALIA</v>
          </cell>
          <cell r="G7028" t="str">
            <v>Real</v>
          </cell>
        </row>
        <row r="7029">
          <cell r="A7029" t="str">
            <v>ITALIA</v>
          </cell>
          <cell r="B7029">
            <v>202403</v>
          </cell>
          <cell r="D7029" t="str">
            <v>ITALIA</v>
          </cell>
          <cell r="G7029" t="str">
            <v>Real</v>
          </cell>
        </row>
        <row r="7030">
          <cell r="A7030" t="str">
            <v>ITALIA</v>
          </cell>
          <cell r="B7030">
            <v>202403</v>
          </cell>
          <cell r="D7030" t="str">
            <v>ITALIA</v>
          </cell>
          <cell r="G7030" t="str">
            <v>Real</v>
          </cell>
        </row>
        <row r="7031">
          <cell r="A7031" t="str">
            <v>ITALIA</v>
          </cell>
          <cell r="B7031">
            <v>202403</v>
          </cell>
          <cell r="D7031" t="str">
            <v>ITALIA</v>
          </cell>
          <cell r="G7031" t="str">
            <v>Real</v>
          </cell>
        </row>
        <row r="7032">
          <cell r="A7032" t="str">
            <v>ITALIA</v>
          </cell>
          <cell r="B7032">
            <v>202403</v>
          </cell>
          <cell r="D7032" t="str">
            <v>ITALIA</v>
          </cell>
          <cell r="G7032" t="str">
            <v>Real</v>
          </cell>
        </row>
        <row r="7033">
          <cell r="A7033" t="str">
            <v>ITALIA</v>
          </cell>
          <cell r="B7033">
            <v>202404</v>
          </cell>
          <cell r="D7033" t="str">
            <v>--</v>
          </cell>
          <cell r="G7033" t="str">
            <v>Presupuesto</v>
          </cell>
        </row>
        <row r="7034">
          <cell r="A7034" t="str">
            <v>ITALIA</v>
          </cell>
          <cell r="B7034">
            <v>202404</v>
          </cell>
          <cell r="D7034" t="str">
            <v>--</v>
          </cell>
          <cell r="G7034" t="str">
            <v>Real</v>
          </cell>
        </row>
        <row r="7035">
          <cell r="A7035" t="str">
            <v>ITALIA</v>
          </cell>
          <cell r="B7035">
            <v>202404</v>
          </cell>
          <cell r="D7035" t="str">
            <v>ITALIA</v>
          </cell>
          <cell r="G7035" t="str">
            <v>Real</v>
          </cell>
        </row>
        <row r="7036">
          <cell r="A7036" t="str">
            <v>ITALIA</v>
          </cell>
          <cell r="B7036">
            <v>202404</v>
          </cell>
          <cell r="D7036" t="str">
            <v>ITALIA</v>
          </cell>
          <cell r="G7036" t="str">
            <v>Real</v>
          </cell>
        </row>
        <row r="7037">
          <cell r="A7037" t="str">
            <v>ITALIA</v>
          </cell>
          <cell r="B7037">
            <v>202404</v>
          </cell>
          <cell r="D7037" t="str">
            <v>ITALIA</v>
          </cell>
          <cell r="G7037" t="str">
            <v>Real</v>
          </cell>
        </row>
        <row r="7038">
          <cell r="A7038" t="str">
            <v>ITALIA</v>
          </cell>
          <cell r="B7038">
            <v>202404</v>
          </cell>
          <cell r="D7038" t="str">
            <v>ITALIA</v>
          </cell>
          <cell r="G7038" t="str">
            <v>Real</v>
          </cell>
        </row>
        <row r="7039">
          <cell r="A7039" t="str">
            <v>ITALIA</v>
          </cell>
          <cell r="B7039">
            <v>202404</v>
          </cell>
          <cell r="D7039" t="str">
            <v>ITALIA</v>
          </cell>
          <cell r="G7039" t="str">
            <v>Real</v>
          </cell>
        </row>
        <row r="7040">
          <cell r="A7040" t="str">
            <v>ITALIA</v>
          </cell>
          <cell r="B7040">
            <v>202404</v>
          </cell>
          <cell r="D7040" t="str">
            <v>ITALIA</v>
          </cell>
          <cell r="G7040" t="str">
            <v>Real</v>
          </cell>
        </row>
        <row r="7041">
          <cell r="A7041" t="str">
            <v>ITALIA</v>
          </cell>
          <cell r="B7041">
            <v>202404</v>
          </cell>
          <cell r="D7041" t="str">
            <v>ITALIA</v>
          </cell>
          <cell r="G7041" t="str">
            <v>Real</v>
          </cell>
        </row>
        <row r="7042">
          <cell r="A7042" t="str">
            <v>ITALIA</v>
          </cell>
          <cell r="B7042">
            <v>202404</v>
          </cell>
          <cell r="D7042" t="str">
            <v>ITALIA</v>
          </cell>
          <cell r="G7042" t="str">
            <v>Real</v>
          </cell>
        </row>
        <row r="7043">
          <cell r="A7043" t="str">
            <v>ITALIA</v>
          </cell>
          <cell r="B7043">
            <v>202404</v>
          </cell>
          <cell r="D7043" t="str">
            <v>ITALIA</v>
          </cell>
          <cell r="G7043" t="str">
            <v>Real</v>
          </cell>
        </row>
        <row r="7044">
          <cell r="A7044" t="str">
            <v>ITALIA</v>
          </cell>
          <cell r="B7044">
            <v>202404</v>
          </cell>
          <cell r="D7044" t="str">
            <v>ITALIA</v>
          </cell>
          <cell r="G7044" t="str">
            <v>Real</v>
          </cell>
        </row>
        <row r="7045">
          <cell r="A7045" t="str">
            <v>ITALIA</v>
          </cell>
          <cell r="B7045">
            <v>202404</v>
          </cell>
          <cell r="D7045" t="str">
            <v>ITALIA</v>
          </cell>
          <cell r="G7045" t="str">
            <v>Real</v>
          </cell>
        </row>
        <row r="7046">
          <cell r="A7046" t="str">
            <v>ITALIA</v>
          </cell>
          <cell r="B7046">
            <v>202404</v>
          </cell>
          <cell r="D7046" t="str">
            <v>ITALIA</v>
          </cell>
          <cell r="G7046" t="str">
            <v>Real</v>
          </cell>
        </row>
        <row r="7047">
          <cell r="A7047" t="str">
            <v>ITALIA</v>
          </cell>
          <cell r="B7047">
            <v>202404</v>
          </cell>
          <cell r="D7047" t="str">
            <v>ITALIA</v>
          </cell>
          <cell r="G7047" t="str">
            <v>Real</v>
          </cell>
        </row>
        <row r="7048">
          <cell r="A7048" t="str">
            <v>ITALIA</v>
          </cell>
          <cell r="B7048">
            <v>202404</v>
          </cell>
          <cell r="D7048" t="str">
            <v>ITALIA</v>
          </cell>
          <cell r="G7048" t="str">
            <v>Real</v>
          </cell>
        </row>
        <row r="7049">
          <cell r="A7049" t="str">
            <v>ITALIA</v>
          </cell>
          <cell r="B7049">
            <v>202404</v>
          </cell>
          <cell r="D7049" t="str">
            <v>ITALIA</v>
          </cell>
          <cell r="G7049" t="str">
            <v>Real</v>
          </cell>
        </row>
        <row r="7050">
          <cell r="A7050" t="str">
            <v>ITALIA</v>
          </cell>
          <cell r="B7050">
            <v>202404</v>
          </cell>
          <cell r="D7050" t="str">
            <v>ITALIA</v>
          </cell>
          <cell r="G7050" t="str">
            <v>Real</v>
          </cell>
        </row>
        <row r="7051">
          <cell r="A7051" t="str">
            <v>ITALIA</v>
          </cell>
          <cell r="B7051">
            <v>202405</v>
          </cell>
          <cell r="D7051" t="str">
            <v>--</v>
          </cell>
          <cell r="G7051" t="str">
            <v>Presupuesto</v>
          </cell>
        </row>
        <row r="7052">
          <cell r="A7052" t="str">
            <v>ITALIA</v>
          </cell>
          <cell r="B7052">
            <v>202405</v>
          </cell>
          <cell r="D7052" t="str">
            <v>--</v>
          </cell>
          <cell r="G7052" t="str">
            <v>Real</v>
          </cell>
        </row>
        <row r="7053">
          <cell r="A7053" t="str">
            <v>ITALIA</v>
          </cell>
          <cell r="B7053">
            <v>202405</v>
          </cell>
          <cell r="D7053" t="str">
            <v>ITALIA</v>
          </cell>
          <cell r="G7053" t="str">
            <v>Real</v>
          </cell>
        </row>
        <row r="7054">
          <cell r="A7054" t="str">
            <v>ITALIA</v>
          </cell>
          <cell r="B7054">
            <v>202405</v>
          </cell>
          <cell r="D7054" t="str">
            <v>ITALIA</v>
          </cell>
          <cell r="G7054" t="str">
            <v>Real</v>
          </cell>
        </row>
        <row r="7055">
          <cell r="A7055" t="str">
            <v>ITALIA</v>
          </cell>
          <cell r="B7055">
            <v>202405</v>
          </cell>
          <cell r="D7055" t="str">
            <v>ITALIA</v>
          </cell>
          <cell r="G7055" t="str">
            <v>Real</v>
          </cell>
        </row>
        <row r="7056">
          <cell r="A7056" t="str">
            <v>ITALIA</v>
          </cell>
          <cell r="B7056">
            <v>202405</v>
          </cell>
          <cell r="D7056" t="str">
            <v>ITALIA</v>
          </cell>
          <cell r="G7056" t="str">
            <v>Real</v>
          </cell>
        </row>
        <row r="7057">
          <cell r="A7057" t="str">
            <v>ITALIA</v>
          </cell>
          <cell r="B7057">
            <v>202405</v>
          </cell>
          <cell r="D7057" t="str">
            <v>ITALIA</v>
          </cell>
          <cell r="G7057" t="str">
            <v>Real</v>
          </cell>
        </row>
        <row r="7058">
          <cell r="A7058" t="str">
            <v>ITALIA</v>
          </cell>
          <cell r="B7058">
            <v>202405</v>
          </cell>
          <cell r="D7058" t="str">
            <v>ITALIA</v>
          </cell>
          <cell r="G7058" t="str">
            <v>Real</v>
          </cell>
        </row>
        <row r="7059">
          <cell r="A7059" t="str">
            <v>ITALIA</v>
          </cell>
          <cell r="B7059">
            <v>202405</v>
          </cell>
          <cell r="D7059" t="str">
            <v>ITALIA</v>
          </cell>
          <cell r="G7059" t="str">
            <v>Real</v>
          </cell>
        </row>
        <row r="7060">
          <cell r="A7060" t="str">
            <v>ITALIA</v>
          </cell>
          <cell r="B7060">
            <v>202405</v>
          </cell>
          <cell r="D7060" t="str">
            <v>ITALIA</v>
          </cell>
          <cell r="G7060" t="str">
            <v>Real</v>
          </cell>
        </row>
        <row r="7061">
          <cell r="A7061" t="str">
            <v>ITALIA</v>
          </cell>
          <cell r="B7061">
            <v>202405</v>
          </cell>
          <cell r="D7061" t="str">
            <v>ITALIA</v>
          </cell>
          <cell r="G7061" t="str">
            <v>Real</v>
          </cell>
        </row>
        <row r="7062">
          <cell r="A7062" t="str">
            <v>ITALIA</v>
          </cell>
          <cell r="B7062">
            <v>202405</v>
          </cell>
          <cell r="D7062" t="str">
            <v>ITALIA</v>
          </cell>
          <cell r="G7062" t="str">
            <v>Real</v>
          </cell>
        </row>
        <row r="7063">
          <cell r="A7063" t="str">
            <v>ITALIA</v>
          </cell>
          <cell r="B7063">
            <v>202405</v>
          </cell>
          <cell r="D7063" t="str">
            <v>ITALIA</v>
          </cell>
          <cell r="G7063" t="str">
            <v>Real</v>
          </cell>
        </row>
        <row r="7064">
          <cell r="A7064" t="str">
            <v>ITALIA</v>
          </cell>
          <cell r="B7064">
            <v>202405</v>
          </cell>
          <cell r="D7064" t="str">
            <v>ITALIA</v>
          </cell>
          <cell r="G7064" t="str">
            <v>Real</v>
          </cell>
        </row>
        <row r="7065">
          <cell r="A7065" t="str">
            <v>ITALIA</v>
          </cell>
          <cell r="B7065">
            <v>202405</v>
          </cell>
          <cell r="D7065" t="str">
            <v>ITALIA</v>
          </cell>
          <cell r="G7065" t="str">
            <v>Real</v>
          </cell>
        </row>
        <row r="7066">
          <cell r="A7066" t="str">
            <v>ITALIA</v>
          </cell>
          <cell r="B7066">
            <v>202405</v>
          </cell>
          <cell r="D7066" t="str">
            <v>ITALIA</v>
          </cell>
          <cell r="G7066" t="str">
            <v>Real</v>
          </cell>
        </row>
        <row r="7067">
          <cell r="A7067" t="str">
            <v>ITALIA</v>
          </cell>
          <cell r="B7067">
            <v>202405</v>
          </cell>
          <cell r="D7067" t="str">
            <v>ITALIA</v>
          </cell>
          <cell r="G7067" t="str">
            <v>Real</v>
          </cell>
        </row>
        <row r="7068">
          <cell r="A7068" t="str">
            <v>ITALIA</v>
          </cell>
          <cell r="B7068">
            <v>202406</v>
          </cell>
          <cell r="D7068" t="str">
            <v>--</v>
          </cell>
          <cell r="G7068" t="str">
            <v>Presupuesto</v>
          </cell>
        </row>
        <row r="7069">
          <cell r="A7069" t="str">
            <v>ITALIA</v>
          </cell>
          <cell r="B7069">
            <v>202406</v>
          </cell>
          <cell r="D7069" t="str">
            <v>--</v>
          </cell>
          <cell r="G7069" t="str">
            <v>Real</v>
          </cell>
        </row>
        <row r="7070">
          <cell r="A7070" t="str">
            <v>ITALIA</v>
          </cell>
          <cell r="B7070">
            <v>202406</v>
          </cell>
          <cell r="D7070" t="str">
            <v>ITALIA</v>
          </cell>
          <cell r="G7070" t="str">
            <v>Real</v>
          </cell>
        </row>
        <row r="7071">
          <cell r="A7071" t="str">
            <v>ITALIA</v>
          </cell>
          <cell r="B7071">
            <v>202406</v>
          </cell>
          <cell r="D7071" t="str">
            <v>ITALIA</v>
          </cell>
          <cell r="G7071" t="str">
            <v>Real</v>
          </cell>
        </row>
        <row r="7072">
          <cell r="A7072" t="str">
            <v>ITALIA</v>
          </cell>
          <cell r="B7072">
            <v>202406</v>
          </cell>
          <cell r="D7072" t="str">
            <v>ITALIA</v>
          </cell>
          <cell r="G7072" t="str">
            <v>Real</v>
          </cell>
        </row>
        <row r="7073">
          <cell r="A7073" t="str">
            <v>ITALIA</v>
          </cell>
          <cell r="B7073">
            <v>202406</v>
          </cell>
          <cell r="D7073" t="str">
            <v>ITALIA</v>
          </cell>
          <cell r="G7073" t="str">
            <v>Real</v>
          </cell>
        </row>
        <row r="7074">
          <cell r="A7074" t="str">
            <v>ITALIA</v>
          </cell>
          <cell r="B7074">
            <v>202406</v>
          </cell>
          <cell r="D7074" t="str">
            <v>ITALIA</v>
          </cell>
          <cell r="G7074" t="str">
            <v>Real</v>
          </cell>
        </row>
        <row r="7075">
          <cell r="A7075" t="str">
            <v>ITALIA</v>
          </cell>
          <cell r="B7075">
            <v>202406</v>
          </cell>
          <cell r="D7075" t="str">
            <v>ITALIA</v>
          </cell>
          <cell r="G7075" t="str">
            <v>Real</v>
          </cell>
        </row>
        <row r="7076">
          <cell r="A7076" t="str">
            <v>ITALIA</v>
          </cell>
          <cell r="B7076">
            <v>202406</v>
          </cell>
          <cell r="D7076" t="str">
            <v>ITALIA</v>
          </cell>
          <cell r="G7076" t="str">
            <v>Real</v>
          </cell>
        </row>
        <row r="7077">
          <cell r="A7077" t="str">
            <v>ITALIA</v>
          </cell>
          <cell r="B7077">
            <v>202406</v>
          </cell>
          <cell r="D7077" t="str">
            <v>ITALIA</v>
          </cell>
          <cell r="G7077" t="str">
            <v>Real</v>
          </cell>
        </row>
        <row r="7078">
          <cell r="A7078" t="str">
            <v>ITALIA</v>
          </cell>
          <cell r="B7078">
            <v>202406</v>
          </cell>
          <cell r="D7078" t="str">
            <v>ITALIA</v>
          </cell>
          <cell r="G7078" t="str">
            <v>Real</v>
          </cell>
        </row>
        <row r="7079">
          <cell r="A7079" t="str">
            <v>ITALIA</v>
          </cell>
          <cell r="B7079">
            <v>202406</v>
          </cell>
          <cell r="D7079" t="str">
            <v>ITALIA</v>
          </cell>
          <cell r="G7079" t="str">
            <v>Real</v>
          </cell>
        </row>
        <row r="7080">
          <cell r="A7080" t="str">
            <v>ITALIA</v>
          </cell>
          <cell r="B7080">
            <v>202406</v>
          </cell>
          <cell r="D7080" t="str">
            <v>ITALIA</v>
          </cell>
          <cell r="G7080" t="str">
            <v>Real</v>
          </cell>
        </row>
        <row r="7081">
          <cell r="A7081" t="str">
            <v>ITALIA</v>
          </cell>
          <cell r="B7081">
            <v>202406</v>
          </cell>
          <cell r="D7081" t="str">
            <v>ITALIA</v>
          </cell>
          <cell r="G7081" t="str">
            <v>Real</v>
          </cell>
        </row>
        <row r="7082">
          <cell r="A7082" t="str">
            <v>ITALIA</v>
          </cell>
          <cell r="B7082">
            <v>202406</v>
          </cell>
          <cell r="D7082" t="str">
            <v>ITALIA</v>
          </cell>
          <cell r="G7082" t="str">
            <v>Real</v>
          </cell>
        </row>
        <row r="7083">
          <cell r="A7083" t="str">
            <v>ITALIA</v>
          </cell>
          <cell r="B7083">
            <v>202406</v>
          </cell>
          <cell r="D7083" t="str">
            <v>ITALIA</v>
          </cell>
          <cell r="G7083" t="str">
            <v>Real</v>
          </cell>
        </row>
        <row r="7084">
          <cell r="A7084" t="str">
            <v>ITALIA</v>
          </cell>
          <cell r="B7084">
            <v>202406</v>
          </cell>
          <cell r="D7084" t="str">
            <v>ITALIA</v>
          </cell>
          <cell r="G7084" t="str">
            <v>Real</v>
          </cell>
        </row>
        <row r="7085">
          <cell r="A7085" t="str">
            <v>ITALIA</v>
          </cell>
          <cell r="B7085">
            <v>202406</v>
          </cell>
          <cell r="D7085" t="str">
            <v>ITALIA</v>
          </cell>
          <cell r="G7085" t="str">
            <v>Real</v>
          </cell>
        </row>
        <row r="7086">
          <cell r="A7086" t="str">
            <v>ITALIA</v>
          </cell>
          <cell r="B7086">
            <v>202406</v>
          </cell>
          <cell r="D7086" t="str">
            <v>ITALIA</v>
          </cell>
          <cell r="G7086" t="str">
            <v>Real</v>
          </cell>
        </row>
        <row r="7087">
          <cell r="A7087" t="str">
            <v>ITALIA</v>
          </cell>
          <cell r="B7087">
            <v>202407</v>
          </cell>
          <cell r="D7087" t="str">
            <v>--</v>
          </cell>
          <cell r="G7087" t="str">
            <v>Presupuesto</v>
          </cell>
        </row>
        <row r="7088">
          <cell r="A7088" t="str">
            <v>ITALIA</v>
          </cell>
          <cell r="B7088">
            <v>202407</v>
          </cell>
          <cell r="D7088" t="str">
            <v>--</v>
          </cell>
          <cell r="G7088" t="str">
            <v>Real</v>
          </cell>
        </row>
        <row r="7089">
          <cell r="A7089" t="str">
            <v>ITALIA</v>
          </cell>
          <cell r="B7089">
            <v>202407</v>
          </cell>
          <cell r="D7089" t="str">
            <v>ITALIA</v>
          </cell>
          <cell r="G7089" t="str">
            <v>Real</v>
          </cell>
        </row>
        <row r="7090">
          <cell r="A7090" t="str">
            <v>ITALIA</v>
          </cell>
          <cell r="B7090">
            <v>202407</v>
          </cell>
          <cell r="D7090" t="str">
            <v>ITALIA</v>
          </cell>
          <cell r="G7090" t="str">
            <v>Real</v>
          </cell>
        </row>
        <row r="7091">
          <cell r="A7091" t="str">
            <v>ITALIA</v>
          </cell>
          <cell r="B7091">
            <v>202407</v>
          </cell>
          <cell r="D7091" t="str">
            <v>ITALIA</v>
          </cell>
          <cell r="G7091" t="str">
            <v>Real</v>
          </cell>
        </row>
        <row r="7092">
          <cell r="A7092" t="str">
            <v>ITALIA</v>
          </cell>
          <cell r="B7092">
            <v>202407</v>
          </cell>
          <cell r="D7092" t="str">
            <v>ITALIA</v>
          </cell>
          <cell r="G7092" t="str">
            <v>Real</v>
          </cell>
        </row>
        <row r="7093">
          <cell r="A7093" t="str">
            <v>ITALIA</v>
          </cell>
          <cell r="B7093">
            <v>202407</v>
          </cell>
          <cell r="D7093" t="str">
            <v>ITALIA</v>
          </cell>
          <cell r="G7093" t="str">
            <v>Real</v>
          </cell>
        </row>
        <row r="7094">
          <cell r="A7094" t="str">
            <v>ITALIA</v>
          </cell>
          <cell r="B7094">
            <v>202407</v>
          </cell>
          <cell r="D7094" t="str">
            <v>ITALIA</v>
          </cell>
          <cell r="G7094" t="str">
            <v>Real</v>
          </cell>
        </row>
        <row r="7095">
          <cell r="A7095" t="str">
            <v>ITALIA</v>
          </cell>
          <cell r="B7095">
            <v>202407</v>
          </cell>
          <cell r="D7095" t="str">
            <v>ITALIA</v>
          </cell>
          <cell r="G7095" t="str">
            <v>Real</v>
          </cell>
        </row>
        <row r="7096">
          <cell r="A7096" t="str">
            <v>ITALIA</v>
          </cell>
          <cell r="B7096">
            <v>202407</v>
          </cell>
          <cell r="D7096" t="str">
            <v>ITALIA</v>
          </cell>
          <cell r="G7096" t="str">
            <v>Real</v>
          </cell>
        </row>
        <row r="7097">
          <cell r="A7097" t="str">
            <v>ITALIA</v>
          </cell>
          <cell r="B7097">
            <v>202407</v>
          </cell>
          <cell r="D7097" t="str">
            <v>ITALIA</v>
          </cell>
          <cell r="G7097" t="str">
            <v>Real</v>
          </cell>
        </row>
        <row r="7098">
          <cell r="A7098" t="str">
            <v>ITALIA</v>
          </cell>
          <cell r="B7098">
            <v>202407</v>
          </cell>
          <cell r="D7098" t="str">
            <v>ITALIA</v>
          </cell>
          <cell r="G7098" t="str">
            <v>Real</v>
          </cell>
        </row>
        <row r="7099">
          <cell r="A7099" t="str">
            <v>ITALIA</v>
          </cell>
          <cell r="B7099">
            <v>202407</v>
          </cell>
          <cell r="D7099" t="str">
            <v>ITALIA</v>
          </cell>
          <cell r="G7099" t="str">
            <v>Real</v>
          </cell>
        </row>
        <row r="7100">
          <cell r="A7100" t="str">
            <v>ITALIA</v>
          </cell>
          <cell r="B7100">
            <v>202407</v>
          </cell>
          <cell r="D7100" t="str">
            <v>ITALIA</v>
          </cell>
          <cell r="G7100" t="str">
            <v>Real</v>
          </cell>
        </row>
        <row r="7101">
          <cell r="A7101" t="str">
            <v>ITALIA</v>
          </cell>
          <cell r="B7101">
            <v>202407</v>
          </cell>
          <cell r="D7101" t="str">
            <v>ITALIA</v>
          </cell>
          <cell r="G7101" t="str">
            <v>Real</v>
          </cell>
        </row>
        <row r="7102">
          <cell r="A7102" t="str">
            <v>ITALIA</v>
          </cell>
          <cell r="B7102">
            <v>202407</v>
          </cell>
          <cell r="D7102" t="str">
            <v>ITALIA</v>
          </cell>
          <cell r="G7102" t="str">
            <v>Real</v>
          </cell>
        </row>
        <row r="7103">
          <cell r="A7103" t="str">
            <v>ITALIA</v>
          </cell>
          <cell r="B7103">
            <v>202407</v>
          </cell>
          <cell r="D7103" t="str">
            <v>ITALIA</v>
          </cell>
          <cell r="G7103" t="str">
            <v>Real</v>
          </cell>
        </row>
        <row r="7104">
          <cell r="A7104" t="str">
            <v>ITALIA</v>
          </cell>
          <cell r="B7104">
            <v>202407</v>
          </cell>
          <cell r="D7104" t="str">
            <v>ITALIA</v>
          </cell>
          <cell r="G7104" t="str">
            <v>Real</v>
          </cell>
        </row>
        <row r="7105">
          <cell r="A7105" t="str">
            <v>ITALIA</v>
          </cell>
          <cell r="B7105">
            <v>202408</v>
          </cell>
          <cell r="D7105" t="str">
            <v>--</v>
          </cell>
          <cell r="G7105" t="str">
            <v>Presupuesto</v>
          </cell>
        </row>
        <row r="7106">
          <cell r="A7106" t="str">
            <v>ITALIA</v>
          </cell>
          <cell r="B7106">
            <v>202408</v>
          </cell>
          <cell r="D7106" t="str">
            <v>--</v>
          </cell>
          <cell r="G7106" t="str">
            <v>Real</v>
          </cell>
        </row>
        <row r="7107">
          <cell r="A7107" t="str">
            <v>ITALIA</v>
          </cell>
          <cell r="B7107">
            <v>202408</v>
          </cell>
          <cell r="D7107" t="str">
            <v>ITALIA</v>
          </cell>
          <cell r="G7107" t="str">
            <v>Real</v>
          </cell>
        </row>
        <row r="7108">
          <cell r="A7108" t="str">
            <v>ITALIA</v>
          </cell>
          <cell r="B7108">
            <v>202408</v>
          </cell>
          <cell r="D7108" t="str">
            <v>ITALIA</v>
          </cell>
          <cell r="G7108" t="str">
            <v>Real</v>
          </cell>
        </row>
        <row r="7109">
          <cell r="A7109" t="str">
            <v>ITALIA</v>
          </cell>
          <cell r="B7109">
            <v>202408</v>
          </cell>
          <cell r="D7109" t="str">
            <v>ITALIA</v>
          </cell>
          <cell r="G7109" t="str">
            <v>Real</v>
          </cell>
        </row>
        <row r="7110">
          <cell r="A7110" t="str">
            <v>ITALIA</v>
          </cell>
          <cell r="B7110">
            <v>202408</v>
          </cell>
          <cell r="D7110" t="str">
            <v>ITALIA</v>
          </cell>
          <cell r="G7110" t="str">
            <v>Real</v>
          </cell>
        </row>
        <row r="7111">
          <cell r="A7111" t="str">
            <v>ITALIA</v>
          </cell>
          <cell r="B7111">
            <v>202408</v>
          </cell>
          <cell r="D7111" t="str">
            <v>ITALIA</v>
          </cell>
          <cell r="G7111" t="str">
            <v>Real</v>
          </cell>
        </row>
        <row r="7112">
          <cell r="A7112" t="str">
            <v>ITALIA</v>
          </cell>
          <cell r="B7112">
            <v>202408</v>
          </cell>
          <cell r="D7112" t="str">
            <v>ITALIA</v>
          </cell>
          <cell r="G7112" t="str">
            <v>Real</v>
          </cell>
        </row>
        <row r="7113">
          <cell r="A7113" t="str">
            <v>ITALIA</v>
          </cell>
          <cell r="B7113">
            <v>202408</v>
          </cell>
          <cell r="D7113" t="str">
            <v>ITALIA</v>
          </cell>
          <cell r="G7113" t="str">
            <v>Real</v>
          </cell>
        </row>
        <row r="7114">
          <cell r="A7114" t="str">
            <v>ITALIA</v>
          </cell>
          <cell r="B7114">
            <v>202408</v>
          </cell>
          <cell r="D7114" t="str">
            <v>ITALIA</v>
          </cell>
          <cell r="G7114" t="str">
            <v>Real</v>
          </cell>
        </row>
        <row r="7115">
          <cell r="A7115" t="str">
            <v>ITALIA</v>
          </cell>
          <cell r="B7115">
            <v>202408</v>
          </cell>
          <cell r="D7115" t="str">
            <v>ITALIA</v>
          </cell>
          <cell r="G7115" t="str">
            <v>Real</v>
          </cell>
        </row>
        <row r="7116">
          <cell r="A7116" t="str">
            <v>ITALIA</v>
          </cell>
          <cell r="B7116">
            <v>202408</v>
          </cell>
          <cell r="D7116" t="str">
            <v>ITALIA</v>
          </cell>
          <cell r="G7116" t="str">
            <v>Real</v>
          </cell>
        </row>
        <row r="7117">
          <cell r="A7117" t="str">
            <v>ITALIA</v>
          </cell>
          <cell r="B7117">
            <v>202408</v>
          </cell>
          <cell r="D7117" t="str">
            <v>ITALIA</v>
          </cell>
          <cell r="G7117" t="str">
            <v>Real</v>
          </cell>
        </row>
        <row r="7118">
          <cell r="A7118" t="str">
            <v>ITALIA</v>
          </cell>
          <cell r="B7118">
            <v>202408</v>
          </cell>
          <cell r="D7118" t="str">
            <v>ITALIA</v>
          </cell>
          <cell r="G7118" t="str">
            <v>Real</v>
          </cell>
        </row>
        <row r="7119">
          <cell r="A7119" t="str">
            <v>ITALIA</v>
          </cell>
          <cell r="B7119">
            <v>202408</v>
          </cell>
          <cell r="D7119" t="str">
            <v>ITALIA</v>
          </cell>
          <cell r="G7119" t="str">
            <v>Real</v>
          </cell>
        </row>
        <row r="7120">
          <cell r="A7120" t="str">
            <v>ITALIA</v>
          </cell>
          <cell r="B7120">
            <v>202408</v>
          </cell>
          <cell r="D7120" t="str">
            <v>ITALIA</v>
          </cell>
          <cell r="G7120" t="str">
            <v>Real</v>
          </cell>
        </row>
        <row r="7121">
          <cell r="A7121" t="str">
            <v>ITALIA</v>
          </cell>
          <cell r="B7121">
            <v>202409</v>
          </cell>
          <cell r="D7121" t="str">
            <v>--</v>
          </cell>
          <cell r="G7121" t="str">
            <v>Presupuesto</v>
          </cell>
        </row>
        <row r="7122">
          <cell r="A7122" t="str">
            <v>ITALIA</v>
          </cell>
          <cell r="B7122">
            <v>202409</v>
          </cell>
          <cell r="D7122" t="str">
            <v>--</v>
          </cell>
          <cell r="G7122" t="str">
            <v>Real</v>
          </cell>
        </row>
        <row r="7123">
          <cell r="A7123" t="str">
            <v>ITALIA</v>
          </cell>
          <cell r="B7123">
            <v>202409</v>
          </cell>
          <cell r="D7123" t="str">
            <v>ITALIA</v>
          </cell>
          <cell r="G7123" t="str">
            <v>Real</v>
          </cell>
        </row>
        <row r="7124">
          <cell r="A7124" t="str">
            <v>ITALIA</v>
          </cell>
          <cell r="B7124">
            <v>202409</v>
          </cell>
          <cell r="D7124" t="str">
            <v>ITALIA</v>
          </cell>
          <cell r="G7124" t="str">
            <v>Real</v>
          </cell>
        </row>
        <row r="7125">
          <cell r="A7125" t="str">
            <v>ITALIA</v>
          </cell>
          <cell r="B7125">
            <v>202409</v>
          </cell>
          <cell r="D7125" t="str">
            <v>ITALIA</v>
          </cell>
          <cell r="G7125" t="str">
            <v>Real</v>
          </cell>
        </row>
        <row r="7126">
          <cell r="A7126" t="str">
            <v>ITALIA</v>
          </cell>
          <cell r="B7126">
            <v>202409</v>
          </cell>
          <cell r="D7126" t="str">
            <v>ITALIA</v>
          </cell>
          <cell r="G7126" t="str">
            <v>Real</v>
          </cell>
        </row>
        <row r="7127">
          <cell r="A7127" t="str">
            <v>ITALIA</v>
          </cell>
          <cell r="B7127">
            <v>202409</v>
          </cell>
          <cell r="D7127" t="str">
            <v>ITALIA</v>
          </cell>
          <cell r="G7127" t="str">
            <v>Real</v>
          </cell>
        </row>
        <row r="7128">
          <cell r="A7128" t="str">
            <v>ITALIA</v>
          </cell>
          <cell r="B7128">
            <v>202409</v>
          </cell>
          <cell r="D7128" t="str">
            <v>ITALIA</v>
          </cell>
          <cell r="G7128" t="str">
            <v>Real</v>
          </cell>
        </row>
        <row r="7129">
          <cell r="A7129" t="str">
            <v>ITALIA</v>
          </cell>
          <cell r="B7129">
            <v>202409</v>
          </cell>
          <cell r="D7129" t="str">
            <v>ITALIA</v>
          </cell>
          <cell r="G7129" t="str">
            <v>Real</v>
          </cell>
        </row>
        <row r="7130">
          <cell r="A7130" t="str">
            <v>ITALIA</v>
          </cell>
          <cell r="B7130">
            <v>202409</v>
          </cell>
          <cell r="D7130" t="str">
            <v>ITALIA</v>
          </cell>
          <cell r="G7130" t="str">
            <v>Real</v>
          </cell>
        </row>
        <row r="7131">
          <cell r="A7131" t="str">
            <v>ITALIA</v>
          </cell>
          <cell r="B7131">
            <v>202409</v>
          </cell>
          <cell r="D7131" t="str">
            <v>ITALIA</v>
          </cell>
          <cell r="G7131" t="str">
            <v>Real</v>
          </cell>
        </row>
        <row r="7132">
          <cell r="A7132" t="str">
            <v>ITALIA</v>
          </cell>
          <cell r="B7132">
            <v>202409</v>
          </cell>
          <cell r="D7132" t="str">
            <v>ITALIA</v>
          </cell>
          <cell r="G7132" t="str">
            <v>Real</v>
          </cell>
        </row>
        <row r="7133">
          <cell r="A7133" t="str">
            <v>ITALIA</v>
          </cell>
          <cell r="B7133">
            <v>202409</v>
          </cell>
          <cell r="D7133" t="str">
            <v>ITALIA</v>
          </cell>
          <cell r="G7133" t="str">
            <v>Real</v>
          </cell>
        </row>
        <row r="7134">
          <cell r="A7134" t="str">
            <v>ITALIA</v>
          </cell>
          <cell r="B7134">
            <v>202409</v>
          </cell>
          <cell r="D7134" t="str">
            <v>ITALIA</v>
          </cell>
          <cell r="G7134" t="str">
            <v>Real</v>
          </cell>
        </row>
        <row r="7135">
          <cell r="A7135" t="str">
            <v>ITALIA</v>
          </cell>
          <cell r="B7135">
            <v>202409</v>
          </cell>
          <cell r="D7135" t="str">
            <v>ITALIA</v>
          </cell>
          <cell r="G7135" t="str">
            <v>Real</v>
          </cell>
        </row>
        <row r="7136">
          <cell r="A7136" t="str">
            <v>ITALIA</v>
          </cell>
          <cell r="B7136">
            <v>202409</v>
          </cell>
          <cell r="D7136" t="str">
            <v>ITALIA</v>
          </cell>
          <cell r="G7136" t="str">
            <v>Real</v>
          </cell>
        </row>
        <row r="7137">
          <cell r="A7137" t="str">
            <v>ITALIA</v>
          </cell>
          <cell r="B7137">
            <v>202409</v>
          </cell>
          <cell r="D7137" t="str">
            <v>ITALIA</v>
          </cell>
          <cell r="G7137" t="str">
            <v>Real</v>
          </cell>
        </row>
        <row r="7138">
          <cell r="A7138" t="str">
            <v>ITALIA</v>
          </cell>
          <cell r="B7138">
            <v>202410</v>
          </cell>
          <cell r="D7138" t="str">
            <v>--</v>
          </cell>
          <cell r="G7138" t="str">
            <v>Presupuesto</v>
          </cell>
        </row>
        <row r="7139">
          <cell r="A7139" t="str">
            <v>ITALIA</v>
          </cell>
          <cell r="B7139">
            <v>202410</v>
          </cell>
          <cell r="D7139" t="str">
            <v>--</v>
          </cell>
          <cell r="G7139" t="str">
            <v>Real</v>
          </cell>
        </row>
        <row r="7140">
          <cell r="A7140" t="str">
            <v>ITALIA</v>
          </cell>
          <cell r="B7140">
            <v>202410</v>
          </cell>
          <cell r="D7140" t="str">
            <v>ITALIA</v>
          </cell>
          <cell r="G7140" t="str">
            <v>Real</v>
          </cell>
        </row>
        <row r="7141">
          <cell r="A7141" t="str">
            <v>ITALIA</v>
          </cell>
          <cell r="B7141">
            <v>202410</v>
          </cell>
          <cell r="D7141" t="str">
            <v>ITALIA</v>
          </cell>
          <cell r="G7141" t="str">
            <v>Real</v>
          </cell>
        </row>
        <row r="7142">
          <cell r="A7142" t="str">
            <v>ITALIA</v>
          </cell>
          <cell r="B7142">
            <v>202410</v>
          </cell>
          <cell r="D7142" t="str">
            <v>ITALIA</v>
          </cell>
          <cell r="G7142" t="str">
            <v>Real</v>
          </cell>
        </row>
        <row r="7143">
          <cell r="A7143" t="str">
            <v>ITALIA</v>
          </cell>
          <cell r="B7143">
            <v>202410</v>
          </cell>
          <cell r="D7143" t="str">
            <v>ITALIA</v>
          </cell>
          <cell r="G7143" t="str">
            <v>Real</v>
          </cell>
        </row>
        <row r="7144">
          <cell r="A7144" t="str">
            <v>ITALIA</v>
          </cell>
          <cell r="B7144">
            <v>202410</v>
          </cell>
          <cell r="D7144" t="str">
            <v>ITALIA</v>
          </cell>
          <cell r="G7144" t="str">
            <v>Real</v>
          </cell>
        </row>
        <row r="7145">
          <cell r="A7145" t="str">
            <v>ITALIA</v>
          </cell>
          <cell r="B7145">
            <v>202410</v>
          </cell>
          <cell r="D7145" t="str">
            <v>ITALIA</v>
          </cell>
          <cell r="G7145" t="str">
            <v>Real</v>
          </cell>
        </row>
        <row r="7146">
          <cell r="A7146" t="str">
            <v>ITALIA</v>
          </cell>
          <cell r="B7146">
            <v>202410</v>
          </cell>
          <cell r="D7146" t="str">
            <v>ITALIA</v>
          </cell>
          <cell r="G7146" t="str">
            <v>Real</v>
          </cell>
        </row>
        <row r="7147">
          <cell r="A7147" t="str">
            <v>ITALIA</v>
          </cell>
          <cell r="B7147">
            <v>202410</v>
          </cell>
          <cell r="D7147" t="str">
            <v>ITALIA</v>
          </cell>
          <cell r="G7147" t="str">
            <v>Real</v>
          </cell>
        </row>
        <row r="7148">
          <cell r="A7148" t="str">
            <v>ITALIA</v>
          </cell>
          <cell r="B7148">
            <v>202410</v>
          </cell>
          <cell r="D7148" t="str">
            <v>ITALIA</v>
          </cell>
          <cell r="G7148" t="str">
            <v>Real</v>
          </cell>
        </row>
        <row r="7149">
          <cell r="A7149" t="str">
            <v>ITALIA</v>
          </cell>
          <cell r="B7149">
            <v>202410</v>
          </cell>
          <cell r="D7149" t="str">
            <v>ITALIA</v>
          </cell>
          <cell r="G7149" t="str">
            <v>Real</v>
          </cell>
        </row>
        <row r="7150">
          <cell r="A7150" t="str">
            <v>ITALIA</v>
          </cell>
          <cell r="B7150">
            <v>202410</v>
          </cell>
          <cell r="D7150" t="str">
            <v>ITALIA</v>
          </cell>
          <cell r="G7150" t="str">
            <v>Real</v>
          </cell>
        </row>
        <row r="7151">
          <cell r="A7151" t="str">
            <v>ITALIA</v>
          </cell>
          <cell r="B7151">
            <v>202410</v>
          </cell>
          <cell r="D7151" t="str">
            <v>ITALIA</v>
          </cell>
          <cell r="G7151" t="str">
            <v>Real</v>
          </cell>
        </row>
        <row r="7152">
          <cell r="A7152" t="str">
            <v>ITALIA</v>
          </cell>
          <cell r="B7152">
            <v>202410</v>
          </cell>
          <cell r="D7152" t="str">
            <v>ITALIA</v>
          </cell>
          <cell r="G7152" t="str">
            <v>Real</v>
          </cell>
        </row>
        <row r="7153">
          <cell r="A7153" t="str">
            <v>ITALIA</v>
          </cell>
          <cell r="B7153">
            <v>202410</v>
          </cell>
          <cell r="D7153" t="str">
            <v>ITALIA</v>
          </cell>
          <cell r="G7153" t="str">
            <v>Real</v>
          </cell>
        </row>
        <row r="7154">
          <cell r="A7154" t="str">
            <v>ITALIA</v>
          </cell>
          <cell r="B7154">
            <v>202410</v>
          </cell>
          <cell r="D7154" t="str">
            <v>ITALIA</v>
          </cell>
          <cell r="G7154" t="str">
            <v>Real</v>
          </cell>
        </row>
        <row r="7155">
          <cell r="A7155" t="str">
            <v>ITALIA</v>
          </cell>
          <cell r="B7155">
            <v>202411</v>
          </cell>
          <cell r="D7155" t="str">
            <v>--</v>
          </cell>
          <cell r="G7155" t="str">
            <v>Presupuesto</v>
          </cell>
        </row>
        <row r="7156">
          <cell r="A7156" t="str">
            <v>ITALIA</v>
          </cell>
          <cell r="B7156">
            <v>202411</v>
          </cell>
          <cell r="D7156" t="str">
            <v>--</v>
          </cell>
          <cell r="G7156" t="str">
            <v>Real</v>
          </cell>
        </row>
        <row r="7157">
          <cell r="A7157" t="str">
            <v>ITALIA</v>
          </cell>
          <cell r="B7157">
            <v>202411</v>
          </cell>
          <cell r="D7157" t="str">
            <v>ITALIA</v>
          </cell>
          <cell r="G7157" t="str">
            <v>Real</v>
          </cell>
        </row>
        <row r="7158">
          <cell r="A7158" t="str">
            <v>ITALIA</v>
          </cell>
          <cell r="B7158">
            <v>202411</v>
          </cell>
          <cell r="D7158" t="str">
            <v>ITALIA</v>
          </cell>
          <cell r="G7158" t="str">
            <v>Real</v>
          </cell>
        </row>
        <row r="7159">
          <cell r="A7159" t="str">
            <v>ITALIA</v>
          </cell>
          <cell r="B7159">
            <v>202411</v>
          </cell>
          <cell r="D7159" t="str">
            <v>ITALIA</v>
          </cell>
          <cell r="G7159" t="str">
            <v>Real</v>
          </cell>
        </row>
        <row r="7160">
          <cell r="A7160" t="str">
            <v>ITALIA</v>
          </cell>
          <cell r="B7160">
            <v>202411</v>
          </cell>
          <cell r="D7160" t="str">
            <v>ITALIA</v>
          </cell>
          <cell r="G7160" t="str">
            <v>Real</v>
          </cell>
        </row>
        <row r="7161">
          <cell r="A7161" t="str">
            <v>ITALIA</v>
          </cell>
          <cell r="B7161">
            <v>202411</v>
          </cell>
          <cell r="D7161" t="str">
            <v>ITALIA</v>
          </cell>
          <cell r="G7161" t="str">
            <v>Real</v>
          </cell>
        </row>
        <row r="7162">
          <cell r="A7162" t="str">
            <v>ITALIA</v>
          </cell>
          <cell r="B7162">
            <v>202411</v>
          </cell>
          <cell r="D7162" t="str">
            <v>ITALIA</v>
          </cell>
          <cell r="G7162" t="str">
            <v>Real</v>
          </cell>
        </row>
        <row r="7163">
          <cell r="A7163" t="str">
            <v>ITALIA</v>
          </cell>
          <cell r="B7163">
            <v>202411</v>
          </cell>
          <cell r="D7163" t="str">
            <v>ITALIA</v>
          </cell>
          <cell r="G7163" t="str">
            <v>Real</v>
          </cell>
        </row>
        <row r="7164">
          <cell r="A7164" t="str">
            <v>ITALIA</v>
          </cell>
          <cell r="B7164">
            <v>202411</v>
          </cell>
          <cell r="D7164" t="str">
            <v>ITALIA</v>
          </cell>
          <cell r="G7164" t="str">
            <v>Real</v>
          </cell>
        </row>
        <row r="7165">
          <cell r="A7165" t="str">
            <v>ITALIA</v>
          </cell>
          <cell r="B7165">
            <v>202411</v>
          </cell>
          <cell r="D7165" t="str">
            <v>ITALIA</v>
          </cell>
          <cell r="G7165" t="str">
            <v>Real</v>
          </cell>
        </row>
        <row r="7166">
          <cell r="A7166" t="str">
            <v>ITALIA</v>
          </cell>
          <cell r="B7166">
            <v>202411</v>
          </cell>
          <cell r="D7166" t="str">
            <v>ITALIA</v>
          </cell>
          <cell r="G7166" t="str">
            <v>Real</v>
          </cell>
        </row>
        <row r="7167">
          <cell r="A7167" t="str">
            <v>ITALIA</v>
          </cell>
          <cell r="B7167">
            <v>202411</v>
          </cell>
          <cell r="D7167" t="str">
            <v>ITALIA</v>
          </cell>
          <cell r="G7167" t="str">
            <v>Real</v>
          </cell>
        </row>
        <row r="7168">
          <cell r="A7168" t="str">
            <v>ITALIA</v>
          </cell>
          <cell r="B7168">
            <v>202411</v>
          </cell>
          <cell r="D7168" t="str">
            <v>ITALIA</v>
          </cell>
          <cell r="G7168" t="str">
            <v>Real</v>
          </cell>
        </row>
        <row r="7169">
          <cell r="A7169" t="str">
            <v>ITALIA</v>
          </cell>
          <cell r="B7169">
            <v>202411</v>
          </cell>
          <cell r="D7169" t="str">
            <v>ITALIA</v>
          </cell>
          <cell r="G7169" t="str">
            <v>Real</v>
          </cell>
        </row>
        <row r="7170">
          <cell r="A7170" t="str">
            <v>ITALIA</v>
          </cell>
          <cell r="B7170">
            <v>202411</v>
          </cell>
          <cell r="D7170" t="str">
            <v>ITALIA</v>
          </cell>
          <cell r="G7170" t="str">
            <v>Real</v>
          </cell>
        </row>
        <row r="7171">
          <cell r="A7171" t="str">
            <v>ITALIA</v>
          </cell>
          <cell r="B7171">
            <v>202411</v>
          </cell>
          <cell r="D7171" t="str">
            <v>ITALIA</v>
          </cell>
          <cell r="G7171" t="str">
            <v>Real</v>
          </cell>
        </row>
        <row r="7172">
          <cell r="A7172" t="str">
            <v>ITALIA</v>
          </cell>
          <cell r="B7172">
            <v>202412</v>
          </cell>
          <cell r="D7172" t="str">
            <v>--</v>
          </cell>
          <cell r="G7172" t="str">
            <v>Presupuesto</v>
          </cell>
        </row>
        <row r="7173">
          <cell r="A7173" t="str">
            <v>ITALIA</v>
          </cell>
          <cell r="B7173">
            <v>202412</v>
          </cell>
          <cell r="D7173" t="str">
            <v>--</v>
          </cell>
          <cell r="G7173" t="str">
            <v>Real</v>
          </cell>
        </row>
        <row r="7174">
          <cell r="A7174" t="str">
            <v>ITALIA</v>
          </cell>
          <cell r="B7174">
            <v>202412</v>
          </cell>
          <cell r="D7174" t="str">
            <v>ITALIA</v>
          </cell>
          <cell r="G7174" t="str">
            <v>Real</v>
          </cell>
        </row>
        <row r="7175">
          <cell r="A7175" t="str">
            <v>ITALIA</v>
          </cell>
          <cell r="B7175">
            <v>202412</v>
          </cell>
          <cell r="D7175" t="str">
            <v>ITALIA</v>
          </cell>
          <cell r="G7175" t="str">
            <v>Real</v>
          </cell>
        </row>
        <row r="7176">
          <cell r="A7176" t="str">
            <v>ITALIA</v>
          </cell>
          <cell r="B7176">
            <v>202412</v>
          </cell>
          <cell r="D7176" t="str">
            <v>ITALIA</v>
          </cell>
          <cell r="G7176" t="str">
            <v>Real</v>
          </cell>
        </row>
        <row r="7177">
          <cell r="A7177" t="str">
            <v>ITALIA</v>
          </cell>
          <cell r="B7177">
            <v>202412</v>
          </cell>
          <cell r="D7177" t="str">
            <v>ITALIA</v>
          </cell>
          <cell r="G7177" t="str">
            <v>Real</v>
          </cell>
        </row>
        <row r="7178">
          <cell r="A7178" t="str">
            <v>ITALIA</v>
          </cell>
          <cell r="B7178">
            <v>202412</v>
          </cell>
          <cell r="D7178" t="str">
            <v>ITALIA</v>
          </cell>
          <cell r="G7178" t="str">
            <v>Real</v>
          </cell>
        </row>
        <row r="7179">
          <cell r="A7179" t="str">
            <v>ITALIA</v>
          </cell>
          <cell r="B7179">
            <v>202412</v>
          </cell>
          <cell r="D7179" t="str">
            <v>ITALIA</v>
          </cell>
          <cell r="G7179" t="str">
            <v>Real</v>
          </cell>
        </row>
        <row r="7180">
          <cell r="A7180" t="str">
            <v>ITALIA</v>
          </cell>
          <cell r="B7180">
            <v>202412</v>
          </cell>
          <cell r="D7180" t="str">
            <v>ITALIA</v>
          </cell>
          <cell r="G7180" t="str">
            <v>Real</v>
          </cell>
        </row>
        <row r="7181">
          <cell r="A7181" t="str">
            <v>ITALIA</v>
          </cell>
          <cell r="B7181">
            <v>202412</v>
          </cell>
          <cell r="D7181" t="str">
            <v>ITALIA</v>
          </cell>
          <cell r="G7181" t="str">
            <v>Real</v>
          </cell>
        </row>
        <row r="7182">
          <cell r="A7182" t="str">
            <v>ITALIA</v>
          </cell>
          <cell r="B7182">
            <v>202412</v>
          </cell>
          <cell r="D7182" t="str">
            <v>ITALIA</v>
          </cell>
          <cell r="G7182" t="str">
            <v>Real</v>
          </cell>
        </row>
        <row r="7183">
          <cell r="A7183" t="str">
            <v>ITALIA</v>
          </cell>
          <cell r="B7183">
            <v>202412</v>
          </cell>
          <cell r="D7183" t="str">
            <v>ITALIA</v>
          </cell>
          <cell r="G7183" t="str">
            <v>Real</v>
          </cell>
        </row>
        <row r="7184">
          <cell r="A7184" t="str">
            <v>ITALIA</v>
          </cell>
          <cell r="B7184">
            <v>202412</v>
          </cell>
          <cell r="D7184" t="str">
            <v>ITALIA</v>
          </cell>
          <cell r="G7184" t="str">
            <v>Real</v>
          </cell>
        </row>
        <row r="7185">
          <cell r="A7185" t="str">
            <v>ITALIA</v>
          </cell>
          <cell r="B7185">
            <v>202412</v>
          </cell>
          <cell r="D7185" t="str">
            <v>ITALIA</v>
          </cell>
          <cell r="G7185" t="str">
            <v>Real</v>
          </cell>
        </row>
        <row r="7186">
          <cell r="A7186" t="str">
            <v>ITALIA</v>
          </cell>
          <cell r="B7186">
            <v>202412</v>
          </cell>
          <cell r="D7186" t="str">
            <v>ITALIA</v>
          </cell>
          <cell r="G7186" t="str">
            <v>Real</v>
          </cell>
        </row>
        <row r="7187">
          <cell r="A7187" t="str">
            <v>ITALIA</v>
          </cell>
          <cell r="B7187">
            <v>202412</v>
          </cell>
          <cell r="D7187" t="str">
            <v>ITALIA</v>
          </cell>
          <cell r="G7187" t="str">
            <v>Real</v>
          </cell>
        </row>
        <row r="7188">
          <cell r="A7188" t="str">
            <v>ITALIA</v>
          </cell>
          <cell r="B7188">
            <v>202412</v>
          </cell>
          <cell r="D7188" t="str">
            <v>ITALIA</v>
          </cell>
          <cell r="G7188" t="str">
            <v>Real</v>
          </cell>
        </row>
        <row r="7189">
          <cell r="A7189" t="str">
            <v>ITALIA</v>
          </cell>
          <cell r="B7189">
            <v>202412</v>
          </cell>
          <cell r="D7189" t="str">
            <v>ITALIA</v>
          </cell>
          <cell r="G7189" t="str">
            <v>Real</v>
          </cell>
        </row>
        <row r="7190">
          <cell r="A7190" t="str">
            <v>ITALIA</v>
          </cell>
          <cell r="B7190">
            <v>202501</v>
          </cell>
          <cell r="D7190" t="str">
            <v>--</v>
          </cell>
          <cell r="G7190" t="str">
            <v>Presupuesto</v>
          </cell>
        </row>
        <row r="7191">
          <cell r="A7191" t="str">
            <v>ITALIA</v>
          </cell>
          <cell r="B7191">
            <v>202501</v>
          </cell>
          <cell r="D7191" t="str">
            <v>--</v>
          </cell>
          <cell r="G7191" t="str">
            <v>Real</v>
          </cell>
        </row>
        <row r="7192">
          <cell r="A7192" t="str">
            <v>ITALIA</v>
          </cell>
          <cell r="B7192">
            <v>202501</v>
          </cell>
          <cell r="D7192" t="str">
            <v>ITALIA</v>
          </cell>
          <cell r="G7192" t="str">
            <v>Real</v>
          </cell>
        </row>
        <row r="7193">
          <cell r="A7193" t="str">
            <v>ITALIA</v>
          </cell>
          <cell r="B7193">
            <v>202501</v>
          </cell>
          <cell r="D7193" t="str">
            <v>ITALIA</v>
          </cell>
          <cell r="G7193" t="str">
            <v>Real</v>
          </cell>
        </row>
        <row r="7194">
          <cell r="A7194" t="str">
            <v>ITALIA</v>
          </cell>
          <cell r="B7194">
            <v>202501</v>
          </cell>
          <cell r="D7194" t="str">
            <v>ITALIA</v>
          </cell>
          <cell r="G7194" t="str">
            <v>Real</v>
          </cell>
        </row>
        <row r="7195">
          <cell r="A7195" t="str">
            <v>ITALIA</v>
          </cell>
          <cell r="B7195">
            <v>202501</v>
          </cell>
          <cell r="D7195" t="str">
            <v>ITALIA</v>
          </cell>
          <cell r="G7195" t="str">
            <v>Real</v>
          </cell>
        </row>
        <row r="7196">
          <cell r="A7196" t="str">
            <v>ITALIA</v>
          </cell>
          <cell r="B7196">
            <v>202501</v>
          </cell>
          <cell r="D7196" t="str">
            <v>ITALIA</v>
          </cell>
          <cell r="G7196" t="str">
            <v>Real</v>
          </cell>
        </row>
        <row r="7197">
          <cell r="A7197" t="str">
            <v>ITALIA</v>
          </cell>
          <cell r="B7197">
            <v>202501</v>
          </cell>
          <cell r="D7197" t="str">
            <v>ITALIA</v>
          </cell>
          <cell r="G7197" t="str">
            <v>Real</v>
          </cell>
        </row>
        <row r="7198">
          <cell r="A7198" t="str">
            <v>ITALIA</v>
          </cell>
          <cell r="B7198">
            <v>202501</v>
          </cell>
          <cell r="D7198" t="str">
            <v>ITALIA</v>
          </cell>
          <cell r="G7198" t="str">
            <v>Real</v>
          </cell>
        </row>
        <row r="7199">
          <cell r="A7199" t="str">
            <v>ITALIA</v>
          </cell>
          <cell r="B7199">
            <v>202501</v>
          </cell>
          <cell r="D7199" t="str">
            <v>ITALIA</v>
          </cell>
          <cell r="G7199" t="str">
            <v>Real</v>
          </cell>
        </row>
        <row r="7200">
          <cell r="A7200" t="str">
            <v>ITALIA</v>
          </cell>
          <cell r="B7200">
            <v>202501</v>
          </cell>
          <cell r="D7200" t="str">
            <v>ITALIA</v>
          </cell>
          <cell r="G7200" t="str">
            <v>Real</v>
          </cell>
        </row>
        <row r="7201">
          <cell r="A7201" t="str">
            <v>ITALIA</v>
          </cell>
          <cell r="B7201">
            <v>202501</v>
          </cell>
          <cell r="D7201" t="str">
            <v>ITALIA</v>
          </cell>
          <cell r="G7201" t="str">
            <v>Real</v>
          </cell>
        </row>
        <row r="7202">
          <cell r="A7202" t="str">
            <v>ITALIA</v>
          </cell>
          <cell r="B7202">
            <v>202501</v>
          </cell>
          <cell r="D7202" t="str">
            <v>ITALIA</v>
          </cell>
          <cell r="G7202" t="str">
            <v>Real</v>
          </cell>
        </row>
        <row r="7203">
          <cell r="A7203" t="str">
            <v>ITALIA</v>
          </cell>
          <cell r="B7203">
            <v>202501</v>
          </cell>
          <cell r="D7203" t="str">
            <v>ITALIA</v>
          </cell>
          <cell r="G7203" t="str">
            <v>Real</v>
          </cell>
        </row>
        <row r="7204">
          <cell r="A7204" t="str">
            <v>ITALIA</v>
          </cell>
          <cell r="B7204">
            <v>202501</v>
          </cell>
          <cell r="D7204" t="str">
            <v>ITALIA</v>
          </cell>
          <cell r="G7204" t="str">
            <v>Real</v>
          </cell>
        </row>
        <row r="7205">
          <cell r="A7205" t="str">
            <v>ITALIA</v>
          </cell>
          <cell r="B7205">
            <v>202501</v>
          </cell>
          <cell r="D7205" t="str">
            <v>ITALIA</v>
          </cell>
          <cell r="G7205" t="str">
            <v>Real</v>
          </cell>
        </row>
        <row r="7206">
          <cell r="A7206" t="str">
            <v>ITALIA</v>
          </cell>
          <cell r="B7206">
            <v>202501</v>
          </cell>
          <cell r="D7206" t="str">
            <v>ITALIA</v>
          </cell>
          <cell r="G7206" t="str">
            <v>Real</v>
          </cell>
        </row>
        <row r="7207">
          <cell r="A7207" t="str">
            <v>ITALIA</v>
          </cell>
          <cell r="B7207">
            <v>202501</v>
          </cell>
          <cell r="D7207" t="str">
            <v>ITALIA</v>
          </cell>
          <cell r="G7207" t="str">
            <v>Real</v>
          </cell>
        </row>
        <row r="7208">
          <cell r="A7208" t="str">
            <v>ITALIA</v>
          </cell>
          <cell r="B7208">
            <v>202501</v>
          </cell>
          <cell r="D7208" t="str">
            <v>ITALIA</v>
          </cell>
          <cell r="G7208" t="str">
            <v>Real</v>
          </cell>
        </row>
        <row r="7209">
          <cell r="A7209" t="str">
            <v>ITALIA</v>
          </cell>
          <cell r="B7209">
            <v>202501</v>
          </cell>
          <cell r="D7209" t="str">
            <v>ITALIA</v>
          </cell>
          <cell r="G7209" t="str">
            <v>Real</v>
          </cell>
        </row>
        <row r="7210">
          <cell r="A7210" t="str">
            <v>ITALIA</v>
          </cell>
          <cell r="B7210">
            <v>202502</v>
          </cell>
          <cell r="D7210" t="str">
            <v>--</v>
          </cell>
          <cell r="G7210" t="str">
            <v>Presupuesto</v>
          </cell>
        </row>
        <row r="7211">
          <cell r="A7211" t="str">
            <v>ITALIA</v>
          </cell>
          <cell r="B7211">
            <v>202502</v>
          </cell>
          <cell r="D7211" t="str">
            <v>--</v>
          </cell>
          <cell r="G7211" t="str">
            <v>Real</v>
          </cell>
        </row>
        <row r="7212">
          <cell r="A7212" t="str">
            <v>ITALIA</v>
          </cell>
          <cell r="B7212">
            <v>202502</v>
          </cell>
          <cell r="D7212" t="str">
            <v>ITALIA</v>
          </cell>
          <cell r="G7212" t="str">
            <v>Real</v>
          </cell>
        </row>
        <row r="7213">
          <cell r="A7213" t="str">
            <v>ITALIA</v>
          </cell>
          <cell r="B7213">
            <v>202502</v>
          </cell>
          <cell r="D7213" t="str">
            <v>ITALIA</v>
          </cell>
          <cell r="G7213" t="str">
            <v>Real</v>
          </cell>
        </row>
        <row r="7214">
          <cell r="A7214" t="str">
            <v>ITALIA</v>
          </cell>
          <cell r="B7214">
            <v>202502</v>
          </cell>
          <cell r="D7214" t="str">
            <v>ITALIA</v>
          </cell>
          <cell r="G7214" t="str">
            <v>Real</v>
          </cell>
        </row>
        <row r="7215">
          <cell r="A7215" t="str">
            <v>ITALIA</v>
          </cell>
          <cell r="B7215">
            <v>202502</v>
          </cell>
          <cell r="D7215" t="str">
            <v>ITALIA</v>
          </cell>
          <cell r="G7215" t="str">
            <v>Real</v>
          </cell>
        </row>
        <row r="7216">
          <cell r="A7216" t="str">
            <v>ITALIA</v>
          </cell>
          <cell r="B7216">
            <v>202502</v>
          </cell>
          <cell r="D7216" t="str">
            <v>ITALIA</v>
          </cell>
          <cell r="G7216" t="str">
            <v>Real</v>
          </cell>
        </row>
        <row r="7217">
          <cell r="A7217" t="str">
            <v>ITALIA</v>
          </cell>
          <cell r="B7217">
            <v>202502</v>
          </cell>
          <cell r="D7217" t="str">
            <v>ITALIA</v>
          </cell>
          <cell r="G7217" t="str">
            <v>Real</v>
          </cell>
        </row>
        <row r="7218">
          <cell r="A7218" t="str">
            <v>ITALIA</v>
          </cell>
          <cell r="B7218">
            <v>202502</v>
          </cell>
          <cell r="D7218" t="str">
            <v>ITALIA</v>
          </cell>
          <cell r="G7218" t="str">
            <v>Real</v>
          </cell>
        </row>
        <row r="7219">
          <cell r="A7219" t="str">
            <v>ITALIA</v>
          </cell>
          <cell r="B7219">
            <v>202502</v>
          </cell>
          <cell r="D7219" t="str">
            <v>ITALIA</v>
          </cell>
          <cell r="G7219" t="str">
            <v>Real</v>
          </cell>
        </row>
        <row r="7220">
          <cell r="A7220" t="str">
            <v>ITALIA</v>
          </cell>
          <cell r="B7220">
            <v>202502</v>
          </cell>
          <cell r="D7220" t="str">
            <v>ITALIA</v>
          </cell>
          <cell r="G7220" t="str">
            <v>Real</v>
          </cell>
        </row>
        <row r="7221">
          <cell r="A7221" t="str">
            <v>ITALIA</v>
          </cell>
          <cell r="B7221">
            <v>202502</v>
          </cell>
          <cell r="D7221" t="str">
            <v>ITALIA</v>
          </cell>
          <cell r="G7221" t="str">
            <v>Real</v>
          </cell>
        </row>
        <row r="7222">
          <cell r="A7222" t="str">
            <v>ITALIA</v>
          </cell>
          <cell r="B7222">
            <v>202502</v>
          </cell>
          <cell r="D7222" t="str">
            <v>ITALIA</v>
          </cell>
          <cell r="G7222" t="str">
            <v>Real</v>
          </cell>
        </row>
        <row r="7223">
          <cell r="A7223" t="str">
            <v>ITALIA</v>
          </cell>
          <cell r="B7223">
            <v>202502</v>
          </cell>
          <cell r="D7223" t="str">
            <v>ITALIA</v>
          </cell>
          <cell r="G7223" t="str">
            <v>Real</v>
          </cell>
        </row>
        <row r="7224">
          <cell r="A7224" t="str">
            <v>ITALIA</v>
          </cell>
          <cell r="B7224">
            <v>202502</v>
          </cell>
          <cell r="D7224" t="str">
            <v>ITALIA</v>
          </cell>
          <cell r="G7224" t="str">
            <v>Real</v>
          </cell>
        </row>
        <row r="7225">
          <cell r="A7225" t="str">
            <v>ITALIA</v>
          </cell>
          <cell r="B7225">
            <v>202502</v>
          </cell>
          <cell r="D7225" t="str">
            <v>ITALIA</v>
          </cell>
          <cell r="G7225" t="str">
            <v>Real</v>
          </cell>
        </row>
        <row r="7226">
          <cell r="A7226" t="str">
            <v>ITALIA</v>
          </cell>
          <cell r="B7226">
            <v>202502</v>
          </cell>
          <cell r="D7226" t="str">
            <v>ITALIA</v>
          </cell>
          <cell r="G7226" t="str">
            <v>Real</v>
          </cell>
        </row>
        <row r="7227">
          <cell r="A7227" t="str">
            <v>ITALIA</v>
          </cell>
          <cell r="B7227">
            <v>202502</v>
          </cell>
          <cell r="D7227" t="str">
            <v>ITALIA</v>
          </cell>
          <cell r="G7227" t="str">
            <v>Real</v>
          </cell>
        </row>
        <row r="7228">
          <cell r="A7228" t="str">
            <v>ITALIA</v>
          </cell>
          <cell r="B7228">
            <v>202503</v>
          </cell>
          <cell r="D7228" t="str">
            <v>--</v>
          </cell>
          <cell r="G7228" t="str">
            <v>Presupuesto</v>
          </cell>
        </row>
        <row r="7229">
          <cell r="A7229" t="str">
            <v>ITALIA</v>
          </cell>
          <cell r="B7229">
            <v>202503</v>
          </cell>
          <cell r="D7229" t="str">
            <v>--</v>
          </cell>
          <cell r="G7229" t="str">
            <v>Real</v>
          </cell>
        </row>
        <row r="7230">
          <cell r="A7230" t="str">
            <v>ITALIA</v>
          </cell>
          <cell r="B7230">
            <v>202503</v>
          </cell>
          <cell r="D7230" t="str">
            <v>ITALIA</v>
          </cell>
          <cell r="G7230" t="str">
            <v>Real</v>
          </cell>
        </row>
        <row r="7231">
          <cell r="A7231" t="str">
            <v>ITALIA</v>
          </cell>
          <cell r="B7231">
            <v>202503</v>
          </cell>
          <cell r="D7231" t="str">
            <v>ITALIA</v>
          </cell>
          <cell r="G7231" t="str">
            <v>Real</v>
          </cell>
        </row>
        <row r="7232">
          <cell r="A7232" t="str">
            <v>ITALIA</v>
          </cell>
          <cell r="B7232">
            <v>202503</v>
          </cell>
          <cell r="D7232" t="str">
            <v>ITALIA</v>
          </cell>
          <cell r="G7232" t="str">
            <v>Real</v>
          </cell>
        </row>
        <row r="7233">
          <cell r="A7233" t="str">
            <v>ITALIA</v>
          </cell>
          <cell r="B7233">
            <v>202503</v>
          </cell>
          <cell r="D7233" t="str">
            <v>ITALIA</v>
          </cell>
          <cell r="G7233" t="str">
            <v>Real</v>
          </cell>
        </row>
        <row r="7234">
          <cell r="A7234" t="str">
            <v>ITALIA</v>
          </cell>
          <cell r="B7234">
            <v>202503</v>
          </cell>
          <cell r="D7234" t="str">
            <v>ITALIA</v>
          </cell>
          <cell r="G7234" t="str">
            <v>Real</v>
          </cell>
        </row>
        <row r="7235">
          <cell r="A7235" t="str">
            <v>ITALIA</v>
          </cell>
          <cell r="B7235">
            <v>202503</v>
          </cell>
          <cell r="D7235" t="str">
            <v>ITALIA</v>
          </cell>
          <cell r="G7235" t="str">
            <v>Real</v>
          </cell>
        </row>
        <row r="7236">
          <cell r="A7236" t="str">
            <v>ITALIA</v>
          </cell>
          <cell r="B7236">
            <v>202503</v>
          </cell>
          <cell r="D7236" t="str">
            <v>ITALIA</v>
          </cell>
          <cell r="G7236" t="str">
            <v>Real</v>
          </cell>
        </row>
        <row r="7237">
          <cell r="A7237" t="str">
            <v>ITALIA</v>
          </cell>
          <cell r="B7237">
            <v>202503</v>
          </cell>
          <cell r="D7237" t="str">
            <v>ITALIA</v>
          </cell>
          <cell r="G7237" t="str">
            <v>Real</v>
          </cell>
        </row>
        <row r="7238">
          <cell r="A7238" t="str">
            <v>ITALIA</v>
          </cell>
          <cell r="B7238">
            <v>202503</v>
          </cell>
          <cell r="D7238" t="str">
            <v>ITALIA</v>
          </cell>
          <cell r="G7238" t="str">
            <v>Real</v>
          </cell>
        </row>
        <row r="7239">
          <cell r="A7239" t="str">
            <v>ITALIA</v>
          </cell>
          <cell r="B7239">
            <v>202503</v>
          </cell>
          <cell r="D7239" t="str">
            <v>ITALIA</v>
          </cell>
          <cell r="G7239" t="str">
            <v>Real</v>
          </cell>
        </row>
        <row r="7240">
          <cell r="A7240" t="str">
            <v>ITALIA</v>
          </cell>
          <cell r="B7240">
            <v>202503</v>
          </cell>
          <cell r="D7240" t="str">
            <v>ITALIA</v>
          </cell>
          <cell r="G7240" t="str">
            <v>Real</v>
          </cell>
        </row>
        <row r="7241">
          <cell r="A7241" t="str">
            <v>ITALIA</v>
          </cell>
          <cell r="B7241">
            <v>202503</v>
          </cell>
          <cell r="D7241" t="str">
            <v>ITALIA</v>
          </cell>
          <cell r="G7241" t="str">
            <v>Real</v>
          </cell>
        </row>
        <row r="7242">
          <cell r="A7242" t="str">
            <v>ITALIA</v>
          </cell>
          <cell r="B7242">
            <v>202503</v>
          </cell>
          <cell r="D7242" t="str">
            <v>ITALIA</v>
          </cell>
          <cell r="G7242" t="str">
            <v>Real</v>
          </cell>
        </row>
        <row r="7243">
          <cell r="A7243" t="str">
            <v>ITALIA</v>
          </cell>
          <cell r="B7243">
            <v>202503</v>
          </cell>
          <cell r="D7243" t="str">
            <v>ITALIA</v>
          </cell>
          <cell r="G7243" t="str">
            <v>Real</v>
          </cell>
        </row>
        <row r="7244">
          <cell r="A7244" t="str">
            <v>ITALIA</v>
          </cell>
          <cell r="B7244">
            <v>202503</v>
          </cell>
          <cell r="D7244" t="str">
            <v>ITALIA</v>
          </cell>
          <cell r="G7244" t="str">
            <v>Real</v>
          </cell>
        </row>
        <row r="7245">
          <cell r="A7245" t="str">
            <v>ITALIA</v>
          </cell>
          <cell r="B7245">
            <v>202503</v>
          </cell>
          <cell r="D7245" t="str">
            <v>ITALIA</v>
          </cell>
          <cell r="G7245" t="str">
            <v>Real</v>
          </cell>
        </row>
        <row r="7246">
          <cell r="A7246" t="str">
            <v>ITALIA</v>
          </cell>
          <cell r="B7246">
            <v>202504</v>
          </cell>
          <cell r="D7246" t="str">
            <v>--</v>
          </cell>
          <cell r="G7246" t="str">
            <v>Presupuesto</v>
          </cell>
        </row>
        <row r="7247">
          <cell r="A7247" t="str">
            <v>ITALIA</v>
          </cell>
          <cell r="B7247">
            <v>202504</v>
          </cell>
          <cell r="D7247" t="str">
            <v>--</v>
          </cell>
          <cell r="G7247" t="str">
            <v>Real</v>
          </cell>
        </row>
        <row r="7248">
          <cell r="A7248" t="str">
            <v>ITALIA</v>
          </cell>
          <cell r="B7248">
            <v>202504</v>
          </cell>
          <cell r="D7248" t="str">
            <v>ITALIA</v>
          </cell>
          <cell r="G7248" t="str">
            <v>Real</v>
          </cell>
        </row>
        <row r="7249">
          <cell r="A7249" t="str">
            <v>ITALIA</v>
          </cell>
          <cell r="B7249">
            <v>202504</v>
          </cell>
          <cell r="D7249" t="str">
            <v>ITALIA</v>
          </cell>
          <cell r="G7249" t="str">
            <v>Real</v>
          </cell>
        </row>
        <row r="7250">
          <cell r="A7250" t="str">
            <v>ITALIA</v>
          </cell>
          <cell r="B7250">
            <v>202504</v>
          </cell>
          <cell r="D7250" t="str">
            <v>ITALIA</v>
          </cell>
          <cell r="G7250" t="str">
            <v>Real</v>
          </cell>
        </row>
        <row r="7251">
          <cell r="A7251" t="str">
            <v>ITALIA</v>
          </cell>
          <cell r="B7251">
            <v>202504</v>
          </cell>
          <cell r="D7251" t="str">
            <v>ITALIA</v>
          </cell>
          <cell r="G7251" t="str">
            <v>Real</v>
          </cell>
        </row>
        <row r="7252">
          <cell r="A7252" t="str">
            <v>ITALIA</v>
          </cell>
          <cell r="B7252">
            <v>202504</v>
          </cell>
          <cell r="D7252" t="str">
            <v>ITALIA</v>
          </cell>
          <cell r="G7252" t="str">
            <v>Real</v>
          </cell>
        </row>
        <row r="7253">
          <cell r="A7253" t="str">
            <v>ITALIA</v>
          </cell>
          <cell r="B7253">
            <v>202504</v>
          </cell>
          <cell r="D7253" t="str">
            <v>ITALIA</v>
          </cell>
          <cell r="G7253" t="str">
            <v>Real</v>
          </cell>
        </row>
        <row r="7254">
          <cell r="A7254" t="str">
            <v>ITALIA</v>
          </cell>
          <cell r="B7254">
            <v>202504</v>
          </cell>
          <cell r="D7254" t="str">
            <v>ITALIA</v>
          </cell>
          <cell r="G7254" t="str">
            <v>Real</v>
          </cell>
        </row>
        <row r="7255">
          <cell r="A7255" t="str">
            <v>ITALIA</v>
          </cell>
          <cell r="B7255">
            <v>202504</v>
          </cell>
          <cell r="D7255" t="str">
            <v>ITALIA</v>
          </cell>
          <cell r="G7255" t="str">
            <v>Real</v>
          </cell>
        </row>
        <row r="7256">
          <cell r="A7256" t="str">
            <v>ITALIA</v>
          </cell>
          <cell r="B7256">
            <v>202504</v>
          </cell>
          <cell r="D7256" t="str">
            <v>ITALIA</v>
          </cell>
          <cell r="G7256" t="str">
            <v>Real</v>
          </cell>
        </row>
        <row r="7257">
          <cell r="A7257" t="str">
            <v>ITALIA</v>
          </cell>
          <cell r="B7257">
            <v>202504</v>
          </cell>
          <cell r="D7257" t="str">
            <v>ITALIA</v>
          </cell>
          <cell r="G7257" t="str">
            <v>Real</v>
          </cell>
        </row>
        <row r="7258">
          <cell r="A7258" t="str">
            <v>ITALIA</v>
          </cell>
          <cell r="B7258">
            <v>202504</v>
          </cell>
          <cell r="D7258" t="str">
            <v>ITALIA</v>
          </cell>
          <cell r="G7258" t="str">
            <v>Real</v>
          </cell>
        </row>
        <row r="7259">
          <cell r="A7259" t="str">
            <v>ITALIA</v>
          </cell>
          <cell r="B7259">
            <v>202504</v>
          </cell>
          <cell r="D7259" t="str">
            <v>ITALIA</v>
          </cell>
          <cell r="G7259" t="str">
            <v>Real</v>
          </cell>
        </row>
        <row r="7260">
          <cell r="A7260" t="str">
            <v>ITALIA</v>
          </cell>
          <cell r="B7260">
            <v>202504</v>
          </cell>
          <cell r="D7260" t="str">
            <v>ITALIA</v>
          </cell>
          <cell r="G7260" t="str">
            <v>Real</v>
          </cell>
        </row>
        <row r="7261">
          <cell r="A7261" t="str">
            <v>ITALIA</v>
          </cell>
          <cell r="B7261">
            <v>202504</v>
          </cell>
          <cell r="D7261" t="str">
            <v>ITALIA</v>
          </cell>
          <cell r="G7261" t="str">
            <v>Real</v>
          </cell>
        </row>
        <row r="7262">
          <cell r="A7262" t="str">
            <v>ITALIA</v>
          </cell>
          <cell r="B7262">
            <v>202504</v>
          </cell>
          <cell r="D7262" t="str">
            <v>ITALIA</v>
          </cell>
          <cell r="G7262" t="str">
            <v>Real</v>
          </cell>
        </row>
        <row r="7263">
          <cell r="A7263" t="str">
            <v>ITALIA</v>
          </cell>
          <cell r="B7263">
            <v>202504</v>
          </cell>
          <cell r="D7263" t="str">
            <v>ITALIA</v>
          </cell>
          <cell r="G7263" t="str">
            <v>Real</v>
          </cell>
        </row>
        <row r="7264">
          <cell r="A7264" t="str">
            <v>ITALIA</v>
          </cell>
          <cell r="B7264">
            <v>202505</v>
          </cell>
          <cell r="D7264" t="str">
            <v>--</v>
          </cell>
          <cell r="G7264" t="str">
            <v>Presupuesto</v>
          </cell>
        </row>
        <row r="7265">
          <cell r="A7265" t="str">
            <v>ITALIA</v>
          </cell>
          <cell r="B7265">
            <v>202505</v>
          </cell>
          <cell r="D7265" t="str">
            <v>--</v>
          </cell>
          <cell r="G7265" t="str">
            <v>Real</v>
          </cell>
        </row>
        <row r="7266">
          <cell r="A7266" t="str">
            <v>ITALIA</v>
          </cell>
          <cell r="B7266">
            <v>202505</v>
          </cell>
          <cell r="D7266" t="str">
            <v>ITALIA</v>
          </cell>
          <cell r="G7266" t="str">
            <v>Real</v>
          </cell>
        </row>
        <row r="7267">
          <cell r="A7267" t="str">
            <v>ITALIA</v>
          </cell>
          <cell r="B7267">
            <v>202505</v>
          </cell>
          <cell r="D7267" t="str">
            <v>ITALIA</v>
          </cell>
          <cell r="G7267" t="str">
            <v>Real</v>
          </cell>
        </row>
        <row r="7268">
          <cell r="A7268" t="str">
            <v>ITALIA</v>
          </cell>
          <cell r="B7268">
            <v>202505</v>
          </cell>
          <cell r="D7268" t="str">
            <v>ITALIA</v>
          </cell>
          <cell r="G7268" t="str">
            <v>Real</v>
          </cell>
        </row>
        <row r="7269">
          <cell r="A7269" t="str">
            <v>ITALIA</v>
          </cell>
          <cell r="B7269">
            <v>202505</v>
          </cell>
          <cell r="D7269" t="str">
            <v>ITALIA</v>
          </cell>
          <cell r="G7269" t="str">
            <v>Real</v>
          </cell>
        </row>
        <row r="7270">
          <cell r="A7270" t="str">
            <v>ITALIA</v>
          </cell>
          <cell r="B7270">
            <v>202505</v>
          </cell>
          <cell r="D7270" t="str">
            <v>ITALIA</v>
          </cell>
          <cell r="G7270" t="str">
            <v>Real</v>
          </cell>
        </row>
        <row r="7271">
          <cell r="A7271" t="str">
            <v>ITALIA</v>
          </cell>
          <cell r="B7271">
            <v>202505</v>
          </cell>
          <cell r="D7271" t="str">
            <v>ITALIA</v>
          </cell>
          <cell r="G7271" t="str">
            <v>Real</v>
          </cell>
        </row>
        <row r="7272">
          <cell r="A7272" t="str">
            <v>ITALIA</v>
          </cell>
          <cell r="B7272">
            <v>202505</v>
          </cell>
          <cell r="D7272" t="str">
            <v>ITALIA</v>
          </cell>
          <cell r="G7272" t="str">
            <v>Real</v>
          </cell>
        </row>
        <row r="7273">
          <cell r="A7273" t="str">
            <v>ITALIA</v>
          </cell>
          <cell r="B7273">
            <v>202505</v>
          </cell>
          <cell r="D7273" t="str">
            <v>ITALIA</v>
          </cell>
          <cell r="G7273" t="str">
            <v>Real</v>
          </cell>
        </row>
        <row r="7274">
          <cell r="A7274" t="str">
            <v>ITALIA</v>
          </cell>
          <cell r="B7274">
            <v>202505</v>
          </cell>
          <cell r="D7274" t="str">
            <v>ITALIA</v>
          </cell>
          <cell r="G7274" t="str">
            <v>Real</v>
          </cell>
        </row>
        <row r="7275">
          <cell r="A7275" t="str">
            <v>ITALIA</v>
          </cell>
          <cell r="B7275">
            <v>202505</v>
          </cell>
          <cell r="D7275" t="str">
            <v>ITALIA</v>
          </cell>
          <cell r="G7275" t="str">
            <v>Real</v>
          </cell>
        </row>
        <row r="7276">
          <cell r="A7276" t="str">
            <v>ITALIA</v>
          </cell>
          <cell r="B7276">
            <v>202505</v>
          </cell>
          <cell r="D7276" t="str">
            <v>ITALIA</v>
          </cell>
          <cell r="G7276" t="str">
            <v>Real</v>
          </cell>
        </row>
        <row r="7277">
          <cell r="A7277" t="str">
            <v>ITALIA</v>
          </cell>
          <cell r="B7277">
            <v>202505</v>
          </cell>
          <cell r="D7277" t="str">
            <v>ITALIA</v>
          </cell>
          <cell r="G7277" t="str">
            <v>Real</v>
          </cell>
        </row>
        <row r="7278">
          <cell r="A7278" t="str">
            <v>ITALIA</v>
          </cell>
          <cell r="B7278">
            <v>202505</v>
          </cell>
          <cell r="D7278" t="str">
            <v>ITALIA</v>
          </cell>
          <cell r="G7278" t="str">
            <v>Real</v>
          </cell>
        </row>
        <row r="7279">
          <cell r="A7279" t="str">
            <v>ITALIA</v>
          </cell>
          <cell r="B7279">
            <v>202505</v>
          </cell>
          <cell r="D7279" t="str">
            <v>ITALIA</v>
          </cell>
          <cell r="G7279" t="str">
            <v>Real</v>
          </cell>
        </row>
        <row r="7280">
          <cell r="A7280" t="str">
            <v>ITALIA</v>
          </cell>
          <cell r="B7280">
            <v>202505</v>
          </cell>
          <cell r="D7280" t="str">
            <v>ITALIA</v>
          </cell>
          <cell r="G7280" t="str">
            <v>Real</v>
          </cell>
        </row>
        <row r="7281">
          <cell r="A7281" t="str">
            <v>ITALIA</v>
          </cell>
          <cell r="B7281">
            <v>202506</v>
          </cell>
          <cell r="D7281" t="str">
            <v>--</v>
          </cell>
          <cell r="G7281" t="str">
            <v>Presupuesto</v>
          </cell>
        </row>
        <row r="7282">
          <cell r="A7282" t="str">
            <v>ITALIA</v>
          </cell>
          <cell r="B7282">
            <v>202506</v>
          </cell>
          <cell r="D7282" t="str">
            <v>--</v>
          </cell>
          <cell r="G7282" t="str">
            <v>Real</v>
          </cell>
        </row>
        <row r="7283">
          <cell r="A7283" t="str">
            <v>ITALIA</v>
          </cell>
          <cell r="B7283">
            <v>202506</v>
          </cell>
          <cell r="D7283" t="str">
            <v>ITALIA</v>
          </cell>
          <cell r="G7283" t="str">
            <v>Real</v>
          </cell>
        </row>
        <row r="7284">
          <cell r="A7284" t="str">
            <v>ITALIA</v>
          </cell>
          <cell r="B7284">
            <v>202506</v>
          </cell>
          <cell r="D7284" t="str">
            <v>ITALIA</v>
          </cell>
          <cell r="G7284" t="str">
            <v>Real</v>
          </cell>
        </row>
        <row r="7285">
          <cell r="A7285" t="str">
            <v>ITALIA</v>
          </cell>
          <cell r="B7285">
            <v>202506</v>
          </cell>
          <cell r="D7285" t="str">
            <v>ITALIA</v>
          </cell>
          <cell r="G7285" t="str">
            <v>Real</v>
          </cell>
        </row>
        <row r="7286">
          <cell r="A7286" t="str">
            <v>ITALIA</v>
          </cell>
          <cell r="B7286">
            <v>202506</v>
          </cell>
          <cell r="D7286" t="str">
            <v>ITALIA</v>
          </cell>
          <cell r="G7286" t="str">
            <v>Real</v>
          </cell>
        </row>
        <row r="7287">
          <cell r="A7287" t="str">
            <v>ITALIA</v>
          </cell>
          <cell r="B7287">
            <v>202506</v>
          </cell>
          <cell r="D7287" t="str">
            <v>ITALIA</v>
          </cell>
          <cell r="G7287" t="str">
            <v>Real</v>
          </cell>
        </row>
        <row r="7288">
          <cell r="A7288" t="str">
            <v>ITALIA</v>
          </cell>
          <cell r="B7288">
            <v>202506</v>
          </cell>
          <cell r="D7288" t="str">
            <v>ITALIA</v>
          </cell>
          <cell r="G7288" t="str">
            <v>Real</v>
          </cell>
        </row>
        <row r="7289">
          <cell r="A7289" t="str">
            <v>ITALIA</v>
          </cell>
          <cell r="B7289">
            <v>202506</v>
          </cell>
          <cell r="D7289" t="str">
            <v>ITALIA</v>
          </cell>
          <cell r="G7289" t="str">
            <v>Real</v>
          </cell>
        </row>
        <row r="7290">
          <cell r="A7290" t="str">
            <v>ITALIA</v>
          </cell>
          <cell r="B7290">
            <v>202506</v>
          </cell>
          <cell r="D7290" t="str">
            <v>ITALIA</v>
          </cell>
          <cell r="G7290" t="str">
            <v>Real</v>
          </cell>
        </row>
        <row r="7291">
          <cell r="A7291" t="str">
            <v>ITALIA</v>
          </cell>
          <cell r="B7291">
            <v>202506</v>
          </cell>
          <cell r="D7291" t="str">
            <v>ITALIA</v>
          </cell>
          <cell r="G7291" t="str">
            <v>Real</v>
          </cell>
        </row>
        <row r="7292">
          <cell r="A7292" t="str">
            <v>ITALIA</v>
          </cell>
          <cell r="B7292">
            <v>202506</v>
          </cell>
          <cell r="D7292" t="str">
            <v>ITALIA</v>
          </cell>
          <cell r="G7292" t="str">
            <v>Real</v>
          </cell>
        </row>
        <row r="7293">
          <cell r="A7293" t="str">
            <v>ITALIA</v>
          </cell>
          <cell r="B7293">
            <v>202506</v>
          </cell>
          <cell r="D7293" t="str">
            <v>ITALIA</v>
          </cell>
          <cell r="G7293" t="str">
            <v>Real</v>
          </cell>
        </row>
        <row r="7294">
          <cell r="A7294" t="str">
            <v>ITALIA</v>
          </cell>
          <cell r="B7294">
            <v>202506</v>
          </cell>
          <cell r="D7294" t="str">
            <v>ITALIA</v>
          </cell>
          <cell r="G7294" t="str">
            <v>Real</v>
          </cell>
        </row>
        <row r="7295">
          <cell r="A7295" t="str">
            <v>ITALIA</v>
          </cell>
          <cell r="B7295">
            <v>202506</v>
          </cell>
          <cell r="D7295" t="str">
            <v>ITALIA</v>
          </cell>
          <cell r="G7295" t="str">
            <v>Real</v>
          </cell>
        </row>
        <row r="7296">
          <cell r="A7296" t="str">
            <v>ITALIA</v>
          </cell>
          <cell r="B7296">
            <v>202506</v>
          </cell>
          <cell r="D7296" t="str">
            <v>ITALIA</v>
          </cell>
          <cell r="G7296" t="str">
            <v>Real</v>
          </cell>
        </row>
        <row r="7297">
          <cell r="A7297" t="str">
            <v>ITALIA</v>
          </cell>
          <cell r="B7297">
            <v>202506</v>
          </cell>
          <cell r="D7297" t="str">
            <v>ITALIA</v>
          </cell>
          <cell r="G7297" t="str">
            <v>Real</v>
          </cell>
        </row>
        <row r="7298">
          <cell r="A7298" t="str">
            <v>ITALIA</v>
          </cell>
          <cell r="B7298">
            <v>202506</v>
          </cell>
          <cell r="D7298" t="str">
            <v>ITALIA</v>
          </cell>
          <cell r="G7298" t="str">
            <v>Real</v>
          </cell>
        </row>
        <row r="7299">
          <cell r="A7299" t="str">
            <v>ITALIA</v>
          </cell>
          <cell r="B7299">
            <v>202507</v>
          </cell>
          <cell r="D7299" t="str">
            <v>--</v>
          </cell>
          <cell r="G7299" t="str">
            <v>Presupuesto</v>
          </cell>
        </row>
        <row r="7300">
          <cell r="A7300" t="str">
            <v>ITALIA</v>
          </cell>
          <cell r="B7300">
            <v>202507</v>
          </cell>
          <cell r="D7300" t="str">
            <v>--</v>
          </cell>
          <cell r="G7300" t="str">
            <v>Real</v>
          </cell>
        </row>
        <row r="7301">
          <cell r="A7301" t="str">
            <v>ITALIA</v>
          </cell>
          <cell r="B7301">
            <v>202507</v>
          </cell>
          <cell r="D7301" t="str">
            <v>ITALIA</v>
          </cell>
          <cell r="G7301" t="str">
            <v>Real</v>
          </cell>
        </row>
        <row r="7302">
          <cell r="A7302" t="str">
            <v>ITALIA</v>
          </cell>
          <cell r="B7302">
            <v>202507</v>
          </cell>
          <cell r="D7302" t="str">
            <v>ITALIA</v>
          </cell>
          <cell r="G7302" t="str">
            <v>Real</v>
          </cell>
        </row>
        <row r="7303">
          <cell r="A7303" t="str">
            <v>ITALIA</v>
          </cell>
          <cell r="B7303">
            <v>202507</v>
          </cell>
          <cell r="D7303" t="str">
            <v>ITALIA</v>
          </cell>
          <cell r="G7303" t="str">
            <v>Real</v>
          </cell>
        </row>
        <row r="7304">
          <cell r="A7304" t="str">
            <v>ITALIA</v>
          </cell>
          <cell r="B7304">
            <v>202507</v>
          </cell>
          <cell r="D7304" t="str">
            <v>ITALIA</v>
          </cell>
          <cell r="G7304" t="str">
            <v>Real</v>
          </cell>
        </row>
        <row r="7305">
          <cell r="A7305" t="str">
            <v>ITALIA</v>
          </cell>
          <cell r="B7305">
            <v>202507</v>
          </cell>
          <cell r="D7305" t="str">
            <v>ITALIA</v>
          </cell>
          <cell r="G7305" t="str">
            <v>Real</v>
          </cell>
        </row>
        <row r="7306">
          <cell r="A7306" t="str">
            <v>ITALIA</v>
          </cell>
          <cell r="B7306">
            <v>202507</v>
          </cell>
          <cell r="D7306" t="str">
            <v>ITALIA</v>
          </cell>
          <cell r="G7306" t="str">
            <v>Real</v>
          </cell>
        </row>
        <row r="7307">
          <cell r="A7307" t="str">
            <v>ITALIA</v>
          </cell>
          <cell r="B7307">
            <v>202507</v>
          </cell>
          <cell r="D7307" t="str">
            <v>ITALIA</v>
          </cell>
          <cell r="G7307" t="str">
            <v>Real</v>
          </cell>
        </row>
        <row r="7308">
          <cell r="A7308" t="str">
            <v>ITALIA</v>
          </cell>
          <cell r="B7308">
            <v>202507</v>
          </cell>
          <cell r="D7308" t="str">
            <v>ITALIA</v>
          </cell>
          <cell r="G7308" t="str">
            <v>Real</v>
          </cell>
        </row>
        <row r="7309">
          <cell r="A7309" t="str">
            <v>ITALIA</v>
          </cell>
          <cell r="B7309">
            <v>202507</v>
          </cell>
          <cell r="D7309" t="str">
            <v>ITALIA</v>
          </cell>
          <cell r="G7309" t="str">
            <v>Real</v>
          </cell>
        </row>
        <row r="7310">
          <cell r="A7310" t="str">
            <v>ITALIA</v>
          </cell>
          <cell r="B7310">
            <v>202507</v>
          </cell>
          <cell r="D7310" t="str">
            <v>ITALIA</v>
          </cell>
          <cell r="G7310" t="str">
            <v>Real</v>
          </cell>
        </row>
        <row r="7311">
          <cell r="A7311" t="str">
            <v>ITALIA</v>
          </cell>
          <cell r="B7311">
            <v>202507</v>
          </cell>
          <cell r="D7311" t="str">
            <v>ITALIA</v>
          </cell>
          <cell r="G7311" t="str">
            <v>Real</v>
          </cell>
        </row>
        <row r="7312">
          <cell r="A7312" t="str">
            <v>ITALIA</v>
          </cell>
          <cell r="B7312">
            <v>202507</v>
          </cell>
          <cell r="D7312" t="str">
            <v>ITALIA</v>
          </cell>
          <cell r="G7312" t="str">
            <v>Real</v>
          </cell>
        </row>
        <row r="7313">
          <cell r="A7313" t="str">
            <v>ITALIA</v>
          </cell>
          <cell r="B7313">
            <v>202507</v>
          </cell>
          <cell r="D7313" t="str">
            <v>ITALIA</v>
          </cell>
          <cell r="G7313" t="str">
            <v>Real</v>
          </cell>
        </row>
        <row r="7314">
          <cell r="A7314" t="str">
            <v>ITALIA</v>
          </cell>
          <cell r="B7314">
            <v>202507</v>
          </cell>
          <cell r="D7314" t="str">
            <v>ITALIA</v>
          </cell>
          <cell r="G7314" t="str">
            <v>Real</v>
          </cell>
        </row>
        <row r="7315">
          <cell r="A7315" t="str">
            <v>ITALIA</v>
          </cell>
          <cell r="B7315">
            <v>202507</v>
          </cell>
          <cell r="D7315" t="str">
            <v>ITALIA</v>
          </cell>
          <cell r="G7315" t="str">
            <v>Real</v>
          </cell>
        </row>
        <row r="7316">
          <cell r="A7316" t="str">
            <v>ITALIA</v>
          </cell>
          <cell r="B7316">
            <v>202507</v>
          </cell>
          <cell r="D7316" t="str">
            <v>ITALIA</v>
          </cell>
          <cell r="G7316" t="str">
            <v>Real</v>
          </cell>
        </row>
        <row r="7317">
          <cell r="A7317" t="str">
            <v>ITALIA</v>
          </cell>
          <cell r="B7317">
            <v>202507</v>
          </cell>
          <cell r="D7317" t="str">
            <v>ITALIA</v>
          </cell>
          <cell r="G7317" t="str">
            <v>Real</v>
          </cell>
        </row>
        <row r="7318">
          <cell r="A7318" t="str">
            <v>ITALIA</v>
          </cell>
          <cell r="B7318">
            <v>202508</v>
          </cell>
          <cell r="D7318" t="str">
            <v>--</v>
          </cell>
          <cell r="G7318" t="str">
            <v>Presupuesto</v>
          </cell>
        </row>
        <row r="7319">
          <cell r="A7319" t="str">
            <v>ITALIA</v>
          </cell>
          <cell r="B7319">
            <v>202508</v>
          </cell>
          <cell r="D7319" t="str">
            <v>--</v>
          </cell>
          <cell r="G7319" t="str">
            <v>Real</v>
          </cell>
        </row>
        <row r="7320">
          <cell r="A7320" t="str">
            <v>ITALIA</v>
          </cell>
          <cell r="B7320">
            <v>202508</v>
          </cell>
          <cell r="D7320" t="str">
            <v>ITALIA</v>
          </cell>
          <cell r="G7320" t="str">
            <v>Real</v>
          </cell>
        </row>
        <row r="7321">
          <cell r="A7321" t="str">
            <v>ITALIA</v>
          </cell>
          <cell r="B7321">
            <v>202508</v>
          </cell>
          <cell r="D7321" t="str">
            <v>ITALIA</v>
          </cell>
          <cell r="G7321" t="str">
            <v>Real</v>
          </cell>
        </row>
        <row r="7322">
          <cell r="A7322" t="str">
            <v>ITALIA</v>
          </cell>
          <cell r="B7322">
            <v>202508</v>
          </cell>
          <cell r="D7322" t="str">
            <v>ITALIA</v>
          </cell>
          <cell r="G7322" t="str">
            <v>Real</v>
          </cell>
        </row>
        <row r="7323">
          <cell r="A7323" t="str">
            <v>ITALIA</v>
          </cell>
          <cell r="B7323">
            <v>202508</v>
          </cell>
          <cell r="D7323" t="str">
            <v>ITALIA</v>
          </cell>
          <cell r="G7323" t="str">
            <v>Real</v>
          </cell>
        </row>
        <row r="7324">
          <cell r="A7324" t="str">
            <v>ITALIA</v>
          </cell>
          <cell r="B7324">
            <v>202508</v>
          </cell>
          <cell r="D7324" t="str">
            <v>ITALIA</v>
          </cell>
          <cell r="G7324" t="str">
            <v>Real</v>
          </cell>
        </row>
        <row r="7325">
          <cell r="A7325" t="str">
            <v>ITALIA</v>
          </cell>
          <cell r="B7325">
            <v>202508</v>
          </cell>
          <cell r="D7325" t="str">
            <v>ITALIA</v>
          </cell>
          <cell r="G7325" t="str">
            <v>Real</v>
          </cell>
        </row>
        <row r="7326">
          <cell r="A7326" t="str">
            <v>ITALIA</v>
          </cell>
          <cell r="B7326">
            <v>202508</v>
          </cell>
          <cell r="D7326" t="str">
            <v>ITALIA</v>
          </cell>
          <cell r="G7326" t="str">
            <v>Real</v>
          </cell>
        </row>
        <row r="7327">
          <cell r="A7327" t="str">
            <v>ITALIA</v>
          </cell>
          <cell r="B7327">
            <v>202508</v>
          </cell>
          <cell r="D7327" t="str">
            <v>ITALIA</v>
          </cell>
          <cell r="G7327" t="str">
            <v>Real</v>
          </cell>
        </row>
        <row r="7328">
          <cell r="A7328" t="str">
            <v>ITALIA</v>
          </cell>
          <cell r="B7328">
            <v>202508</v>
          </cell>
          <cell r="D7328" t="str">
            <v>ITALIA</v>
          </cell>
          <cell r="G7328" t="str">
            <v>Real</v>
          </cell>
        </row>
        <row r="7329">
          <cell r="A7329" t="str">
            <v>ITALIA</v>
          </cell>
          <cell r="B7329">
            <v>202508</v>
          </cell>
          <cell r="D7329" t="str">
            <v>ITALIA</v>
          </cell>
          <cell r="G7329" t="str">
            <v>Real</v>
          </cell>
        </row>
        <row r="7330">
          <cell r="A7330" t="str">
            <v>ITALIA</v>
          </cell>
          <cell r="B7330">
            <v>202508</v>
          </cell>
          <cell r="D7330" t="str">
            <v>ITALIA</v>
          </cell>
          <cell r="G7330" t="str">
            <v>Real</v>
          </cell>
        </row>
        <row r="7331">
          <cell r="A7331" t="str">
            <v>ITALIA</v>
          </cell>
          <cell r="B7331">
            <v>202508</v>
          </cell>
          <cell r="D7331" t="str">
            <v>ITALIA</v>
          </cell>
          <cell r="G7331" t="str">
            <v>Real</v>
          </cell>
        </row>
        <row r="7332">
          <cell r="A7332" t="str">
            <v>ITALIA</v>
          </cell>
          <cell r="B7332">
            <v>202508</v>
          </cell>
          <cell r="D7332" t="str">
            <v>ITALIA</v>
          </cell>
          <cell r="G7332" t="str">
            <v>Real</v>
          </cell>
        </row>
        <row r="7333">
          <cell r="A7333" t="str">
            <v>ITALIA</v>
          </cell>
          <cell r="B7333">
            <v>202508</v>
          </cell>
          <cell r="D7333" t="str">
            <v>ITALIA</v>
          </cell>
          <cell r="G7333" t="str">
            <v>Real</v>
          </cell>
        </row>
        <row r="7334">
          <cell r="A7334" t="str">
            <v>ITALIA</v>
          </cell>
          <cell r="B7334">
            <v>202508</v>
          </cell>
          <cell r="D7334" t="str">
            <v>ITALIA</v>
          </cell>
          <cell r="G7334" t="str">
            <v>Real</v>
          </cell>
        </row>
        <row r="7335">
          <cell r="A7335" t="str">
            <v>ITALIA</v>
          </cell>
          <cell r="B7335">
            <v>202508</v>
          </cell>
          <cell r="D7335" t="str">
            <v>ITALIA</v>
          </cell>
          <cell r="G7335" t="str">
            <v>Real</v>
          </cell>
        </row>
        <row r="7336">
          <cell r="A7336" t="str">
            <v>ITALIA</v>
          </cell>
          <cell r="B7336">
            <v>202509</v>
          </cell>
          <cell r="D7336" t="str">
            <v>--</v>
          </cell>
          <cell r="G7336" t="str">
            <v>Presupuesto</v>
          </cell>
        </row>
        <row r="7337">
          <cell r="A7337" t="str">
            <v>ITALIA</v>
          </cell>
          <cell r="B7337">
            <v>202509</v>
          </cell>
          <cell r="D7337" t="str">
            <v>--</v>
          </cell>
          <cell r="G7337" t="str">
            <v>Real</v>
          </cell>
        </row>
        <row r="7338">
          <cell r="A7338" t="str">
            <v>ITALIA</v>
          </cell>
          <cell r="B7338">
            <v>202509</v>
          </cell>
          <cell r="D7338" t="str">
            <v>ITALIA</v>
          </cell>
          <cell r="G7338" t="str">
            <v>Real</v>
          </cell>
        </row>
        <row r="7339">
          <cell r="A7339" t="str">
            <v>ITALIA</v>
          </cell>
          <cell r="B7339">
            <v>202509</v>
          </cell>
          <cell r="D7339" t="str">
            <v>ITALIA</v>
          </cell>
          <cell r="G7339" t="str">
            <v>Real</v>
          </cell>
        </row>
        <row r="7340">
          <cell r="A7340" t="str">
            <v>ITALIA</v>
          </cell>
          <cell r="B7340">
            <v>202509</v>
          </cell>
          <cell r="D7340" t="str">
            <v>ITALIA</v>
          </cell>
          <cell r="G7340" t="str">
            <v>Real</v>
          </cell>
        </row>
        <row r="7341">
          <cell r="A7341" t="str">
            <v>ITALIA</v>
          </cell>
          <cell r="B7341">
            <v>202509</v>
          </cell>
          <cell r="D7341" t="str">
            <v>ITALIA</v>
          </cell>
          <cell r="G7341" t="str">
            <v>Real</v>
          </cell>
        </row>
        <row r="7342">
          <cell r="A7342" t="str">
            <v>ITALIA</v>
          </cell>
          <cell r="B7342">
            <v>202509</v>
          </cell>
          <cell r="D7342" t="str">
            <v>ITALIA</v>
          </cell>
          <cell r="G7342" t="str">
            <v>Real</v>
          </cell>
        </row>
        <row r="7343">
          <cell r="A7343" t="str">
            <v>ITALIA</v>
          </cell>
          <cell r="B7343">
            <v>202509</v>
          </cell>
          <cell r="D7343" t="str">
            <v>ITALIA</v>
          </cell>
          <cell r="G7343" t="str">
            <v>Real</v>
          </cell>
        </row>
        <row r="7344">
          <cell r="A7344" t="str">
            <v>ITALIA</v>
          </cell>
          <cell r="B7344">
            <v>202509</v>
          </cell>
          <cell r="D7344" t="str">
            <v>ITALIA</v>
          </cell>
          <cell r="G7344" t="str">
            <v>Real</v>
          </cell>
        </row>
        <row r="7345">
          <cell r="A7345" t="str">
            <v>ITALIA</v>
          </cell>
          <cell r="B7345">
            <v>202509</v>
          </cell>
          <cell r="D7345" t="str">
            <v>ITALIA</v>
          </cell>
          <cell r="G7345" t="str">
            <v>Real</v>
          </cell>
        </row>
        <row r="7346">
          <cell r="A7346" t="str">
            <v>ITALIA</v>
          </cell>
          <cell r="B7346">
            <v>202509</v>
          </cell>
          <cell r="D7346" t="str">
            <v>ITALIA</v>
          </cell>
          <cell r="G7346" t="str">
            <v>Real</v>
          </cell>
        </row>
        <row r="7347">
          <cell r="A7347" t="str">
            <v>ITALIA</v>
          </cell>
          <cell r="B7347">
            <v>202509</v>
          </cell>
          <cell r="D7347" t="str">
            <v>ITALIA</v>
          </cell>
          <cell r="G7347" t="str">
            <v>Real</v>
          </cell>
        </row>
        <row r="7348">
          <cell r="A7348" t="str">
            <v>ITALIA</v>
          </cell>
          <cell r="B7348">
            <v>202509</v>
          </cell>
          <cell r="D7348" t="str">
            <v>ITALIA</v>
          </cell>
          <cell r="G7348" t="str">
            <v>Real</v>
          </cell>
        </row>
        <row r="7349">
          <cell r="A7349" t="str">
            <v>ITALIA</v>
          </cell>
          <cell r="B7349">
            <v>202509</v>
          </cell>
          <cell r="D7349" t="str">
            <v>ITALIA</v>
          </cell>
          <cell r="G7349" t="str">
            <v>Real</v>
          </cell>
        </row>
        <row r="7350">
          <cell r="A7350" t="str">
            <v>ITALIA</v>
          </cell>
          <cell r="B7350">
            <v>202509</v>
          </cell>
          <cell r="D7350" t="str">
            <v>ITALIA</v>
          </cell>
          <cell r="G7350" t="str">
            <v>Real</v>
          </cell>
        </row>
        <row r="7351">
          <cell r="A7351" t="str">
            <v>ITALIA</v>
          </cell>
          <cell r="B7351">
            <v>202509</v>
          </cell>
          <cell r="D7351" t="str">
            <v>ITALIA</v>
          </cell>
          <cell r="G7351" t="str">
            <v>Real</v>
          </cell>
        </row>
        <row r="7352">
          <cell r="A7352" t="str">
            <v>ITALIA</v>
          </cell>
          <cell r="B7352">
            <v>202509</v>
          </cell>
          <cell r="D7352" t="str">
            <v>ITALIA</v>
          </cell>
          <cell r="G7352" t="str">
            <v>Real</v>
          </cell>
        </row>
        <row r="7353">
          <cell r="A7353" t="str">
            <v>ITALIA</v>
          </cell>
          <cell r="B7353">
            <v>202509</v>
          </cell>
          <cell r="D7353" t="str">
            <v>ITALIA</v>
          </cell>
          <cell r="G7353" t="str">
            <v>Real</v>
          </cell>
        </row>
        <row r="7354">
          <cell r="A7354" t="str">
            <v>ITALIA</v>
          </cell>
          <cell r="B7354">
            <v>202510</v>
          </cell>
          <cell r="D7354" t="str">
            <v>--</v>
          </cell>
          <cell r="G7354" t="str">
            <v>Presupuesto</v>
          </cell>
        </row>
        <row r="7355">
          <cell r="A7355" t="str">
            <v>ITALIA</v>
          </cell>
          <cell r="B7355">
            <v>202510</v>
          </cell>
          <cell r="D7355" t="str">
            <v>--</v>
          </cell>
          <cell r="G7355" t="str">
            <v>Real</v>
          </cell>
        </row>
        <row r="7356">
          <cell r="A7356" t="str">
            <v>ITALIA</v>
          </cell>
          <cell r="B7356">
            <v>202510</v>
          </cell>
          <cell r="D7356" t="str">
            <v>ITALIA</v>
          </cell>
          <cell r="G7356" t="str">
            <v>Real</v>
          </cell>
        </row>
        <row r="7357">
          <cell r="A7357" t="str">
            <v>ITALIA</v>
          </cell>
          <cell r="B7357">
            <v>202510</v>
          </cell>
          <cell r="D7357" t="str">
            <v>ITALIA</v>
          </cell>
          <cell r="G7357" t="str">
            <v>Real</v>
          </cell>
        </row>
        <row r="7358">
          <cell r="A7358" t="str">
            <v>ITALIA</v>
          </cell>
          <cell r="B7358">
            <v>202510</v>
          </cell>
          <cell r="D7358" t="str">
            <v>ITALIA</v>
          </cell>
          <cell r="G7358" t="str">
            <v>Real</v>
          </cell>
        </row>
        <row r="7359">
          <cell r="A7359" t="str">
            <v>ITALIA</v>
          </cell>
          <cell r="B7359">
            <v>202510</v>
          </cell>
          <cell r="D7359" t="str">
            <v>ITALIA</v>
          </cell>
          <cell r="G7359" t="str">
            <v>Real</v>
          </cell>
        </row>
        <row r="7360">
          <cell r="A7360" t="str">
            <v>ITALIA</v>
          </cell>
          <cell r="B7360">
            <v>202510</v>
          </cell>
          <cell r="D7360" t="str">
            <v>ITALIA</v>
          </cell>
          <cell r="G7360" t="str">
            <v>Real</v>
          </cell>
        </row>
        <row r="7361">
          <cell r="A7361" t="str">
            <v>ITALIA</v>
          </cell>
          <cell r="B7361">
            <v>202510</v>
          </cell>
          <cell r="D7361" t="str">
            <v>ITALIA</v>
          </cell>
          <cell r="G7361" t="str">
            <v>Real</v>
          </cell>
        </row>
        <row r="7362">
          <cell r="A7362" t="str">
            <v>ITALIA</v>
          </cell>
          <cell r="B7362">
            <v>202510</v>
          </cell>
          <cell r="D7362" t="str">
            <v>ITALIA</v>
          </cell>
          <cell r="G7362" t="str">
            <v>Real</v>
          </cell>
        </row>
        <row r="7363">
          <cell r="A7363" t="str">
            <v>ITALIA</v>
          </cell>
          <cell r="B7363">
            <v>202510</v>
          </cell>
          <cell r="D7363" t="str">
            <v>ITALIA</v>
          </cell>
          <cell r="G7363" t="str">
            <v>Real</v>
          </cell>
        </row>
        <row r="7364">
          <cell r="A7364" t="str">
            <v>ITALIA</v>
          </cell>
          <cell r="B7364">
            <v>202510</v>
          </cell>
          <cell r="D7364" t="str">
            <v>ITALIA</v>
          </cell>
          <cell r="G7364" t="str">
            <v>Real</v>
          </cell>
        </row>
        <row r="7365">
          <cell r="A7365" t="str">
            <v>ITALIA</v>
          </cell>
          <cell r="B7365">
            <v>202510</v>
          </cell>
          <cell r="D7365" t="str">
            <v>ITALIA</v>
          </cell>
          <cell r="G7365" t="str">
            <v>Real</v>
          </cell>
        </row>
        <row r="7366">
          <cell r="A7366" t="str">
            <v>ITALIA</v>
          </cell>
          <cell r="B7366">
            <v>202510</v>
          </cell>
          <cell r="D7366" t="str">
            <v>ITALIA</v>
          </cell>
          <cell r="G7366" t="str">
            <v>Real</v>
          </cell>
        </row>
        <row r="7367">
          <cell r="A7367" t="str">
            <v>ITALIA</v>
          </cell>
          <cell r="B7367">
            <v>202510</v>
          </cell>
          <cell r="D7367" t="str">
            <v>ITALIA</v>
          </cell>
          <cell r="G7367" t="str">
            <v>Real</v>
          </cell>
        </row>
        <row r="7368">
          <cell r="A7368" t="str">
            <v>ITALIA</v>
          </cell>
          <cell r="B7368">
            <v>202510</v>
          </cell>
          <cell r="D7368" t="str">
            <v>ITALIA</v>
          </cell>
          <cell r="G7368" t="str">
            <v>Real</v>
          </cell>
        </row>
        <row r="7369">
          <cell r="A7369" t="str">
            <v>ITALIA</v>
          </cell>
          <cell r="B7369">
            <v>202510</v>
          </cell>
          <cell r="D7369" t="str">
            <v>ITALIA</v>
          </cell>
          <cell r="G7369" t="str">
            <v>Real</v>
          </cell>
        </row>
        <row r="7370">
          <cell r="A7370" t="str">
            <v>ITALIA</v>
          </cell>
          <cell r="B7370">
            <v>202510</v>
          </cell>
          <cell r="D7370" t="str">
            <v>ITALIA</v>
          </cell>
          <cell r="G7370" t="str">
            <v>Real</v>
          </cell>
        </row>
        <row r="7371">
          <cell r="A7371" t="str">
            <v>ITALIA</v>
          </cell>
          <cell r="B7371">
            <v>202510</v>
          </cell>
          <cell r="D7371" t="str">
            <v>ITALIA</v>
          </cell>
          <cell r="G7371" t="str">
            <v>Real</v>
          </cell>
        </row>
        <row r="7372">
          <cell r="A7372" t="str">
            <v>ITALIA</v>
          </cell>
          <cell r="B7372">
            <v>202511</v>
          </cell>
          <cell r="D7372" t="str">
            <v>--</v>
          </cell>
          <cell r="G7372" t="str">
            <v>Presupuesto</v>
          </cell>
        </row>
        <row r="7373">
          <cell r="A7373" t="str">
            <v>ITALIA</v>
          </cell>
          <cell r="B7373">
            <v>202511</v>
          </cell>
          <cell r="D7373" t="str">
            <v>--</v>
          </cell>
          <cell r="G7373" t="str">
            <v>Real</v>
          </cell>
        </row>
        <row r="7374">
          <cell r="A7374" t="str">
            <v>ITALIA</v>
          </cell>
          <cell r="B7374">
            <v>202511</v>
          </cell>
          <cell r="D7374" t="str">
            <v>ITALIA</v>
          </cell>
          <cell r="G7374" t="str">
            <v>Real</v>
          </cell>
        </row>
        <row r="7375">
          <cell r="A7375" t="str">
            <v>ITALIA</v>
          </cell>
          <cell r="B7375">
            <v>202511</v>
          </cell>
          <cell r="D7375" t="str">
            <v>ITALIA</v>
          </cell>
          <cell r="G7375" t="str">
            <v>Real</v>
          </cell>
        </row>
        <row r="7376">
          <cell r="A7376" t="str">
            <v>ITALIA</v>
          </cell>
          <cell r="B7376">
            <v>202511</v>
          </cell>
          <cell r="D7376" t="str">
            <v>ITALIA</v>
          </cell>
          <cell r="G7376" t="str">
            <v>Real</v>
          </cell>
        </row>
        <row r="7377">
          <cell r="A7377" t="str">
            <v>ITALIA</v>
          </cell>
          <cell r="B7377">
            <v>202511</v>
          </cell>
          <cell r="D7377" t="str">
            <v>ITALIA</v>
          </cell>
          <cell r="G7377" t="str">
            <v>Real</v>
          </cell>
        </row>
        <row r="7378">
          <cell r="A7378" t="str">
            <v>ITALIA</v>
          </cell>
          <cell r="B7378">
            <v>202511</v>
          </cell>
          <cell r="D7378" t="str">
            <v>ITALIA</v>
          </cell>
          <cell r="G7378" t="str">
            <v>Real</v>
          </cell>
        </row>
        <row r="7379">
          <cell r="A7379" t="str">
            <v>ITALIA</v>
          </cell>
          <cell r="B7379">
            <v>202511</v>
          </cell>
          <cell r="D7379" t="str">
            <v>ITALIA</v>
          </cell>
          <cell r="G7379" t="str">
            <v>Real</v>
          </cell>
        </row>
        <row r="7380">
          <cell r="A7380" t="str">
            <v>ITALIA</v>
          </cell>
          <cell r="B7380">
            <v>202511</v>
          </cell>
          <cell r="D7380" t="str">
            <v>ITALIA</v>
          </cell>
          <cell r="G7380" t="str">
            <v>Real</v>
          </cell>
        </row>
        <row r="7381">
          <cell r="A7381" t="str">
            <v>ITALIA</v>
          </cell>
          <cell r="B7381">
            <v>202511</v>
          </cell>
          <cell r="D7381" t="str">
            <v>ITALIA</v>
          </cell>
          <cell r="G7381" t="str">
            <v>Real</v>
          </cell>
        </row>
        <row r="7382">
          <cell r="A7382" t="str">
            <v>ITALIA</v>
          </cell>
          <cell r="B7382">
            <v>202511</v>
          </cell>
          <cell r="D7382" t="str">
            <v>ITALIA</v>
          </cell>
          <cell r="G7382" t="str">
            <v>Real</v>
          </cell>
        </row>
        <row r="7383">
          <cell r="A7383" t="str">
            <v>ITALIA</v>
          </cell>
          <cell r="B7383">
            <v>202511</v>
          </cell>
          <cell r="D7383" t="str">
            <v>ITALIA</v>
          </cell>
          <cell r="G7383" t="str">
            <v>Real</v>
          </cell>
        </row>
        <row r="7384">
          <cell r="A7384" t="str">
            <v>ITALIA</v>
          </cell>
          <cell r="B7384">
            <v>202511</v>
          </cell>
          <cell r="D7384" t="str">
            <v>ITALIA</v>
          </cell>
          <cell r="G7384" t="str">
            <v>Real</v>
          </cell>
        </row>
        <row r="7385">
          <cell r="A7385" t="str">
            <v>ITALIA</v>
          </cell>
          <cell r="B7385">
            <v>202511</v>
          </cell>
          <cell r="D7385" t="str">
            <v>ITALIA</v>
          </cell>
          <cell r="G7385" t="str">
            <v>Real</v>
          </cell>
        </row>
        <row r="7386">
          <cell r="A7386" t="str">
            <v>ITALIA</v>
          </cell>
          <cell r="B7386">
            <v>202511</v>
          </cell>
          <cell r="D7386" t="str">
            <v>ITALIA</v>
          </cell>
          <cell r="G7386" t="str">
            <v>Real</v>
          </cell>
        </row>
        <row r="7387">
          <cell r="A7387" t="str">
            <v>ITALIA</v>
          </cell>
          <cell r="B7387">
            <v>202511</v>
          </cell>
          <cell r="D7387" t="str">
            <v>ITALIA</v>
          </cell>
          <cell r="G7387" t="str">
            <v>Real</v>
          </cell>
        </row>
        <row r="7388">
          <cell r="A7388" t="str">
            <v>ITALIA</v>
          </cell>
          <cell r="B7388">
            <v>202511</v>
          </cell>
          <cell r="D7388" t="str">
            <v>ITALIA</v>
          </cell>
          <cell r="G7388" t="str">
            <v>Real</v>
          </cell>
        </row>
        <row r="7389">
          <cell r="A7389" t="str">
            <v>ITALIA</v>
          </cell>
          <cell r="B7389">
            <v>202512</v>
          </cell>
          <cell r="D7389" t="str">
            <v>--</v>
          </cell>
          <cell r="G7389" t="str">
            <v>Presupuesto</v>
          </cell>
        </row>
        <row r="7390">
          <cell r="A7390" t="str">
            <v>ITALIA</v>
          </cell>
          <cell r="B7390">
            <v>202512</v>
          </cell>
          <cell r="D7390" t="str">
            <v>--</v>
          </cell>
          <cell r="G7390" t="str">
            <v>Real</v>
          </cell>
        </row>
        <row r="7391">
          <cell r="A7391" t="str">
            <v>ITALIA</v>
          </cell>
          <cell r="B7391">
            <v>202512</v>
          </cell>
          <cell r="D7391" t="str">
            <v>ITALIA</v>
          </cell>
          <cell r="G7391" t="str">
            <v>Presupuesto</v>
          </cell>
        </row>
        <row r="7392">
          <cell r="A7392" t="str">
            <v>ITALIA</v>
          </cell>
          <cell r="B7392">
            <v>202512</v>
          </cell>
          <cell r="D7392" t="str">
            <v>ITALIA</v>
          </cell>
          <cell r="G7392" t="str">
            <v>Presupuesto</v>
          </cell>
        </row>
        <row r="7393">
          <cell r="A7393" t="str">
            <v>ITALIA</v>
          </cell>
          <cell r="B7393">
            <v>202512</v>
          </cell>
          <cell r="D7393" t="str">
            <v>ITALIA</v>
          </cell>
          <cell r="G7393" t="str">
            <v>Real</v>
          </cell>
        </row>
        <row r="7394">
          <cell r="A7394" t="str">
            <v>ITALIA</v>
          </cell>
          <cell r="B7394">
            <v>202512</v>
          </cell>
          <cell r="D7394" t="str">
            <v>ITALIA</v>
          </cell>
          <cell r="G7394" t="str">
            <v>Presupuesto</v>
          </cell>
        </row>
        <row r="7395">
          <cell r="A7395" t="str">
            <v>ITALIA</v>
          </cell>
          <cell r="B7395">
            <v>202512</v>
          </cell>
          <cell r="D7395" t="str">
            <v>ITALIA</v>
          </cell>
          <cell r="G7395" t="str">
            <v>Real</v>
          </cell>
        </row>
        <row r="7396">
          <cell r="A7396" t="str">
            <v>ITALIA</v>
          </cell>
          <cell r="B7396">
            <v>202512</v>
          </cell>
          <cell r="D7396" t="str">
            <v>ITALIA</v>
          </cell>
          <cell r="G7396" t="str">
            <v>Presupuesto</v>
          </cell>
        </row>
        <row r="7397">
          <cell r="A7397" t="str">
            <v>ITALIA</v>
          </cell>
          <cell r="B7397">
            <v>202512</v>
          </cell>
          <cell r="D7397" t="str">
            <v>ITALIA</v>
          </cell>
          <cell r="G7397" t="str">
            <v>Real</v>
          </cell>
        </row>
        <row r="7398">
          <cell r="A7398" t="str">
            <v>ITALIA</v>
          </cell>
          <cell r="B7398">
            <v>202512</v>
          </cell>
          <cell r="D7398" t="str">
            <v>ITALIA</v>
          </cell>
          <cell r="G7398" t="str">
            <v>Presupuesto</v>
          </cell>
        </row>
        <row r="7399">
          <cell r="A7399" t="str">
            <v>ITALIA</v>
          </cell>
          <cell r="B7399">
            <v>202512</v>
          </cell>
          <cell r="D7399" t="str">
            <v>ITALIA</v>
          </cell>
          <cell r="G7399" t="str">
            <v>Real</v>
          </cell>
        </row>
        <row r="7400">
          <cell r="A7400" t="str">
            <v>ITALIA</v>
          </cell>
          <cell r="B7400">
            <v>202512</v>
          </cell>
          <cell r="D7400" t="str">
            <v>ITALIA</v>
          </cell>
          <cell r="G7400" t="str">
            <v>Presupuesto</v>
          </cell>
        </row>
        <row r="7401">
          <cell r="A7401" t="str">
            <v>ITALIA</v>
          </cell>
          <cell r="B7401">
            <v>202512</v>
          </cell>
          <cell r="D7401" t="str">
            <v>ITALIA</v>
          </cell>
          <cell r="G7401" t="str">
            <v>Real</v>
          </cell>
        </row>
        <row r="7402">
          <cell r="A7402" t="str">
            <v>ITALIA</v>
          </cell>
          <cell r="B7402">
            <v>202512</v>
          </cell>
          <cell r="D7402" t="str">
            <v>ITALIA</v>
          </cell>
          <cell r="G7402" t="str">
            <v>Presupuesto</v>
          </cell>
        </row>
        <row r="7403">
          <cell r="A7403" t="str">
            <v>ITALIA</v>
          </cell>
          <cell r="B7403">
            <v>202512</v>
          </cell>
          <cell r="D7403" t="str">
            <v>ITALIA</v>
          </cell>
          <cell r="G7403" t="str">
            <v>Real</v>
          </cell>
        </row>
        <row r="7404">
          <cell r="A7404" t="str">
            <v>ITALIA</v>
          </cell>
          <cell r="B7404">
            <v>202512</v>
          </cell>
          <cell r="D7404" t="str">
            <v>ITALIA</v>
          </cell>
          <cell r="G7404" t="str">
            <v>Presupuesto</v>
          </cell>
        </row>
        <row r="7405">
          <cell r="A7405" t="str">
            <v>ITALIA</v>
          </cell>
          <cell r="B7405">
            <v>202512</v>
          </cell>
          <cell r="D7405" t="str">
            <v>ITALIA</v>
          </cell>
          <cell r="G7405" t="str">
            <v>Real</v>
          </cell>
        </row>
        <row r="7406">
          <cell r="A7406" t="str">
            <v>ITALIA</v>
          </cell>
          <cell r="B7406">
            <v>202512</v>
          </cell>
          <cell r="D7406" t="str">
            <v>ITALIA</v>
          </cell>
          <cell r="G7406" t="str">
            <v>Presupuesto</v>
          </cell>
        </row>
        <row r="7407">
          <cell r="A7407" t="str">
            <v>ITALIA</v>
          </cell>
          <cell r="B7407">
            <v>202512</v>
          </cell>
          <cell r="D7407" t="str">
            <v>ITALIA</v>
          </cell>
          <cell r="G7407" t="str">
            <v>Real</v>
          </cell>
        </row>
        <row r="7408">
          <cell r="A7408" t="str">
            <v>ITALIA</v>
          </cell>
          <cell r="B7408">
            <v>202512</v>
          </cell>
          <cell r="D7408" t="str">
            <v>ITALIA</v>
          </cell>
          <cell r="G7408" t="str">
            <v>Presupuesto</v>
          </cell>
        </row>
        <row r="7409">
          <cell r="A7409" t="str">
            <v>ITALIA</v>
          </cell>
          <cell r="B7409">
            <v>202512</v>
          </cell>
          <cell r="D7409" t="str">
            <v>ITALIA</v>
          </cell>
          <cell r="G7409" t="str">
            <v>Real</v>
          </cell>
        </row>
        <row r="7410">
          <cell r="A7410" t="str">
            <v>ITALIA</v>
          </cell>
          <cell r="B7410">
            <v>202512</v>
          </cell>
          <cell r="D7410" t="str">
            <v>ITALIA</v>
          </cell>
          <cell r="G7410" t="str">
            <v>Presupuesto</v>
          </cell>
        </row>
        <row r="7411">
          <cell r="A7411" t="str">
            <v>ITALIA</v>
          </cell>
          <cell r="B7411">
            <v>202512</v>
          </cell>
          <cell r="D7411" t="str">
            <v>ITALIA</v>
          </cell>
          <cell r="G7411" t="str">
            <v>Real</v>
          </cell>
        </row>
        <row r="7412">
          <cell r="A7412" t="str">
            <v>ITALIA</v>
          </cell>
          <cell r="B7412">
            <v>202512</v>
          </cell>
          <cell r="D7412" t="str">
            <v>ITALIA</v>
          </cell>
          <cell r="G7412" t="str">
            <v>Presupuesto</v>
          </cell>
        </row>
        <row r="7413">
          <cell r="A7413" t="str">
            <v>ITALIA</v>
          </cell>
          <cell r="B7413">
            <v>202512</v>
          </cell>
          <cell r="D7413" t="str">
            <v>ITALIA</v>
          </cell>
          <cell r="G7413" t="str">
            <v>Real</v>
          </cell>
        </row>
        <row r="7414">
          <cell r="A7414" t="str">
            <v>ITALIA</v>
          </cell>
          <cell r="B7414">
            <v>202512</v>
          </cell>
          <cell r="D7414" t="str">
            <v>ITALIA</v>
          </cell>
          <cell r="G7414" t="str">
            <v>Presupuesto</v>
          </cell>
        </row>
        <row r="7415">
          <cell r="A7415" t="str">
            <v>ITALIA</v>
          </cell>
          <cell r="B7415">
            <v>202512</v>
          </cell>
          <cell r="D7415" t="str">
            <v>ITALIA</v>
          </cell>
          <cell r="G7415" t="str">
            <v>Real</v>
          </cell>
        </row>
        <row r="7416">
          <cell r="A7416" t="str">
            <v>ITALIA</v>
          </cell>
          <cell r="B7416">
            <v>202512</v>
          </cell>
          <cell r="D7416" t="str">
            <v>ITALIA</v>
          </cell>
          <cell r="G7416" t="str">
            <v>Presupuesto</v>
          </cell>
        </row>
        <row r="7417">
          <cell r="A7417" t="str">
            <v>ITALIA</v>
          </cell>
          <cell r="B7417">
            <v>202512</v>
          </cell>
          <cell r="D7417" t="str">
            <v>ITALIA</v>
          </cell>
          <cell r="G7417" t="str">
            <v>Real</v>
          </cell>
        </row>
        <row r="7418">
          <cell r="A7418" t="str">
            <v>ITALIA</v>
          </cell>
          <cell r="B7418">
            <v>202512</v>
          </cell>
          <cell r="D7418" t="str">
            <v>ITALIA</v>
          </cell>
          <cell r="G7418" t="str">
            <v>Presupuesto</v>
          </cell>
        </row>
        <row r="7419">
          <cell r="A7419" t="str">
            <v>ITALIA</v>
          </cell>
          <cell r="B7419">
            <v>202512</v>
          </cell>
          <cell r="D7419" t="str">
            <v>ITALIA</v>
          </cell>
          <cell r="G7419" t="str">
            <v>Real</v>
          </cell>
        </row>
        <row r="7420">
          <cell r="A7420" t="str">
            <v>ITALIA</v>
          </cell>
          <cell r="B7420">
            <v>202512</v>
          </cell>
          <cell r="D7420" t="str">
            <v>ITALIA</v>
          </cell>
          <cell r="G7420" t="str">
            <v>Presupuesto</v>
          </cell>
        </row>
        <row r="7421">
          <cell r="A7421" t="str">
            <v>ITALIA</v>
          </cell>
          <cell r="B7421">
            <v>202512</v>
          </cell>
          <cell r="D7421" t="str">
            <v>ITALIA</v>
          </cell>
          <cell r="G7421" t="str">
            <v>Real</v>
          </cell>
        </row>
        <row r="7422">
          <cell r="A7422" t="str">
            <v>ITALIA</v>
          </cell>
          <cell r="B7422">
            <v>202512</v>
          </cell>
          <cell r="D7422" t="str">
            <v>ITALIA</v>
          </cell>
          <cell r="G7422" t="str">
            <v>Presupuesto</v>
          </cell>
        </row>
        <row r="7423">
          <cell r="A7423" t="str">
            <v>ITALIA</v>
          </cell>
          <cell r="B7423">
            <v>202512</v>
          </cell>
          <cell r="D7423" t="str">
            <v>ITALIA</v>
          </cell>
          <cell r="G7423" t="str">
            <v>Real</v>
          </cell>
        </row>
        <row r="7424">
          <cell r="A7424" t="str">
            <v>ITALIA</v>
          </cell>
          <cell r="B7424">
            <v>202512</v>
          </cell>
          <cell r="D7424" t="str">
            <v>ITALIA</v>
          </cell>
          <cell r="G7424" t="str">
            <v>Presupuesto</v>
          </cell>
        </row>
        <row r="7425">
          <cell r="A7425" t="str">
            <v>ITALIA</v>
          </cell>
          <cell r="B7425">
            <v>202512</v>
          </cell>
          <cell r="D7425" t="str">
            <v>ITALIA</v>
          </cell>
          <cell r="G7425" t="str">
            <v>Real</v>
          </cell>
        </row>
        <row r="7426">
          <cell r="A7426" t="str">
            <v>MAURA</v>
          </cell>
          <cell r="B7426">
            <v>202301</v>
          </cell>
          <cell r="D7426" t="str">
            <v>MAURA</v>
          </cell>
          <cell r="G7426" t="str">
            <v>Real</v>
          </cell>
        </row>
        <row r="7427">
          <cell r="A7427" t="str">
            <v>MAURA</v>
          </cell>
          <cell r="B7427">
            <v>202302</v>
          </cell>
          <cell r="D7427" t="str">
            <v>MAURA</v>
          </cell>
          <cell r="G7427" t="str">
            <v>Real</v>
          </cell>
        </row>
        <row r="7428">
          <cell r="A7428" t="str">
            <v>MAURA</v>
          </cell>
          <cell r="B7428">
            <v>202303</v>
          </cell>
          <cell r="D7428" t="str">
            <v>MAURA</v>
          </cell>
          <cell r="G7428" t="str">
            <v>Real</v>
          </cell>
        </row>
        <row r="7429">
          <cell r="A7429" t="str">
            <v>MAURA</v>
          </cell>
          <cell r="B7429">
            <v>202304</v>
          </cell>
          <cell r="D7429" t="str">
            <v>MAURA</v>
          </cell>
          <cell r="G7429" t="str">
            <v>Real</v>
          </cell>
        </row>
        <row r="7430">
          <cell r="A7430" t="str">
            <v>MAURA</v>
          </cell>
          <cell r="B7430">
            <v>202305</v>
          </cell>
          <cell r="D7430" t="str">
            <v>MAURA</v>
          </cell>
          <cell r="G7430" t="str">
            <v>Real</v>
          </cell>
        </row>
        <row r="7431">
          <cell r="A7431" t="str">
            <v>MAURA</v>
          </cell>
          <cell r="B7431">
            <v>202306</v>
          </cell>
          <cell r="D7431" t="str">
            <v>MAURA</v>
          </cell>
          <cell r="G7431" t="str">
            <v>Real</v>
          </cell>
        </row>
        <row r="7432">
          <cell r="A7432" t="str">
            <v>MAURA</v>
          </cell>
          <cell r="B7432">
            <v>202307</v>
          </cell>
          <cell r="D7432" t="str">
            <v>MAURA</v>
          </cell>
          <cell r="G7432" t="str">
            <v>Real</v>
          </cell>
        </row>
        <row r="7433">
          <cell r="A7433" t="str">
            <v>MAURA</v>
          </cell>
          <cell r="B7433">
            <v>202308</v>
          </cell>
          <cell r="D7433" t="str">
            <v>MAURA</v>
          </cell>
          <cell r="G7433" t="str">
            <v>Real</v>
          </cell>
        </row>
        <row r="7434">
          <cell r="A7434" t="str">
            <v>MAURA</v>
          </cell>
          <cell r="B7434">
            <v>202309</v>
          </cell>
          <cell r="D7434" t="str">
            <v>MAURA</v>
          </cell>
          <cell r="G7434" t="str">
            <v>Real</v>
          </cell>
        </row>
        <row r="7435">
          <cell r="A7435" t="str">
            <v>MAURA</v>
          </cell>
          <cell r="B7435">
            <v>202310</v>
          </cell>
          <cell r="D7435" t="str">
            <v>MAURA</v>
          </cell>
          <cell r="G7435" t="str">
            <v>Real</v>
          </cell>
        </row>
        <row r="7436">
          <cell r="A7436" t="str">
            <v>MAURA</v>
          </cell>
          <cell r="B7436">
            <v>202311</v>
          </cell>
          <cell r="D7436" t="str">
            <v>MAURA</v>
          </cell>
          <cell r="G7436" t="str">
            <v>Real</v>
          </cell>
        </row>
        <row r="7437">
          <cell r="A7437" t="str">
            <v>MAURA</v>
          </cell>
          <cell r="B7437">
            <v>202312</v>
          </cell>
          <cell r="D7437" t="str">
            <v>MAURA</v>
          </cell>
          <cell r="G7437" t="str">
            <v>Real</v>
          </cell>
        </row>
        <row r="7438">
          <cell r="A7438" t="str">
            <v>MAURA</v>
          </cell>
          <cell r="B7438">
            <v>202401</v>
          </cell>
          <cell r="D7438" t="str">
            <v>MAURA</v>
          </cell>
          <cell r="G7438" t="str">
            <v>Real</v>
          </cell>
        </row>
        <row r="7439">
          <cell r="A7439" t="str">
            <v>MAURA</v>
          </cell>
          <cell r="B7439">
            <v>202402</v>
          </cell>
          <cell r="D7439" t="str">
            <v>MAURA</v>
          </cell>
          <cell r="G7439" t="str">
            <v>Real</v>
          </cell>
        </row>
        <row r="7440">
          <cell r="A7440" t="str">
            <v>MAURA</v>
          </cell>
          <cell r="B7440">
            <v>202403</v>
          </cell>
          <cell r="D7440" t="str">
            <v>MAURA</v>
          </cell>
          <cell r="G7440" t="str">
            <v>Real</v>
          </cell>
        </row>
        <row r="7441">
          <cell r="A7441" t="str">
            <v>MAURA</v>
          </cell>
          <cell r="B7441">
            <v>202405</v>
          </cell>
          <cell r="D7441" t="str">
            <v>MAURA</v>
          </cell>
          <cell r="G7441" t="str">
            <v>Real</v>
          </cell>
        </row>
        <row r="7442">
          <cell r="A7442" t="str">
            <v>MAURA</v>
          </cell>
          <cell r="B7442">
            <v>202407</v>
          </cell>
          <cell r="D7442" t="str">
            <v>MAURA</v>
          </cell>
          <cell r="G7442" t="str">
            <v>Real</v>
          </cell>
        </row>
        <row r="7443">
          <cell r="A7443" t="str">
            <v>MAURA</v>
          </cell>
          <cell r="B7443">
            <v>202408</v>
          </cell>
          <cell r="D7443" t="str">
            <v>MAURA</v>
          </cell>
          <cell r="G7443" t="str">
            <v>Real</v>
          </cell>
        </row>
        <row r="7444">
          <cell r="A7444" t="str">
            <v>MAURA</v>
          </cell>
          <cell r="B7444">
            <v>202409</v>
          </cell>
          <cell r="D7444" t="str">
            <v>MAURA</v>
          </cell>
          <cell r="G7444" t="str">
            <v>Real</v>
          </cell>
        </row>
        <row r="7445">
          <cell r="A7445" t="str">
            <v>MAURA</v>
          </cell>
          <cell r="B7445">
            <v>202410</v>
          </cell>
          <cell r="D7445" t="str">
            <v>MAURA</v>
          </cell>
          <cell r="G7445" t="str">
            <v>Real</v>
          </cell>
        </row>
        <row r="7446">
          <cell r="A7446" t="str">
            <v>MAURA</v>
          </cell>
          <cell r="B7446">
            <v>202411</v>
          </cell>
          <cell r="D7446" t="str">
            <v>MAURA</v>
          </cell>
          <cell r="G7446" t="str">
            <v>Real</v>
          </cell>
        </row>
        <row r="7447">
          <cell r="A7447" t="str">
            <v>MAURA</v>
          </cell>
          <cell r="B7447">
            <v>202412</v>
          </cell>
          <cell r="D7447" t="str">
            <v>MAURA</v>
          </cell>
          <cell r="G7447" t="str">
            <v>Real</v>
          </cell>
        </row>
        <row r="7448">
          <cell r="A7448" t="str">
            <v>MAURA</v>
          </cell>
          <cell r="B7448">
            <v>202501</v>
          </cell>
          <cell r="D7448" t="str">
            <v>Arte</v>
          </cell>
          <cell r="G7448" t="str">
            <v>Presupuesto</v>
          </cell>
        </row>
        <row r="7449">
          <cell r="A7449" t="str">
            <v>MAURA</v>
          </cell>
          <cell r="B7449">
            <v>202501</v>
          </cell>
          <cell r="D7449" t="str">
            <v>Autos</v>
          </cell>
          <cell r="G7449" t="str">
            <v>Presupuesto</v>
          </cell>
        </row>
        <row r="7450">
          <cell r="A7450" t="str">
            <v>MAURA</v>
          </cell>
          <cell r="B7450">
            <v>202501</v>
          </cell>
          <cell r="D7450" t="str">
            <v>B2B2C</v>
          </cell>
          <cell r="G7450" t="str">
            <v>Presupuesto</v>
          </cell>
        </row>
        <row r="7451">
          <cell r="A7451" t="str">
            <v>MAURA</v>
          </cell>
          <cell r="B7451">
            <v>202501</v>
          </cell>
          <cell r="D7451" t="str">
            <v>Caución</v>
          </cell>
          <cell r="G7451" t="str">
            <v>Presupuesto</v>
          </cell>
        </row>
        <row r="7452">
          <cell r="A7452" t="str">
            <v>MAURA</v>
          </cell>
          <cell r="B7452">
            <v>202501</v>
          </cell>
          <cell r="D7452" t="str">
            <v>Crédito Internacional</v>
          </cell>
          <cell r="G7452" t="str">
            <v>Presupuesto</v>
          </cell>
        </row>
        <row r="7453">
          <cell r="A7453" t="str">
            <v>MAURA</v>
          </cell>
          <cell r="B7453">
            <v>202501</v>
          </cell>
          <cell r="D7453" t="str">
            <v>Crédito Nacional</v>
          </cell>
          <cell r="G7453" t="str">
            <v>Presupuesto</v>
          </cell>
        </row>
        <row r="7454">
          <cell r="A7454" t="str">
            <v>MAURA</v>
          </cell>
          <cell r="B7454">
            <v>202501</v>
          </cell>
          <cell r="D7454" t="str">
            <v>Eventos</v>
          </cell>
          <cell r="G7454" t="str">
            <v>Presupuesto</v>
          </cell>
        </row>
        <row r="7455">
          <cell r="A7455" t="str">
            <v>MAURA</v>
          </cell>
          <cell r="B7455">
            <v>202501</v>
          </cell>
          <cell r="D7455" t="str">
            <v>Flotas</v>
          </cell>
          <cell r="G7455" t="str">
            <v>Presupuesto</v>
          </cell>
        </row>
        <row r="7456">
          <cell r="A7456" t="str">
            <v>MAURA</v>
          </cell>
          <cell r="B7456">
            <v>202501</v>
          </cell>
          <cell r="D7456" t="str">
            <v>Hogar</v>
          </cell>
          <cell r="G7456" t="str">
            <v>Presupuesto</v>
          </cell>
        </row>
        <row r="7457">
          <cell r="A7457" t="str">
            <v>MAURA</v>
          </cell>
          <cell r="B7457">
            <v>202501</v>
          </cell>
          <cell r="D7457" t="str">
            <v>Ingeniería</v>
          </cell>
          <cell r="G7457" t="str">
            <v>Presupuesto</v>
          </cell>
        </row>
        <row r="7458">
          <cell r="A7458" t="str">
            <v>MAURA</v>
          </cell>
          <cell r="B7458">
            <v>202501</v>
          </cell>
          <cell r="D7458" t="str">
            <v>Inmobiliario</v>
          </cell>
          <cell r="G7458" t="str">
            <v>Presupuesto</v>
          </cell>
        </row>
        <row r="7459">
          <cell r="A7459" t="str">
            <v>MAURA</v>
          </cell>
          <cell r="B7459">
            <v>202501</v>
          </cell>
          <cell r="D7459" t="str">
            <v>Líneas Financieras</v>
          </cell>
          <cell r="G7459" t="str">
            <v>Presupuesto</v>
          </cell>
        </row>
        <row r="7460">
          <cell r="A7460" t="str">
            <v>MAURA</v>
          </cell>
          <cell r="B7460">
            <v>202501</v>
          </cell>
          <cell r="D7460" t="str">
            <v>MAURA</v>
          </cell>
          <cell r="G7460" t="str">
            <v>Presupuesto</v>
          </cell>
        </row>
        <row r="7461">
          <cell r="A7461" t="str">
            <v>MAURA</v>
          </cell>
          <cell r="B7461">
            <v>202501</v>
          </cell>
          <cell r="D7461" t="str">
            <v>MAURA</v>
          </cell>
          <cell r="G7461" t="str">
            <v>Real</v>
          </cell>
        </row>
        <row r="7462">
          <cell r="A7462" t="str">
            <v>MAURA</v>
          </cell>
          <cell r="B7462">
            <v>202501</v>
          </cell>
          <cell r="D7462" t="str">
            <v>Náutica</v>
          </cell>
          <cell r="G7462" t="str">
            <v>Presupuesto</v>
          </cell>
        </row>
        <row r="7463">
          <cell r="A7463" t="str">
            <v>MAURA</v>
          </cell>
          <cell r="B7463">
            <v>202501</v>
          </cell>
          <cell r="D7463" t="str">
            <v>Particulares Resto</v>
          </cell>
          <cell r="G7463" t="str">
            <v>Presupuesto</v>
          </cell>
        </row>
        <row r="7464">
          <cell r="A7464" t="str">
            <v>MAURA</v>
          </cell>
          <cell r="B7464">
            <v>202501</v>
          </cell>
          <cell r="D7464" t="str">
            <v>Property</v>
          </cell>
          <cell r="G7464" t="str">
            <v>Presupuesto</v>
          </cell>
        </row>
        <row r="7465">
          <cell r="A7465" t="str">
            <v>MAURA</v>
          </cell>
          <cell r="B7465">
            <v>202501</v>
          </cell>
          <cell r="D7465" t="str">
            <v>RC</v>
          </cell>
          <cell r="G7465" t="str">
            <v>Presupuesto</v>
          </cell>
        </row>
        <row r="7466">
          <cell r="A7466" t="str">
            <v>MAURA</v>
          </cell>
          <cell r="B7466">
            <v>202501</v>
          </cell>
          <cell r="D7466" t="str">
            <v>Resto de lineas</v>
          </cell>
          <cell r="G7466" t="str">
            <v>Presupuesto</v>
          </cell>
        </row>
        <row r="7467">
          <cell r="A7467" t="str">
            <v>MAURA</v>
          </cell>
          <cell r="B7467">
            <v>202501</v>
          </cell>
          <cell r="D7467" t="str">
            <v>Retirada</v>
          </cell>
          <cell r="G7467" t="str">
            <v>Presupuesto</v>
          </cell>
        </row>
        <row r="7468">
          <cell r="A7468" t="str">
            <v>MAURA</v>
          </cell>
          <cell r="B7468">
            <v>202501</v>
          </cell>
          <cell r="D7468" t="str">
            <v>Seguros Personales (No Vida) Colectivos</v>
          </cell>
          <cell r="G7468" t="str">
            <v>Presupuesto</v>
          </cell>
        </row>
        <row r="7469">
          <cell r="A7469" t="str">
            <v>MAURA</v>
          </cell>
          <cell r="B7469">
            <v>202501</v>
          </cell>
          <cell r="D7469" t="str">
            <v>Seguros Personales (No Vida) Particular</v>
          </cell>
          <cell r="G7469" t="str">
            <v>Presupuesto</v>
          </cell>
        </row>
        <row r="7470">
          <cell r="A7470" t="str">
            <v>MAURA</v>
          </cell>
          <cell r="B7470">
            <v>202501</v>
          </cell>
          <cell r="D7470" t="str">
            <v>Transporte</v>
          </cell>
          <cell r="G7470" t="str">
            <v>Presupuesto</v>
          </cell>
        </row>
        <row r="7471">
          <cell r="A7471" t="str">
            <v>MAURA</v>
          </cell>
          <cell r="B7471">
            <v>202501</v>
          </cell>
          <cell r="D7471" t="str">
            <v>Venta Cruzada</v>
          </cell>
          <cell r="G7471" t="str">
            <v>Presupuesto</v>
          </cell>
        </row>
        <row r="7472">
          <cell r="A7472" t="str">
            <v>MAURA</v>
          </cell>
          <cell r="B7472">
            <v>202501</v>
          </cell>
          <cell r="D7472" t="str">
            <v>Vida Ahorro Colectivo</v>
          </cell>
          <cell r="G7472" t="str">
            <v>Presupuesto</v>
          </cell>
        </row>
        <row r="7473">
          <cell r="A7473" t="str">
            <v>MAURA</v>
          </cell>
          <cell r="B7473">
            <v>202501</v>
          </cell>
          <cell r="D7473" t="str">
            <v>Vida Ahorro Particular</v>
          </cell>
          <cell r="G7473" t="str">
            <v>Presupuesto</v>
          </cell>
        </row>
        <row r="7474">
          <cell r="A7474" t="str">
            <v>MAURA</v>
          </cell>
          <cell r="B7474">
            <v>202501</v>
          </cell>
          <cell r="D7474" t="str">
            <v>Vida Ganado</v>
          </cell>
          <cell r="G7474" t="str">
            <v>Presupuesto</v>
          </cell>
        </row>
        <row r="7475">
          <cell r="A7475" t="str">
            <v>MAURA</v>
          </cell>
          <cell r="B7475">
            <v>202501</v>
          </cell>
          <cell r="D7475" t="str">
            <v>Vida Riesgo Colectivo</v>
          </cell>
          <cell r="G7475" t="str">
            <v>Presupuesto</v>
          </cell>
        </row>
        <row r="7476">
          <cell r="A7476" t="str">
            <v>MAURA</v>
          </cell>
          <cell r="B7476">
            <v>202501</v>
          </cell>
          <cell r="D7476" t="str">
            <v>Vida Riesgo Particular</v>
          </cell>
          <cell r="G7476" t="str">
            <v>Presupuesto</v>
          </cell>
        </row>
        <row r="7477">
          <cell r="A7477" t="str">
            <v>MAURA</v>
          </cell>
          <cell r="B7477">
            <v>202502</v>
          </cell>
          <cell r="D7477" t="str">
            <v>Arte</v>
          </cell>
          <cell r="G7477" t="str">
            <v>Presupuesto</v>
          </cell>
        </row>
        <row r="7478">
          <cell r="A7478" t="str">
            <v>MAURA</v>
          </cell>
          <cell r="B7478">
            <v>202502</v>
          </cell>
          <cell r="D7478" t="str">
            <v>Autos</v>
          </cell>
          <cell r="G7478" t="str">
            <v>Presupuesto</v>
          </cell>
        </row>
        <row r="7479">
          <cell r="A7479" t="str">
            <v>MAURA</v>
          </cell>
          <cell r="B7479">
            <v>202502</v>
          </cell>
          <cell r="D7479" t="str">
            <v>B2B2C</v>
          </cell>
          <cell r="G7479" t="str">
            <v>Presupuesto</v>
          </cell>
        </row>
        <row r="7480">
          <cell r="A7480" t="str">
            <v>MAURA</v>
          </cell>
          <cell r="B7480">
            <v>202502</v>
          </cell>
          <cell r="D7480" t="str">
            <v>Caución</v>
          </cell>
          <cell r="G7480" t="str">
            <v>Presupuesto</v>
          </cell>
        </row>
        <row r="7481">
          <cell r="A7481" t="str">
            <v>MAURA</v>
          </cell>
          <cell r="B7481">
            <v>202502</v>
          </cell>
          <cell r="D7481" t="str">
            <v>Crédito Internacional</v>
          </cell>
          <cell r="G7481" t="str">
            <v>Presupuesto</v>
          </cell>
        </row>
        <row r="7482">
          <cell r="A7482" t="str">
            <v>MAURA</v>
          </cell>
          <cell r="B7482">
            <v>202502</v>
          </cell>
          <cell r="D7482" t="str">
            <v>Crédito Nacional</v>
          </cell>
          <cell r="G7482" t="str">
            <v>Presupuesto</v>
          </cell>
        </row>
        <row r="7483">
          <cell r="A7483" t="str">
            <v>MAURA</v>
          </cell>
          <cell r="B7483">
            <v>202502</v>
          </cell>
          <cell r="D7483" t="str">
            <v>Eventos</v>
          </cell>
          <cell r="G7483" t="str">
            <v>Presupuesto</v>
          </cell>
        </row>
        <row r="7484">
          <cell r="A7484" t="str">
            <v>MAURA</v>
          </cell>
          <cell r="B7484">
            <v>202502</v>
          </cell>
          <cell r="D7484" t="str">
            <v>Flotas</v>
          </cell>
          <cell r="G7484" t="str">
            <v>Presupuesto</v>
          </cell>
        </row>
        <row r="7485">
          <cell r="A7485" t="str">
            <v>MAURA</v>
          </cell>
          <cell r="B7485">
            <v>202502</v>
          </cell>
          <cell r="D7485" t="str">
            <v>Hogar</v>
          </cell>
          <cell r="G7485" t="str">
            <v>Presupuesto</v>
          </cell>
        </row>
        <row r="7486">
          <cell r="A7486" t="str">
            <v>MAURA</v>
          </cell>
          <cell r="B7486">
            <v>202502</v>
          </cell>
          <cell r="D7486" t="str">
            <v>Ingeniería</v>
          </cell>
          <cell r="G7486" t="str">
            <v>Presupuesto</v>
          </cell>
        </row>
        <row r="7487">
          <cell r="A7487" t="str">
            <v>MAURA</v>
          </cell>
          <cell r="B7487">
            <v>202502</v>
          </cell>
          <cell r="D7487" t="str">
            <v>Inmobiliario</v>
          </cell>
          <cell r="G7487" t="str">
            <v>Presupuesto</v>
          </cell>
        </row>
        <row r="7488">
          <cell r="A7488" t="str">
            <v>MAURA</v>
          </cell>
          <cell r="B7488">
            <v>202502</v>
          </cell>
          <cell r="D7488" t="str">
            <v>Líneas Financieras</v>
          </cell>
          <cell r="G7488" t="str">
            <v>Presupuesto</v>
          </cell>
        </row>
        <row r="7489">
          <cell r="A7489" t="str">
            <v>MAURA</v>
          </cell>
          <cell r="B7489">
            <v>202502</v>
          </cell>
          <cell r="D7489" t="str">
            <v>MAURA</v>
          </cell>
          <cell r="G7489" t="str">
            <v>Presupuesto</v>
          </cell>
        </row>
        <row r="7490">
          <cell r="A7490" t="str">
            <v>MAURA</v>
          </cell>
          <cell r="B7490">
            <v>202502</v>
          </cell>
          <cell r="D7490" t="str">
            <v>MAURA</v>
          </cell>
          <cell r="G7490" t="str">
            <v>Real</v>
          </cell>
        </row>
        <row r="7491">
          <cell r="A7491" t="str">
            <v>MAURA</v>
          </cell>
          <cell r="B7491">
            <v>202502</v>
          </cell>
          <cell r="D7491" t="str">
            <v>Náutica</v>
          </cell>
          <cell r="G7491" t="str">
            <v>Presupuesto</v>
          </cell>
        </row>
        <row r="7492">
          <cell r="A7492" t="str">
            <v>MAURA</v>
          </cell>
          <cell r="B7492">
            <v>202502</v>
          </cell>
          <cell r="D7492" t="str">
            <v>Particulares Resto</v>
          </cell>
          <cell r="G7492" t="str">
            <v>Presupuesto</v>
          </cell>
        </row>
        <row r="7493">
          <cell r="A7493" t="str">
            <v>MAURA</v>
          </cell>
          <cell r="B7493">
            <v>202502</v>
          </cell>
          <cell r="D7493" t="str">
            <v>Property</v>
          </cell>
          <cell r="G7493" t="str">
            <v>Presupuesto</v>
          </cell>
        </row>
        <row r="7494">
          <cell r="A7494" t="str">
            <v>MAURA</v>
          </cell>
          <cell r="B7494">
            <v>202502</v>
          </cell>
          <cell r="D7494" t="str">
            <v>RC</v>
          </cell>
          <cell r="G7494" t="str">
            <v>Presupuesto</v>
          </cell>
        </row>
        <row r="7495">
          <cell r="A7495" t="str">
            <v>MAURA</v>
          </cell>
          <cell r="B7495">
            <v>202502</v>
          </cell>
          <cell r="D7495" t="str">
            <v>Resto de lineas</v>
          </cell>
          <cell r="G7495" t="str">
            <v>Presupuesto</v>
          </cell>
        </row>
        <row r="7496">
          <cell r="A7496" t="str">
            <v>MAURA</v>
          </cell>
          <cell r="B7496">
            <v>202502</v>
          </cell>
          <cell r="D7496" t="str">
            <v>Retirada</v>
          </cell>
          <cell r="G7496" t="str">
            <v>Presupuesto</v>
          </cell>
        </row>
        <row r="7497">
          <cell r="A7497" t="str">
            <v>MAURA</v>
          </cell>
          <cell r="B7497">
            <v>202502</v>
          </cell>
          <cell r="D7497" t="str">
            <v>Seguros Personales (No Vida) Colectivos</v>
          </cell>
          <cell r="G7497" t="str">
            <v>Presupuesto</v>
          </cell>
        </row>
        <row r="7498">
          <cell r="A7498" t="str">
            <v>MAURA</v>
          </cell>
          <cell r="B7498">
            <v>202502</v>
          </cell>
          <cell r="D7498" t="str">
            <v>Seguros Personales (No Vida) Particular</v>
          </cell>
          <cell r="G7498" t="str">
            <v>Presupuesto</v>
          </cell>
        </row>
        <row r="7499">
          <cell r="A7499" t="str">
            <v>MAURA</v>
          </cell>
          <cell r="B7499">
            <v>202502</v>
          </cell>
          <cell r="D7499" t="str">
            <v>Transporte</v>
          </cell>
          <cell r="G7499" t="str">
            <v>Presupuesto</v>
          </cell>
        </row>
        <row r="7500">
          <cell r="A7500" t="str">
            <v>MAURA</v>
          </cell>
          <cell r="B7500">
            <v>202502</v>
          </cell>
          <cell r="D7500" t="str">
            <v>Venta Cruzada</v>
          </cell>
          <cell r="G7500" t="str">
            <v>Presupuesto</v>
          </cell>
        </row>
        <row r="7501">
          <cell r="A7501" t="str">
            <v>MAURA</v>
          </cell>
          <cell r="B7501">
            <v>202502</v>
          </cell>
          <cell r="D7501" t="str">
            <v>Vida Ahorro Colectivo</v>
          </cell>
          <cell r="G7501" t="str">
            <v>Presupuesto</v>
          </cell>
        </row>
        <row r="7502">
          <cell r="A7502" t="str">
            <v>MAURA</v>
          </cell>
          <cell r="B7502">
            <v>202502</v>
          </cell>
          <cell r="D7502" t="str">
            <v>Vida Ahorro Particular</v>
          </cell>
          <cell r="G7502" t="str">
            <v>Presupuesto</v>
          </cell>
        </row>
        <row r="7503">
          <cell r="A7503" t="str">
            <v>MAURA</v>
          </cell>
          <cell r="B7503">
            <v>202502</v>
          </cell>
          <cell r="D7503" t="str">
            <v>Vida Ganado</v>
          </cell>
          <cell r="G7503" t="str">
            <v>Presupuesto</v>
          </cell>
        </row>
        <row r="7504">
          <cell r="A7504" t="str">
            <v>MAURA</v>
          </cell>
          <cell r="B7504">
            <v>202502</v>
          </cell>
          <cell r="D7504" t="str">
            <v>Vida Riesgo Colectivo</v>
          </cell>
          <cell r="G7504" t="str">
            <v>Presupuesto</v>
          </cell>
        </row>
        <row r="7505">
          <cell r="A7505" t="str">
            <v>MAURA</v>
          </cell>
          <cell r="B7505">
            <v>202502</v>
          </cell>
          <cell r="D7505" t="str">
            <v>Vida Riesgo Particular</v>
          </cell>
          <cell r="G7505" t="str">
            <v>Presupuesto</v>
          </cell>
        </row>
        <row r="7506">
          <cell r="A7506" t="str">
            <v>MAURA</v>
          </cell>
          <cell r="B7506">
            <v>202503</v>
          </cell>
          <cell r="D7506" t="str">
            <v>Arte</v>
          </cell>
          <cell r="G7506" t="str">
            <v>Presupuesto</v>
          </cell>
        </row>
        <row r="7507">
          <cell r="A7507" t="str">
            <v>MAURA</v>
          </cell>
          <cell r="B7507">
            <v>202503</v>
          </cell>
          <cell r="D7507" t="str">
            <v>Autos</v>
          </cell>
          <cell r="G7507" t="str">
            <v>Presupuesto</v>
          </cell>
        </row>
        <row r="7508">
          <cell r="A7508" t="str">
            <v>MAURA</v>
          </cell>
          <cell r="B7508">
            <v>202503</v>
          </cell>
          <cell r="D7508" t="str">
            <v>B2B2C</v>
          </cell>
          <cell r="G7508" t="str">
            <v>Presupuesto</v>
          </cell>
        </row>
        <row r="7509">
          <cell r="A7509" t="str">
            <v>MAURA</v>
          </cell>
          <cell r="B7509">
            <v>202503</v>
          </cell>
          <cell r="D7509" t="str">
            <v>Caución</v>
          </cell>
          <cell r="G7509" t="str">
            <v>Presupuesto</v>
          </cell>
        </row>
        <row r="7510">
          <cell r="A7510" t="str">
            <v>MAURA</v>
          </cell>
          <cell r="B7510">
            <v>202503</v>
          </cell>
          <cell r="D7510" t="str">
            <v>Crédito Internacional</v>
          </cell>
          <cell r="G7510" t="str">
            <v>Presupuesto</v>
          </cell>
        </row>
        <row r="7511">
          <cell r="A7511" t="str">
            <v>MAURA</v>
          </cell>
          <cell r="B7511">
            <v>202503</v>
          </cell>
          <cell r="D7511" t="str">
            <v>Crédito Nacional</v>
          </cell>
          <cell r="G7511" t="str">
            <v>Presupuesto</v>
          </cell>
        </row>
        <row r="7512">
          <cell r="A7512" t="str">
            <v>MAURA</v>
          </cell>
          <cell r="B7512">
            <v>202503</v>
          </cell>
          <cell r="D7512" t="str">
            <v>Eventos</v>
          </cell>
          <cell r="G7512" t="str">
            <v>Presupuesto</v>
          </cell>
        </row>
        <row r="7513">
          <cell r="A7513" t="str">
            <v>MAURA</v>
          </cell>
          <cell r="B7513">
            <v>202503</v>
          </cell>
          <cell r="D7513" t="str">
            <v>Flotas</v>
          </cell>
          <cell r="G7513" t="str">
            <v>Presupuesto</v>
          </cell>
        </row>
        <row r="7514">
          <cell r="A7514" t="str">
            <v>MAURA</v>
          </cell>
          <cell r="B7514">
            <v>202503</v>
          </cell>
          <cell r="D7514" t="str">
            <v>Hogar</v>
          </cell>
          <cell r="G7514" t="str">
            <v>Presupuesto</v>
          </cell>
        </row>
        <row r="7515">
          <cell r="A7515" t="str">
            <v>MAURA</v>
          </cell>
          <cell r="B7515">
            <v>202503</v>
          </cell>
          <cell r="D7515" t="str">
            <v>Ingeniería</v>
          </cell>
          <cell r="G7515" t="str">
            <v>Presupuesto</v>
          </cell>
        </row>
        <row r="7516">
          <cell r="A7516" t="str">
            <v>MAURA</v>
          </cell>
          <cell r="B7516">
            <v>202503</v>
          </cell>
          <cell r="D7516" t="str">
            <v>Inmobiliario</v>
          </cell>
          <cell r="G7516" t="str">
            <v>Presupuesto</v>
          </cell>
        </row>
        <row r="7517">
          <cell r="A7517" t="str">
            <v>MAURA</v>
          </cell>
          <cell r="B7517">
            <v>202503</v>
          </cell>
          <cell r="D7517" t="str">
            <v>Líneas Financieras</v>
          </cell>
          <cell r="G7517" t="str">
            <v>Presupuesto</v>
          </cell>
        </row>
        <row r="7518">
          <cell r="A7518" t="str">
            <v>MAURA</v>
          </cell>
          <cell r="B7518">
            <v>202503</v>
          </cell>
          <cell r="D7518" t="str">
            <v>MAURA</v>
          </cell>
          <cell r="G7518" t="str">
            <v>Presupuesto</v>
          </cell>
        </row>
        <row r="7519">
          <cell r="A7519" t="str">
            <v>MAURA</v>
          </cell>
          <cell r="B7519">
            <v>202503</v>
          </cell>
          <cell r="D7519" t="str">
            <v>MAURA</v>
          </cell>
          <cell r="G7519" t="str">
            <v>Real</v>
          </cell>
        </row>
        <row r="7520">
          <cell r="A7520" t="str">
            <v>MAURA</v>
          </cell>
          <cell r="B7520">
            <v>202503</v>
          </cell>
          <cell r="D7520" t="str">
            <v>Náutica</v>
          </cell>
          <cell r="G7520" t="str">
            <v>Presupuesto</v>
          </cell>
        </row>
        <row r="7521">
          <cell r="A7521" t="str">
            <v>MAURA</v>
          </cell>
          <cell r="B7521">
            <v>202503</v>
          </cell>
          <cell r="D7521" t="str">
            <v>Particulares Resto</v>
          </cell>
          <cell r="G7521" t="str">
            <v>Presupuesto</v>
          </cell>
        </row>
        <row r="7522">
          <cell r="A7522" t="str">
            <v>MAURA</v>
          </cell>
          <cell r="B7522">
            <v>202503</v>
          </cell>
          <cell r="D7522" t="str">
            <v>Property</v>
          </cell>
          <cell r="G7522" t="str">
            <v>Presupuesto</v>
          </cell>
        </row>
        <row r="7523">
          <cell r="A7523" t="str">
            <v>MAURA</v>
          </cell>
          <cell r="B7523">
            <v>202503</v>
          </cell>
          <cell r="D7523" t="str">
            <v>RC</v>
          </cell>
          <cell r="G7523" t="str">
            <v>Presupuesto</v>
          </cell>
        </row>
        <row r="7524">
          <cell r="A7524" t="str">
            <v>MAURA</v>
          </cell>
          <cell r="B7524">
            <v>202503</v>
          </cell>
          <cell r="D7524" t="str">
            <v>Resto de lineas</v>
          </cell>
          <cell r="G7524" t="str">
            <v>Presupuesto</v>
          </cell>
        </row>
        <row r="7525">
          <cell r="A7525" t="str">
            <v>MAURA</v>
          </cell>
          <cell r="B7525">
            <v>202503</v>
          </cell>
          <cell r="D7525" t="str">
            <v>Retirada</v>
          </cell>
          <cell r="G7525" t="str">
            <v>Presupuesto</v>
          </cell>
        </row>
        <row r="7526">
          <cell r="A7526" t="str">
            <v>MAURA</v>
          </cell>
          <cell r="B7526">
            <v>202503</v>
          </cell>
          <cell r="D7526" t="str">
            <v>Seguros Personales (No Vida) Colectivos</v>
          </cell>
          <cell r="G7526" t="str">
            <v>Presupuesto</v>
          </cell>
        </row>
        <row r="7527">
          <cell r="A7527" t="str">
            <v>MAURA</v>
          </cell>
          <cell r="B7527">
            <v>202503</v>
          </cell>
          <cell r="D7527" t="str">
            <v>Seguros Personales (No Vida) Particular</v>
          </cell>
          <cell r="G7527" t="str">
            <v>Presupuesto</v>
          </cell>
        </row>
        <row r="7528">
          <cell r="A7528" t="str">
            <v>MAURA</v>
          </cell>
          <cell r="B7528">
            <v>202503</v>
          </cell>
          <cell r="D7528" t="str">
            <v>Transporte</v>
          </cell>
          <cell r="G7528" t="str">
            <v>Presupuesto</v>
          </cell>
        </row>
        <row r="7529">
          <cell r="A7529" t="str">
            <v>MAURA</v>
          </cell>
          <cell r="B7529">
            <v>202503</v>
          </cell>
          <cell r="D7529" t="str">
            <v>Venta Cruzada</v>
          </cell>
          <cell r="G7529" t="str">
            <v>Presupuesto</v>
          </cell>
        </row>
        <row r="7530">
          <cell r="A7530" t="str">
            <v>MAURA</v>
          </cell>
          <cell r="B7530">
            <v>202503</v>
          </cell>
          <cell r="D7530" t="str">
            <v>Vida Ahorro Colectivo</v>
          </cell>
          <cell r="G7530" t="str">
            <v>Presupuesto</v>
          </cell>
        </row>
        <row r="7531">
          <cell r="A7531" t="str">
            <v>MAURA</v>
          </cell>
          <cell r="B7531">
            <v>202503</v>
          </cell>
          <cell r="D7531" t="str">
            <v>Vida Ahorro Particular</v>
          </cell>
          <cell r="G7531" t="str">
            <v>Presupuesto</v>
          </cell>
        </row>
        <row r="7532">
          <cell r="A7532" t="str">
            <v>MAURA</v>
          </cell>
          <cell r="B7532">
            <v>202503</v>
          </cell>
          <cell r="D7532" t="str">
            <v>Vida Ganado</v>
          </cell>
          <cell r="G7532" t="str">
            <v>Presupuesto</v>
          </cell>
        </row>
        <row r="7533">
          <cell r="A7533" t="str">
            <v>MAURA</v>
          </cell>
          <cell r="B7533">
            <v>202503</v>
          </cell>
          <cell r="D7533" t="str">
            <v>Vida Riesgo Colectivo</v>
          </cell>
          <cell r="G7533" t="str">
            <v>Presupuesto</v>
          </cell>
        </row>
        <row r="7534">
          <cell r="A7534" t="str">
            <v>MAURA</v>
          </cell>
          <cell r="B7534">
            <v>202503</v>
          </cell>
          <cell r="D7534" t="str">
            <v>Vida Riesgo Particular</v>
          </cell>
          <cell r="G7534" t="str">
            <v>Presupuesto</v>
          </cell>
        </row>
        <row r="7535">
          <cell r="A7535" t="str">
            <v>MAURA</v>
          </cell>
          <cell r="B7535">
            <v>202504</v>
          </cell>
          <cell r="D7535" t="str">
            <v>Arte</v>
          </cell>
          <cell r="G7535" t="str">
            <v>Presupuesto</v>
          </cell>
        </row>
        <row r="7536">
          <cell r="A7536" t="str">
            <v>MAURA</v>
          </cell>
          <cell r="B7536">
            <v>202504</v>
          </cell>
          <cell r="D7536" t="str">
            <v>Autos</v>
          </cell>
          <cell r="G7536" t="str">
            <v>Presupuesto</v>
          </cell>
        </row>
        <row r="7537">
          <cell r="A7537" t="str">
            <v>MAURA</v>
          </cell>
          <cell r="B7537">
            <v>202504</v>
          </cell>
          <cell r="D7537" t="str">
            <v>B2B2C</v>
          </cell>
          <cell r="G7537" t="str">
            <v>Presupuesto</v>
          </cell>
        </row>
        <row r="7538">
          <cell r="A7538" t="str">
            <v>MAURA</v>
          </cell>
          <cell r="B7538">
            <v>202504</v>
          </cell>
          <cell r="D7538" t="str">
            <v>Caución</v>
          </cell>
          <cell r="G7538" t="str">
            <v>Presupuesto</v>
          </cell>
        </row>
        <row r="7539">
          <cell r="A7539" t="str">
            <v>MAURA</v>
          </cell>
          <cell r="B7539">
            <v>202504</v>
          </cell>
          <cell r="D7539" t="str">
            <v>Crédito Internacional</v>
          </cell>
          <cell r="G7539" t="str">
            <v>Presupuesto</v>
          </cell>
        </row>
        <row r="7540">
          <cell r="A7540" t="str">
            <v>MAURA</v>
          </cell>
          <cell r="B7540">
            <v>202504</v>
          </cell>
          <cell r="D7540" t="str">
            <v>Crédito Nacional</v>
          </cell>
          <cell r="G7540" t="str">
            <v>Presupuesto</v>
          </cell>
        </row>
        <row r="7541">
          <cell r="A7541" t="str">
            <v>MAURA</v>
          </cell>
          <cell r="B7541">
            <v>202504</v>
          </cell>
          <cell r="D7541" t="str">
            <v>Eventos</v>
          </cell>
          <cell r="G7541" t="str">
            <v>Presupuesto</v>
          </cell>
        </row>
        <row r="7542">
          <cell r="A7542" t="str">
            <v>MAURA</v>
          </cell>
          <cell r="B7542">
            <v>202504</v>
          </cell>
          <cell r="D7542" t="str">
            <v>Flotas</v>
          </cell>
          <cell r="G7542" t="str">
            <v>Presupuesto</v>
          </cell>
        </row>
        <row r="7543">
          <cell r="A7543" t="str">
            <v>MAURA</v>
          </cell>
          <cell r="B7543">
            <v>202504</v>
          </cell>
          <cell r="D7543" t="str">
            <v>Hogar</v>
          </cell>
          <cell r="G7543" t="str">
            <v>Presupuesto</v>
          </cell>
        </row>
        <row r="7544">
          <cell r="A7544" t="str">
            <v>MAURA</v>
          </cell>
          <cell r="B7544">
            <v>202504</v>
          </cell>
          <cell r="D7544" t="str">
            <v>Ingeniería</v>
          </cell>
          <cell r="G7544" t="str">
            <v>Presupuesto</v>
          </cell>
        </row>
        <row r="7545">
          <cell r="A7545" t="str">
            <v>MAURA</v>
          </cell>
          <cell r="B7545">
            <v>202504</v>
          </cell>
          <cell r="D7545" t="str">
            <v>Inmobiliario</v>
          </cell>
          <cell r="G7545" t="str">
            <v>Presupuesto</v>
          </cell>
        </row>
        <row r="7546">
          <cell r="A7546" t="str">
            <v>MAURA</v>
          </cell>
          <cell r="B7546">
            <v>202504</v>
          </cell>
          <cell r="D7546" t="str">
            <v>Líneas Financieras</v>
          </cell>
          <cell r="G7546" t="str">
            <v>Presupuesto</v>
          </cell>
        </row>
        <row r="7547">
          <cell r="A7547" t="str">
            <v>MAURA</v>
          </cell>
          <cell r="B7547">
            <v>202504</v>
          </cell>
          <cell r="D7547" t="str">
            <v>MAURA</v>
          </cell>
          <cell r="G7547" t="str">
            <v>Presupuesto</v>
          </cell>
        </row>
        <row r="7548">
          <cell r="A7548" t="str">
            <v>MAURA</v>
          </cell>
          <cell r="B7548">
            <v>202504</v>
          </cell>
          <cell r="D7548" t="str">
            <v>MAURA</v>
          </cell>
          <cell r="G7548" t="str">
            <v>Real</v>
          </cell>
        </row>
        <row r="7549">
          <cell r="A7549" t="str">
            <v>MAURA</v>
          </cell>
          <cell r="B7549">
            <v>202504</v>
          </cell>
          <cell r="D7549" t="str">
            <v>Náutica</v>
          </cell>
          <cell r="G7549" t="str">
            <v>Presupuesto</v>
          </cell>
        </row>
        <row r="7550">
          <cell r="A7550" t="str">
            <v>MAURA</v>
          </cell>
          <cell r="B7550">
            <v>202504</v>
          </cell>
          <cell r="D7550" t="str">
            <v>Particulares Resto</v>
          </cell>
          <cell r="G7550" t="str">
            <v>Presupuesto</v>
          </cell>
        </row>
        <row r="7551">
          <cell r="A7551" t="str">
            <v>MAURA</v>
          </cell>
          <cell r="B7551">
            <v>202504</v>
          </cell>
          <cell r="D7551" t="str">
            <v>Property</v>
          </cell>
          <cell r="G7551" t="str">
            <v>Presupuesto</v>
          </cell>
        </row>
        <row r="7552">
          <cell r="A7552" t="str">
            <v>MAURA</v>
          </cell>
          <cell r="B7552">
            <v>202504</v>
          </cell>
          <cell r="D7552" t="str">
            <v>RC</v>
          </cell>
          <cell r="G7552" t="str">
            <v>Presupuesto</v>
          </cell>
        </row>
        <row r="7553">
          <cell r="A7553" t="str">
            <v>MAURA</v>
          </cell>
          <cell r="B7553">
            <v>202504</v>
          </cell>
          <cell r="D7553" t="str">
            <v>Resto de lineas</v>
          </cell>
          <cell r="G7553" t="str">
            <v>Presupuesto</v>
          </cell>
        </row>
        <row r="7554">
          <cell r="A7554" t="str">
            <v>MAURA</v>
          </cell>
          <cell r="B7554">
            <v>202504</v>
          </cell>
          <cell r="D7554" t="str">
            <v>Retirada</v>
          </cell>
          <cell r="G7554" t="str">
            <v>Presupuesto</v>
          </cell>
        </row>
        <row r="7555">
          <cell r="A7555" t="str">
            <v>MAURA</v>
          </cell>
          <cell r="B7555">
            <v>202504</v>
          </cell>
          <cell r="D7555" t="str">
            <v>Seguros Personales (No Vida) Colectivos</v>
          </cell>
          <cell r="G7555" t="str">
            <v>Presupuesto</v>
          </cell>
        </row>
        <row r="7556">
          <cell r="A7556" t="str">
            <v>MAURA</v>
          </cell>
          <cell r="B7556">
            <v>202504</v>
          </cell>
          <cell r="D7556" t="str">
            <v>Seguros Personales (No Vida) Particular</v>
          </cell>
          <cell r="G7556" t="str">
            <v>Presupuesto</v>
          </cell>
        </row>
        <row r="7557">
          <cell r="A7557" t="str">
            <v>MAURA</v>
          </cell>
          <cell r="B7557">
            <v>202504</v>
          </cell>
          <cell r="D7557" t="str">
            <v>Transporte</v>
          </cell>
          <cell r="G7557" t="str">
            <v>Presupuesto</v>
          </cell>
        </row>
        <row r="7558">
          <cell r="A7558" t="str">
            <v>MAURA</v>
          </cell>
          <cell r="B7558">
            <v>202504</v>
          </cell>
          <cell r="D7558" t="str">
            <v>Venta Cruzada</v>
          </cell>
          <cell r="G7558" t="str">
            <v>Presupuesto</v>
          </cell>
        </row>
        <row r="7559">
          <cell r="A7559" t="str">
            <v>MAURA</v>
          </cell>
          <cell r="B7559">
            <v>202504</v>
          </cell>
          <cell r="D7559" t="str">
            <v>Vida Ahorro Colectivo</v>
          </cell>
          <cell r="G7559" t="str">
            <v>Presupuesto</v>
          </cell>
        </row>
        <row r="7560">
          <cell r="A7560" t="str">
            <v>MAURA</v>
          </cell>
          <cell r="B7560">
            <v>202504</v>
          </cell>
          <cell r="D7560" t="str">
            <v>Vida Ahorro Particular</v>
          </cell>
          <cell r="G7560" t="str">
            <v>Presupuesto</v>
          </cell>
        </row>
        <row r="7561">
          <cell r="A7561" t="str">
            <v>MAURA</v>
          </cell>
          <cell r="B7561">
            <v>202504</v>
          </cell>
          <cell r="D7561" t="str">
            <v>Vida Ganado</v>
          </cell>
          <cell r="G7561" t="str">
            <v>Presupuesto</v>
          </cell>
        </row>
        <row r="7562">
          <cell r="A7562" t="str">
            <v>MAURA</v>
          </cell>
          <cell r="B7562">
            <v>202504</v>
          </cell>
          <cell r="D7562" t="str">
            <v>Vida Riesgo Colectivo</v>
          </cell>
          <cell r="G7562" t="str">
            <v>Presupuesto</v>
          </cell>
        </row>
        <row r="7563">
          <cell r="A7563" t="str">
            <v>MAURA</v>
          </cell>
          <cell r="B7563">
            <v>202504</v>
          </cell>
          <cell r="D7563" t="str">
            <v>Vida Riesgo Particular</v>
          </cell>
          <cell r="G7563" t="str">
            <v>Presupuesto</v>
          </cell>
        </row>
        <row r="7564">
          <cell r="A7564" t="str">
            <v>MAURA</v>
          </cell>
          <cell r="B7564">
            <v>202505</v>
          </cell>
          <cell r="D7564" t="str">
            <v>Arte</v>
          </cell>
          <cell r="G7564" t="str">
            <v>Presupuesto</v>
          </cell>
        </row>
        <row r="7565">
          <cell r="A7565" t="str">
            <v>MAURA</v>
          </cell>
          <cell r="B7565">
            <v>202505</v>
          </cell>
          <cell r="D7565" t="str">
            <v>Autos</v>
          </cell>
          <cell r="G7565" t="str">
            <v>Presupuesto</v>
          </cell>
        </row>
        <row r="7566">
          <cell r="A7566" t="str">
            <v>MAURA</v>
          </cell>
          <cell r="B7566">
            <v>202505</v>
          </cell>
          <cell r="D7566" t="str">
            <v>B2B2C</v>
          </cell>
          <cell r="G7566" t="str">
            <v>Presupuesto</v>
          </cell>
        </row>
        <row r="7567">
          <cell r="A7567" t="str">
            <v>MAURA</v>
          </cell>
          <cell r="B7567">
            <v>202505</v>
          </cell>
          <cell r="D7567" t="str">
            <v>Caución</v>
          </cell>
          <cell r="G7567" t="str">
            <v>Presupuesto</v>
          </cell>
        </row>
        <row r="7568">
          <cell r="A7568" t="str">
            <v>MAURA</v>
          </cell>
          <cell r="B7568">
            <v>202505</v>
          </cell>
          <cell r="D7568" t="str">
            <v>Crédito Internacional</v>
          </cell>
          <cell r="G7568" t="str">
            <v>Presupuesto</v>
          </cell>
        </row>
        <row r="7569">
          <cell r="A7569" t="str">
            <v>MAURA</v>
          </cell>
          <cell r="B7569">
            <v>202505</v>
          </cell>
          <cell r="D7569" t="str">
            <v>Crédito Nacional</v>
          </cell>
          <cell r="G7569" t="str">
            <v>Presupuesto</v>
          </cell>
        </row>
        <row r="7570">
          <cell r="A7570" t="str">
            <v>MAURA</v>
          </cell>
          <cell r="B7570">
            <v>202505</v>
          </cell>
          <cell r="D7570" t="str">
            <v>Eventos</v>
          </cell>
          <cell r="G7570" t="str">
            <v>Presupuesto</v>
          </cell>
        </row>
        <row r="7571">
          <cell r="A7571" t="str">
            <v>MAURA</v>
          </cell>
          <cell r="B7571">
            <v>202505</v>
          </cell>
          <cell r="D7571" t="str">
            <v>Flotas</v>
          </cell>
          <cell r="G7571" t="str">
            <v>Presupuesto</v>
          </cell>
        </row>
        <row r="7572">
          <cell r="A7572" t="str">
            <v>MAURA</v>
          </cell>
          <cell r="B7572">
            <v>202505</v>
          </cell>
          <cell r="D7572" t="str">
            <v>Hogar</v>
          </cell>
          <cell r="G7572" t="str">
            <v>Presupuesto</v>
          </cell>
        </row>
        <row r="7573">
          <cell r="A7573" t="str">
            <v>MAURA</v>
          </cell>
          <cell r="B7573">
            <v>202505</v>
          </cell>
          <cell r="D7573" t="str">
            <v>Ingeniería</v>
          </cell>
          <cell r="G7573" t="str">
            <v>Presupuesto</v>
          </cell>
        </row>
        <row r="7574">
          <cell r="A7574" t="str">
            <v>MAURA</v>
          </cell>
          <cell r="B7574">
            <v>202505</v>
          </cell>
          <cell r="D7574" t="str">
            <v>Inmobiliario</v>
          </cell>
          <cell r="G7574" t="str">
            <v>Presupuesto</v>
          </cell>
        </row>
        <row r="7575">
          <cell r="A7575" t="str">
            <v>MAURA</v>
          </cell>
          <cell r="B7575">
            <v>202505</v>
          </cell>
          <cell r="D7575" t="str">
            <v>Líneas Financieras</v>
          </cell>
          <cell r="G7575" t="str">
            <v>Presupuesto</v>
          </cell>
        </row>
        <row r="7576">
          <cell r="A7576" t="str">
            <v>MAURA</v>
          </cell>
          <cell r="B7576">
            <v>202505</v>
          </cell>
          <cell r="D7576" t="str">
            <v>MAURA</v>
          </cell>
          <cell r="G7576" t="str">
            <v>Presupuesto</v>
          </cell>
        </row>
        <row r="7577">
          <cell r="A7577" t="str">
            <v>MAURA</v>
          </cell>
          <cell r="B7577">
            <v>202505</v>
          </cell>
          <cell r="D7577" t="str">
            <v>MAURA</v>
          </cell>
          <cell r="G7577" t="str">
            <v>Real</v>
          </cell>
        </row>
        <row r="7578">
          <cell r="A7578" t="str">
            <v>MAURA</v>
          </cell>
          <cell r="B7578">
            <v>202505</v>
          </cell>
          <cell r="D7578" t="str">
            <v>Náutica</v>
          </cell>
          <cell r="G7578" t="str">
            <v>Presupuesto</v>
          </cell>
        </row>
        <row r="7579">
          <cell r="A7579" t="str">
            <v>MAURA</v>
          </cell>
          <cell r="B7579">
            <v>202505</v>
          </cell>
          <cell r="D7579" t="str">
            <v>Particulares Resto</v>
          </cell>
          <cell r="G7579" t="str">
            <v>Presupuesto</v>
          </cell>
        </row>
        <row r="7580">
          <cell r="A7580" t="str">
            <v>MAURA</v>
          </cell>
          <cell r="B7580">
            <v>202505</v>
          </cell>
          <cell r="D7580" t="str">
            <v>Property</v>
          </cell>
          <cell r="G7580" t="str">
            <v>Presupuesto</v>
          </cell>
        </row>
        <row r="7581">
          <cell r="A7581" t="str">
            <v>MAURA</v>
          </cell>
          <cell r="B7581">
            <v>202505</v>
          </cell>
          <cell r="D7581" t="str">
            <v>RC</v>
          </cell>
          <cell r="G7581" t="str">
            <v>Presupuesto</v>
          </cell>
        </row>
        <row r="7582">
          <cell r="A7582" t="str">
            <v>MAURA</v>
          </cell>
          <cell r="B7582">
            <v>202505</v>
          </cell>
          <cell r="D7582" t="str">
            <v>Resto de lineas</v>
          </cell>
          <cell r="G7582" t="str">
            <v>Presupuesto</v>
          </cell>
        </row>
        <row r="7583">
          <cell r="A7583" t="str">
            <v>MAURA</v>
          </cell>
          <cell r="B7583">
            <v>202505</v>
          </cell>
          <cell r="D7583" t="str">
            <v>Retirada</v>
          </cell>
          <cell r="G7583" t="str">
            <v>Presupuesto</v>
          </cell>
        </row>
        <row r="7584">
          <cell r="A7584" t="str">
            <v>MAURA</v>
          </cell>
          <cell r="B7584">
            <v>202505</v>
          </cell>
          <cell r="D7584" t="str">
            <v>Seguros Personales (No Vida) Colectivos</v>
          </cell>
          <cell r="G7584" t="str">
            <v>Presupuesto</v>
          </cell>
        </row>
        <row r="7585">
          <cell r="A7585" t="str">
            <v>MAURA</v>
          </cell>
          <cell r="B7585">
            <v>202505</v>
          </cell>
          <cell r="D7585" t="str">
            <v>Seguros Personales (No Vida) Particular</v>
          </cell>
          <cell r="G7585" t="str">
            <v>Presupuesto</v>
          </cell>
        </row>
        <row r="7586">
          <cell r="A7586" t="str">
            <v>MAURA</v>
          </cell>
          <cell r="B7586">
            <v>202505</v>
          </cell>
          <cell r="D7586" t="str">
            <v>Transporte</v>
          </cell>
          <cell r="G7586" t="str">
            <v>Presupuesto</v>
          </cell>
        </row>
        <row r="7587">
          <cell r="A7587" t="str">
            <v>MAURA</v>
          </cell>
          <cell r="B7587">
            <v>202505</v>
          </cell>
          <cell r="D7587" t="str">
            <v>Venta Cruzada</v>
          </cell>
          <cell r="G7587" t="str">
            <v>Presupuesto</v>
          </cell>
        </row>
        <row r="7588">
          <cell r="A7588" t="str">
            <v>MAURA</v>
          </cell>
          <cell r="B7588">
            <v>202505</v>
          </cell>
          <cell r="D7588" t="str">
            <v>Vida Ahorro Colectivo</v>
          </cell>
          <cell r="G7588" t="str">
            <v>Presupuesto</v>
          </cell>
        </row>
        <row r="7589">
          <cell r="A7589" t="str">
            <v>MAURA</v>
          </cell>
          <cell r="B7589">
            <v>202505</v>
          </cell>
          <cell r="D7589" t="str">
            <v>Vida Ahorro Particular</v>
          </cell>
          <cell r="G7589" t="str">
            <v>Presupuesto</v>
          </cell>
        </row>
        <row r="7590">
          <cell r="A7590" t="str">
            <v>MAURA</v>
          </cell>
          <cell r="B7590">
            <v>202505</v>
          </cell>
          <cell r="D7590" t="str">
            <v>Vida Ganado</v>
          </cell>
          <cell r="G7590" t="str">
            <v>Presupuesto</v>
          </cell>
        </row>
        <row r="7591">
          <cell r="A7591" t="str">
            <v>MAURA</v>
          </cell>
          <cell r="B7591">
            <v>202505</v>
          </cell>
          <cell r="D7591" t="str">
            <v>Vida Riesgo Colectivo</v>
          </cell>
          <cell r="G7591" t="str">
            <v>Presupuesto</v>
          </cell>
        </row>
        <row r="7592">
          <cell r="A7592" t="str">
            <v>MAURA</v>
          </cell>
          <cell r="B7592">
            <v>202505</v>
          </cell>
          <cell r="D7592" t="str">
            <v>Vida Riesgo Particular</v>
          </cell>
          <cell r="G7592" t="str">
            <v>Presupuesto</v>
          </cell>
        </row>
        <row r="7593">
          <cell r="A7593" t="str">
            <v>MAURA</v>
          </cell>
          <cell r="B7593">
            <v>202506</v>
          </cell>
          <cell r="D7593" t="str">
            <v>Arte</v>
          </cell>
          <cell r="G7593" t="str">
            <v>Presupuesto</v>
          </cell>
        </row>
        <row r="7594">
          <cell r="A7594" t="str">
            <v>MAURA</v>
          </cell>
          <cell r="B7594">
            <v>202506</v>
          </cell>
          <cell r="D7594" t="str">
            <v>Autos</v>
          </cell>
          <cell r="G7594" t="str">
            <v>Presupuesto</v>
          </cell>
        </row>
        <row r="7595">
          <cell r="A7595" t="str">
            <v>MAURA</v>
          </cell>
          <cell r="B7595">
            <v>202506</v>
          </cell>
          <cell r="D7595" t="str">
            <v>B2B2C</v>
          </cell>
          <cell r="G7595" t="str">
            <v>Presupuesto</v>
          </cell>
        </row>
        <row r="7596">
          <cell r="A7596" t="str">
            <v>MAURA</v>
          </cell>
          <cell r="B7596">
            <v>202506</v>
          </cell>
          <cell r="D7596" t="str">
            <v>Caución</v>
          </cell>
          <cell r="G7596" t="str">
            <v>Presupuesto</v>
          </cell>
        </row>
        <row r="7597">
          <cell r="A7597" t="str">
            <v>MAURA</v>
          </cell>
          <cell r="B7597">
            <v>202506</v>
          </cell>
          <cell r="D7597" t="str">
            <v>Crédito Internacional</v>
          </cell>
          <cell r="G7597" t="str">
            <v>Presupuesto</v>
          </cell>
        </row>
        <row r="7598">
          <cell r="A7598" t="str">
            <v>MAURA</v>
          </cell>
          <cell r="B7598">
            <v>202506</v>
          </cell>
          <cell r="D7598" t="str">
            <v>Crédito Nacional</v>
          </cell>
          <cell r="G7598" t="str">
            <v>Presupuesto</v>
          </cell>
        </row>
        <row r="7599">
          <cell r="A7599" t="str">
            <v>MAURA</v>
          </cell>
          <cell r="B7599">
            <v>202506</v>
          </cell>
          <cell r="D7599" t="str">
            <v>Eventos</v>
          </cell>
          <cell r="G7599" t="str">
            <v>Presupuesto</v>
          </cell>
        </row>
        <row r="7600">
          <cell r="A7600" t="str">
            <v>MAURA</v>
          </cell>
          <cell r="B7600">
            <v>202506</v>
          </cell>
          <cell r="D7600" t="str">
            <v>Flotas</v>
          </cell>
          <cell r="G7600" t="str">
            <v>Presupuesto</v>
          </cell>
        </row>
        <row r="7601">
          <cell r="A7601" t="str">
            <v>MAURA</v>
          </cell>
          <cell r="B7601">
            <v>202506</v>
          </cell>
          <cell r="D7601" t="str">
            <v>Hogar</v>
          </cell>
          <cell r="G7601" t="str">
            <v>Presupuesto</v>
          </cell>
        </row>
        <row r="7602">
          <cell r="A7602" t="str">
            <v>MAURA</v>
          </cell>
          <cell r="B7602">
            <v>202506</v>
          </cell>
          <cell r="D7602" t="str">
            <v>Ingeniería</v>
          </cell>
          <cell r="G7602" t="str">
            <v>Presupuesto</v>
          </cell>
        </row>
        <row r="7603">
          <cell r="A7603" t="str">
            <v>MAURA</v>
          </cell>
          <cell r="B7603">
            <v>202506</v>
          </cell>
          <cell r="D7603" t="str">
            <v>Inmobiliario</v>
          </cell>
          <cell r="G7603" t="str">
            <v>Presupuesto</v>
          </cell>
        </row>
        <row r="7604">
          <cell r="A7604" t="str">
            <v>MAURA</v>
          </cell>
          <cell r="B7604">
            <v>202506</v>
          </cell>
          <cell r="D7604" t="str">
            <v>Líneas Financieras</v>
          </cell>
          <cell r="G7604" t="str">
            <v>Presupuesto</v>
          </cell>
        </row>
        <row r="7605">
          <cell r="A7605" t="str">
            <v>MAURA</v>
          </cell>
          <cell r="B7605">
            <v>202506</v>
          </cell>
          <cell r="D7605" t="str">
            <v>MAURA</v>
          </cell>
          <cell r="G7605" t="str">
            <v>Presupuesto</v>
          </cell>
        </row>
        <row r="7606">
          <cell r="A7606" t="str">
            <v>MAURA</v>
          </cell>
          <cell r="B7606">
            <v>202506</v>
          </cell>
          <cell r="D7606" t="str">
            <v>MAURA</v>
          </cell>
          <cell r="G7606" t="str">
            <v>Real</v>
          </cell>
        </row>
        <row r="7607">
          <cell r="A7607" t="str">
            <v>MAURA</v>
          </cell>
          <cell r="B7607">
            <v>202506</v>
          </cell>
          <cell r="D7607" t="str">
            <v>Náutica</v>
          </cell>
          <cell r="G7607" t="str">
            <v>Presupuesto</v>
          </cell>
        </row>
        <row r="7608">
          <cell r="A7608" t="str">
            <v>MAURA</v>
          </cell>
          <cell r="B7608">
            <v>202506</v>
          </cell>
          <cell r="D7608" t="str">
            <v>Particulares Resto</v>
          </cell>
          <cell r="G7608" t="str">
            <v>Presupuesto</v>
          </cell>
        </row>
        <row r="7609">
          <cell r="A7609" t="str">
            <v>MAURA</v>
          </cell>
          <cell r="B7609">
            <v>202506</v>
          </cell>
          <cell r="D7609" t="str">
            <v>Property</v>
          </cell>
          <cell r="G7609" t="str">
            <v>Presupuesto</v>
          </cell>
        </row>
        <row r="7610">
          <cell r="A7610" t="str">
            <v>MAURA</v>
          </cell>
          <cell r="B7610">
            <v>202506</v>
          </cell>
          <cell r="D7610" t="str">
            <v>RC</v>
          </cell>
          <cell r="G7610" t="str">
            <v>Presupuesto</v>
          </cell>
        </row>
        <row r="7611">
          <cell r="A7611" t="str">
            <v>MAURA</v>
          </cell>
          <cell r="B7611">
            <v>202506</v>
          </cell>
          <cell r="D7611" t="str">
            <v>Resto de lineas</v>
          </cell>
          <cell r="G7611" t="str">
            <v>Presupuesto</v>
          </cell>
        </row>
        <row r="7612">
          <cell r="A7612" t="str">
            <v>MAURA</v>
          </cell>
          <cell r="B7612">
            <v>202506</v>
          </cell>
          <cell r="D7612" t="str">
            <v>Retirada</v>
          </cell>
          <cell r="G7612" t="str">
            <v>Presupuesto</v>
          </cell>
        </row>
        <row r="7613">
          <cell r="A7613" t="str">
            <v>MAURA</v>
          </cell>
          <cell r="B7613">
            <v>202506</v>
          </cell>
          <cell r="D7613" t="str">
            <v>Seguros Personales (No Vida) Colectivos</v>
          </cell>
          <cell r="G7613" t="str">
            <v>Presupuesto</v>
          </cell>
        </row>
        <row r="7614">
          <cell r="A7614" t="str">
            <v>MAURA</v>
          </cell>
          <cell r="B7614">
            <v>202506</v>
          </cell>
          <cell r="D7614" t="str">
            <v>Seguros Personales (No Vida) Particular</v>
          </cell>
          <cell r="G7614" t="str">
            <v>Presupuesto</v>
          </cell>
        </row>
        <row r="7615">
          <cell r="A7615" t="str">
            <v>MAURA</v>
          </cell>
          <cell r="B7615">
            <v>202506</v>
          </cell>
          <cell r="D7615" t="str">
            <v>Transporte</v>
          </cell>
          <cell r="G7615" t="str">
            <v>Presupuesto</v>
          </cell>
        </row>
        <row r="7616">
          <cell r="A7616" t="str">
            <v>MAURA</v>
          </cell>
          <cell r="B7616">
            <v>202506</v>
          </cell>
          <cell r="D7616" t="str">
            <v>Venta Cruzada</v>
          </cell>
          <cell r="G7616" t="str">
            <v>Presupuesto</v>
          </cell>
        </row>
        <row r="7617">
          <cell r="A7617" t="str">
            <v>MAURA</v>
          </cell>
          <cell r="B7617">
            <v>202506</v>
          </cell>
          <cell r="D7617" t="str">
            <v>Vida Ahorro Colectivo</v>
          </cell>
          <cell r="G7617" t="str">
            <v>Presupuesto</v>
          </cell>
        </row>
        <row r="7618">
          <cell r="A7618" t="str">
            <v>MAURA</v>
          </cell>
          <cell r="B7618">
            <v>202506</v>
          </cell>
          <cell r="D7618" t="str">
            <v>Vida Ahorro Particular</v>
          </cell>
          <cell r="G7618" t="str">
            <v>Presupuesto</v>
          </cell>
        </row>
        <row r="7619">
          <cell r="A7619" t="str">
            <v>MAURA</v>
          </cell>
          <cell r="B7619">
            <v>202506</v>
          </cell>
          <cell r="D7619" t="str">
            <v>Vida Ganado</v>
          </cell>
          <cell r="G7619" t="str">
            <v>Presupuesto</v>
          </cell>
        </row>
        <row r="7620">
          <cell r="A7620" t="str">
            <v>MAURA</v>
          </cell>
          <cell r="B7620">
            <v>202506</v>
          </cell>
          <cell r="D7620" t="str">
            <v>Vida Riesgo Colectivo</v>
          </cell>
          <cell r="G7620" t="str">
            <v>Presupuesto</v>
          </cell>
        </row>
        <row r="7621">
          <cell r="A7621" t="str">
            <v>MAURA</v>
          </cell>
          <cell r="B7621">
            <v>202506</v>
          </cell>
          <cell r="D7621" t="str">
            <v>Vida Riesgo Particular</v>
          </cell>
          <cell r="G7621" t="str">
            <v>Presupuesto</v>
          </cell>
        </row>
        <row r="7622">
          <cell r="A7622" t="str">
            <v>MAURA</v>
          </cell>
          <cell r="B7622">
            <v>202507</v>
          </cell>
          <cell r="D7622" t="str">
            <v>Arte</v>
          </cell>
          <cell r="G7622" t="str">
            <v>Presupuesto</v>
          </cell>
        </row>
        <row r="7623">
          <cell r="A7623" t="str">
            <v>MAURA</v>
          </cell>
          <cell r="B7623">
            <v>202507</v>
          </cell>
          <cell r="D7623" t="str">
            <v>Autos</v>
          </cell>
          <cell r="G7623" t="str">
            <v>Presupuesto</v>
          </cell>
        </row>
        <row r="7624">
          <cell r="A7624" t="str">
            <v>MAURA</v>
          </cell>
          <cell r="B7624">
            <v>202507</v>
          </cell>
          <cell r="D7624" t="str">
            <v>B2B2C</v>
          </cell>
          <cell r="G7624" t="str">
            <v>Presupuesto</v>
          </cell>
        </row>
        <row r="7625">
          <cell r="A7625" t="str">
            <v>MAURA</v>
          </cell>
          <cell r="B7625">
            <v>202507</v>
          </cell>
          <cell r="D7625" t="str">
            <v>Caución</v>
          </cell>
          <cell r="G7625" t="str">
            <v>Presupuesto</v>
          </cell>
        </row>
        <row r="7626">
          <cell r="A7626" t="str">
            <v>MAURA</v>
          </cell>
          <cell r="B7626">
            <v>202507</v>
          </cell>
          <cell r="D7626" t="str">
            <v>Crédito Internacional</v>
          </cell>
          <cell r="G7626" t="str">
            <v>Presupuesto</v>
          </cell>
        </row>
        <row r="7627">
          <cell r="A7627" t="str">
            <v>MAURA</v>
          </cell>
          <cell r="B7627">
            <v>202507</v>
          </cell>
          <cell r="D7627" t="str">
            <v>Crédito Nacional</v>
          </cell>
          <cell r="G7627" t="str">
            <v>Presupuesto</v>
          </cell>
        </row>
        <row r="7628">
          <cell r="A7628" t="str">
            <v>MAURA</v>
          </cell>
          <cell r="B7628">
            <v>202507</v>
          </cell>
          <cell r="D7628" t="str">
            <v>Eventos</v>
          </cell>
          <cell r="G7628" t="str">
            <v>Presupuesto</v>
          </cell>
        </row>
        <row r="7629">
          <cell r="A7629" t="str">
            <v>MAURA</v>
          </cell>
          <cell r="B7629">
            <v>202507</v>
          </cell>
          <cell r="D7629" t="str">
            <v>Flotas</v>
          </cell>
          <cell r="G7629" t="str">
            <v>Presupuesto</v>
          </cell>
        </row>
        <row r="7630">
          <cell r="A7630" t="str">
            <v>MAURA</v>
          </cell>
          <cell r="B7630">
            <v>202507</v>
          </cell>
          <cell r="D7630" t="str">
            <v>Hogar</v>
          </cell>
          <cell r="G7630" t="str">
            <v>Presupuesto</v>
          </cell>
        </row>
        <row r="7631">
          <cell r="A7631" t="str">
            <v>MAURA</v>
          </cell>
          <cell r="B7631">
            <v>202507</v>
          </cell>
          <cell r="D7631" t="str">
            <v>Ingeniería</v>
          </cell>
          <cell r="G7631" t="str">
            <v>Presupuesto</v>
          </cell>
        </row>
        <row r="7632">
          <cell r="A7632" t="str">
            <v>MAURA</v>
          </cell>
          <cell r="B7632">
            <v>202507</v>
          </cell>
          <cell r="D7632" t="str">
            <v>Inmobiliario</v>
          </cell>
          <cell r="G7632" t="str">
            <v>Presupuesto</v>
          </cell>
        </row>
        <row r="7633">
          <cell r="A7633" t="str">
            <v>MAURA</v>
          </cell>
          <cell r="B7633">
            <v>202507</v>
          </cell>
          <cell r="D7633" t="str">
            <v>Líneas Financieras</v>
          </cell>
          <cell r="G7633" t="str">
            <v>Presupuesto</v>
          </cell>
        </row>
        <row r="7634">
          <cell r="A7634" t="str">
            <v>MAURA</v>
          </cell>
          <cell r="B7634">
            <v>202507</v>
          </cell>
          <cell r="D7634" t="str">
            <v>MAURA</v>
          </cell>
          <cell r="G7634" t="str">
            <v>Presupuesto</v>
          </cell>
        </row>
        <row r="7635">
          <cell r="A7635" t="str">
            <v>MAURA</v>
          </cell>
          <cell r="B7635">
            <v>202507</v>
          </cell>
          <cell r="D7635" t="str">
            <v>MAURA</v>
          </cell>
          <cell r="G7635" t="str">
            <v>Real</v>
          </cell>
        </row>
        <row r="7636">
          <cell r="A7636" t="str">
            <v>MAURA</v>
          </cell>
          <cell r="B7636">
            <v>202507</v>
          </cell>
          <cell r="D7636" t="str">
            <v>Náutica</v>
          </cell>
          <cell r="G7636" t="str">
            <v>Presupuesto</v>
          </cell>
        </row>
        <row r="7637">
          <cell r="A7637" t="str">
            <v>MAURA</v>
          </cell>
          <cell r="B7637">
            <v>202507</v>
          </cell>
          <cell r="D7637" t="str">
            <v>Particulares Resto</v>
          </cell>
          <cell r="G7637" t="str">
            <v>Presupuesto</v>
          </cell>
        </row>
        <row r="7638">
          <cell r="A7638" t="str">
            <v>MAURA</v>
          </cell>
          <cell r="B7638">
            <v>202507</v>
          </cell>
          <cell r="D7638" t="str">
            <v>Property</v>
          </cell>
          <cell r="G7638" t="str">
            <v>Presupuesto</v>
          </cell>
        </row>
        <row r="7639">
          <cell r="A7639" t="str">
            <v>MAURA</v>
          </cell>
          <cell r="B7639">
            <v>202507</v>
          </cell>
          <cell r="D7639" t="str">
            <v>RC</v>
          </cell>
          <cell r="G7639" t="str">
            <v>Presupuesto</v>
          </cell>
        </row>
        <row r="7640">
          <cell r="A7640" t="str">
            <v>MAURA</v>
          </cell>
          <cell r="B7640">
            <v>202507</v>
          </cell>
          <cell r="D7640" t="str">
            <v>Resto de lineas</v>
          </cell>
          <cell r="G7640" t="str">
            <v>Presupuesto</v>
          </cell>
        </row>
        <row r="7641">
          <cell r="A7641" t="str">
            <v>MAURA</v>
          </cell>
          <cell r="B7641">
            <v>202507</v>
          </cell>
          <cell r="D7641" t="str">
            <v>Retirada</v>
          </cell>
          <cell r="G7641" t="str">
            <v>Presupuesto</v>
          </cell>
        </row>
        <row r="7642">
          <cell r="A7642" t="str">
            <v>MAURA</v>
          </cell>
          <cell r="B7642">
            <v>202507</v>
          </cell>
          <cell r="D7642" t="str">
            <v>Seguros Personales (No Vida) Colectivos</v>
          </cell>
          <cell r="G7642" t="str">
            <v>Presupuesto</v>
          </cell>
        </row>
        <row r="7643">
          <cell r="A7643" t="str">
            <v>MAURA</v>
          </cell>
          <cell r="B7643">
            <v>202507</v>
          </cell>
          <cell r="D7643" t="str">
            <v>Seguros Personales (No Vida) Particular</v>
          </cell>
          <cell r="G7643" t="str">
            <v>Presupuesto</v>
          </cell>
        </row>
        <row r="7644">
          <cell r="A7644" t="str">
            <v>MAURA</v>
          </cell>
          <cell r="B7644">
            <v>202507</v>
          </cell>
          <cell r="D7644" t="str">
            <v>Transporte</v>
          </cell>
          <cell r="G7644" t="str">
            <v>Presupuesto</v>
          </cell>
        </row>
        <row r="7645">
          <cell r="A7645" t="str">
            <v>MAURA</v>
          </cell>
          <cell r="B7645">
            <v>202507</v>
          </cell>
          <cell r="D7645" t="str">
            <v>Venta Cruzada</v>
          </cell>
          <cell r="G7645" t="str">
            <v>Presupuesto</v>
          </cell>
        </row>
        <row r="7646">
          <cell r="A7646" t="str">
            <v>MAURA</v>
          </cell>
          <cell r="B7646">
            <v>202507</v>
          </cell>
          <cell r="D7646" t="str">
            <v>Vida Ahorro Colectivo</v>
          </cell>
          <cell r="G7646" t="str">
            <v>Presupuesto</v>
          </cell>
        </row>
        <row r="7647">
          <cell r="A7647" t="str">
            <v>MAURA</v>
          </cell>
          <cell r="B7647">
            <v>202507</v>
          </cell>
          <cell r="D7647" t="str">
            <v>Vida Ahorro Particular</v>
          </cell>
          <cell r="G7647" t="str">
            <v>Presupuesto</v>
          </cell>
        </row>
        <row r="7648">
          <cell r="A7648" t="str">
            <v>MAURA</v>
          </cell>
          <cell r="B7648">
            <v>202507</v>
          </cell>
          <cell r="D7648" t="str">
            <v>Vida Ganado</v>
          </cell>
          <cell r="G7648" t="str">
            <v>Presupuesto</v>
          </cell>
        </row>
        <row r="7649">
          <cell r="A7649" t="str">
            <v>MAURA</v>
          </cell>
          <cell r="B7649">
            <v>202507</v>
          </cell>
          <cell r="D7649" t="str">
            <v>Vida Riesgo Colectivo</v>
          </cell>
          <cell r="G7649" t="str">
            <v>Presupuesto</v>
          </cell>
        </row>
        <row r="7650">
          <cell r="A7650" t="str">
            <v>MAURA</v>
          </cell>
          <cell r="B7650">
            <v>202507</v>
          </cell>
          <cell r="D7650" t="str">
            <v>Vida Riesgo Particular</v>
          </cell>
          <cell r="G7650" t="str">
            <v>Presupuesto</v>
          </cell>
        </row>
        <row r="7651">
          <cell r="A7651" t="str">
            <v>MAURA</v>
          </cell>
          <cell r="B7651">
            <v>202508</v>
          </cell>
          <cell r="D7651" t="str">
            <v>Arte</v>
          </cell>
          <cell r="G7651" t="str">
            <v>Presupuesto</v>
          </cell>
        </row>
        <row r="7652">
          <cell r="A7652" t="str">
            <v>MAURA</v>
          </cell>
          <cell r="B7652">
            <v>202508</v>
          </cell>
          <cell r="D7652" t="str">
            <v>Autos</v>
          </cell>
          <cell r="G7652" t="str">
            <v>Presupuesto</v>
          </cell>
        </row>
        <row r="7653">
          <cell r="A7653" t="str">
            <v>MAURA</v>
          </cell>
          <cell r="B7653">
            <v>202508</v>
          </cell>
          <cell r="D7653" t="str">
            <v>B2B2C</v>
          </cell>
          <cell r="G7653" t="str">
            <v>Presupuesto</v>
          </cell>
        </row>
        <row r="7654">
          <cell r="A7654" t="str">
            <v>MAURA</v>
          </cell>
          <cell r="B7654">
            <v>202508</v>
          </cell>
          <cell r="D7654" t="str">
            <v>Caución</v>
          </cell>
          <cell r="G7654" t="str">
            <v>Presupuesto</v>
          </cell>
        </row>
        <row r="7655">
          <cell r="A7655" t="str">
            <v>MAURA</v>
          </cell>
          <cell r="B7655">
            <v>202508</v>
          </cell>
          <cell r="D7655" t="str">
            <v>Crédito Internacional</v>
          </cell>
          <cell r="G7655" t="str">
            <v>Presupuesto</v>
          </cell>
        </row>
        <row r="7656">
          <cell r="A7656" t="str">
            <v>MAURA</v>
          </cell>
          <cell r="B7656">
            <v>202508</v>
          </cell>
          <cell r="D7656" t="str">
            <v>Crédito Nacional</v>
          </cell>
          <cell r="G7656" t="str">
            <v>Presupuesto</v>
          </cell>
        </row>
        <row r="7657">
          <cell r="A7657" t="str">
            <v>MAURA</v>
          </cell>
          <cell r="B7657">
            <v>202508</v>
          </cell>
          <cell r="D7657" t="str">
            <v>Eventos</v>
          </cell>
          <cell r="G7657" t="str">
            <v>Presupuesto</v>
          </cell>
        </row>
        <row r="7658">
          <cell r="A7658" t="str">
            <v>MAURA</v>
          </cell>
          <cell r="B7658">
            <v>202508</v>
          </cell>
          <cell r="D7658" t="str">
            <v>Flotas</v>
          </cell>
          <cell r="G7658" t="str">
            <v>Presupuesto</v>
          </cell>
        </row>
        <row r="7659">
          <cell r="A7659" t="str">
            <v>MAURA</v>
          </cell>
          <cell r="B7659">
            <v>202508</v>
          </cell>
          <cell r="D7659" t="str">
            <v>Hogar</v>
          </cell>
          <cell r="G7659" t="str">
            <v>Presupuesto</v>
          </cell>
        </row>
        <row r="7660">
          <cell r="A7660" t="str">
            <v>MAURA</v>
          </cell>
          <cell r="B7660">
            <v>202508</v>
          </cell>
          <cell r="D7660" t="str">
            <v>Ingeniería</v>
          </cell>
          <cell r="G7660" t="str">
            <v>Presupuesto</v>
          </cell>
        </row>
        <row r="7661">
          <cell r="A7661" t="str">
            <v>MAURA</v>
          </cell>
          <cell r="B7661">
            <v>202508</v>
          </cell>
          <cell r="D7661" t="str">
            <v>Inmobiliario</v>
          </cell>
          <cell r="G7661" t="str">
            <v>Presupuesto</v>
          </cell>
        </row>
        <row r="7662">
          <cell r="A7662" t="str">
            <v>MAURA</v>
          </cell>
          <cell r="B7662">
            <v>202508</v>
          </cell>
          <cell r="D7662" t="str">
            <v>Líneas Financieras</v>
          </cell>
          <cell r="G7662" t="str">
            <v>Presupuesto</v>
          </cell>
        </row>
        <row r="7663">
          <cell r="A7663" t="str">
            <v>MAURA</v>
          </cell>
          <cell r="B7663">
            <v>202508</v>
          </cell>
          <cell r="D7663" t="str">
            <v>MAURA</v>
          </cell>
          <cell r="G7663" t="str">
            <v>Presupuesto</v>
          </cell>
        </row>
        <row r="7664">
          <cell r="A7664" t="str">
            <v>MAURA</v>
          </cell>
          <cell r="B7664">
            <v>202508</v>
          </cell>
          <cell r="D7664" t="str">
            <v>MAURA</v>
          </cell>
          <cell r="G7664" t="str">
            <v>Real</v>
          </cell>
        </row>
        <row r="7665">
          <cell r="A7665" t="str">
            <v>MAURA</v>
          </cell>
          <cell r="B7665">
            <v>202508</v>
          </cell>
          <cell r="D7665" t="str">
            <v>Náutica</v>
          </cell>
          <cell r="G7665" t="str">
            <v>Presupuesto</v>
          </cell>
        </row>
        <row r="7666">
          <cell r="A7666" t="str">
            <v>MAURA</v>
          </cell>
          <cell r="B7666">
            <v>202508</v>
          </cell>
          <cell r="D7666" t="str">
            <v>Particulares Resto</v>
          </cell>
          <cell r="G7666" t="str">
            <v>Presupuesto</v>
          </cell>
        </row>
        <row r="7667">
          <cell r="A7667" t="str">
            <v>MAURA</v>
          </cell>
          <cell r="B7667">
            <v>202508</v>
          </cell>
          <cell r="D7667" t="str">
            <v>Property</v>
          </cell>
          <cell r="G7667" t="str">
            <v>Presupuesto</v>
          </cell>
        </row>
        <row r="7668">
          <cell r="A7668" t="str">
            <v>MAURA</v>
          </cell>
          <cell r="B7668">
            <v>202508</v>
          </cell>
          <cell r="D7668" t="str">
            <v>RC</v>
          </cell>
          <cell r="G7668" t="str">
            <v>Presupuesto</v>
          </cell>
        </row>
        <row r="7669">
          <cell r="A7669" t="str">
            <v>MAURA</v>
          </cell>
          <cell r="B7669">
            <v>202508</v>
          </cell>
          <cell r="D7669" t="str">
            <v>Resto de lineas</v>
          </cell>
          <cell r="G7669" t="str">
            <v>Presupuesto</v>
          </cell>
        </row>
        <row r="7670">
          <cell r="A7670" t="str">
            <v>MAURA</v>
          </cell>
          <cell r="B7670">
            <v>202508</v>
          </cell>
          <cell r="D7670" t="str">
            <v>Retirada</v>
          </cell>
          <cell r="G7670" t="str">
            <v>Presupuesto</v>
          </cell>
        </row>
        <row r="7671">
          <cell r="A7671" t="str">
            <v>MAURA</v>
          </cell>
          <cell r="B7671">
            <v>202508</v>
          </cell>
          <cell r="D7671" t="str">
            <v>Seguros Personales (No Vida) Colectivos</v>
          </cell>
          <cell r="G7671" t="str">
            <v>Presupuesto</v>
          </cell>
        </row>
        <row r="7672">
          <cell r="A7672" t="str">
            <v>MAURA</v>
          </cell>
          <cell r="B7672">
            <v>202508</v>
          </cell>
          <cell r="D7672" t="str">
            <v>Seguros Personales (No Vida) Particular</v>
          </cell>
          <cell r="G7672" t="str">
            <v>Presupuesto</v>
          </cell>
        </row>
        <row r="7673">
          <cell r="A7673" t="str">
            <v>MAURA</v>
          </cell>
          <cell r="B7673">
            <v>202508</v>
          </cell>
          <cell r="D7673" t="str">
            <v>Transporte</v>
          </cell>
          <cell r="G7673" t="str">
            <v>Presupuesto</v>
          </cell>
        </row>
        <row r="7674">
          <cell r="A7674" t="str">
            <v>MAURA</v>
          </cell>
          <cell r="B7674">
            <v>202508</v>
          </cell>
          <cell r="D7674" t="str">
            <v>Venta Cruzada</v>
          </cell>
          <cell r="G7674" t="str">
            <v>Presupuesto</v>
          </cell>
        </row>
        <row r="7675">
          <cell r="A7675" t="str">
            <v>MAURA</v>
          </cell>
          <cell r="B7675">
            <v>202508</v>
          </cell>
          <cell r="D7675" t="str">
            <v>Vida Ahorro Colectivo</v>
          </cell>
          <cell r="G7675" t="str">
            <v>Presupuesto</v>
          </cell>
        </row>
        <row r="7676">
          <cell r="A7676" t="str">
            <v>MAURA</v>
          </cell>
          <cell r="B7676">
            <v>202508</v>
          </cell>
          <cell r="D7676" t="str">
            <v>Vida Ahorro Particular</v>
          </cell>
          <cell r="G7676" t="str">
            <v>Presupuesto</v>
          </cell>
        </row>
        <row r="7677">
          <cell r="A7677" t="str">
            <v>MAURA</v>
          </cell>
          <cell r="B7677">
            <v>202508</v>
          </cell>
          <cell r="D7677" t="str">
            <v>Vida Ganado</v>
          </cell>
          <cell r="G7677" t="str">
            <v>Presupuesto</v>
          </cell>
        </row>
        <row r="7678">
          <cell r="A7678" t="str">
            <v>MAURA</v>
          </cell>
          <cell r="B7678">
            <v>202508</v>
          </cell>
          <cell r="D7678" t="str">
            <v>Vida Riesgo Colectivo</v>
          </cell>
          <cell r="G7678" t="str">
            <v>Presupuesto</v>
          </cell>
        </row>
        <row r="7679">
          <cell r="A7679" t="str">
            <v>MAURA</v>
          </cell>
          <cell r="B7679">
            <v>202508</v>
          </cell>
          <cell r="D7679" t="str">
            <v>Vida Riesgo Particular</v>
          </cell>
          <cell r="G7679" t="str">
            <v>Presupuesto</v>
          </cell>
        </row>
        <row r="7680">
          <cell r="A7680" t="str">
            <v>MAURA</v>
          </cell>
          <cell r="B7680">
            <v>202509</v>
          </cell>
          <cell r="D7680" t="str">
            <v>Arte</v>
          </cell>
          <cell r="G7680" t="str">
            <v>Presupuesto</v>
          </cell>
        </row>
        <row r="7681">
          <cell r="A7681" t="str">
            <v>MAURA</v>
          </cell>
          <cell r="B7681">
            <v>202509</v>
          </cell>
          <cell r="D7681" t="str">
            <v>Autos</v>
          </cell>
          <cell r="G7681" t="str">
            <v>Presupuesto</v>
          </cell>
        </row>
        <row r="7682">
          <cell r="A7682" t="str">
            <v>MAURA</v>
          </cell>
          <cell r="B7682">
            <v>202509</v>
          </cell>
          <cell r="D7682" t="str">
            <v>B2B2C</v>
          </cell>
          <cell r="G7682" t="str">
            <v>Presupuesto</v>
          </cell>
        </row>
        <row r="7683">
          <cell r="A7683" t="str">
            <v>MAURA</v>
          </cell>
          <cell r="B7683">
            <v>202509</v>
          </cell>
          <cell r="D7683" t="str">
            <v>Caución</v>
          </cell>
          <cell r="G7683" t="str">
            <v>Presupuesto</v>
          </cell>
        </row>
        <row r="7684">
          <cell r="A7684" t="str">
            <v>MAURA</v>
          </cell>
          <cell r="B7684">
            <v>202509</v>
          </cell>
          <cell r="D7684" t="str">
            <v>Crédito Internacional</v>
          </cell>
          <cell r="G7684" t="str">
            <v>Presupuesto</v>
          </cell>
        </row>
        <row r="7685">
          <cell r="A7685" t="str">
            <v>MAURA</v>
          </cell>
          <cell r="B7685">
            <v>202509</v>
          </cell>
          <cell r="D7685" t="str">
            <v>Crédito Nacional</v>
          </cell>
          <cell r="G7685" t="str">
            <v>Presupuesto</v>
          </cell>
        </row>
        <row r="7686">
          <cell r="A7686" t="str">
            <v>MAURA</v>
          </cell>
          <cell r="B7686">
            <v>202509</v>
          </cell>
          <cell r="D7686" t="str">
            <v>Eventos</v>
          </cell>
          <cell r="G7686" t="str">
            <v>Presupuesto</v>
          </cell>
        </row>
        <row r="7687">
          <cell r="A7687" t="str">
            <v>MAURA</v>
          </cell>
          <cell r="B7687">
            <v>202509</v>
          </cell>
          <cell r="D7687" t="str">
            <v>Flotas</v>
          </cell>
          <cell r="G7687" t="str">
            <v>Presupuesto</v>
          </cell>
        </row>
        <row r="7688">
          <cell r="A7688" t="str">
            <v>MAURA</v>
          </cell>
          <cell r="B7688">
            <v>202509</v>
          </cell>
          <cell r="D7688" t="str">
            <v>Hogar</v>
          </cell>
          <cell r="G7688" t="str">
            <v>Presupuesto</v>
          </cell>
        </row>
        <row r="7689">
          <cell r="A7689" t="str">
            <v>MAURA</v>
          </cell>
          <cell r="B7689">
            <v>202509</v>
          </cell>
          <cell r="D7689" t="str">
            <v>Ingeniería</v>
          </cell>
          <cell r="G7689" t="str">
            <v>Presupuesto</v>
          </cell>
        </row>
        <row r="7690">
          <cell r="A7690" t="str">
            <v>MAURA</v>
          </cell>
          <cell r="B7690">
            <v>202509</v>
          </cell>
          <cell r="D7690" t="str">
            <v>Inmobiliario</v>
          </cell>
          <cell r="G7690" t="str">
            <v>Presupuesto</v>
          </cell>
        </row>
        <row r="7691">
          <cell r="A7691" t="str">
            <v>MAURA</v>
          </cell>
          <cell r="B7691">
            <v>202509</v>
          </cell>
          <cell r="D7691" t="str">
            <v>Líneas Financieras</v>
          </cell>
          <cell r="G7691" t="str">
            <v>Presupuesto</v>
          </cell>
        </row>
        <row r="7692">
          <cell r="A7692" t="str">
            <v>MAURA</v>
          </cell>
          <cell r="B7692">
            <v>202509</v>
          </cell>
          <cell r="D7692" t="str">
            <v>MAURA</v>
          </cell>
          <cell r="G7692" t="str">
            <v>Presupuesto</v>
          </cell>
        </row>
        <row r="7693">
          <cell r="A7693" t="str">
            <v>MAURA</v>
          </cell>
          <cell r="B7693">
            <v>202509</v>
          </cell>
          <cell r="D7693" t="str">
            <v>MAURA</v>
          </cell>
          <cell r="G7693" t="str">
            <v>Real</v>
          </cell>
        </row>
        <row r="7694">
          <cell r="A7694" t="str">
            <v>MAURA</v>
          </cell>
          <cell r="B7694">
            <v>202509</v>
          </cell>
          <cell r="D7694" t="str">
            <v>Náutica</v>
          </cell>
          <cell r="G7694" t="str">
            <v>Presupuesto</v>
          </cell>
        </row>
        <row r="7695">
          <cell r="A7695" t="str">
            <v>MAURA</v>
          </cell>
          <cell r="B7695">
            <v>202509</v>
          </cell>
          <cell r="D7695" t="str">
            <v>Particulares Resto</v>
          </cell>
          <cell r="G7695" t="str">
            <v>Presupuesto</v>
          </cell>
        </row>
        <row r="7696">
          <cell r="A7696" t="str">
            <v>MAURA</v>
          </cell>
          <cell r="B7696">
            <v>202509</v>
          </cell>
          <cell r="D7696" t="str">
            <v>Property</v>
          </cell>
          <cell r="G7696" t="str">
            <v>Presupuesto</v>
          </cell>
        </row>
        <row r="7697">
          <cell r="A7697" t="str">
            <v>MAURA</v>
          </cell>
          <cell r="B7697">
            <v>202509</v>
          </cell>
          <cell r="D7697" t="str">
            <v>RC</v>
          </cell>
          <cell r="G7697" t="str">
            <v>Presupuesto</v>
          </cell>
        </row>
        <row r="7698">
          <cell r="A7698" t="str">
            <v>MAURA</v>
          </cell>
          <cell r="B7698">
            <v>202509</v>
          </cell>
          <cell r="D7698" t="str">
            <v>Resto de lineas</v>
          </cell>
          <cell r="G7698" t="str">
            <v>Presupuesto</v>
          </cell>
        </row>
        <row r="7699">
          <cell r="A7699" t="str">
            <v>MAURA</v>
          </cell>
          <cell r="B7699">
            <v>202509</v>
          </cell>
          <cell r="D7699" t="str">
            <v>Retirada</v>
          </cell>
          <cell r="G7699" t="str">
            <v>Presupuesto</v>
          </cell>
        </row>
        <row r="7700">
          <cell r="A7700" t="str">
            <v>MAURA</v>
          </cell>
          <cell r="B7700">
            <v>202509</v>
          </cell>
          <cell r="D7700" t="str">
            <v>Seguros Personales (No Vida) Colectivos</v>
          </cell>
          <cell r="G7700" t="str">
            <v>Presupuesto</v>
          </cell>
        </row>
        <row r="7701">
          <cell r="A7701" t="str">
            <v>MAURA</v>
          </cell>
          <cell r="B7701">
            <v>202509</v>
          </cell>
          <cell r="D7701" t="str">
            <v>Seguros Personales (No Vida) Particular</v>
          </cell>
          <cell r="G7701" t="str">
            <v>Presupuesto</v>
          </cell>
        </row>
        <row r="7702">
          <cell r="A7702" t="str">
            <v>MAURA</v>
          </cell>
          <cell r="B7702">
            <v>202509</v>
          </cell>
          <cell r="D7702" t="str">
            <v>Transporte</v>
          </cell>
          <cell r="G7702" t="str">
            <v>Presupuesto</v>
          </cell>
        </row>
        <row r="7703">
          <cell r="A7703" t="str">
            <v>MAURA</v>
          </cell>
          <cell r="B7703">
            <v>202509</v>
          </cell>
          <cell r="D7703" t="str">
            <v>Venta Cruzada</v>
          </cell>
          <cell r="G7703" t="str">
            <v>Presupuesto</v>
          </cell>
        </row>
        <row r="7704">
          <cell r="A7704" t="str">
            <v>MAURA</v>
          </cell>
          <cell r="B7704">
            <v>202509</v>
          </cell>
          <cell r="D7704" t="str">
            <v>Vida Ahorro Colectivo</v>
          </cell>
          <cell r="G7704" t="str">
            <v>Presupuesto</v>
          </cell>
        </row>
        <row r="7705">
          <cell r="A7705" t="str">
            <v>MAURA</v>
          </cell>
          <cell r="B7705">
            <v>202509</v>
          </cell>
          <cell r="D7705" t="str">
            <v>Vida Ahorro Particular</v>
          </cell>
          <cell r="G7705" t="str">
            <v>Presupuesto</v>
          </cell>
        </row>
        <row r="7706">
          <cell r="A7706" t="str">
            <v>MAURA</v>
          </cell>
          <cell r="B7706">
            <v>202509</v>
          </cell>
          <cell r="D7706" t="str">
            <v>Vida Ganado</v>
          </cell>
          <cell r="G7706" t="str">
            <v>Presupuesto</v>
          </cell>
        </row>
        <row r="7707">
          <cell r="A7707" t="str">
            <v>MAURA</v>
          </cell>
          <cell r="B7707">
            <v>202509</v>
          </cell>
          <cell r="D7707" t="str">
            <v>Vida Riesgo Colectivo</v>
          </cell>
          <cell r="G7707" t="str">
            <v>Presupuesto</v>
          </cell>
        </row>
        <row r="7708">
          <cell r="A7708" t="str">
            <v>MAURA</v>
          </cell>
          <cell r="B7708">
            <v>202509</v>
          </cell>
          <cell r="D7708" t="str">
            <v>Vida Riesgo Particular</v>
          </cell>
          <cell r="G7708" t="str">
            <v>Presupuesto</v>
          </cell>
        </row>
        <row r="7709">
          <cell r="A7709" t="str">
            <v>MAURA</v>
          </cell>
          <cell r="B7709">
            <v>202510</v>
          </cell>
          <cell r="D7709" t="str">
            <v>Arte</v>
          </cell>
          <cell r="G7709" t="str">
            <v>Presupuesto</v>
          </cell>
        </row>
        <row r="7710">
          <cell r="A7710" t="str">
            <v>MAURA</v>
          </cell>
          <cell r="B7710">
            <v>202510</v>
          </cell>
          <cell r="D7710" t="str">
            <v>Autos</v>
          </cell>
          <cell r="G7710" t="str">
            <v>Presupuesto</v>
          </cell>
        </row>
        <row r="7711">
          <cell r="A7711" t="str">
            <v>MAURA</v>
          </cell>
          <cell r="B7711">
            <v>202510</v>
          </cell>
          <cell r="D7711" t="str">
            <v>B2B2C</v>
          </cell>
          <cell r="G7711" t="str">
            <v>Presupuesto</v>
          </cell>
        </row>
        <row r="7712">
          <cell r="A7712" t="str">
            <v>MAURA</v>
          </cell>
          <cell r="B7712">
            <v>202510</v>
          </cell>
          <cell r="D7712" t="str">
            <v>Caución</v>
          </cell>
          <cell r="G7712" t="str">
            <v>Presupuesto</v>
          </cell>
        </row>
        <row r="7713">
          <cell r="A7713" t="str">
            <v>MAURA</v>
          </cell>
          <cell r="B7713">
            <v>202510</v>
          </cell>
          <cell r="D7713" t="str">
            <v>Crédito Internacional</v>
          </cell>
          <cell r="G7713" t="str">
            <v>Presupuesto</v>
          </cell>
        </row>
        <row r="7714">
          <cell r="A7714" t="str">
            <v>MAURA</v>
          </cell>
          <cell r="B7714">
            <v>202510</v>
          </cell>
          <cell r="D7714" t="str">
            <v>Crédito Nacional</v>
          </cell>
          <cell r="G7714" t="str">
            <v>Presupuesto</v>
          </cell>
        </row>
        <row r="7715">
          <cell r="A7715" t="str">
            <v>MAURA</v>
          </cell>
          <cell r="B7715">
            <v>202510</v>
          </cell>
          <cell r="D7715" t="str">
            <v>Eventos</v>
          </cell>
          <cell r="G7715" t="str">
            <v>Presupuesto</v>
          </cell>
        </row>
        <row r="7716">
          <cell r="A7716" t="str">
            <v>MAURA</v>
          </cell>
          <cell r="B7716">
            <v>202510</v>
          </cell>
          <cell r="D7716" t="str">
            <v>Flotas</v>
          </cell>
          <cell r="G7716" t="str">
            <v>Presupuesto</v>
          </cell>
        </row>
        <row r="7717">
          <cell r="A7717" t="str">
            <v>MAURA</v>
          </cell>
          <cell r="B7717">
            <v>202510</v>
          </cell>
          <cell r="D7717" t="str">
            <v>Hogar</v>
          </cell>
          <cell r="G7717" t="str">
            <v>Presupuesto</v>
          </cell>
        </row>
        <row r="7718">
          <cell r="A7718" t="str">
            <v>MAURA</v>
          </cell>
          <cell r="B7718">
            <v>202510</v>
          </cell>
          <cell r="D7718" t="str">
            <v>Ingeniería</v>
          </cell>
          <cell r="G7718" t="str">
            <v>Presupuesto</v>
          </cell>
        </row>
        <row r="7719">
          <cell r="A7719" t="str">
            <v>MAURA</v>
          </cell>
          <cell r="B7719">
            <v>202510</v>
          </cell>
          <cell r="D7719" t="str">
            <v>Inmobiliario</v>
          </cell>
          <cell r="G7719" t="str">
            <v>Presupuesto</v>
          </cell>
        </row>
        <row r="7720">
          <cell r="A7720" t="str">
            <v>MAURA</v>
          </cell>
          <cell r="B7720">
            <v>202510</v>
          </cell>
          <cell r="D7720" t="str">
            <v>Líneas Financieras</v>
          </cell>
          <cell r="G7720" t="str">
            <v>Presupuesto</v>
          </cell>
        </row>
        <row r="7721">
          <cell r="A7721" t="str">
            <v>MAURA</v>
          </cell>
          <cell r="B7721">
            <v>202510</v>
          </cell>
          <cell r="D7721" t="str">
            <v>MAURA</v>
          </cell>
          <cell r="G7721" t="str">
            <v>Presupuesto</v>
          </cell>
        </row>
        <row r="7722">
          <cell r="A7722" t="str">
            <v>MAURA</v>
          </cell>
          <cell r="B7722">
            <v>202510</v>
          </cell>
          <cell r="D7722" t="str">
            <v>MAURA</v>
          </cell>
          <cell r="G7722" t="str">
            <v>Real</v>
          </cell>
        </row>
        <row r="7723">
          <cell r="A7723" t="str">
            <v>MAURA</v>
          </cell>
          <cell r="B7723">
            <v>202510</v>
          </cell>
          <cell r="D7723" t="str">
            <v>Náutica</v>
          </cell>
          <cell r="G7723" t="str">
            <v>Presupuesto</v>
          </cell>
        </row>
        <row r="7724">
          <cell r="A7724" t="str">
            <v>MAURA</v>
          </cell>
          <cell r="B7724">
            <v>202510</v>
          </cell>
          <cell r="D7724" t="str">
            <v>Particulares Resto</v>
          </cell>
          <cell r="G7724" t="str">
            <v>Presupuesto</v>
          </cell>
        </row>
        <row r="7725">
          <cell r="A7725" t="str">
            <v>MAURA</v>
          </cell>
          <cell r="B7725">
            <v>202510</v>
          </cell>
          <cell r="D7725" t="str">
            <v>Property</v>
          </cell>
          <cell r="G7725" t="str">
            <v>Presupuesto</v>
          </cell>
        </row>
        <row r="7726">
          <cell r="A7726" t="str">
            <v>MAURA</v>
          </cell>
          <cell r="B7726">
            <v>202510</v>
          </cell>
          <cell r="D7726" t="str">
            <v>RC</v>
          </cell>
          <cell r="G7726" t="str">
            <v>Presupuesto</v>
          </cell>
        </row>
        <row r="7727">
          <cell r="A7727" t="str">
            <v>MAURA</v>
          </cell>
          <cell r="B7727">
            <v>202510</v>
          </cell>
          <cell r="D7727" t="str">
            <v>Resto de lineas</v>
          </cell>
          <cell r="G7727" t="str">
            <v>Presupuesto</v>
          </cell>
        </row>
        <row r="7728">
          <cell r="A7728" t="str">
            <v>MAURA</v>
          </cell>
          <cell r="B7728">
            <v>202510</v>
          </cell>
          <cell r="D7728" t="str">
            <v>Retirada</v>
          </cell>
          <cell r="G7728" t="str">
            <v>Presupuesto</v>
          </cell>
        </row>
        <row r="7729">
          <cell r="A7729" t="str">
            <v>MAURA</v>
          </cell>
          <cell r="B7729">
            <v>202510</v>
          </cell>
          <cell r="D7729" t="str">
            <v>Seguros Personales (No Vida) Colectivos</v>
          </cell>
          <cell r="G7729" t="str">
            <v>Presupuesto</v>
          </cell>
        </row>
        <row r="7730">
          <cell r="A7730" t="str">
            <v>MAURA</v>
          </cell>
          <cell r="B7730">
            <v>202510</v>
          </cell>
          <cell r="D7730" t="str">
            <v>Seguros Personales (No Vida) Particular</v>
          </cell>
          <cell r="G7730" t="str">
            <v>Presupuesto</v>
          </cell>
        </row>
        <row r="7731">
          <cell r="A7731" t="str">
            <v>MAURA</v>
          </cell>
          <cell r="B7731">
            <v>202510</v>
          </cell>
          <cell r="D7731" t="str">
            <v>Transporte</v>
          </cell>
          <cell r="G7731" t="str">
            <v>Presupuesto</v>
          </cell>
        </row>
        <row r="7732">
          <cell r="A7732" t="str">
            <v>MAURA</v>
          </cell>
          <cell r="B7732">
            <v>202510</v>
          </cell>
          <cell r="D7732" t="str">
            <v>Venta Cruzada</v>
          </cell>
          <cell r="G7732" t="str">
            <v>Presupuesto</v>
          </cell>
        </row>
        <row r="7733">
          <cell r="A7733" t="str">
            <v>MAURA</v>
          </cell>
          <cell r="B7733">
            <v>202510</v>
          </cell>
          <cell r="D7733" t="str">
            <v>Vida Ahorro Colectivo</v>
          </cell>
          <cell r="G7733" t="str">
            <v>Presupuesto</v>
          </cell>
        </row>
        <row r="7734">
          <cell r="A7734" t="str">
            <v>MAURA</v>
          </cell>
          <cell r="B7734">
            <v>202510</v>
          </cell>
          <cell r="D7734" t="str">
            <v>Vida Ahorro Particular</v>
          </cell>
          <cell r="G7734" t="str">
            <v>Presupuesto</v>
          </cell>
        </row>
        <row r="7735">
          <cell r="A7735" t="str">
            <v>MAURA</v>
          </cell>
          <cell r="B7735">
            <v>202510</v>
          </cell>
          <cell r="D7735" t="str">
            <v>Vida Ganado</v>
          </cell>
          <cell r="G7735" t="str">
            <v>Presupuesto</v>
          </cell>
        </row>
        <row r="7736">
          <cell r="A7736" t="str">
            <v>MAURA</v>
          </cell>
          <cell r="B7736">
            <v>202510</v>
          </cell>
          <cell r="D7736" t="str">
            <v>Vida Riesgo Colectivo</v>
          </cell>
          <cell r="G7736" t="str">
            <v>Presupuesto</v>
          </cell>
        </row>
        <row r="7737">
          <cell r="A7737" t="str">
            <v>MAURA</v>
          </cell>
          <cell r="B7737">
            <v>202510</v>
          </cell>
          <cell r="D7737" t="str">
            <v>Vida Riesgo Particular</v>
          </cell>
          <cell r="G7737" t="str">
            <v>Presupuesto</v>
          </cell>
        </row>
        <row r="7738">
          <cell r="A7738" t="str">
            <v>MAURA</v>
          </cell>
          <cell r="B7738">
            <v>202511</v>
          </cell>
          <cell r="D7738" t="str">
            <v>Arte</v>
          </cell>
          <cell r="G7738" t="str">
            <v>Presupuesto</v>
          </cell>
        </row>
        <row r="7739">
          <cell r="A7739" t="str">
            <v>MAURA</v>
          </cell>
          <cell r="B7739">
            <v>202511</v>
          </cell>
          <cell r="D7739" t="str">
            <v>Autos</v>
          </cell>
          <cell r="G7739" t="str">
            <v>Presupuesto</v>
          </cell>
        </row>
        <row r="7740">
          <cell r="A7740" t="str">
            <v>MAURA</v>
          </cell>
          <cell r="B7740">
            <v>202511</v>
          </cell>
          <cell r="D7740" t="str">
            <v>B2B2C</v>
          </cell>
          <cell r="G7740" t="str">
            <v>Presupuesto</v>
          </cell>
        </row>
        <row r="7741">
          <cell r="A7741" t="str">
            <v>MAURA</v>
          </cell>
          <cell r="B7741">
            <v>202511</v>
          </cell>
          <cell r="D7741" t="str">
            <v>Caución</v>
          </cell>
          <cell r="G7741" t="str">
            <v>Presupuesto</v>
          </cell>
        </row>
        <row r="7742">
          <cell r="A7742" t="str">
            <v>MAURA</v>
          </cell>
          <cell r="B7742">
            <v>202511</v>
          </cell>
          <cell r="D7742" t="str">
            <v>Crédito Internacional</v>
          </cell>
          <cell r="G7742" t="str">
            <v>Presupuesto</v>
          </cell>
        </row>
        <row r="7743">
          <cell r="A7743" t="str">
            <v>MAURA</v>
          </cell>
          <cell r="B7743">
            <v>202511</v>
          </cell>
          <cell r="D7743" t="str">
            <v>Crédito Nacional</v>
          </cell>
          <cell r="G7743" t="str">
            <v>Presupuesto</v>
          </cell>
        </row>
        <row r="7744">
          <cell r="A7744" t="str">
            <v>MAURA</v>
          </cell>
          <cell r="B7744">
            <v>202511</v>
          </cell>
          <cell r="D7744" t="str">
            <v>Eventos</v>
          </cell>
          <cell r="G7744" t="str">
            <v>Presupuesto</v>
          </cell>
        </row>
        <row r="7745">
          <cell r="A7745" t="str">
            <v>MAURA</v>
          </cell>
          <cell r="B7745">
            <v>202511</v>
          </cell>
          <cell r="D7745" t="str">
            <v>Flotas</v>
          </cell>
          <cell r="G7745" t="str">
            <v>Presupuesto</v>
          </cell>
        </row>
        <row r="7746">
          <cell r="A7746" t="str">
            <v>MAURA</v>
          </cell>
          <cell r="B7746">
            <v>202511</v>
          </cell>
          <cell r="D7746" t="str">
            <v>Hogar</v>
          </cell>
          <cell r="G7746" t="str">
            <v>Presupuesto</v>
          </cell>
        </row>
        <row r="7747">
          <cell r="A7747" t="str">
            <v>MAURA</v>
          </cell>
          <cell r="B7747">
            <v>202511</v>
          </cell>
          <cell r="D7747" t="str">
            <v>Ingeniería</v>
          </cell>
          <cell r="G7747" t="str">
            <v>Presupuesto</v>
          </cell>
        </row>
        <row r="7748">
          <cell r="A7748" t="str">
            <v>MAURA</v>
          </cell>
          <cell r="B7748">
            <v>202511</v>
          </cell>
          <cell r="D7748" t="str">
            <v>Inmobiliario</v>
          </cell>
          <cell r="G7748" t="str">
            <v>Presupuesto</v>
          </cell>
        </row>
        <row r="7749">
          <cell r="A7749" t="str">
            <v>MAURA</v>
          </cell>
          <cell r="B7749">
            <v>202511</v>
          </cell>
          <cell r="D7749" t="str">
            <v>Líneas Financieras</v>
          </cell>
          <cell r="G7749" t="str">
            <v>Presupuesto</v>
          </cell>
        </row>
        <row r="7750">
          <cell r="A7750" t="str">
            <v>MAURA</v>
          </cell>
          <cell r="B7750">
            <v>202511</v>
          </cell>
          <cell r="D7750" t="str">
            <v>MAURA</v>
          </cell>
          <cell r="G7750" t="str">
            <v>Presupuesto</v>
          </cell>
        </row>
        <row r="7751">
          <cell r="A7751" t="str">
            <v>MAURA</v>
          </cell>
          <cell r="B7751">
            <v>202511</v>
          </cell>
          <cell r="D7751" t="str">
            <v>MAURA</v>
          </cell>
          <cell r="G7751" t="str">
            <v>Real</v>
          </cell>
        </row>
        <row r="7752">
          <cell r="A7752" t="str">
            <v>MAURA</v>
          </cell>
          <cell r="B7752">
            <v>202511</v>
          </cell>
          <cell r="D7752" t="str">
            <v>Náutica</v>
          </cell>
          <cell r="G7752" t="str">
            <v>Presupuesto</v>
          </cell>
        </row>
        <row r="7753">
          <cell r="A7753" t="str">
            <v>MAURA</v>
          </cell>
          <cell r="B7753">
            <v>202511</v>
          </cell>
          <cell r="D7753" t="str">
            <v>Particulares Resto</v>
          </cell>
          <cell r="G7753" t="str">
            <v>Presupuesto</v>
          </cell>
        </row>
        <row r="7754">
          <cell r="A7754" t="str">
            <v>MAURA</v>
          </cell>
          <cell r="B7754">
            <v>202511</v>
          </cell>
          <cell r="D7754" t="str">
            <v>Property</v>
          </cell>
          <cell r="G7754" t="str">
            <v>Presupuesto</v>
          </cell>
        </row>
        <row r="7755">
          <cell r="A7755" t="str">
            <v>MAURA</v>
          </cell>
          <cell r="B7755">
            <v>202511</v>
          </cell>
          <cell r="D7755" t="str">
            <v>RC</v>
          </cell>
          <cell r="G7755" t="str">
            <v>Presupuesto</v>
          </cell>
        </row>
        <row r="7756">
          <cell r="A7756" t="str">
            <v>MAURA</v>
          </cell>
          <cell r="B7756">
            <v>202511</v>
          </cell>
          <cell r="D7756" t="str">
            <v>Resto de lineas</v>
          </cell>
          <cell r="G7756" t="str">
            <v>Presupuesto</v>
          </cell>
        </row>
        <row r="7757">
          <cell r="A7757" t="str">
            <v>MAURA</v>
          </cell>
          <cell r="B7757">
            <v>202511</v>
          </cell>
          <cell r="D7757" t="str">
            <v>Retirada</v>
          </cell>
          <cell r="G7757" t="str">
            <v>Presupuesto</v>
          </cell>
        </row>
        <row r="7758">
          <cell r="A7758" t="str">
            <v>MAURA</v>
          </cell>
          <cell r="B7758">
            <v>202511</v>
          </cell>
          <cell r="D7758" t="str">
            <v>Seguros Personales (No Vida) Colectivos</v>
          </cell>
          <cell r="G7758" t="str">
            <v>Presupuesto</v>
          </cell>
        </row>
        <row r="7759">
          <cell r="A7759" t="str">
            <v>MAURA</v>
          </cell>
          <cell r="B7759">
            <v>202511</v>
          </cell>
          <cell r="D7759" t="str">
            <v>Seguros Personales (No Vida) Particular</v>
          </cell>
          <cell r="G7759" t="str">
            <v>Presupuesto</v>
          </cell>
        </row>
        <row r="7760">
          <cell r="A7760" t="str">
            <v>MAURA</v>
          </cell>
          <cell r="B7760">
            <v>202511</v>
          </cell>
          <cell r="D7760" t="str">
            <v>Transporte</v>
          </cell>
          <cell r="G7760" t="str">
            <v>Presupuesto</v>
          </cell>
        </row>
        <row r="7761">
          <cell r="A7761" t="str">
            <v>MAURA</v>
          </cell>
          <cell r="B7761">
            <v>202511</v>
          </cell>
          <cell r="D7761" t="str">
            <v>Venta Cruzada</v>
          </cell>
          <cell r="G7761" t="str">
            <v>Presupuesto</v>
          </cell>
        </row>
        <row r="7762">
          <cell r="A7762" t="str">
            <v>MAURA</v>
          </cell>
          <cell r="B7762">
            <v>202511</v>
          </cell>
          <cell r="D7762" t="str">
            <v>Vida Ahorro Colectivo</v>
          </cell>
          <cell r="G7762" t="str">
            <v>Presupuesto</v>
          </cell>
        </row>
        <row r="7763">
          <cell r="A7763" t="str">
            <v>MAURA</v>
          </cell>
          <cell r="B7763">
            <v>202511</v>
          </cell>
          <cell r="D7763" t="str">
            <v>Vida Ahorro Particular</v>
          </cell>
          <cell r="G7763" t="str">
            <v>Presupuesto</v>
          </cell>
        </row>
        <row r="7764">
          <cell r="A7764" t="str">
            <v>MAURA</v>
          </cell>
          <cell r="B7764">
            <v>202511</v>
          </cell>
          <cell r="D7764" t="str">
            <v>Vida Ganado</v>
          </cell>
          <cell r="G7764" t="str">
            <v>Presupuesto</v>
          </cell>
        </row>
        <row r="7765">
          <cell r="A7765" t="str">
            <v>MAURA</v>
          </cell>
          <cell r="B7765">
            <v>202511</v>
          </cell>
          <cell r="D7765" t="str">
            <v>Vida Riesgo Colectivo</v>
          </cell>
          <cell r="G7765" t="str">
            <v>Presupuesto</v>
          </cell>
        </row>
        <row r="7766">
          <cell r="A7766" t="str">
            <v>MAURA</v>
          </cell>
          <cell r="B7766">
            <v>202511</v>
          </cell>
          <cell r="D7766" t="str">
            <v>Vida Riesgo Particular</v>
          </cell>
          <cell r="G7766" t="str">
            <v>Presupuesto</v>
          </cell>
        </row>
        <row r="7767">
          <cell r="A7767" t="str">
            <v>MAURA</v>
          </cell>
          <cell r="B7767">
            <v>202512</v>
          </cell>
          <cell r="D7767" t="str">
            <v>Arte</v>
          </cell>
          <cell r="G7767" t="str">
            <v>Presupuesto</v>
          </cell>
        </row>
        <row r="7768">
          <cell r="A7768" t="str">
            <v>MAURA</v>
          </cell>
          <cell r="B7768">
            <v>202512</v>
          </cell>
          <cell r="D7768" t="str">
            <v>Autos</v>
          </cell>
          <cell r="G7768" t="str">
            <v>Presupuesto</v>
          </cell>
        </row>
        <row r="7769">
          <cell r="A7769" t="str">
            <v>MAURA</v>
          </cell>
          <cell r="B7769">
            <v>202512</v>
          </cell>
          <cell r="D7769" t="str">
            <v>B2B2C</v>
          </cell>
          <cell r="G7769" t="str">
            <v>Presupuesto</v>
          </cell>
        </row>
        <row r="7770">
          <cell r="A7770" t="str">
            <v>MAURA</v>
          </cell>
          <cell r="B7770">
            <v>202512</v>
          </cell>
          <cell r="D7770" t="str">
            <v>Caución</v>
          </cell>
          <cell r="G7770" t="str">
            <v>Presupuesto</v>
          </cell>
        </row>
        <row r="7771">
          <cell r="A7771" t="str">
            <v>MAURA</v>
          </cell>
          <cell r="B7771">
            <v>202512</v>
          </cell>
          <cell r="D7771" t="str">
            <v>Crédito Internacional</v>
          </cell>
          <cell r="G7771" t="str">
            <v>Presupuesto</v>
          </cell>
        </row>
        <row r="7772">
          <cell r="A7772" t="str">
            <v>MAURA</v>
          </cell>
          <cell r="B7772">
            <v>202512</v>
          </cell>
          <cell r="D7772" t="str">
            <v>Crédito Nacional</v>
          </cell>
          <cell r="G7772" t="str">
            <v>Presupuesto</v>
          </cell>
        </row>
        <row r="7773">
          <cell r="A7773" t="str">
            <v>MAURA</v>
          </cell>
          <cell r="B7773">
            <v>202512</v>
          </cell>
          <cell r="D7773" t="str">
            <v>Eventos</v>
          </cell>
          <cell r="G7773" t="str">
            <v>Presupuesto</v>
          </cell>
        </row>
        <row r="7774">
          <cell r="A7774" t="str">
            <v>MAURA</v>
          </cell>
          <cell r="B7774">
            <v>202512</v>
          </cell>
          <cell r="D7774" t="str">
            <v>Flotas</v>
          </cell>
          <cell r="G7774" t="str">
            <v>Presupuesto</v>
          </cell>
        </row>
        <row r="7775">
          <cell r="A7775" t="str">
            <v>MAURA</v>
          </cell>
          <cell r="B7775">
            <v>202512</v>
          </cell>
          <cell r="D7775" t="str">
            <v>Hogar</v>
          </cell>
          <cell r="G7775" t="str">
            <v>Presupuesto</v>
          </cell>
        </row>
        <row r="7776">
          <cell r="A7776" t="str">
            <v>MAURA</v>
          </cell>
          <cell r="B7776">
            <v>202512</v>
          </cell>
          <cell r="D7776" t="str">
            <v>Ingeniería</v>
          </cell>
          <cell r="G7776" t="str">
            <v>Presupuesto</v>
          </cell>
        </row>
        <row r="7777">
          <cell r="A7777" t="str">
            <v>MAURA</v>
          </cell>
          <cell r="B7777">
            <v>202512</v>
          </cell>
          <cell r="D7777" t="str">
            <v>Inmobiliario</v>
          </cell>
          <cell r="G7777" t="str">
            <v>Presupuesto</v>
          </cell>
        </row>
        <row r="7778">
          <cell r="A7778" t="str">
            <v>MAURA</v>
          </cell>
          <cell r="B7778">
            <v>202512</v>
          </cell>
          <cell r="D7778" t="str">
            <v>Líneas Financieras</v>
          </cell>
          <cell r="G7778" t="str">
            <v>Presupuesto</v>
          </cell>
        </row>
        <row r="7779">
          <cell r="A7779" t="str">
            <v>MAURA</v>
          </cell>
          <cell r="B7779">
            <v>202512</v>
          </cell>
          <cell r="D7779" t="str">
            <v>MAURA</v>
          </cell>
          <cell r="G7779" t="str">
            <v>Presupuesto</v>
          </cell>
        </row>
        <row r="7780">
          <cell r="A7780" t="str">
            <v>MAURA</v>
          </cell>
          <cell r="B7780">
            <v>202512</v>
          </cell>
          <cell r="D7780" t="str">
            <v>MAURA</v>
          </cell>
          <cell r="G7780" t="str">
            <v>Real</v>
          </cell>
        </row>
        <row r="7781">
          <cell r="A7781" t="str">
            <v>MAURA</v>
          </cell>
          <cell r="B7781">
            <v>202512</v>
          </cell>
          <cell r="D7781" t="str">
            <v>Náutica</v>
          </cell>
          <cell r="G7781" t="str">
            <v>Presupuesto</v>
          </cell>
        </row>
        <row r="7782">
          <cell r="A7782" t="str">
            <v>MAURA</v>
          </cell>
          <cell r="B7782">
            <v>202512</v>
          </cell>
          <cell r="D7782" t="str">
            <v>Particulares Resto</v>
          </cell>
          <cell r="G7782" t="str">
            <v>Presupuesto</v>
          </cell>
        </row>
        <row r="7783">
          <cell r="A7783" t="str">
            <v>MAURA</v>
          </cell>
          <cell r="B7783">
            <v>202512</v>
          </cell>
          <cell r="D7783" t="str">
            <v>Property</v>
          </cell>
          <cell r="G7783" t="str">
            <v>Presupuesto</v>
          </cell>
        </row>
        <row r="7784">
          <cell r="A7784" t="str">
            <v>MAURA</v>
          </cell>
          <cell r="B7784">
            <v>202512</v>
          </cell>
          <cell r="D7784" t="str">
            <v>RC</v>
          </cell>
          <cell r="G7784" t="str">
            <v>Presupuesto</v>
          </cell>
        </row>
        <row r="7785">
          <cell r="A7785" t="str">
            <v>MAURA</v>
          </cell>
          <cell r="B7785">
            <v>202512</v>
          </cell>
          <cell r="D7785" t="str">
            <v>Resto de lineas</v>
          </cell>
          <cell r="G7785" t="str">
            <v>Presupuesto</v>
          </cell>
        </row>
        <row r="7786">
          <cell r="A7786" t="str">
            <v>MAURA</v>
          </cell>
          <cell r="B7786">
            <v>202512</v>
          </cell>
          <cell r="D7786" t="str">
            <v>Retirada</v>
          </cell>
          <cell r="G7786" t="str">
            <v>Presupuesto</v>
          </cell>
        </row>
        <row r="7787">
          <cell r="A7787" t="str">
            <v>MAURA</v>
          </cell>
          <cell r="B7787">
            <v>202512</v>
          </cell>
          <cell r="D7787" t="str">
            <v>Seguros Personales (No Vida) Colectivos</v>
          </cell>
          <cell r="G7787" t="str">
            <v>Presupuesto</v>
          </cell>
        </row>
        <row r="7788">
          <cell r="A7788" t="str">
            <v>MAURA</v>
          </cell>
          <cell r="B7788">
            <v>202512</v>
          </cell>
          <cell r="D7788" t="str">
            <v>Seguros Personales (No Vida) Particular</v>
          </cell>
          <cell r="G7788" t="str">
            <v>Presupuesto</v>
          </cell>
        </row>
        <row r="7789">
          <cell r="A7789" t="str">
            <v>MAURA</v>
          </cell>
          <cell r="B7789">
            <v>202512</v>
          </cell>
          <cell r="D7789" t="str">
            <v>Transporte</v>
          </cell>
          <cell r="G7789" t="str">
            <v>Presupuesto</v>
          </cell>
        </row>
        <row r="7790">
          <cell r="A7790" t="str">
            <v>MAURA</v>
          </cell>
          <cell r="B7790">
            <v>202512</v>
          </cell>
          <cell r="D7790" t="str">
            <v>Venta Cruzada</v>
          </cell>
          <cell r="G7790" t="str">
            <v>Presupuesto</v>
          </cell>
        </row>
        <row r="7791">
          <cell r="A7791" t="str">
            <v>MAURA</v>
          </cell>
          <cell r="B7791">
            <v>202512</v>
          </cell>
          <cell r="D7791" t="str">
            <v>Vida Ahorro Colectivo</v>
          </cell>
          <cell r="G7791" t="str">
            <v>Presupuesto</v>
          </cell>
        </row>
        <row r="7792">
          <cell r="A7792" t="str">
            <v>MAURA</v>
          </cell>
          <cell r="B7792">
            <v>202512</v>
          </cell>
          <cell r="D7792" t="str">
            <v>Vida Ahorro Particular</v>
          </cell>
          <cell r="G7792" t="str">
            <v>Presupuesto</v>
          </cell>
        </row>
        <row r="7793">
          <cell r="A7793" t="str">
            <v>MAURA</v>
          </cell>
          <cell r="B7793">
            <v>202512</v>
          </cell>
          <cell r="D7793" t="str">
            <v>Vida Ganado</v>
          </cell>
          <cell r="G7793" t="str">
            <v>Presupuesto</v>
          </cell>
        </row>
        <row r="7794">
          <cell r="A7794" t="str">
            <v>MAURA</v>
          </cell>
          <cell r="B7794">
            <v>202512</v>
          </cell>
          <cell r="D7794" t="str">
            <v>Vida Riesgo Colectivo</v>
          </cell>
          <cell r="G7794" t="str">
            <v>Presupuesto</v>
          </cell>
        </row>
        <row r="7795">
          <cell r="A7795" t="str">
            <v>MAURA</v>
          </cell>
          <cell r="B7795">
            <v>202512</v>
          </cell>
          <cell r="D7795" t="str">
            <v>Vida Riesgo Particular</v>
          </cell>
          <cell r="G7795" t="str">
            <v>Presupuesto</v>
          </cell>
        </row>
        <row r="7796">
          <cell r="A7796" t="str">
            <v>O&amp;B</v>
          </cell>
          <cell r="B7796">
            <v>202301</v>
          </cell>
          <cell r="D7796" t="str">
            <v>--</v>
          </cell>
          <cell r="G7796" t="str">
            <v>Real</v>
          </cell>
        </row>
        <row r="7797">
          <cell r="A7797" t="str">
            <v>O&amp;B</v>
          </cell>
          <cell r="B7797">
            <v>202302</v>
          </cell>
          <cell r="D7797" t="str">
            <v>--</v>
          </cell>
          <cell r="G7797" t="str">
            <v>Real</v>
          </cell>
        </row>
        <row r="7798">
          <cell r="A7798" t="str">
            <v>O&amp;B</v>
          </cell>
          <cell r="B7798">
            <v>202303</v>
          </cell>
          <cell r="D7798" t="str">
            <v>--</v>
          </cell>
          <cell r="G7798" t="str">
            <v>Real</v>
          </cell>
        </row>
        <row r="7799">
          <cell r="A7799" t="str">
            <v>O&amp;B</v>
          </cell>
          <cell r="B7799">
            <v>202304</v>
          </cell>
          <cell r="D7799" t="str">
            <v>--</v>
          </cell>
          <cell r="G7799" t="str">
            <v>Real</v>
          </cell>
        </row>
        <row r="7800">
          <cell r="A7800" t="str">
            <v>O&amp;B</v>
          </cell>
          <cell r="B7800">
            <v>202305</v>
          </cell>
          <cell r="D7800" t="str">
            <v>--</v>
          </cell>
          <cell r="G7800" t="str">
            <v>Real</v>
          </cell>
        </row>
        <row r="7801">
          <cell r="A7801" t="str">
            <v>O&amp;B</v>
          </cell>
          <cell r="B7801">
            <v>202306</v>
          </cell>
          <cell r="D7801" t="str">
            <v>--</v>
          </cell>
          <cell r="G7801" t="str">
            <v>Real</v>
          </cell>
        </row>
        <row r="7802">
          <cell r="A7802" t="str">
            <v>O&amp;B</v>
          </cell>
          <cell r="B7802">
            <v>202307</v>
          </cell>
          <cell r="D7802" t="str">
            <v>--</v>
          </cell>
          <cell r="G7802" t="str">
            <v>Real</v>
          </cell>
        </row>
        <row r="7803">
          <cell r="A7803" t="str">
            <v>O&amp;B</v>
          </cell>
          <cell r="B7803">
            <v>202308</v>
          </cell>
          <cell r="D7803" t="str">
            <v>--</v>
          </cell>
          <cell r="G7803" t="str">
            <v>Real</v>
          </cell>
        </row>
        <row r="7804">
          <cell r="A7804" t="str">
            <v>O&amp;B</v>
          </cell>
          <cell r="B7804">
            <v>202309</v>
          </cell>
          <cell r="D7804" t="str">
            <v>--</v>
          </cell>
          <cell r="G7804" t="str">
            <v>Real</v>
          </cell>
        </row>
        <row r="7805">
          <cell r="A7805" t="str">
            <v>O&amp;B</v>
          </cell>
          <cell r="B7805">
            <v>202310</v>
          </cell>
          <cell r="D7805" t="str">
            <v>--</v>
          </cell>
          <cell r="G7805" t="str">
            <v>Real</v>
          </cell>
        </row>
        <row r="7806">
          <cell r="A7806" t="str">
            <v>O&amp;B</v>
          </cell>
          <cell r="B7806">
            <v>202311</v>
          </cell>
          <cell r="D7806" t="str">
            <v>--</v>
          </cell>
          <cell r="G7806" t="str">
            <v>Real</v>
          </cell>
        </row>
        <row r="7807">
          <cell r="A7807" t="str">
            <v>O&amp;B</v>
          </cell>
          <cell r="B7807">
            <v>202312</v>
          </cell>
          <cell r="D7807" t="str">
            <v>--</v>
          </cell>
          <cell r="G7807" t="str">
            <v>Real</v>
          </cell>
        </row>
        <row r="7808">
          <cell r="A7808" t="str">
            <v>O&amp;B</v>
          </cell>
          <cell r="B7808">
            <v>202401</v>
          </cell>
          <cell r="D7808" t="str">
            <v>--</v>
          </cell>
          <cell r="G7808" t="str">
            <v>Real</v>
          </cell>
        </row>
        <row r="7809">
          <cell r="A7809" t="str">
            <v>O&amp;B</v>
          </cell>
          <cell r="B7809">
            <v>202401</v>
          </cell>
          <cell r="D7809" t="str">
            <v>Autos</v>
          </cell>
          <cell r="G7809" t="str">
            <v>Real</v>
          </cell>
        </row>
        <row r="7810">
          <cell r="A7810" t="str">
            <v>O&amp;B</v>
          </cell>
          <cell r="B7810">
            <v>202401</v>
          </cell>
          <cell r="D7810" t="str">
            <v>Caución</v>
          </cell>
          <cell r="G7810" t="str">
            <v>Real</v>
          </cell>
        </row>
        <row r="7811">
          <cell r="A7811" t="str">
            <v>O&amp;B</v>
          </cell>
          <cell r="B7811">
            <v>202401</v>
          </cell>
          <cell r="D7811" t="str">
            <v>Crédito Nacional</v>
          </cell>
          <cell r="G7811" t="str">
            <v>Real</v>
          </cell>
        </row>
        <row r="7812">
          <cell r="A7812" t="str">
            <v>O&amp;B</v>
          </cell>
          <cell r="B7812">
            <v>202401</v>
          </cell>
          <cell r="D7812" t="str">
            <v>Flotas</v>
          </cell>
          <cell r="G7812" t="str">
            <v>Real</v>
          </cell>
        </row>
        <row r="7813">
          <cell r="A7813" t="str">
            <v>O&amp;B</v>
          </cell>
          <cell r="B7813">
            <v>202401</v>
          </cell>
          <cell r="D7813" t="str">
            <v>Hogar</v>
          </cell>
          <cell r="G7813" t="str">
            <v>Real</v>
          </cell>
        </row>
        <row r="7814">
          <cell r="A7814" t="str">
            <v>O&amp;B</v>
          </cell>
          <cell r="B7814">
            <v>202401</v>
          </cell>
          <cell r="D7814" t="str">
            <v>Ingeniería</v>
          </cell>
          <cell r="G7814" t="str">
            <v>Real</v>
          </cell>
        </row>
        <row r="7815">
          <cell r="A7815" t="str">
            <v>O&amp;B</v>
          </cell>
          <cell r="B7815">
            <v>202401</v>
          </cell>
          <cell r="D7815" t="str">
            <v>Líneas Financieras</v>
          </cell>
          <cell r="G7815" t="str">
            <v>Real</v>
          </cell>
        </row>
        <row r="7816">
          <cell r="A7816" t="str">
            <v>O&amp;B</v>
          </cell>
          <cell r="B7816">
            <v>202401</v>
          </cell>
          <cell r="D7816" t="str">
            <v>Particulares Resto</v>
          </cell>
          <cell r="G7816" t="str">
            <v>Real</v>
          </cell>
        </row>
        <row r="7817">
          <cell r="A7817" t="str">
            <v>O&amp;B</v>
          </cell>
          <cell r="B7817">
            <v>202401</v>
          </cell>
          <cell r="D7817" t="str">
            <v>Property</v>
          </cell>
          <cell r="G7817" t="str">
            <v>Real</v>
          </cell>
        </row>
        <row r="7818">
          <cell r="A7818" t="str">
            <v>O&amp;B</v>
          </cell>
          <cell r="B7818">
            <v>202401</v>
          </cell>
          <cell r="D7818" t="str">
            <v>RC</v>
          </cell>
          <cell r="G7818" t="str">
            <v>Real</v>
          </cell>
        </row>
        <row r="7819">
          <cell r="A7819" t="str">
            <v>O&amp;B</v>
          </cell>
          <cell r="B7819">
            <v>202401</v>
          </cell>
          <cell r="D7819" t="str">
            <v>Seguros Personales (No Vida) Colectivos</v>
          </cell>
          <cell r="G7819" t="str">
            <v>Real</v>
          </cell>
        </row>
        <row r="7820">
          <cell r="A7820" t="str">
            <v>O&amp;B</v>
          </cell>
          <cell r="B7820">
            <v>202401</v>
          </cell>
          <cell r="D7820" t="str">
            <v>Seguros Personales (No Vida) Particular</v>
          </cell>
          <cell r="G7820" t="str">
            <v>Real</v>
          </cell>
        </row>
        <row r="7821">
          <cell r="A7821" t="str">
            <v>O&amp;B</v>
          </cell>
          <cell r="B7821">
            <v>202401</v>
          </cell>
          <cell r="D7821" t="str">
            <v>Transporte</v>
          </cell>
          <cell r="G7821" t="str">
            <v>Real</v>
          </cell>
        </row>
        <row r="7822">
          <cell r="A7822" t="str">
            <v>O&amp;B</v>
          </cell>
          <cell r="B7822">
            <v>202401</v>
          </cell>
          <cell r="D7822" t="str">
            <v>Venta Cruzada</v>
          </cell>
          <cell r="G7822" t="str">
            <v>Real</v>
          </cell>
        </row>
        <row r="7823">
          <cell r="A7823" t="str">
            <v>O&amp;B</v>
          </cell>
          <cell r="B7823">
            <v>202401</v>
          </cell>
          <cell r="D7823" t="str">
            <v>Vida Ahorro Particular</v>
          </cell>
          <cell r="G7823" t="str">
            <v>Real</v>
          </cell>
        </row>
        <row r="7824">
          <cell r="A7824" t="str">
            <v>O&amp;B</v>
          </cell>
          <cell r="B7824">
            <v>202401</v>
          </cell>
          <cell r="D7824" t="str">
            <v>Vida Riesgo Particular</v>
          </cell>
          <cell r="G7824" t="str">
            <v>Real</v>
          </cell>
        </row>
        <row r="7825">
          <cell r="A7825" t="str">
            <v>O&amp;B</v>
          </cell>
          <cell r="B7825">
            <v>202402</v>
          </cell>
          <cell r="D7825" t="str">
            <v>--</v>
          </cell>
          <cell r="G7825" t="str">
            <v>Real</v>
          </cell>
        </row>
        <row r="7826">
          <cell r="A7826" t="str">
            <v>O&amp;B</v>
          </cell>
          <cell r="B7826">
            <v>202402</v>
          </cell>
          <cell r="D7826" t="str">
            <v>Autos</v>
          </cell>
          <cell r="G7826" t="str">
            <v>Real</v>
          </cell>
        </row>
        <row r="7827">
          <cell r="A7827" t="str">
            <v>O&amp;B</v>
          </cell>
          <cell r="B7827">
            <v>202402</v>
          </cell>
          <cell r="D7827" t="str">
            <v>Caución</v>
          </cell>
          <cell r="G7827" t="str">
            <v>Real</v>
          </cell>
        </row>
        <row r="7828">
          <cell r="A7828" t="str">
            <v>O&amp;B</v>
          </cell>
          <cell r="B7828">
            <v>202402</v>
          </cell>
          <cell r="D7828" t="str">
            <v>Crédito Nacional</v>
          </cell>
          <cell r="G7828" t="str">
            <v>Real</v>
          </cell>
        </row>
        <row r="7829">
          <cell r="A7829" t="str">
            <v>O&amp;B</v>
          </cell>
          <cell r="B7829">
            <v>202402</v>
          </cell>
          <cell r="D7829" t="str">
            <v>Hogar</v>
          </cell>
          <cell r="G7829" t="str">
            <v>Real</v>
          </cell>
        </row>
        <row r="7830">
          <cell r="A7830" t="str">
            <v>O&amp;B</v>
          </cell>
          <cell r="B7830">
            <v>202402</v>
          </cell>
          <cell r="D7830" t="str">
            <v>Ingeniería</v>
          </cell>
          <cell r="G7830" t="str">
            <v>Real</v>
          </cell>
        </row>
        <row r="7831">
          <cell r="A7831" t="str">
            <v>O&amp;B</v>
          </cell>
          <cell r="B7831">
            <v>202402</v>
          </cell>
          <cell r="D7831" t="str">
            <v>Líneas Financieras</v>
          </cell>
          <cell r="G7831" t="str">
            <v>Real</v>
          </cell>
        </row>
        <row r="7832">
          <cell r="A7832" t="str">
            <v>O&amp;B</v>
          </cell>
          <cell r="B7832">
            <v>202402</v>
          </cell>
          <cell r="D7832" t="str">
            <v>Property</v>
          </cell>
          <cell r="G7832" t="str">
            <v>Real</v>
          </cell>
        </row>
        <row r="7833">
          <cell r="A7833" t="str">
            <v>O&amp;B</v>
          </cell>
          <cell r="B7833">
            <v>202402</v>
          </cell>
          <cell r="D7833" t="str">
            <v>RC</v>
          </cell>
          <cell r="G7833" t="str">
            <v>Real</v>
          </cell>
        </row>
        <row r="7834">
          <cell r="A7834" t="str">
            <v>O&amp;B</v>
          </cell>
          <cell r="B7834">
            <v>202402</v>
          </cell>
          <cell r="D7834" t="str">
            <v>Seguros Personales (No Vida) Colectivos</v>
          </cell>
          <cell r="G7834" t="str">
            <v>Real</v>
          </cell>
        </row>
        <row r="7835">
          <cell r="A7835" t="str">
            <v>O&amp;B</v>
          </cell>
          <cell r="B7835">
            <v>202402</v>
          </cell>
          <cell r="D7835" t="str">
            <v>Seguros Personales (No Vida) Particular</v>
          </cell>
          <cell r="G7835" t="str">
            <v>Real</v>
          </cell>
        </row>
        <row r="7836">
          <cell r="A7836" t="str">
            <v>O&amp;B</v>
          </cell>
          <cell r="B7836">
            <v>202402</v>
          </cell>
          <cell r="D7836" t="str">
            <v>Transporte</v>
          </cell>
          <cell r="G7836" t="str">
            <v>Real</v>
          </cell>
        </row>
        <row r="7837">
          <cell r="A7837" t="str">
            <v>O&amp;B</v>
          </cell>
          <cell r="B7837">
            <v>202402</v>
          </cell>
          <cell r="D7837" t="str">
            <v>Venta Cruzada</v>
          </cell>
          <cell r="G7837" t="str">
            <v>Real</v>
          </cell>
        </row>
        <row r="7838">
          <cell r="A7838" t="str">
            <v>O&amp;B</v>
          </cell>
          <cell r="B7838">
            <v>202402</v>
          </cell>
          <cell r="D7838" t="str">
            <v>Vida Ahorro Particular</v>
          </cell>
          <cell r="G7838" t="str">
            <v>Real</v>
          </cell>
        </row>
        <row r="7839">
          <cell r="A7839" t="str">
            <v>O&amp;B</v>
          </cell>
          <cell r="B7839">
            <v>202402</v>
          </cell>
          <cell r="D7839" t="str">
            <v>Vida Riesgo Particular</v>
          </cell>
          <cell r="G7839" t="str">
            <v>Real</v>
          </cell>
        </row>
        <row r="7840">
          <cell r="A7840" t="str">
            <v>O&amp;B</v>
          </cell>
          <cell r="B7840">
            <v>202403</v>
          </cell>
          <cell r="D7840" t="str">
            <v>--</v>
          </cell>
          <cell r="G7840" t="str">
            <v>Real</v>
          </cell>
        </row>
        <row r="7841">
          <cell r="A7841" t="str">
            <v>O&amp;B</v>
          </cell>
          <cell r="B7841">
            <v>202403</v>
          </cell>
          <cell r="D7841" t="str">
            <v>Resto de Lineas</v>
          </cell>
          <cell r="G7841" t="str">
            <v>Real</v>
          </cell>
        </row>
        <row r="7842">
          <cell r="A7842" t="str">
            <v>O&amp;B</v>
          </cell>
          <cell r="B7842">
            <v>202403</v>
          </cell>
          <cell r="D7842" t="str">
            <v>Autos</v>
          </cell>
          <cell r="G7842" t="str">
            <v>Real</v>
          </cell>
        </row>
        <row r="7843">
          <cell r="A7843" t="str">
            <v>O&amp;B</v>
          </cell>
          <cell r="B7843">
            <v>202403</v>
          </cell>
          <cell r="D7843" t="str">
            <v>Caución</v>
          </cell>
          <cell r="G7843" t="str">
            <v>Real</v>
          </cell>
        </row>
        <row r="7844">
          <cell r="A7844" t="str">
            <v>O&amp;B</v>
          </cell>
          <cell r="B7844">
            <v>202403</v>
          </cell>
          <cell r="D7844" t="str">
            <v>Crédito Nacional</v>
          </cell>
          <cell r="G7844" t="str">
            <v>Real</v>
          </cell>
        </row>
        <row r="7845">
          <cell r="A7845" t="str">
            <v>O&amp;B</v>
          </cell>
          <cell r="B7845">
            <v>202403</v>
          </cell>
          <cell r="D7845" t="str">
            <v>Flotas</v>
          </cell>
          <cell r="G7845" t="str">
            <v>Real</v>
          </cell>
        </row>
        <row r="7846">
          <cell r="A7846" t="str">
            <v>O&amp;B</v>
          </cell>
          <cell r="B7846">
            <v>202403</v>
          </cell>
          <cell r="D7846" t="str">
            <v>Hogar</v>
          </cell>
          <cell r="G7846" t="str">
            <v>Real</v>
          </cell>
        </row>
        <row r="7847">
          <cell r="A7847" t="str">
            <v>O&amp;B</v>
          </cell>
          <cell r="B7847">
            <v>202403</v>
          </cell>
          <cell r="D7847" t="str">
            <v>Ingeniería</v>
          </cell>
          <cell r="G7847" t="str">
            <v>Real</v>
          </cell>
        </row>
        <row r="7848">
          <cell r="A7848" t="str">
            <v>O&amp;B</v>
          </cell>
          <cell r="B7848">
            <v>202403</v>
          </cell>
          <cell r="D7848" t="str">
            <v>Líneas Financieras</v>
          </cell>
          <cell r="G7848" t="str">
            <v>Real</v>
          </cell>
        </row>
        <row r="7849">
          <cell r="A7849" t="str">
            <v>O&amp;B</v>
          </cell>
          <cell r="B7849">
            <v>202403</v>
          </cell>
          <cell r="D7849" t="str">
            <v>Particulares Resto</v>
          </cell>
          <cell r="G7849" t="str">
            <v>Real</v>
          </cell>
        </row>
        <row r="7850">
          <cell r="A7850" t="str">
            <v>O&amp;B</v>
          </cell>
          <cell r="B7850">
            <v>202403</v>
          </cell>
          <cell r="D7850" t="str">
            <v>Property</v>
          </cell>
          <cell r="G7850" t="str">
            <v>Real</v>
          </cell>
        </row>
        <row r="7851">
          <cell r="A7851" t="str">
            <v>O&amp;B</v>
          </cell>
          <cell r="B7851">
            <v>202403</v>
          </cell>
          <cell r="D7851" t="str">
            <v>RC</v>
          </cell>
          <cell r="G7851" t="str">
            <v>Real</v>
          </cell>
        </row>
        <row r="7852">
          <cell r="A7852" t="str">
            <v>O&amp;B</v>
          </cell>
          <cell r="B7852">
            <v>202403</v>
          </cell>
          <cell r="D7852" t="str">
            <v>Seguros Personales (No Vida) Colectivos</v>
          </cell>
          <cell r="G7852" t="str">
            <v>Real</v>
          </cell>
        </row>
        <row r="7853">
          <cell r="A7853" t="str">
            <v>O&amp;B</v>
          </cell>
          <cell r="B7853">
            <v>202403</v>
          </cell>
          <cell r="D7853" t="str">
            <v>Seguros Personales (No Vida) Particular</v>
          </cell>
          <cell r="G7853" t="str">
            <v>Real</v>
          </cell>
        </row>
        <row r="7854">
          <cell r="A7854" t="str">
            <v>O&amp;B</v>
          </cell>
          <cell r="B7854">
            <v>202403</v>
          </cell>
          <cell r="D7854" t="str">
            <v>Transporte</v>
          </cell>
          <cell r="G7854" t="str">
            <v>Real</v>
          </cell>
        </row>
        <row r="7855">
          <cell r="A7855" t="str">
            <v>O&amp;B</v>
          </cell>
          <cell r="B7855">
            <v>202403</v>
          </cell>
          <cell r="D7855" t="str">
            <v>Venta Cruzada</v>
          </cell>
          <cell r="G7855" t="str">
            <v>Real</v>
          </cell>
        </row>
        <row r="7856">
          <cell r="A7856" t="str">
            <v>O&amp;B</v>
          </cell>
          <cell r="B7856">
            <v>202403</v>
          </cell>
          <cell r="D7856" t="str">
            <v>Vida Ahorro Particular</v>
          </cell>
          <cell r="G7856" t="str">
            <v>Real</v>
          </cell>
        </row>
        <row r="7857">
          <cell r="A7857" t="str">
            <v>O&amp;B</v>
          </cell>
          <cell r="B7857">
            <v>202403</v>
          </cell>
          <cell r="D7857" t="str">
            <v>Vida Riesgo Colectivo</v>
          </cell>
          <cell r="G7857" t="str">
            <v>Real</v>
          </cell>
        </row>
        <row r="7858">
          <cell r="A7858" t="str">
            <v>O&amp;B</v>
          </cell>
          <cell r="B7858">
            <v>202403</v>
          </cell>
          <cell r="D7858" t="str">
            <v>Vida Riesgo Particular</v>
          </cell>
          <cell r="G7858" t="str">
            <v>Real</v>
          </cell>
        </row>
        <row r="7859">
          <cell r="A7859" t="str">
            <v>O&amp;B</v>
          </cell>
          <cell r="B7859">
            <v>202404</v>
          </cell>
          <cell r="D7859" t="str">
            <v>--</v>
          </cell>
          <cell r="G7859" t="str">
            <v>Real</v>
          </cell>
        </row>
        <row r="7860">
          <cell r="A7860" t="str">
            <v>O&amp;B</v>
          </cell>
          <cell r="B7860">
            <v>202404</v>
          </cell>
          <cell r="D7860" t="str">
            <v>Resto de Lineas</v>
          </cell>
          <cell r="G7860" t="str">
            <v>Real</v>
          </cell>
        </row>
        <row r="7861">
          <cell r="A7861" t="str">
            <v>O&amp;B</v>
          </cell>
          <cell r="B7861">
            <v>202404</v>
          </cell>
          <cell r="D7861" t="str">
            <v>Autos</v>
          </cell>
          <cell r="G7861" t="str">
            <v>Real</v>
          </cell>
        </row>
        <row r="7862">
          <cell r="A7862" t="str">
            <v>O&amp;B</v>
          </cell>
          <cell r="B7862">
            <v>202404</v>
          </cell>
          <cell r="D7862" t="str">
            <v>Caución</v>
          </cell>
          <cell r="G7862" t="str">
            <v>Real</v>
          </cell>
        </row>
        <row r="7863">
          <cell r="A7863" t="str">
            <v>O&amp;B</v>
          </cell>
          <cell r="B7863">
            <v>202404</v>
          </cell>
          <cell r="D7863" t="str">
            <v>Crédito Nacional</v>
          </cell>
          <cell r="G7863" t="str">
            <v>Real</v>
          </cell>
        </row>
        <row r="7864">
          <cell r="A7864" t="str">
            <v>O&amp;B</v>
          </cell>
          <cell r="B7864">
            <v>202404</v>
          </cell>
          <cell r="D7864" t="str">
            <v>Hogar</v>
          </cell>
          <cell r="G7864" t="str">
            <v>Real</v>
          </cell>
        </row>
        <row r="7865">
          <cell r="A7865" t="str">
            <v>O&amp;B</v>
          </cell>
          <cell r="B7865">
            <v>202404</v>
          </cell>
          <cell r="D7865" t="str">
            <v>Ingeniería</v>
          </cell>
          <cell r="G7865" t="str">
            <v>Real</v>
          </cell>
        </row>
        <row r="7866">
          <cell r="A7866" t="str">
            <v>O&amp;B</v>
          </cell>
          <cell r="B7866">
            <v>202404</v>
          </cell>
          <cell r="D7866" t="str">
            <v>Líneas Financieras</v>
          </cell>
          <cell r="G7866" t="str">
            <v>Real</v>
          </cell>
        </row>
        <row r="7867">
          <cell r="A7867" t="str">
            <v>O&amp;B</v>
          </cell>
          <cell r="B7867">
            <v>202404</v>
          </cell>
          <cell r="D7867" t="str">
            <v>Náutica</v>
          </cell>
          <cell r="G7867" t="str">
            <v>Real</v>
          </cell>
        </row>
        <row r="7868">
          <cell r="A7868" t="str">
            <v>O&amp;B</v>
          </cell>
          <cell r="B7868">
            <v>202404</v>
          </cell>
          <cell r="D7868" t="str">
            <v>Particulares Resto</v>
          </cell>
          <cell r="G7868" t="str">
            <v>Real</v>
          </cell>
        </row>
        <row r="7869">
          <cell r="A7869" t="str">
            <v>O&amp;B</v>
          </cell>
          <cell r="B7869">
            <v>202404</v>
          </cell>
          <cell r="D7869" t="str">
            <v>Property</v>
          </cell>
          <cell r="G7869" t="str">
            <v>Real</v>
          </cell>
        </row>
        <row r="7870">
          <cell r="A7870" t="str">
            <v>O&amp;B</v>
          </cell>
          <cell r="B7870">
            <v>202404</v>
          </cell>
          <cell r="D7870" t="str">
            <v>RC</v>
          </cell>
          <cell r="G7870" t="str">
            <v>Real</v>
          </cell>
        </row>
        <row r="7871">
          <cell r="A7871" t="str">
            <v>O&amp;B</v>
          </cell>
          <cell r="B7871">
            <v>202404</v>
          </cell>
          <cell r="D7871" t="str">
            <v>Seguros Personales (No Vida) Colectivos</v>
          </cell>
          <cell r="G7871" t="str">
            <v>Real</v>
          </cell>
        </row>
        <row r="7872">
          <cell r="A7872" t="str">
            <v>O&amp;B</v>
          </cell>
          <cell r="B7872">
            <v>202404</v>
          </cell>
          <cell r="D7872" t="str">
            <v>Seguros Personales (No Vida) Particular</v>
          </cell>
          <cell r="G7872" t="str">
            <v>Real</v>
          </cell>
        </row>
        <row r="7873">
          <cell r="A7873" t="str">
            <v>O&amp;B</v>
          </cell>
          <cell r="B7873">
            <v>202404</v>
          </cell>
          <cell r="D7873" t="str">
            <v>Transporte</v>
          </cell>
          <cell r="G7873" t="str">
            <v>Real</v>
          </cell>
        </row>
        <row r="7874">
          <cell r="A7874" t="str">
            <v>O&amp;B</v>
          </cell>
          <cell r="B7874">
            <v>202404</v>
          </cell>
          <cell r="D7874" t="str">
            <v>Venta Cruzada</v>
          </cell>
          <cell r="G7874" t="str">
            <v>Real</v>
          </cell>
        </row>
        <row r="7875">
          <cell r="A7875" t="str">
            <v>O&amp;B</v>
          </cell>
          <cell r="B7875">
            <v>202404</v>
          </cell>
          <cell r="D7875" t="str">
            <v>Vida Ahorro Particular</v>
          </cell>
          <cell r="G7875" t="str">
            <v>Real</v>
          </cell>
        </row>
        <row r="7876">
          <cell r="A7876" t="str">
            <v>O&amp;B</v>
          </cell>
          <cell r="B7876">
            <v>202404</v>
          </cell>
          <cell r="D7876" t="str">
            <v>Vida Riesgo Colectivo</v>
          </cell>
          <cell r="G7876" t="str">
            <v>Real</v>
          </cell>
        </row>
        <row r="7877">
          <cell r="A7877" t="str">
            <v>O&amp;B</v>
          </cell>
          <cell r="B7877">
            <v>202404</v>
          </cell>
          <cell r="D7877" t="str">
            <v>Vida Riesgo Particular</v>
          </cell>
          <cell r="G7877" t="str">
            <v>Real</v>
          </cell>
        </row>
        <row r="7878">
          <cell r="A7878" t="str">
            <v>O&amp;B</v>
          </cell>
          <cell r="B7878">
            <v>202405</v>
          </cell>
          <cell r="D7878" t="str">
            <v>--</v>
          </cell>
          <cell r="G7878" t="str">
            <v>Real</v>
          </cell>
        </row>
        <row r="7879">
          <cell r="A7879" t="str">
            <v>O&amp;B</v>
          </cell>
          <cell r="B7879">
            <v>202405</v>
          </cell>
          <cell r="D7879" t="str">
            <v>Autos</v>
          </cell>
          <cell r="G7879" t="str">
            <v>Real</v>
          </cell>
        </row>
        <row r="7880">
          <cell r="A7880" t="str">
            <v>O&amp;B</v>
          </cell>
          <cell r="B7880">
            <v>202405</v>
          </cell>
          <cell r="D7880" t="str">
            <v>Caución</v>
          </cell>
          <cell r="G7880" t="str">
            <v>Real</v>
          </cell>
        </row>
        <row r="7881">
          <cell r="A7881" t="str">
            <v>O&amp;B</v>
          </cell>
          <cell r="B7881">
            <v>202405</v>
          </cell>
          <cell r="D7881" t="str">
            <v>Crédito Nacional</v>
          </cell>
          <cell r="G7881" t="str">
            <v>Real</v>
          </cell>
        </row>
        <row r="7882">
          <cell r="A7882" t="str">
            <v>O&amp;B</v>
          </cell>
          <cell r="B7882">
            <v>202405</v>
          </cell>
          <cell r="D7882" t="str">
            <v>Flotas</v>
          </cell>
          <cell r="G7882" t="str">
            <v>Real</v>
          </cell>
        </row>
        <row r="7883">
          <cell r="A7883" t="str">
            <v>O&amp;B</v>
          </cell>
          <cell r="B7883">
            <v>202405</v>
          </cell>
          <cell r="D7883" t="str">
            <v>Hogar</v>
          </cell>
          <cell r="G7883" t="str">
            <v>Real</v>
          </cell>
        </row>
        <row r="7884">
          <cell r="A7884" t="str">
            <v>O&amp;B</v>
          </cell>
          <cell r="B7884">
            <v>202405</v>
          </cell>
          <cell r="D7884" t="str">
            <v>Ingeniería</v>
          </cell>
          <cell r="G7884" t="str">
            <v>Real</v>
          </cell>
        </row>
        <row r="7885">
          <cell r="A7885" t="str">
            <v>O&amp;B</v>
          </cell>
          <cell r="B7885">
            <v>202405</v>
          </cell>
          <cell r="D7885" t="str">
            <v>Líneas Financieras</v>
          </cell>
          <cell r="G7885" t="str">
            <v>Real</v>
          </cell>
        </row>
        <row r="7886">
          <cell r="A7886" t="str">
            <v>O&amp;B</v>
          </cell>
          <cell r="B7886">
            <v>202405</v>
          </cell>
          <cell r="D7886" t="str">
            <v>Náutica</v>
          </cell>
          <cell r="G7886" t="str">
            <v>Real</v>
          </cell>
        </row>
        <row r="7887">
          <cell r="A7887" t="str">
            <v>O&amp;B</v>
          </cell>
          <cell r="B7887">
            <v>202405</v>
          </cell>
          <cell r="D7887" t="str">
            <v>Particulares Resto</v>
          </cell>
          <cell r="G7887" t="str">
            <v>Real</v>
          </cell>
        </row>
        <row r="7888">
          <cell r="A7888" t="str">
            <v>O&amp;B</v>
          </cell>
          <cell r="B7888">
            <v>202405</v>
          </cell>
          <cell r="D7888" t="str">
            <v>Property</v>
          </cell>
          <cell r="G7888" t="str">
            <v>Real</v>
          </cell>
        </row>
        <row r="7889">
          <cell r="A7889" t="str">
            <v>O&amp;B</v>
          </cell>
          <cell r="B7889">
            <v>202405</v>
          </cell>
          <cell r="D7889" t="str">
            <v>RC</v>
          </cell>
          <cell r="G7889" t="str">
            <v>Real</v>
          </cell>
        </row>
        <row r="7890">
          <cell r="A7890" t="str">
            <v>O&amp;B</v>
          </cell>
          <cell r="B7890">
            <v>202405</v>
          </cell>
          <cell r="D7890" t="str">
            <v>Seguros Personales (No Vida) Colectivos</v>
          </cell>
          <cell r="G7890" t="str">
            <v>Real</v>
          </cell>
        </row>
        <row r="7891">
          <cell r="A7891" t="str">
            <v>O&amp;B</v>
          </cell>
          <cell r="B7891">
            <v>202405</v>
          </cell>
          <cell r="D7891" t="str">
            <v>Seguros Personales (No Vida) Particular</v>
          </cell>
          <cell r="G7891" t="str">
            <v>Real</v>
          </cell>
        </row>
        <row r="7892">
          <cell r="A7892" t="str">
            <v>O&amp;B</v>
          </cell>
          <cell r="B7892">
            <v>202405</v>
          </cell>
          <cell r="D7892" t="str">
            <v>Transporte</v>
          </cell>
          <cell r="G7892" t="str">
            <v>Real</v>
          </cell>
        </row>
        <row r="7893">
          <cell r="A7893" t="str">
            <v>O&amp;B</v>
          </cell>
          <cell r="B7893">
            <v>202405</v>
          </cell>
          <cell r="D7893" t="str">
            <v>Venta Cruzada</v>
          </cell>
          <cell r="G7893" t="str">
            <v>Real</v>
          </cell>
        </row>
        <row r="7894">
          <cell r="A7894" t="str">
            <v>O&amp;B</v>
          </cell>
          <cell r="B7894">
            <v>202405</v>
          </cell>
          <cell r="D7894" t="str">
            <v>Vida Ahorro Particular</v>
          </cell>
          <cell r="G7894" t="str">
            <v>Real</v>
          </cell>
        </row>
        <row r="7895">
          <cell r="A7895" t="str">
            <v>O&amp;B</v>
          </cell>
          <cell r="B7895">
            <v>202405</v>
          </cell>
          <cell r="D7895" t="str">
            <v>Vida Riesgo Colectivo</v>
          </cell>
          <cell r="G7895" t="str">
            <v>Real</v>
          </cell>
        </row>
        <row r="7896">
          <cell r="A7896" t="str">
            <v>O&amp;B</v>
          </cell>
          <cell r="B7896">
            <v>202405</v>
          </cell>
          <cell r="D7896" t="str">
            <v>Vida Riesgo Particular</v>
          </cell>
          <cell r="G7896" t="str">
            <v>Real</v>
          </cell>
        </row>
        <row r="7897">
          <cell r="A7897" t="str">
            <v>O&amp;B</v>
          </cell>
          <cell r="B7897">
            <v>202406</v>
          </cell>
          <cell r="D7897" t="str">
            <v>--</v>
          </cell>
          <cell r="G7897" t="str">
            <v>Real</v>
          </cell>
        </row>
        <row r="7898">
          <cell r="A7898" t="str">
            <v>O&amp;B</v>
          </cell>
          <cell r="B7898">
            <v>202406</v>
          </cell>
          <cell r="D7898" t="str">
            <v>Resto de Lineas</v>
          </cell>
          <cell r="G7898" t="str">
            <v>Real</v>
          </cell>
        </row>
        <row r="7899">
          <cell r="A7899" t="str">
            <v>O&amp;B</v>
          </cell>
          <cell r="B7899">
            <v>202406</v>
          </cell>
          <cell r="D7899" t="str">
            <v>Autos</v>
          </cell>
          <cell r="G7899" t="str">
            <v>Real</v>
          </cell>
        </row>
        <row r="7900">
          <cell r="A7900" t="str">
            <v>O&amp;B</v>
          </cell>
          <cell r="B7900">
            <v>202406</v>
          </cell>
          <cell r="D7900" t="str">
            <v>Caución</v>
          </cell>
          <cell r="G7900" t="str">
            <v>Real</v>
          </cell>
        </row>
        <row r="7901">
          <cell r="A7901" t="str">
            <v>O&amp;B</v>
          </cell>
          <cell r="B7901">
            <v>202406</v>
          </cell>
          <cell r="D7901" t="str">
            <v>Crédito Nacional</v>
          </cell>
          <cell r="G7901" t="str">
            <v>Real</v>
          </cell>
        </row>
        <row r="7902">
          <cell r="A7902" t="str">
            <v>O&amp;B</v>
          </cell>
          <cell r="B7902">
            <v>202406</v>
          </cell>
          <cell r="D7902" t="str">
            <v>Flotas</v>
          </cell>
          <cell r="G7902" t="str">
            <v>Real</v>
          </cell>
        </row>
        <row r="7903">
          <cell r="A7903" t="str">
            <v>O&amp;B</v>
          </cell>
          <cell r="B7903">
            <v>202406</v>
          </cell>
          <cell r="D7903" t="str">
            <v>Hogar</v>
          </cell>
          <cell r="G7903" t="str">
            <v>Real</v>
          </cell>
        </row>
        <row r="7904">
          <cell r="A7904" t="str">
            <v>O&amp;B</v>
          </cell>
          <cell r="B7904">
            <v>202406</v>
          </cell>
          <cell r="D7904" t="str">
            <v>Ingeniería</v>
          </cell>
          <cell r="G7904" t="str">
            <v>Real</v>
          </cell>
        </row>
        <row r="7905">
          <cell r="A7905" t="str">
            <v>O&amp;B</v>
          </cell>
          <cell r="B7905">
            <v>202406</v>
          </cell>
          <cell r="D7905" t="str">
            <v>Líneas Financieras</v>
          </cell>
          <cell r="G7905" t="str">
            <v>Real</v>
          </cell>
        </row>
        <row r="7906">
          <cell r="A7906" t="str">
            <v>O&amp;B</v>
          </cell>
          <cell r="B7906">
            <v>202406</v>
          </cell>
          <cell r="D7906" t="str">
            <v>Náutica</v>
          </cell>
          <cell r="G7906" t="str">
            <v>Real</v>
          </cell>
        </row>
        <row r="7907">
          <cell r="A7907" t="str">
            <v>O&amp;B</v>
          </cell>
          <cell r="B7907">
            <v>202406</v>
          </cell>
          <cell r="D7907" t="str">
            <v>Particulares Resto</v>
          </cell>
          <cell r="G7907" t="str">
            <v>Real</v>
          </cell>
        </row>
        <row r="7908">
          <cell r="A7908" t="str">
            <v>O&amp;B</v>
          </cell>
          <cell r="B7908">
            <v>202406</v>
          </cell>
          <cell r="D7908" t="str">
            <v>Property</v>
          </cell>
          <cell r="G7908" t="str">
            <v>Real</v>
          </cell>
        </row>
        <row r="7909">
          <cell r="A7909" t="str">
            <v>O&amp;B</v>
          </cell>
          <cell r="B7909">
            <v>202406</v>
          </cell>
          <cell r="D7909" t="str">
            <v>RC</v>
          </cell>
          <cell r="G7909" t="str">
            <v>Real</v>
          </cell>
        </row>
        <row r="7910">
          <cell r="A7910" t="str">
            <v>O&amp;B</v>
          </cell>
          <cell r="B7910">
            <v>202406</v>
          </cell>
          <cell r="D7910" t="str">
            <v>Seguros Personales (No Vida) Colectivos</v>
          </cell>
          <cell r="G7910" t="str">
            <v>Real</v>
          </cell>
        </row>
        <row r="7911">
          <cell r="A7911" t="str">
            <v>O&amp;B</v>
          </cell>
          <cell r="B7911">
            <v>202406</v>
          </cell>
          <cell r="D7911" t="str">
            <v>Seguros Personales (No Vida) Particular</v>
          </cell>
          <cell r="G7911" t="str">
            <v>Real</v>
          </cell>
        </row>
        <row r="7912">
          <cell r="A7912" t="str">
            <v>O&amp;B</v>
          </cell>
          <cell r="B7912">
            <v>202406</v>
          </cell>
          <cell r="D7912" t="str">
            <v>Venta Cruzada</v>
          </cell>
          <cell r="G7912" t="str">
            <v>Real</v>
          </cell>
        </row>
        <row r="7913">
          <cell r="A7913" t="str">
            <v>O&amp;B</v>
          </cell>
          <cell r="B7913">
            <v>202406</v>
          </cell>
          <cell r="D7913" t="str">
            <v>Vida Ahorro Particular</v>
          </cell>
          <cell r="G7913" t="str">
            <v>Real</v>
          </cell>
        </row>
        <row r="7914">
          <cell r="A7914" t="str">
            <v>O&amp;B</v>
          </cell>
          <cell r="B7914">
            <v>202406</v>
          </cell>
          <cell r="D7914" t="str">
            <v>Vida Riesgo Colectivo</v>
          </cell>
          <cell r="G7914" t="str">
            <v>Real</v>
          </cell>
        </row>
        <row r="7915">
          <cell r="A7915" t="str">
            <v>O&amp;B</v>
          </cell>
          <cell r="B7915">
            <v>202406</v>
          </cell>
          <cell r="D7915" t="str">
            <v>Vida Riesgo Particular</v>
          </cell>
          <cell r="G7915" t="str">
            <v>Real</v>
          </cell>
        </row>
        <row r="7916">
          <cell r="A7916" t="str">
            <v>O&amp;B</v>
          </cell>
          <cell r="B7916">
            <v>202407</v>
          </cell>
          <cell r="D7916" t="str">
            <v>--</v>
          </cell>
          <cell r="G7916" t="str">
            <v>Real</v>
          </cell>
        </row>
        <row r="7917">
          <cell r="A7917" t="str">
            <v>O&amp;B</v>
          </cell>
          <cell r="B7917">
            <v>202407</v>
          </cell>
          <cell r="D7917" t="str">
            <v>Resto de Lineas</v>
          </cell>
          <cell r="G7917" t="str">
            <v>Real</v>
          </cell>
        </row>
        <row r="7918">
          <cell r="A7918" t="str">
            <v>O&amp;B</v>
          </cell>
          <cell r="B7918">
            <v>202407</v>
          </cell>
          <cell r="D7918" t="str">
            <v>Autos</v>
          </cell>
          <cell r="G7918" t="str">
            <v>Real</v>
          </cell>
        </row>
        <row r="7919">
          <cell r="A7919" t="str">
            <v>O&amp;B</v>
          </cell>
          <cell r="B7919">
            <v>202407</v>
          </cell>
          <cell r="D7919" t="str">
            <v>Caución</v>
          </cell>
          <cell r="G7919" t="str">
            <v>Real</v>
          </cell>
        </row>
        <row r="7920">
          <cell r="A7920" t="str">
            <v>O&amp;B</v>
          </cell>
          <cell r="B7920">
            <v>202407</v>
          </cell>
          <cell r="D7920" t="str">
            <v>Crédito Nacional</v>
          </cell>
          <cell r="G7920" t="str">
            <v>Real</v>
          </cell>
        </row>
        <row r="7921">
          <cell r="A7921" t="str">
            <v>O&amp;B</v>
          </cell>
          <cell r="B7921">
            <v>202407</v>
          </cell>
          <cell r="D7921" t="str">
            <v>Hogar</v>
          </cell>
          <cell r="G7921" t="str">
            <v>Real</v>
          </cell>
        </row>
        <row r="7922">
          <cell r="A7922" t="str">
            <v>O&amp;B</v>
          </cell>
          <cell r="B7922">
            <v>202407</v>
          </cell>
          <cell r="D7922" t="str">
            <v>Ingeniería</v>
          </cell>
          <cell r="G7922" t="str">
            <v>Real</v>
          </cell>
        </row>
        <row r="7923">
          <cell r="A7923" t="str">
            <v>O&amp;B</v>
          </cell>
          <cell r="B7923">
            <v>202407</v>
          </cell>
          <cell r="D7923" t="str">
            <v>Líneas Financieras</v>
          </cell>
          <cell r="G7923" t="str">
            <v>Real</v>
          </cell>
        </row>
        <row r="7924">
          <cell r="A7924" t="str">
            <v>O&amp;B</v>
          </cell>
          <cell r="B7924">
            <v>202407</v>
          </cell>
          <cell r="D7924" t="str">
            <v>Náutica</v>
          </cell>
          <cell r="G7924" t="str">
            <v>Real</v>
          </cell>
        </row>
        <row r="7925">
          <cell r="A7925" t="str">
            <v>O&amp;B</v>
          </cell>
          <cell r="B7925">
            <v>202407</v>
          </cell>
          <cell r="D7925" t="str">
            <v>Particulares Resto</v>
          </cell>
          <cell r="G7925" t="str">
            <v>Real</v>
          </cell>
        </row>
        <row r="7926">
          <cell r="A7926" t="str">
            <v>O&amp;B</v>
          </cell>
          <cell r="B7926">
            <v>202407</v>
          </cell>
          <cell r="D7926" t="str">
            <v>Property</v>
          </cell>
          <cell r="G7926" t="str">
            <v>Real</v>
          </cell>
        </row>
        <row r="7927">
          <cell r="A7927" t="str">
            <v>O&amp;B</v>
          </cell>
          <cell r="B7927">
            <v>202407</v>
          </cell>
          <cell r="D7927" t="str">
            <v>RC</v>
          </cell>
          <cell r="G7927" t="str">
            <v>Real</v>
          </cell>
        </row>
        <row r="7928">
          <cell r="A7928" t="str">
            <v>O&amp;B</v>
          </cell>
          <cell r="B7928">
            <v>202407</v>
          </cell>
          <cell r="D7928" t="str">
            <v>Seguros Personales (No Vida) Colectivos</v>
          </cell>
          <cell r="G7928" t="str">
            <v>Real</v>
          </cell>
        </row>
        <row r="7929">
          <cell r="A7929" t="str">
            <v>O&amp;B</v>
          </cell>
          <cell r="B7929">
            <v>202407</v>
          </cell>
          <cell r="D7929" t="str">
            <v>Seguros Personales (No Vida) Particular</v>
          </cell>
          <cell r="G7929" t="str">
            <v>Real</v>
          </cell>
        </row>
        <row r="7930">
          <cell r="A7930" t="str">
            <v>O&amp;B</v>
          </cell>
          <cell r="B7930">
            <v>202407</v>
          </cell>
          <cell r="D7930" t="str">
            <v>Venta Cruzada</v>
          </cell>
          <cell r="G7930" t="str">
            <v>Real</v>
          </cell>
        </row>
        <row r="7931">
          <cell r="A7931" t="str">
            <v>O&amp;B</v>
          </cell>
          <cell r="B7931">
            <v>202407</v>
          </cell>
          <cell r="D7931" t="str">
            <v>Vida Ahorro Particular</v>
          </cell>
          <cell r="G7931" t="str">
            <v>Real</v>
          </cell>
        </row>
        <row r="7932">
          <cell r="A7932" t="str">
            <v>O&amp;B</v>
          </cell>
          <cell r="B7932">
            <v>202407</v>
          </cell>
          <cell r="D7932" t="str">
            <v>Vida Riesgo Colectivo</v>
          </cell>
          <cell r="G7932" t="str">
            <v>Real</v>
          </cell>
        </row>
        <row r="7933">
          <cell r="A7933" t="str">
            <v>O&amp;B</v>
          </cell>
          <cell r="B7933">
            <v>202407</v>
          </cell>
          <cell r="D7933" t="str">
            <v>Vida Riesgo Particular</v>
          </cell>
          <cell r="G7933" t="str">
            <v>Real</v>
          </cell>
        </row>
        <row r="7934">
          <cell r="A7934" t="str">
            <v>O&amp;B</v>
          </cell>
          <cell r="B7934">
            <v>202408</v>
          </cell>
          <cell r="D7934" t="str">
            <v>--</v>
          </cell>
          <cell r="G7934" t="str">
            <v>Real</v>
          </cell>
        </row>
        <row r="7935">
          <cell r="A7935" t="str">
            <v>O&amp;B</v>
          </cell>
          <cell r="B7935">
            <v>202408</v>
          </cell>
          <cell r="D7935" t="str">
            <v>Autos</v>
          </cell>
          <cell r="G7935" t="str">
            <v>Real</v>
          </cell>
        </row>
        <row r="7936">
          <cell r="A7936" t="str">
            <v>O&amp;B</v>
          </cell>
          <cell r="B7936">
            <v>202408</v>
          </cell>
          <cell r="D7936" t="str">
            <v>Caución</v>
          </cell>
          <cell r="G7936" t="str">
            <v>Real</v>
          </cell>
        </row>
        <row r="7937">
          <cell r="A7937" t="str">
            <v>O&amp;B</v>
          </cell>
          <cell r="B7937">
            <v>202408</v>
          </cell>
          <cell r="D7937" t="str">
            <v>Crédito Nacional</v>
          </cell>
          <cell r="G7937" t="str">
            <v>Real</v>
          </cell>
        </row>
        <row r="7938">
          <cell r="A7938" t="str">
            <v>O&amp;B</v>
          </cell>
          <cell r="B7938">
            <v>202408</v>
          </cell>
          <cell r="D7938" t="str">
            <v>Flotas</v>
          </cell>
          <cell r="G7938" t="str">
            <v>Real</v>
          </cell>
        </row>
        <row r="7939">
          <cell r="A7939" t="str">
            <v>O&amp;B</v>
          </cell>
          <cell r="B7939">
            <v>202408</v>
          </cell>
          <cell r="D7939" t="str">
            <v>Hogar</v>
          </cell>
          <cell r="G7939" t="str">
            <v>Real</v>
          </cell>
        </row>
        <row r="7940">
          <cell r="A7940" t="str">
            <v>O&amp;B</v>
          </cell>
          <cell r="B7940">
            <v>202408</v>
          </cell>
          <cell r="D7940" t="str">
            <v>Ingeniería</v>
          </cell>
          <cell r="G7940" t="str">
            <v>Real</v>
          </cell>
        </row>
        <row r="7941">
          <cell r="A7941" t="str">
            <v>O&amp;B</v>
          </cell>
          <cell r="B7941">
            <v>202408</v>
          </cell>
          <cell r="D7941" t="str">
            <v>Líneas Financieras</v>
          </cell>
          <cell r="G7941" t="str">
            <v>Real</v>
          </cell>
        </row>
        <row r="7942">
          <cell r="A7942" t="str">
            <v>O&amp;B</v>
          </cell>
          <cell r="B7942">
            <v>202408</v>
          </cell>
          <cell r="D7942" t="str">
            <v>Náutica</v>
          </cell>
          <cell r="G7942" t="str">
            <v>Real</v>
          </cell>
        </row>
        <row r="7943">
          <cell r="A7943" t="str">
            <v>O&amp;B</v>
          </cell>
          <cell r="B7943">
            <v>202408</v>
          </cell>
          <cell r="D7943" t="str">
            <v>Particulares Resto</v>
          </cell>
          <cell r="G7943" t="str">
            <v>Real</v>
          </cell>
        </row>
        <row r="7944">
          <cell r="A7944" t="str">
            <v>O&amp;B</v>
          </cell>
          <cell r="B7944">
            <v>202408</v>
          </cell>
          <cell r="D7944" t="str">
            <v>Property</v>
          </cell>
          <cell r="G7944" t="str">
            <v>Real</v>
          </cell>
        </row>
        <row r="7945">
          <cell r="A7945" t="str">
            <v>O&amp;B</v>
          </cell>
          <cell r="B7945">
            <v>202408</v>
          </cell>
          <cell r="D7945" t="str">
            <v>RC</v>
          </cell>
          <cell r="G7945" t="str">
            <v>Real</v>
          </cell>
        </row>
        <row r="7946">
          <cell r="A7946" t="str">
            <v>O&amp;B</v>
          </cell>
          <cell r="B7946">
            <v>202408</v>
          </cell>
          <cell r="D7946" t="str">
            <v>Seguros Personales (No Vida) Colectivos</v>
          </cell>
          <cell r="G7946" t="str">
            <v>Real</v>
          </cell>
        </row>
        <row r="7947">
          <cell r="A7947" t="str">
            <v>O&amp;B</v>
          </cell>
          <cell r="B7947">
            <v>202408</v>
          </cell>
          <cell r="D7947" t="str">
            <v>Seguros Personales (No Vida) Particular</v>
          </cell>
          <cell r="G7947" t="str">
            <v>Real</v>
          </cell>
        </row>
        <row r="7948">
          <cell r="A7948" t="str">
            <v>O&amp;B</v>
          </cell>
          <cell r="B7948">
            <v>202408</v>
          </cell>
          <cell r="D7948" t="str">
            <v>Venta Cruzada</v>
          </cell>
          <cell r="G7948" t="str">
            <v>Real</v>
          </cell>
        </row>
        <row r="7949">
          <cell r="A7949" t="str">
            <v>O&amp;B</v>
          </cell>
          <cell r="B7949">
            <v>202408</v>
          </cell>
          <cell r="D7949" t="str">
            <v>Vida Ahorro Particular</v>
          </cell>
          <cell r="G7949" t="str">
            <v>Real</v>
          </cell>
        </row>
        <row r="7950">
          <cell r="A7950" t="str">
            <v>O&amp;B</v>
          </cell>
          <cell r="B7950">
            <v>202408</v>
          </cell>
          <cell r="D7950" t="str">
            <v>Vida Riesgo Colectivo</v>
          </cell>
          <cell r="G7950" t="str">
            <v>Real</v>
          </cell>
        </row>
        <row r="7951">
          <cell r="A7951" t="str">
            <v>O&amp;B</v>
          </cell>
          <cell r="B7951">
            <v>202408</v>
          </cell>
          <cell r="D7951" t="str">
            <v>Vida Riesgo Particular</v>
          </cell>
          <cell r="G7951" t="str">
            <v>Real</v>
          </cell>
        </row>
        <row r="7952">
          <cell r="A7952" t="str">
            <v>O&amp;B</v>
          </cell>
          <cell r="B7952">
            <v>202409</v>
          </cell>
          <cell r="D7952" t="str">
            <v>--</v>
          </cell>
          <cell r="G7952" t="str">
            <v>Real</v>
          </cell>
        </row>
        <row r="7953">
          <cell r="A7953" t="str">
            <v>O&amp;B</v>
          </cell>
          <cell r="B7953">
            <v>202409</v>
          </cell>
          <cell r="D7953" t="str">
            <v>Autos</v>
          </cell>
          <cell r="G7953" t="str">
            <v>Real</v>
          </cell>
        </row>
        <row r="7954">
          <cell r="A7954" t="str">
            <v>O&amp;B</v>
          </cell>
          <cell r="B7954">
            <v>202409</v>
          </cell>
          <cell r="D7954" t="str">
            <v>Caución</v>
          </cell>
          <cell r="G7954" t="str">
            <v>Real</v>
          </cell>
        </row>
        <row r="7955">
          <cell r="A7955" t="str">
            <v>O&amp;B</v>
          </cell>
          <cell r="B7955">
            <v>202409</v>
          </cell>
          <cell r="D7955" t="str">
            <v>Crédito Nacional</v>
          </cell>
          <cell r="G7955" t="str">
            <v>Real</v>
          </cell>
        </row>
        <row r="7956">
          <cell r="A7956" t="str">
            <v>O&amp;B</v>
          </cell>
          <cell r="B7956">
            <v>202409</v>
          </cell>
          <cell r="D7956" t="str">
            <v>Flotas</v>
          </cell>
          <cell r="G7956" t="str">
            <v>Real</v>
          </cell>
        </row>
        <row r="7957">
          <cell r="A7957" t="str">
            <v>O&amp;B</v>
          </cell>
          <cell r="B7957">
            <v>202409</v>
          </cell>
          <cell r="D7957" t="str">
            <v>Hogar</v>
          </cell>
          <cell r="G7957" t="str">
            <v>Real</v>
          </cell>
        </row>
        <row r="7958">
          <cell r="A7958" t="str">
            <v>O&amp;B</v>
          </cell>
          <cell r="B7958">
            <v>202409</v>
          </cell>
          <cell r="D7958" t="str">
            <v>Ingeniería</v>
          </cell>
          <cell r="G7958" t="str">
            <v>Real</v>
          </cell>
        </row>
        <row r="7959">
          <cell r="A7959" t="str">
            <v>O&amp;B</v>
          </cell>
          <cell r="B7959">
            <v>202409</v>
          </cell>
          <cell r="D7959" t="str">
            <v>Líneas Financieras</v>
          </cell>
          <cell r="G7959" t="str">
            <v>Real</v>
          </cell>
        </row>
        <row r="7960">
          <cell r="A7960" t="str">
            <v>O&amp;B</v>
          </cell>
          <cell r="B7960">
            <v>202409</v>
          </cell>
          <cell r="D7960" t="str">
            <v>Náutica</v>
          </cell>
          <cell r="G7960" t="str">
            <v>Real</v>
          </cell>
        </row>
        <row r="7961">
          <cell r="A7961" t="str">
            <v>O&amp;B</v>
          </cell>
          <cell r="B7961">
            <v>202409</v>
          </cell>
          <cell r="D7961" t="str">
            <v>Property</v>
          </cell>
          <cell r="G7961" t="str">
            <v>Real</v>
          </cell>
        </row>
        <row r="7962">
          <cell r="A7962" t="str">
            <v>O&amp;B</v>
          </cell>
          <cell r="B7962">
            <v>202409</v>
          </cell>
          <cell r="D7962" t="str">
            <v>RC</v>
          </cell>
          <cell r="G7962" t="str">
            <v>Real</v>
          </cell>
        </row>
        <row r="7963">
          <cell r="A7963" t="str">
            <v>O&amp;B</v>
          </cell>
          <cell r="B7963">
            <v>202409</v>
          </cell>
          <cell r="D7963" t="str">
            <v>Seguros Personales (No Vida) Colectivos</v>
          </cell>
          <cell r="G7963" t="str">
            <v>Real</v>
          </cell>
        </row>
        <row r="7964">
          <cell r="A7964" t="str">
            <v>O&amp;B</v>
          </cell>
          <cell r="B7964">
            <v>202409</v>
          </cell>
          <cell r="D7964" t="str">
            <v>Seguros Personales (No Vida) Particular</v>
          </cell>
          <cell r="G7964" t="str">
            <v>Real</v>
          </cell>
        </row>
        <row r="7965">
          <cell r="A7965" t="str">
            <v>O&amp;B</v>
          </cell>
          <cell r="B7965">
            <v>202409</v>
          </cell>
          <cell r="D7965" t="str">
            <v>Venta Cruzada</v>
          </cell>
          <cell r="G7965" t="str">
            <v>Real</v>
          </cell>
        </row>
        <row r="7966">
          <cell r="A7966" t="str">
            <v>O&amp;B</v>
          </cell>
          <cell r="B7966">
            <v>202409</v>
          </cell>
          <cell r="D7966" t="str">
            <v>Vida Ahorro Particular</v>
          </cell>
          <cell r="G7966" t="str">
            <v>Real</v>
          </cell>
        </row>
        <row r="7967">
          <cell r="A7967" t="str">
            <v>O&amp;B</v>
          </cell>
          <cell r="B7967">
            <v>202409</v>
          </cell>
          <cell r="D7967" t="str">
            <v>Vida Riesgo Colectivo</v>
          </cell>
          <cell r="G7967" t="str">
            <v>Real</v>
          </cell>
        </row>
        <row r="7968">
          <cell r="A7968" t="str">
            <v>O&amp;B</v>
          </cell>
          <cell r="B7968">
            <v>202409</v>
          </cell>
          <cell r="D7968" t="str">
            <v>Vida Riesgo Particular</v>
          </cell>
          <cell r="G7968" t="str">
            <v>Real</v>
          </cell>
        </row>
        <row r="7969">
          <cell r="A7969" t="str">
            <v>O&amp;B</v>
          </cell>
          <cell r="B7969">
            <v>202410</v>
          </cell>
          <cell r="D7969" t="str">
            <v>--</v>
          </cell>
          <cell r="G7969" t="str">
            <v>Real</v>
          </cell>
        </row>
        <row r="7970">
          <cell r="A7970" t="str">
            <v>O&amp;B</v>
          </cell>
          <cell r="B7970">
            <v>202410</v>
          </cell>
          <cell r="D7970" t="str">
            <v>Resto de Lineas</v>
          </cell>
          <cell r="G7970" t="str">
            <v>Real</v>
          </cell>
        </row>
        <row r="7971">
          <cell r="A7971" t="str">
            <v>O&amp;B</v>
          </cell>
          <cell r="B7971">
            <v>202410</v>
          </cell>
          <cell r="D7971" t="str">
            <v>Autos</v>
          </cell>
          <cell r="G7971" t="str">
            <v>Real</v>
          </cell>
        </row>
        <row r="7972">
          <cell r="A7972" t="str">
            <v>O&amp;B</v>
          </cell>
          <cell r="B7972">
            <v>202410</v>
          </cell>
          <cell r="D7972" t="str">
            <v>Caución</v>
          </cell>
          <cell r="G7972" t="str">
            <v>Real</v>
          </cell>
        </row>
        <row r="7973">
          <cell r="A7973" t="str">
            <v>O&amp;B</v>
          </cell>
          <cell r="B7973">
            <v>202410</v>
          </cell>
          <cell r="D7973" t="str">
            <v>Crédito Nacional</v>
          </cell>
          <cell r="G7973" t="str">
            <v>Real</v>
          </cell>
        </row>
        <row r="7974">
          <cell r="A7974" t="str">
            <v>O&amp;B</v>
          </cell>
          <cell r="B7974">
            <v>202410</v>
          </cell>
          <cell r="D7974" t="str">
            <v>Flotas</v>
          </cell>
          <cell r="G7974" t="str">
            <v>Real</v>
          </cell>
        </row>
        <row r="7975">
          <cell r="A7975" t="str">
            <v>O&amp;B</v>
          </cell>
          <cell r="B7975">
            <v>202410</v>
          </cell>
          <cell r="D7975" t="str">
            <v>Hogar</v>
          </cell>
          <cell r="G7975" t="str">
            <v>Real</v>
          </cell>
        </row>
        <row r="7976">
          <cell r="A7976" t="str">
            <v>O&amp;B</v>
          </cell>
          <cell r="B7976">
            <v>202410</v>
          </cell>
          <cell r="D7976" t="str">
            <v>Ingeniería</v>
          </cell>
          <cell r="G7976" t="str">
            <v>Real</v>
          </cell>
        </row>
        <row r="7977">
          <cell r="A7977" t="str">
            <v>O&amp;B</v>
          </cell>
          <cell r="B7977">
            <v>202410</v>
          </cell>
          <cell r="D7977" t="str">
            <v>Líneas Financieras</v>
          </cell>
          <cell r="G7977" t="str">
            <v>Real</v>
          </cell>
        </row>
        <row r="7978">
          <cell r="A7978" t="str">
            <v>O&amp;B</v>
          </cell>
          <cell r="B7978">
            <v>202410</v>
          </cell>
          <cell r="D7978" t="str">
            <v>Particulares Resto</v>
          </cell>
          <cell r="G7978" t="str">
            <v>Real</v>
          </cell>
        </row>
        <row r="7979">
          <cell r="A7979" t="str">
            <v>O&amp;B</v>
          </cell>
          <cell r="B7979">
            <v>202410</v>
          </cell>
          <cell r="D7979" t="str">
            <v>Property</v>
          </cell>
          <cell r="G7979" t="str">
            <v>Real</v>
          </cell>
        </row>
        <row r="7980">
          <cell r="A7980" t="str">
            <v>O&amp;B</v>
          </cell>
          <cell r="B7980">
            <v>202410</v>
          </cell>
          <cell r="D7980" t="str">
            <v>RC</v>
          </cell>
          <cell r="G7980" t="str">
            <v>Real</v>
          </cell>
        </row>
        <row r="7981">
          <cell r="A7981" t="str">
            <v>O&amp;B</v>
          </cell>
          <cell r="B7981">
            <v>202410</v>
          </cell>
          <cell r="D7981" t="str">
            <v>Seguros Personales (No Vida) Colectivos</v>
          </cell>
          <cell r="G7981" t="str">
            <v>Real</v>
          </cell>
        </row>
        <row r="7982">
          <cell r="A7982" t="str">
            <v>O&amp;B</v>
          </cell>
          <cell r="B7982">
            <v>202410</v>
          </cell>
          <cell r="D7982" t="str">
            <v>Seguros Personales (No Vida) Particular</v>
          </cell>
          <cell r="G7982" t="str">
            <v>Real</v>
          </cell>
        </row>
        <row r="7983">
          <cell r="A7983" t="str">
            <v>O&amp;B</v>
          </cell>
          <cell r="B7983">
            <v>202410</v>
          </cell>
          <cell r="D7983" t="str">
            <v>Transporte</v>
          </cell>
          <cell r="G7983" t="str">
            <v>Real</v>
          </cell>
        </row>
        <row r="7984">
          <cell r="A7984" t="str">
            <v>O&amp;B</v>
          </cell>
          <cell r="B7984">
            <v>202410</v>
          </cell>
          <cell r="D7984" t="str">
            <v>Venta Cruzada</v>
          </cell>
          <cell r="G7984" t="str">
            <v>Real</v>
          </cell>
        </row>
        <row r="7985">
          <cell r="A7985" t="str">
            <v>O&amp;B</v>
          </cell>
          <cell r="B7985">
            <v>202410</v>
          </cell>
          <cell r="D7985" t="str">
            <v>Vida Ahorro Particular</v>
          </cell>
          <cell r="G7985" t="str">
            <v>Real</v>
          </cell>
        </row>
        <row r="7986">
          <cell r="A7986" t="str">
            <v>O&amp;B</v>
          </cell>
          <cell r="B7986">
            <v>202410</v>
          </cell>
          <cell r="D7986" t="str">
            <v>Vida Riesgo Colectivo</v>
          </cell>
          <cell r="G7986" t="str">
            <v>Real</v>
          </cell>
        </row>
        <row r="7987">
          <cell r="A7987" t="str">
            <v>O&amp;B</v>
          </cell>
          <cell r="B7987">
            <v>202410</v>
          </cell>
          <cell r="D7987" t="str">
            <v>Vida Riesgo Particular</v>
          </cell>
          <cell r="G7987" t="str">
            <v>Real</v>
          </cell>
        </row>
        <row r="7988">
          <cell r="A7988" t="str">
            <v>O&amp;B</v>
          </cell>
          <cell r="B7988">
            <v>202411</v>
          </cell>
          <cell r="D7988" t="str">
            <v>--</v>
          </cell>
          <cell r="G7988" t="str">
            <v>Real</v>
          </cell>
        </row>
        <row r="7989">
          <cell r="A7989" t="str">
            <v>O&amp;B</v>
          </cell>
          <cell r="B7989">
            <v>202411</v>
          </cell>
          <cell r="D7989" t="str">
            <v>Autos</v>
          </cell>
          <cell r="G7989" t="str">
            <v>Real</v>
          </cell>
        </row>
        <row r="7990">
          <cell r="A7990" t="str">
            <v>O&amp;B</v>
          </cell>
          <cell r="B7990">
            <v>202411</v>
          </cell>
          <cell r="D7990" t="str">
            <v>Caución</v>
          </cell>
          <cell r="G7990" t="str">
            <v>Real</v>
          </cell>
        </row>
        <row r="7991">
          <cell r="A7991" t="str">
            <v>O&amp;B</v>
          </cell>
          <cell r="B7991">
            <v>202411</v>
          </cell>
          <cell r="D7991" t="str">
            <v>Crédito Nacional</v>
          </cell>
          <cell r="G7991" t="str">
            <v>Real</v>
          </cell>
        </row>
        <row r="7992">
          <cell r="A7992" t="str">
            <v>O&amp;B</v>
          </cell>
          <cell r="B7992">
            <v>202411</v>
          </cell>
          <cell r="D7992" t="str">
            <v>Flotas</v>
          </cell>
          <cell r="G7992" t="str">
            <v>Real</v>
          </cell>
        </row>
        <row r="7993">
          <cell r="A7993" t="str">
            <v>O&amp;B</v>
          </cell>
          <cell r="B7993">
            <v>202411</v>
          </cell>
          <cell r="D7993" t="str">
            <v>Hogar</v>
          </cell>
          <cell r="G7993" t="str">
            <v>Real</v>
          </cell>
        </row>
        <row r="7994">
          <cell r="A7994" t="str">
            <v>O&amp;B</v>
          </cell>
          <cell r="B7994">
            <v>202411</v>
          </cell>
          <cell r="D7994" t="str">
            <v>Ingeniería</v>
          </cell>
          <cell r="G7994" t="str">
            <v>Real</v>
          </cell>
        </row>
        <row r="7995">
          <cell r="A7995" t="str">
            <v>O&amp;B</v>
          </cell>
          <cell r="B7995">
            <v>202411</v>
          </cell>
          <cell r="D7995" t="str">
            <v>Líneas Financieras</v>
          </cell>
          <cell r="G7995" t="str">
            <v>Real</v>
          </cell>
        </row>
        <row r="7996">
          <cell r="A7996" t="str">
            <v>O&amp;B</v>
          </cell>
          <cell r="B7996">
            <v>202411</v>
          </cell>
          <cell r="D7996" t="str">
            <v>Náutica</v>
          </cell>
          <cell r="G7996" t="str">
            <v>Real</v>
          </cell>
        </row>
        <row r="7997">
          <cell r="A7997" t="str">
            <v>O&amp;B</v>
          </cell>
          <cell r="B7997">
            <v>202411</v>
          </cell>
          <cell r="D7997" t="str">
            <v>Property</v>
          </cell>
          <cell r="G7997" t="str">
            <v>Real</v>
          </cell>
        </row>
        <row r="7998">
          <cell r="A7998" t="str">
            <v>O&amp;B</v>
          </cell>
          <cell r="B7998">
            <v>202411</v>
          </cell>
          <cell r="D7998" t="str">
            <v>RC</v>
          </cell>
          <cell r="G7998" t="str">
            <v>Real</v>
          </cell>
        </row>
        <row r="7999">
          <cell r="A7999" t="str">
            <v>O&amp;B</v>
          </cell>
          <cell r="B7999">
            <v>202411</v>
          </cell>
          <cell r="D7999" t="str">
            <v>Seguros Personales (No Vida) Colectivos</v>
          </cell>
          <cell r="G7999" t="str">
            <v>Real</v>
          </cell>
        </row>
        <row r="8000">
          <cell r="A8000" t="str">
            <v>O&amp;B</v>
          </cell>
          <cell r="B8000">
            <v>202411</v>
          </cell>
          <cell r="D8000" t="str">
            <v>Seguros Personales (No Vida) Particular</v>
          </cell>
          <cell r="G8000" t="str">
            <v>Real</v>
          </cell>
        </row>
        <row r="8001">
          <cell r="A8001" t="str">
            <v>O&amp;B</v>
          </cell>
          <cell r="B8001">
            <v>202411</v>
          </cell>
          <cell r="D8001" t="str">
            <v>Transporte</v>
          </cell>
          <cell r="G8001" t="str">
            <v>Real</v>
          </cell>
        </row>
        <row r="8002">
          <cell r="A8002" t="str">
            <v>O&amp;B</v>
          </cell>
          <cell r="B8002">
            <v>202411</v>
          </cell>
          <cell r="D8002" t="str">
            <v>Venta Cruzada</v>
          </cell>
          <cell r="G8002" t="str">
            <v>Real</v>
          </cell>
        </row>
        <row r="8003">
          <cell r="A8003" t="str">
            <v>O&amp;B</v>
          </cell>
          <cell r="B8003">
            <v>202411</v>
          </cell>
          <cell r="D8003" t="str">
            <v>Vida Ahorro Particular</v>
          </cell>
          <cell r="G8003" t="str">
            <v>Real</v>
          </cell>
        </row>
        <row r="8004">
          <cell r="A8004" t="str">
            <v>O&amp;B</v>
          </cell>
          <cell r="B8004">
            <v>202411</v>
          </cell>
          <cell r="D8004" t="str">
            <v>Vida Riesgo Colectivo</v>
          </cell>
          <cell r="G8004" t="str">
            <v>Real</v>
          </cell>
        </row>
        <row r="8005">
          <cell r="A8005" t="str">
            <v>O&amp;B</v>
          </cell>
          <cell r="B8005">
            <v>202411</v>
          </cell>
          <cell r="D8005" t="str">
            <v>Vida Riesgo Particular</v>
          </cell>
          <cell r="G8005" t="str">
            <v>Real</v>
          </cell>
        </row>
        <row r="8006">
          <cell r="A8006" t="str">
            <v>O&amp;B</v>
          </cell>
          <cell r="B8006">
            <v>202412</v>
          </cell>
          <cell r="D8006" t="str">
            <v>--</v>
          </cell>
          <cell r="G8006" t="str">
            <v>Real</v>
          </cell>
        </row>
        <row r="8007">
          <cell r="A8007" t="str">
            <v>O&amp;B</v>
          </cell>
          <cell r="B8007">
            <v>202412</v>
          </cell>
          <cell r="D8007" t="str">
            <v>Resto de Lineas</v>
          </cell>
          <cell r="G8007" t="str">
            <v>Real</v>
          </cell>
        </row>
        <row r="8008">
          <cell r="A8008" t="str">
            <v>O&amp;B</v>
          </cell>
          <cell r="B8008">
            <v>202412</v>
          </cell>
          <cell r="D8008" t="str">
            <v>Autos</v>
          </cell>
          <cell r="G8008" t="str">
            <v>Real</v>
          </cell>
        </row>
        <row r="8009">
          <cell r="A8009" t="str">
            <v>O&amp;B</v>
          </cell>
          <cell r="B8009">
            <v>202412</v>
          </cell>
          <cell r="D8009" t="str">
            <v>Caución</v>
          </cell>
          <cell r="G8009" t="str">
            <v>Real</v>
          </cell>
        </row>
        <row r="8010">
          <cell r="A8010" t="str">
            <v>O&amp;B</v>
          </cell>
          <cell r="B8010">
            <v>202412</v>
          </cell>
          <cell r="D8010" t="str">
            <v>Crédito Nacional</v>
          </cell>
          <cell r="G8010" t="str">
            <v>Real</v>
          </cell>
        </row>
        <row r="8011">
          <cell r="A8011" t="str">
            <v>O&amp;B</v>
          </cell>
          <cell r="B8011">
            <v>202412</v>
          </cell>
          <cell r="D8011" t="str">
            <v>Flotas</v>
          </cell>
          <cell r="G8011" t="str">
            <v>Real</v>
          </cell>
        </row>
        <row r="8012">
          <cell r="A8012" t="str">
            <v>O&amp;B</v>
          </cell>
          <cell r="B8012">
            <v>202412</v>
          </cell>
          <cell r="D8012" t="str">
            <v>GENERAL</v>
          </cell>
          <cell r="G8012" t="str">
            <v>Real</v>
          </cell>
        </row>
        <row r="8013">
          <cell r="A8013" t="str">
            <v>O&amp;B</v>
          </cell>
          <cell r="B8013">
            <v>202412</v>
          </cell>
          <cell r="D8013" t="str">
            <v>Hogar</v>
          </cell>
          <cell r="G8013" t="str">
            <v>Real</v>
          </cell>
        </row>
        <row r="8014">
          <cell r="A8014" t="str">
            <v>O&amp;B</v>
          </cell>
          <cell r="B8014">
            <v>202412</v>
          </cell>
          <cell r="D8014" t="str">
            <v>Ingeniería</v>
          </cell>
          <cell r="G8014" t="str">
            <v>Real</v>
          </cell>
        </row>
        <row r="8015">
          <cell r="A8015" t="str">
            <v>O&amp;B</v>
          </cell>
          <cell r="B8015">
            <v>202412</v>
          </cell>
          <cell r="D8015" t="str">
            <v>Líneas Financieras</v>
          </cell>
          <cell r="G8015" t="str">
            <v>Real</v>
          </cell>
        </row>
        <row r="8016">
          <cell r="A8016" t="str">
            <v>O&amp;B</v>
          </cell>
          <cell r="B8016">
            <v>202412</v>
          </cell>
          <cell r="D8016" t="str">
            <v>Náutica</v>
          </cell>
          <cell r="G8016" t="str">
            <v>Real</v>
          </cell>
        </row>
        <row r="8017">
          <cell r="A8017" t="str">
            <v>O&amp;B</v>
          </cell>
          <cell r="B8017">
            <v>202412</v>
          </cell>
          <cell r="D8017" t="str">
            <v>Particulares Resto</v>
          </cell>
          <cell r="G8017" t="str">
            <v>Real</v>
          </cell>
        </row>
        <row r="8018">
          <cell r="A8018" t="str">
            <v>O&amp;B</v>
          </cell>
          <cell r="B8018">
            <v>202412</v>
          </cell>
          <cell r="D8018" t="str">
            <v>Property</v>
          </cell>
          <cell r="G8018" t="str">
            <v>Real</v>
          </cell>
        </row>
        <row r="8019">
          <cell r="A8019" t="str">
            <v>O&amp;B</v>
          </cell>
          <cell r="B8019">
            <v>202412</v>
          </cell>
          <cell r="D8019" t="str">
            <v>RC</v>
          </cell>
          <cell r="G8019" t="str">
            <v>Real</v>
          </cell>
        </row>
        <row r="8020">
          <cell r="A8020" t="str">
            <v>O&amp;B</v>
          </cell>
          <cell r="B8020">
            <v>202412</v>
          </cell>
          <cell r="D8020" t="str">
            <v>Seguros Personales (No Vida) Colectivos</v>
          </cell>
          <cell r="G8020" t="str">
            <v>Real</v>
          </cell>
        </row>
        <row r="8021">
          <cell r="A8021" t="str">
            <v>O&amp;B</v>
          </cell>
          <cell r="B8021">
            <v>202412</v>
          </cell>
          <cell r="D8021" t="str">
            <v>Seguros Personales (No Vida) Particular</v>
          </cell>
          <cell r="G8021" t="str">
            <v>Real</v>
          </cell>
        </row>
        <row r="8022">
          <cell r="A8022" t="str">
            <v>O&amp;B</v>
          </cell>
          <cell r="B8022">
            <v>202412</v>
          </cell>
          <cell r="D8022" t="str">
            <v>Transporte</v>
          </cell>
          <cell r="G8022" t="str">
            <v>Real</v>
          </cell>
        </row>
        <row r="8023">
          <cell r="A8023" t="str">
            <v>O&amp;B</v>
          </cell>
          <cell r="B8023">
            <v>202412</v>
          </cell>
          <cell r="D8023" t="str">
            <v>Venta Cruzada</v>
          </cell>
          <cell r="G8023" t="str">
            <v>Real</v>
          </cell>
        </row>
        <row r="8024">
          <cell r="A8024" t="str">
            <v>O&amp;B</v>
          </cell>
          <cell r="B8024">
            <v>202412</v>
          </cell>
          <cell r="D8024" t="str">
            <v>Vida Ahorro Particular</v>
          </cell>
          <cell r="G8024" t="str">
            <v>Real</v>
          </cell>
        </row>
        <row r="8025">
          <cell r="A8025" t="str">
            <v>O&amp;B</v>
          </cell>
          <cell r="B8025">
            <v>202412</v>
          </cell>
          <cell r="D8025" t="str">
            <v>Vida Riesgo Colectivo</v>
          </cell>
          <cell r="G8025" t="str">
            <v>Real</v>
          </cell>
        </row>
        <row r="8026">
          <cell r="A8026" t="str">
            <v>O&amp;B</v>
          </cell>
          <cell r="B8026">
            <v>202412</v>
          </cell>
          <cell r="D8026" t="str">
            <v>Vida Riesgo Particular</v>
          </cell>
          <cell r="G8026" t="str">
            <v>Real</v>
          </cell>
        </row>
        <row r="8027">
          <cell r="A8027" t="str">
            <v>O&amp;B</v>
          </cell>
          <cell r="B8027">
            <v>202501</v>
          </cell>
          <cell r="D8027" t="str">
            <v>--</v>
          </cell>
          <cell r="G8027" t="str">
            <v>Presupuesto</v>
          </cell>
        </row>
        <row r="8028">
          <cell r="A8028" t="str">
            <v>O&amp;B</v>
          </cell>
          <cell r="B8028">
            <v>202501</v>
          </cell>
          <cell r="D8028" t="str">
            <v>--</v>
          </cell>
          <cell r="G8028" t="str">
            <v>Real</v>
          </cell>
        </row>
        <row r="8029">
          <cell r="A8029" t="str">
            <v>O&amp;B</v>
          </cell>
          <cell r="B8029">
            <v>202501</v>
          </cell>
          <cell r="D8029" t="str">
            <v>Arte</v>
          </cell>
          <cell r="G8029" t="str">
            <v>Presupuesto</v>
          </cell>
        </row>
        <row r="8030">
          <cell r="A8030" t="str">
            <v>O&amp;B</v>
          </cell>
          <cell r="B8030">
            <v>202501</v>
          </cell>
          <cell r="D8030" t="str">
            <v>Autos</v>
          </cell>
          <cell r="G8030" t="str">
            <v>Presupuesto</v>
          </cell>
        </row>
        <row r="8031">
          <cell r="A8031" t="str">
            <v>O&amp;B</v>
          </cell>
          <cell r="B8031">
            <v>202501</v>
          </cell>
          <cell r="D8031" t="str">
            <v>Autos</v>
          </cell>
          <cell r="G8031" t="str">
            <v>Real</v>
          </cell>
        </row>
        <row r="8032">
          <cell r="A8032" t="str">
            <v>O&amp;B</v>
          </cell>
          <cell r="B8032">
            <v>202501</v>
          </cell>
          <cell r="D8032" t="str">
            <v>B2B2C</v>
          </cell>
          <cell r="G8032" t="str">
            <v>Presupuesto</v>
          </cell>
        </row>
        <row r="8033">
          <cell r="A8033" t="str">
            <v>O&amp;B</v>
          </cell>
          <cell r="B8033">
            <v>202501</v>
          </cell>
          <cell r="D8033" t="str">
            <v>Caución</v>
          </cell>
          <cell r="G8033" t="str">
            <v>Presupuesto</v>
          </cell>
        </row>
        <row r="8034">
          <cell r="A8034" t="str">
            <v>O&amp;B</v>
          </cell>
          <cell r="B8034">
            <v>202501</v>
          </cell>
          <cell r="D8034" t="str">
            <v>Caución</v>
          </cell>
          <cell r="G8034" t="str">
            <v>Real</v>
          </cell>
        </row>
        <row r="8035">
          <cell r="A8035" t="str">
            <v>O&amp;B</v>
          </cell>
          <cell r="B8035">
            <v>202501</v>
          </cell>
          <cell r="D8035" t="str">
            <v>Crédito Nacional</v>
          </cell>
          <cell r="G8035" t="str">
            <v>Real</v>
          </cell>
        </row>
        <row r="8036">
          <cell r="A8036" t="str">
            <v>O&amp;B</v>
          </cell>
          <cell r="B8036">
            <v>202501</v>
          </cell>
          <cell r="D8036" t="str">
            <v>Crédito Internacional</v>
          </cell>
          <cell r="G8036" t="str">
            <v>Presupuesto</v>
          </cell>
        </row>
        <row r="8037">
          <cell r="A8037" t="str">
            <v>O&amp;B</v>
          </cell>
          <cell r="B8037">
            <v>202501</v>
          </cell>
          <cell r="D8037" t="str">
            <v>Crédito Nacional</v>
          </cell>
          <cell r="G8037" t="str">
            <v>Presupuesto</v>
          </cell>
        </row>
        <row r="8038">
          <cell r="A8038" t="str">
            <v>O&amp;B</v>
          </cell>
          <cell r="B8038">
            <v>202501</v>
          </cell>
          <cell r="D8038" t="str">
            <v>Eventos</v>
          </cell>
          <cell r="G8038" t="str">
            <v>Presupuesto</v>
          </cell>
        </row>
        <row r="8039">
          <cell r="A8039" t="str">
            <v>O&amp;B</v>
          </cell>
          <cell r="B8039">
            <v>202501</v>
          </cell>
          <cell r="D8039" t="str">
            <v>Flotas</v>
          </cell>
          <cell r="G8039" t="str">
            <v>Presupuesto</v>
          </cell>
        </row>
        <row r="8040">
          <cell r="A8040" t="str">
            <v>O&amp;B</v>
          </cell>
          <cell r="B8040">
            <v>202501</v>
          </cell>
          <cell r="D8040" t="str">
            <v>Flotas</v>
          </cell>
          <cell r="G8040" t="str">
            <v>Real</v>
          </cell>
        </row>
        <row r="8041">
          <cell r="A8041" t="str">
            <v>O&amp;B</v>
          </cell>
          <cell r="B8041">
            <v>202501</v>
          </cell>
          <cell r="D8041" t="str">
            <v>Hogar</v>
          </cell>
          <cell r="G8041" t="str">
            <v>Presupuesto</v>
          </cell>
        </row>
        <row r="8042">
          <cell r="A8042" t="str">
            <v>O&amp;B</v>
          </cell>
          <cell r="B8042">
            <v>202501</v>
          </cell>
          <cell r="D8042" t="str">
            <v>Hogar</v>
          </cell>
          <cell r="G8042" t="str">
            <v>Real</v>
          </cell>
        </row>
        <row r="8043">
          <cell r="A8043" t="str">
            <v>O&amp;B</v>
          </cell>
          <cell r="B8043">
            <v>202501</v>
          </cell>
          <cell r="D8043" t="str">
            <v>Ingeniería</v>
          </cell>
          <cell r="G8043" t="str">
            <v>Presupuesto</v>
          </cell>
        </row>
        <row r="8044">
          <cell r="A8044" t="str">
            <v>O&amp;B</v>
          </cell>
          <cell r="B8044">
            <v>202501</v>
          </cell>
          <cell r="D8044" t="str">
            <v>Ingeniería</v>
          </cell>
          <cell r="G8044" t="str">
            <v>Real</v>
          </cell>
        </row>
        <row r="8045">
          <cell r="A8045" t="str">
            <v>O&amp;B</v>
          </cell>
          <cell r="B8045">
            <v>202501</v>
          </cell>
          <cell r="D8045" t="str">
            <v>Inmobiliario</v>
          </cell>
          <cell r="G8045" t="str">
            <v>Presupuesto</v>
          </cell>
        </row>
        <row r="8046">
          <cell r="A8046" t="str">
            <v>O&amp;B</v>
          </cell>
          <cell r="B8046">
            <v>202501</v>
          </cell>
          <cell r="D8046" t="str">
            <v>Líneas Financieras</v>
          </cell>
          <cell r="G8046" t="str">
            <v>Presupuesto</v>
          </cell>
        </row>
        <row r="8047">
          <cell r="A8047" t="str">
            <v>O&amp;B</v>
          </cell>
          <cell r="B8047">
            <v>202501</v>
          </cell>
          <cell r="D8047" t="str">
            <v>Líneas Financieras</v>
          </cell>
          <cell r="G8047" t="str">
            <v>Real</v>
          </cell>
        </row>
        <row r="8048">
          <cell r="A8048" t="str">
            <v>O&amp;B</v>
          </cell>
          <cell r="B8048">
            <v>202501</v>
          </cell>
          <cell r="D8048" t="str">
            <v>Náutica</v>
          </cell>
          <cell r="G8048" t="str">
            <v>Presupuesto</v>
          </cell>
        </row>
        <row r="8049">
          <cell r="A8049" t="str">
            <v>O&amp;B</v>
          </cell>
          <cell r="B8049">
            <v>202501</v>
          </cell>
          <cell r="D8049" t="str">
            <v>Particulares Resto</v>
          </cell>
          <cell r="G8049" t="str">
            <v>Presupuesto</v>
          </cell>
        </row>
        <row r="8050">
          <cell r="A8050" t="str">
            <v>O&amp;B</v>
          </cell>
          <cell r="B8050">
            <v>202501</v>
          </cell>
          <cell r="D8050" t="str">
            <v>Particulares Resto</v>
          </cell>
          <cell r="G8050" t="str">
            <v>Real</v>
          </cell>
        </row>
        <row r="8051">
          <cell r="A8051" t="str">
            <v>O&amp;B</v>
          </cell>
          <cell r="B8051">
            <v>202501</v>
          </cell>
          <cell r="D8051" t="str">
            <v>Property</v>
          </cell>
          <cell r="G8051" t="str">
            <v>Presupuesto</v>
          </cell>
        </row>
        <row r="8052">
          <cell r="A8052" t="str">
            <v>O&amp;B</v>
          </cell>
          <cell r="B8052">
            <v>202501</v>
          </cell>
          <cell r="D8052" t="str">
            <v>Property</v>
          </cell>
          <cell r="G8052" t="str">
            <v>Real</v>
          </cell>
        </row>
        <row r="8053">
          <cell r="A8053" t="str">
            <v>O&amp;B</v>
          </cell>
          <cell r="B8053">
            <v>202501</v>
          </cell>
          <cell r="D8053" t="str">
            <v>RC</v>
          </cell>
          <cell r="G8053" t="str">
            <v>Presupuesto</v>
          </cell>
        </row>
        <row r="8054">
          <cell r="A8054" t="str">
            <v>O&amp;B</v>
          </cell>
          <cell r="B8054">
            <v>202501</v>
          </cell>
          <cell r="D8054" t="str">
            <v>RC</v>
          </cell>
          <cell r="G8054" t="str">
            <v>Real</v>
          </cell>
        </row>
        <row r="8055">
          <cell r="A8055" t="str">
            <v>O&amp;B</v>
          </cell>
          <cell r="B8055">
            <v>202501</v>
          </cell>
          <cell r="D8055" t="str">
            <v>Resto de lineas</v>
          </cell>
          <cell r="G8055" t="str">
            <v>Presupuesto</v>
          </cell>
        </row>
        <row r="8056">
          <cell r="A8056" t="str">
            <v>O&amp;B</v>
          </cell>
          <cell r="B8056">
            <v>202501</v>
          </cell>
          <cell r="D8056" t="str">
            <v>Resto de lineas</v>
          </cell>
          <cell r="G8056" t="str">
            <v>Real</v>
          </cell>
        </row>
        <row r="8057">
          <cell r="A8057" t="str">
            <v>O&amp;B</v>
          </cell>
          <cell r="B8057">
            <v>202501</v>
          </cell>
          <cell r="D8057" t="str">
            <v>Retirada</v>
          </cell>
          <cell r="G8057" t="str">
            <v>Presupuesto</v>
          </cell>
        </row>
        <row r="8058">
          <cell r="A8058" t="str">
            <v>O&amp;B</v>
          </cell>
          <cell r="B8058">
            <v>202501</v>
          </cell>
          <cell r="D8058" t="str">
            <v>Seguros Personales (No Vida) Colectivos</v>
          </cell>
          <cell r="G8058" t="str">
            <v>Presupuesto</v>
          </cell>
        </row>
        <row r="8059">
          <cell r="A8059" t="str">
            <v>O&amp;B</v>
          </cell>
          <cell r="B8059">
            <v>202501</v>
          </cell>
          <cell r="D8059" t="str">
            <v>Seguros Personales (No Vida) Colectivos</v>
          </cell>
          <cell r="G8059" t="str">
            <v>Real</v>
          </cell>
        </row>
        <row r="8060">
          <cell r="A8060" t="str">
            <v>O&amp;B</v>
          </cell>
          <cell r="B8060">
            <v>202501</v>
          </cell>
          <cell r="D8060" t="str">
            <v>Seguros Personales (No Vida) Particular</v>
          </cell>
          <cell r="G8060" t="str">
            <v>Presupuesto</v>
          </cell>
        </row>
        <row r="8061">
          <cell r="A8061" t="str">
            <v>O&amp;B</v>
          </cell>
          <cell r="B8061">
            <v>202501</v>
          </cell>
          <cell r="D8061" t="str">
            <v>Seguros Personales (No Vida) Particular</v>
          </cell>
          <cell r="G8061" t="str">
            <v>Real</v>
          </cell>
        </row>
        <row r="8062">
          <cell r="A8062" t="str">
            <v>O&amp;B</v>
          </cell>
          <cell r="B8062">
            <v>202501</v>
          </cell>
          <cell r="D8062" t="str">
            <v>Transporte</v>
          </cell>
          <cell r="G8062" t="str">
            <v>Presupuesto</v>
          </cell>
        </row>
        <row r="8063">
          <cell r="A8063" t="str">
            <v>O&amp;B</v>
          </cell>
          <cell r="B8063">
            <v>202501</v>
          </cell>
          <cell r="D8063" t="str">
            <v>Venta Cruzada</v>
          </cell>
          <cell r="G8063" t="str">
            <v>Presupuesto</v>
          </cell>
        </row>
        <row r="8064">
          <cell r="A8064" t="str">
            <v>O&amp;B</v>
          </cell>
          <cell r="B8064">
            <v>202501</v>
          </cell>
          <cell r="D8064" t="str">
            <v>Venta Cruzada</v>
          </cell>
          <cell r="G8064" t="str">
            <v>Real</v>
          </cell>
        </row>
        <row r="8065">
          <cell r="A8065" t="str">
            <v>O&amp;B</v>
          </cell>
          <cell r="B8065">
            <v>202501</v>
          </cell>
          <cell r="D8065" t="str">
            <v>Vida Ahorro Colectivo</v>
          </cell>
          <cell r="G8065" t="str">
            <v>Presupuesto</v>
          </cell>
        </row>
        <row r="8066">
          <cell r="A8066" t="str">
            <v>O&amp;B</v>
          </cell>
          <cell r="B8066">
            <v>202501</v>
          </cell>
          <cell r="D8066" t="str">
            <v>Vida Ahorro Particular</v>
          </cell>
          <cell r="G8066" t="str">
            <v>Presupuesto</v>
          </cell>
        </row>
        <row r="8067">
          <cell r="A8067" t="str">
            <v>O&amp;B</v>
          </cell>
          <cell r="B8067">
            <v>202501</v>
          </cell>
          <cell r="D8067" t="str">
            <v>Vida Ahorro Particular</v>
          </cell>
          <cell r="G8067" t="str">
            <v>Real</v>
          </cell>
        </row>
        <row r="8068">
          <cell r="A8068" t="str">
            <v>O&amp;B</v>
          </cell>
          <cell r="B8068">
            <v>202501</v>
          </cell>
          <cell r="D8068" t="str">
            <v>Vida Ganado</v>
          </cell>
          <cell r="G8068" t="str">
            <v>Presupuesto</v>
          </cell>
        </row>
        <row r="8069">
          <cell r="A8069" t="str">
            <v>O&amp;B</v>
          </cell>
          <cell r="B8069">
            <v>202501</v>
          </cell>
          <cell r="D8069" t="str">
            <v>Vida Riesgo Colectivo</v>
          </cell>
          <cell r="G8069" t="str">
            <v>Presupuesto</v>
          </cell>
        </row>
        <row r="8070">
          <cell r="A8070" t="str">
            <v>O&amp;B</v>
          </cell>
          <cell r="B8070">
            <v>202501</v>
          </cell>
          <cell r="D8070" t="str">
            <v>Vida Riesgo Colectivo</v>
          </cell>
          <cell r="G8070" t="str">
            <v>Real</v>
          </cell>
        </row>
        <row r="8071">
          <cell r="A8071" t="str">
            <v>O&amp;B</v>
          </cell>
          <cell r="B8071">
            <v>202501</v>
          </cell>
          <cell r="D8071" t="str">
            <v>Vida Riesgo Particular</v>
          </cell>
          <cell r="G8071" t="str">
            <v>Presupuesto</v>
          </cell>
        </row>
        <row r="8072">
          <cell r="A8072" t="str">
            <v>O&amp;B</v>
          </cell>
          <cell r="B8072">
            <v>202501</v>
          </cell>
          <cell r="D8072" t="str">
            <v>Vida Riesgo Particular</v>
          </cell>
          <cell r="G8072" t="str">
            <v>Real</v>
          </cell>
        </row>
        <row r="8073">
          <cell r="A8073" t="str">
            <v>O&amp;B</v>
          </cell>
          <cell r="B8073">
            <v>202502</v>
          </cell>
          <cell r="D8073" t="str">
            <v>--</v>
          </cell>
          <cell r="G8073" t="str">
            <v>Presupuesto</v>
          </cell>
        </row>
        <row r="8074">
          <cell r="A8074" t="str">
            <v>O&amp;B</v>
          </cell>
          <cell r="B8074">
            <v>202502</v>
          </cell>
          <cell r="D8074" t="str">
            <v>--</v>
          </cell>
          <cell r="G8074" t="str">
            <v>Real</v>
          </cell>
        </row>
        <row r="8075">
          <cell r="A8075" t="str">
            <v>O&amp;B</v>
          </cell>
          <cell r="B8075">
            <v>202502</v>
          </cell>
          <cell r="D8075" t="str">
            <v>Arte</v>
          </cell>
          <cell r="G8075" t="str">
            <v>Presupuesto</v>
          </cell>
        </row>
        <row r="8076">
          <cell r="A8076" t="str">
            <v>O&amp;B</v>
          </cell>
          <cell r="B8076">
            <v>202502</v>
          </cell>
          <cell r="D8076" t="str">
            <v>Autos</v>
          </cell>
          <cell r="G8076" t="str">
            <v>Presupuesto</v>
          </cell>
        </row>
        <row r="8077">
          <cell r="A8077" t="str">
            <v>O&amp;B</v>
          </cell>
          <cell r="B8077">
            <v>202502</v>
          </cell>
          <cell r="D8077" t="str">
            <v>Autos</v>
          </cell>
          <cell r="G8077" t="str">
            <v>Real</v>
          </cell>
        </row>
        <row r="8078">
          <cell r="A8078" t="str">
            <v>O&amp;B</v>
          </cell>
          <cell r="B8078">
            <v>202502</v>
          </cell>
          <cell r="D8078" t="str">
            <v>B2B2C</v>
          </cell>
          <cell r="G8078" t="str">
            <v>Presupuesto</v>
          </cell>
        </row>
        <row r="8079">
          <cell r="A8079" t="str">
            <v>O&amp;B</v>
          </cell>
          <cell r="B8079">
            <v>202502</v>
          </cell>
          <cell r="D8079" t="str">
            <v>Caución</v>
          </cell>
          <cell r="G8079" t="str">
            <v>Presupuesto</v>
          </cell>
        </row>
        <row r="8080">
          <cell r="A8080" t="str">
            <v>O&amp;B</v>
          </cell>
          <cell r="B8080">
            <v>202502</v>
          </cell>
          <cell r="D8080" t="str">
            <v>Caución</v>
          </cell>
          <cell r="G8080" t="str">
            <v>Real</v>
          </cell>
        </row>
        <row r="8081">
          <cell r="A8081" t="str">
            <v>O&amp;B</v>
          </cell>
          <cell r="B8081">
            <v>202502</v>
          </cell>
          <cell r="D8081" t="str">
            <v>Crédito Nacional</v>
          </cell>
          <cell r="G8081" t="str">
            <v>Real</v>
          </cell>
        </row>
        <row r="8082">
          <cell r="A8082" t="str">
            <v>O&amp;B</v>
          </cell>
          <cell r="B8082">
            <v>202502</v>
          </cell>
          <cell r="D8082" t="str">
            <v>Crédito Internacional</v>
          </cell>
          <cell r="G8082" t="str">
            <v>Presupuesto</v>
          </cell>
        </row>
        <row r="8083">
          <cell r="A8083" t="str">
            <v>O&amp;B</v>
          </cell>
          <cell r="B8083">
            <v>202502</v>
          </cell>
          <cell r="D8083" t="str">
            <v>Crédito Nacional</v>
          </cell>
          <cell r="G8083" t="str">
            <v>Presupuesto</v>
          </cell>
        </row>
        <row r="8084">
          <cell r="A8084" t="str">
            <v>O&amp;B</v>
          </cell>
          <cell r="B8084">
            <v>202502</v>
          </cell>
          <cell r="D8084" t="str">
            <v>Eventos</v>
          </cell>
          <cell r="G8084" t="str">
            <v>Presupuesto</v>
          </cell>
        </row>
        <row r="8085">
          <cell r="A8085" t="str">
            <v>O&amp;B</v>
          </cell>
          <cell r="B8085">
            <v>202502</v>
          </cell>
          <cell r="D8085" t="str">
            <v>Flotas</v>
          </cell>
          <cell r="G8085" t="str">
            <v>Presupuesto</v>
          </cell>
        </row>
        <row r="8086">
          <cell r="A8086" t="str">
            <v>O&amp;B</v>
          </cell>
          <cell r="B8086">
            <v>202502</v>
          </cell>
          <cell r="D8086" t="str">
            <v>Flotas</v>
          </cell>
          <cell r="G8086" t="str">
            <v>Real</v>
          </cell>
        </row>
        <row r="8087">
          <cell r="A8087" t="str">
            <v>O&amp;B</v>
          </cell>
          <cell r="B8087">
            <v>202502</v>
          </cell>
          <cell r="D8087" t="str">
            <v>Hogar</v>
          </cell>
          <cell r="G8087" t="str">
            <v>Presupuesto</v>
          </cell>
        </row>
        <row r="8088">
          <cell r="A8088" t="str">
            <v>O&amp;B</v>
          </cell>
          <cell r="B8088">
            <v>202502</v>
          </cell>
          <cell r="D8088" t="str">
            <v>Hogar</v>
          </cell>
          <cell r="G8088" t="str">
            <v>Real</v>
          </cell>
        </row>
        <row r="8089">
          <cell r="A8089" t="str">
            <v>O&amp;B</v>
          </cell>
          <cell r="B8089">
            <v>202502</v>
          </cell>
          <cell r="D8089" t="str">
            <v>Ingeniería</v>
          </cell>
          <cell r="G8089" t="str">
            <v>Presupuesto</v>
          </cell>
        </row>
        <row r="8090">
          <cell r="A8090" t="str">
            <v>O&amp;B</v>
          </cell>
          <cell r="B8090">
            <v>202502</v>
          </cell>
          <cell r="D8090" t="str">
            <v>Ingeniería</v>
          </cell>
          <cell r="G8090" t="str">
            <v>Real</v>
          </cell>
        </row>
        <row r="8091">
          <cell r="A8091" t="str">
            <v>O&amp;B</v>
          </cell>
          <cell r="B8091">
            <v>202502</v>
          </cell>
          <cell r="D8091" t="str">
            <v>Inmobiliario</v>
          </cell>
          <cell r="G8091" t="str">
            <v>Presupuesto</v>
          </cell>
        </row>
        <row r="8092">
          <cell r="A8092" t="str">
            <v>O&amp;B</v>
          </cell>
          <cell r="B8092">
            <v>202502</v>
          </cell>
          <cell r="D8092" t="str">
            <v>Líneas Financieras</v>
          </cell>
          <cell r="G8092" t="str">
            <v>Presupuesto</v>
          </cell>
        </row>
        <row r="8093">
          <cell r="A8093" t="str">
            <v>O&amp;B</v>
          </cell>
          <cell r="B8093">
            <v>202502</v>
          </cell>
          <cell r="D8093" t="str">
            <v>Líneas Financieras</v>
          </cell>
          <cell r="G8093" t="str">
            <v>Real</v>
          </cell>
        </row>
        <row r="8094">
          <cell r="A8094" t="str">
            <v>O&amp;B</v>
          </cell>
          <cell r="B8094">
            <v>202502</v>
          </cell>
          <cell r="D8094" t="str">
            <v>Náutica</v>
          </cell>
          <cell r="G8094" t="str">
            <v>Presupuesto</v>
          </cell>
        </row>
        <row r="8095">
          <cell r="A8095" t="str">
            <v>O&amp;B</v>
          </cell>
          <cell r="B8095">
            <v>202502</v>
          </cell>
          <cell r="D8095" t="str">
            <v>Particulares Resto</v>
          </cell>
          <cell r="G8095" t="str">
            <v>Presupuesto</v>
          </cell>
        </row>
        <row r="8096">
          <cell r="A8096" t="str">
            <v>O&amp;B</v>
          </cell>
          <cell r="B8096">
            <v>202502</v>
          </cell>
          <cell r="D8096" t="str">
            <v>Particulares Resto</v>
          </cell>
          <cell r="G8096" t="str">
            <v>Real</v>
          </cell>
        </row>
        <row r="8097">
          <cell r="A8097" t="str">
            <v>O&amp;B</v>
          </cell>
          <cell r="B8097">
            <v>202502</v>
          </cell>
          <cell r="D8097" t="str">
            <v>Property</v>
          </cell>
          <cell r="G8097" t="str">
            <v>Presupuesto</v>
          </cell>
        </row>
        <row r="8098">
          <cell r="A8098" t="str">
            <v>O&amp;B</v>
          </cell>
          <cell r="B8098">
            <v>202502</v>
          </cell>
          <cell r="D8098" t="str">
            <v>Property</v>
          </cell>
          <cell r="G8098" t="str">
            <v>Real</v>
          </cell>
        </row>
        <row r="8099">
          <cell r="A8099" t="str">
            <v>O&amp;B</v>
          </cell>
          <cell r="B8099">
            <v>202502</v>
          </cell>
          <cell r="D8099" t="str">
            <v>RC</v>
          </cell>
          <cell r="G8099" t="str">
            <v>Presupuesto</v>
          </cell>
        </row>
        <row r="8100">
          <cell r="A8100" t="str">
            <v>O&amp;B</v>
          </cell>
          <cell r="B8100">
            <v>202502</v>
          </cell>
          <cell r="D8100" t="str">
            <v>RC</v>
          </cell>
          <cell r="G8100" t="str">
            <v>Real</v>
          </cell>
        </row>
        <row r="8101">
          <cell r="A8101" t="str">
            <v>O&amp;B</v>
          </cell>
          <cell r="B8101">
            <v>202502</v>
          </cell>
          <cell r="D8101" t="str">
            <v>Resto de lineas</v>
          </cell>
          <cell r="G8101" t="str">
            <v>Presupuesto</v>
          </cell>
        </row>
        <row r="8102">
          <cell r="A8102" t="str">
            <v>O&amp;B</v>
          </cell>
          <cell r="B8102">
            <v>202502</v>
          </cell>
          <cell r="D8102" t="str">
            <v>Resto de lineas</v>
          </cell>
          <cell r="G8102" t="str">
            <v>Real</v>
          </cell>
        </row>
        <row r="8103">
          <cell r="A8103" t="str">
            <v>O&amp;B</v>
          </cell>
          <cell r="B8103">
            <v>202502</v>
          </cell>
          <cell r="D8103" t="str">
            <v>Retirada</v>
          </cell>
          <cell r="G8103" t="str">
            <v>Presupuesto</v>
          </cell>
        </row>
        <row r="8104">
          <cell r="A8104" t="str">
            <v>O&amp;B</v>
          </cell>
          <cell r="B8104">
            <v>202502</v>
          </cell>
          <cell r="D8104" t="str">
            <v>Seguros Personales (No Vida) Colectivos</v>
          </cell>
          <cell r="G8104" t="str">
            <v>Presupuesto</v>
          </cell>
        </row>
        <row r="8105">
          <cell r="A8105" t="str">
            <v>O&amp;B</v>
          </cell>
          <cell r="B8105">
            <v>202502</v>
          </cell>
          <cell r="D8105" t="str">
            <v>Seguros Personales (No Vida) Colectivos</v>
          </cell>
          <cell r="G8105" t="str">
            <v>Real</v>
          </cell>
        </row>
        <row r="8106">
          <cell r="A8106" t="str">
            <v>O&amp;B</v>
          </cell>
          <cell r="B8106">
            <v>202502</v>
          </cell>
          <cell r="D8106" t="str">
            <v>Seguros Personales (No Vida) Particular</v>
          </cell>
          <cell r="G8106" t="str">
            <v>Presupuesto</v>
          </cell>
        </row>
        <row r="8107">
          <cell r="A8107" t="str">
            <v>O&amp;B</v>
          </cell>
          <cell r="B8107">
            <v>202502</v>
          </cell>
          <cell r="D8107" t="str">
            <v>Seguros Personales (No Vida) Particular</v>
          </cell>
          <cell r="G8107" t="str">
            <v>Real</v>
          </cell>
        </row>
        <row r="8108">
          <cell r="A8108" t="str">
            <v>O&amp;B</v>
          </cell>
          <cell r="B8108">
            <v>202502</v>
          </cell>
          <cell r="D8108" t="str">
            <v>Transporte</v>
          </cell>
          <cell r="G8108" t="str">
            <v>Presupuesto</v>
          </cell>
        </row>
        <row r="8109">
          <cell r="A8109" t="str">
            <v>O&amp;B</v>
          </cell>
          <cell r="B8109">
            <v>202502</v>
          </cell>
          <cell r="D8109" t="str">
            <v>Venta Cruzada</v>
          </cell>
          <cell r="G8109" t="str">
            <v>Presupuesto</v>
          </cell>
        </row>
        <row r="8110">
          <cell r="A8110" t="str">
            <v>O&amp;B</v>
          </cell>
          <cell r="B8110">
            <v>202502</v>
          </cell>
          <cell r="D8110" t="str">
            <v>Venta Cruzada</v>
          </cell>
          <cell r="G8110" t="str">
            <v>Real</v>
          </cell>
        </row>
        <row r="8111">
          <cell r="A8111" t="str">
            <v>O&amp;B</v>
          </cell>
          <cell r="B8111">
            <v>202502</v>
          </cell>
          <cell r="D8111" t="str">
            <v>Vida Ahorro Colectivo</v>
          </cell>
          <cell r="G8111" t="str">
            <v>Presupuesto</v>
          </cell>
        </row>
        <row r="8112">
          <cell r="A8112" t="str">
            <v>O&amp;B</v>
          </cell>
          <cell r="B8112">
            <v>202502</v>
          </cell>
          <cell r="D8112" t="str">
            <v>Vida Ahorro Particular</v>
          </cell>
          <cell r="G8112" t="str">
            <v>Presupuesto</v>
          </cell>
        </row>
        <row r="8113">
          <cell r="A8113" t="str">
            <v>O&amp;B</v>
          </cell>
          <cell r="B8113">
            <v>202502</v>
          </cell>
          <cell r="D8113" t="str">
            <v>Vida Ahorro Particular</v>
          </cell>
          <cell r="G8113" t="str">
            <v>Real</v>
          </cell>
        </row>
        <row r="8114">
          <cell r="A8114" t="str">
            <v>O&amp;B</v>
          </cell>
          <cell r="B8114">
            <v>202502</v>
          </cell>
          <cell r="D8114" t="str">
            <v>Vida Ganado</v>
          </cell>
          <cell r="G8114" t="str">
            <v>Presupuesto</v>
          </cell>
        </row>
        <row r="8115">
          <cell r="A8115" t="str">
            <v>O&amp;B</v>
          </cell>
          <cell r="B8115">
            <v>202502</v>
          </cell>
          <cell r="D8115" t="str">
            <v>Vida Riesgo Colectivo</v>
          </cell>
          <cell r="G8115" t="str">
            <v>Presupuesto</v>
          </cell>
        </row>
        <row r="8116">
          <cell r="A8116" t="str">
            <v>O&amp;B</v>
          </cell>
          <cell r="B8116">
            <v>202502</v>
          </cell>
          <cell r="D8116" t="str">
            <v>Vida Riesgo Colectivo</v>
          </cell>
          <cell r="G8116" t="str">
            <v>Real</v>
          </cell>
        </row>
        <row r="8117">
          <cell r="A8117" t="str">
            <v>O&amp;B</v>
          </cell>
          <cell r="B8117">
            <v>202502</v>
          </cell>
          <cell r="D8117" t="str">
            <v>Vida Riesgo Particular</v>
          </cell>
          <cell r="G8117" t="str">
            <v>Presupuesto</v>
          </cell>
        </row>
        <row r="8118">
          <cell r="A8118" t="str">
            <v>O&amp;B</v>
          </cell>
          <cell r="B8118">
            <v>202502</v>
          </cell>
          <cell r="D8118" t="str">
            <v>Vida Riesgo Particular</v>
          </cell>
          <cell r="G8118" t="str">
            <v>Real</v>
          </cell>
        </row>
        <row r="8119">
          <cell r="A8119" t="str">
            <v>O&amp;B</v>
          </cell>
          <cell r="B8119">
            <v>202503</v>
          </cell>
          <cell r="D8119" t="str">
            <v>--</v>
          </cell>
          <cell r="G8119" t="str">
            <v>Presupuesto</v>
          </cell>
        </row>
        <row r="8120">
          <cell r="A8120" t="str">
            <v>O&amp;B</v>
          </cell>
          <cell r="B8120">
            <v>202503</v>
          </cell>
          <cell r="D8120" t="str">
            <v>--</v>
          </cell>
          <cell r="G8120" t="str">
            <v>Real</v>
          </cell>
        </row>
        <row r="8121">
          <cell r="A8121" t="str">
            <v>O&amp;B</v>
          </cell>
          <cell r="B8121">
            <v>202503</v>
          </cell>
          <cell r="D8121" t="str">
            <v>Arte</v>
          </cell>
          <cell r="G8121" t="str">
            <v>Presupuesto</v>
          </cell>
        </row>
        <row r="8122">
          <cell r="A8122" t="str">
            <v>O&amp;B</v>
          </cell>
          <cell r="B8122">
            <v>202503</v>
          </cell>
          <cell r="D8122" t="str">
            <v>Autos</v>
          </cell>
          <cell r="G8122" t="str">
            <v>Presupuesto</v>
          </cell>
        </row>
        <row r="8123">
          <cell r="A8123" t="str">
            <v>O&amp;B</v>
          </cell>
          <cell r="B8123">
            <v>202503</v>
          </cell>
          <cell r="D8123" t="str">
            <v>Autos</v>
          </cell>
          <cell r="G8123" t="str">
            <v>Real</v>
          </cell>
        </row>
        <row r="8124">
          <cell r="A8124" t="str">
            <v>O&amp;B</v>
          </cell>
          <cell r="B8124">
            <v>202503</v>
          </cell>
          <cell r="D8124" t="str">
            <v>B2B2C</v>
          </cell>
          <cell r="G8124" t="str">
            <v>Presupuesto</v>
          </cell>
        </row>
        <row r="8125">
          <cell r="A8125" t="str">
            <v>O&amp;B</v>
          </cell>
          <cell r="B8125">
            <v>202503</v>
          </cell>
          <cell r="D8125" t="str">
            <v>Caución</v>
          </cell>
          <cell r="G8125" t="str">
            <v>Presupuesto</v>
          </cell>
        </row>
        <row r="8126">
          <cell r="A8126" t="str">
            <v>O&amp;B</v>
          </cell>
          <cell r="B8126">
            <v>202503</v>
          </cell>
          <cell r="D8126" t="str">
            <v>Caución</v>
          </cell>
          <cell r="G8126" t="str">
            <v>Real</v>
          </cell>
        </row>
        <row r="8127">
          <cell r="A8127" t="str">
            <v>O&amp;B</v>
          </cell>
          <cell r="B8127">
            <v>202503</v>
          </cell>
          <cell r="D8127" t="str">
            <v>Crédito Nacional</v>
          </cell>
          <cell r="G8127" t="str">
            <v>Real</v>
          </cell>
        </row>
        <row r="8128">
          <cell r="A8128" t="str">
            <v>O&amp;B</v>
          </cell>
          <cell r="B8128">
            <v>202503</v>
          </cell>
          <cell r="D8128" t="str">
            <v>Crédito Internacional</v>
          </cell>
          <cell r="G8128" t="str">
            <v>Presupuesto</v>
          </cell>
        </row>
        <row r="8129">
          <cell r="A8129" t="str">
            <v>O&amp;B</v>
          </cell>
          <cell r="B8129">
            <v>202503</v>
          </cell>
          <cell r="D8129" t="str">
            <v>Crédito Nacional</v>
          </cell>
          <cell r="G8129" t="str">
            <v>Presupuesto</v>
          </cell>
        </row>
        <row r="8130">
          <cell r="A8130" t="str">
            <v>O&amp;B</v>
          </cell>
          <cell r="B8130">
            <v>202503</v>
          </cell>
          <cell r="D8130" t="str">
            <v>Eventos</v>
          </cell>
          <cell r="G8130" t="str">
            <v>Presupuesto</v>
          </cell>
        </row>
        <row r="8131">
          <cell r="A8131" t="str">
            <v>O&amp;B</v>
          </cell>
          <cell r="B8131">
            <v>202503</v>
          </cell>
          <cell r="D8131" t="str">
            <v>Flotas</v>
          </cell>
          <cell r="G8131" t="str">
            <v>Presupuesto</v>
          </cell>
        </row>
        <row r="8132">
          <cell r="A8132" t="str">
            <v>O&amp;B</v>
          </cell>
          <cell r="B8132">
            <v>202503</v>
          </cell>
          <cell r="D8132" t="str">
            <v>Flotas</v>
          </cell>
          <cell r="G8132" t="str">
            <v>Real</v>
          </cell>
        </row>
        <row r="8133">
          <cell r="A8133" t="str">
            <v>O&amp;B</v>
          </cell>
          <cell r="B8133">
            <v>202503</v>
          </cell>
          <cell r="D8133" t="str">
            <v>Hogar</v>
          </cell>
          <cell r="G8133" t="str">
            <v>Presupuesto</v>
          </cell>
        </row>
        <row r="8134">
          <cell r="A8134" t="str">
            <v>O&amp;B</v>
          </cell>
          <cell r="B8134">
            <v>202503</v>
          </cell>
          <cell r="D8134" t="str">
            <v>Hogar</v>
          </cell>
          <cell r="G8134" t="str">
            <v>Real</v>
          </cell>
        </row>
        <row r="8135">
          <cell r="A8135" t="str">
            <v>O&amp;B</v>
          </cell>
          <cell r="B8135">
            <v>202503</v>
          </cell>
          <cell r="D8135" t="str">
            <v>Ingeniería</v>
          </cell>
          <cell r="G8135" t="str">
            <v>Presupuesto</v>
          </cell>
        </row>
        <row r="8136">
          <cell r="A8136" t="str">
            <v>O&amp;B</v>
          </cell>
          <cell r="B8136">
            <v>202503</v>
          </cell>
          <cell r="D8136" t="str">
            <v>Ingeniería</v>
          </cell>
          <cell r="G8136" t="str">
            <v>Real</v>
          </cell>
        </row>
        <row r="8137">
          <cell r="A8137" t="str">
            <v>O&amp;B</v>
          </cell>
          <cell r="B8137">
            <v>202503</v>
          </cell>
          <cell r="D8137" t="str">
            <v>Inmobiliario</v>
          </cell>
          <cell r="G8137" t="str">
            <v>Presupuesto</v>
          </cell>
        </row>
        <row r="8138">
          <cell r="A8138" t="str">
            <v>O&amp;B</v>
          </cell>
          <cell r="B8138">
            <v>202503</v>
          </cell>
          <cell r="D8138" t="str">
            <v>Líneas Financieras</v>
          </cell>
          <cell r="G8138" t="str">
            <v>Presupuesto</v>
          </cell>
        </row>
        <row r="8139">
          <cell r="A8139" t="str">
            <v>O&amp;B</v>
          </cell>
          <cell r="B8139">
            <v>202503</v>
          </cell>
          <cell r="D8139" t="str">
            <v>Líneas Financieras</v>
          </cell>
          <cell r="G8139" t="str">
            <v>Real</v>
          </cell>
        </row>
        <row r="8140">
          <cell r="A8140" t="str">
            <v>O&amp;B</v>
          </cell>
          <cell r="B8140">
            <v>202503</v>
          </cell>
          <cell r="D8140" t="str">
            <v>Náutica</v>
          </cell>
          <cell r="G8140" t="str">
            <v>Presupuesto</v>
          </cell>
        </row>
        <row r="8141">
          <cell r="A8141" t="str">
            <v>O&amp;B</v>
          </cell>
          <cell r="B8141">
            <v>202503</v>
          </cell>
          <cell r="D8141" t="str">
            <v>Náutica</v>
          </cell>
          <cell r="G8141" t="str">
            <v>Real</v>
          </cell>
        </row>
        <row r="8142">
          <cell r="A8142" t="str">
            <v>O&amp;B</v>
          </cell>
          <cell r="B8142">
            <v>202503</v>
          </cell>
          <cell r="D8142" t="str">
            <v>Particulares Resto</v>
          </cell>
          <cell r="G8142" t="str">
            <v>Presupuesto</v>
          </cell>
        </row>
        <row r="8143">
          <cell r="A8143" t="str">
            <v>O&amp;B</v>
          </cell>
          <cell r="B8143">
            <v>202503</v>
          </cell>
          <cell r="D8143" t="str">
            <v>Particulares Resto</v>
          </cell>
          <cell r="G8143" t="str">
            <v>Real</v>
          </cell>
        </row>
        <row r="8144">
          <cell r="A8144" t="str">
            <v>O&amp;B</v>
          </cell>
          <cell r="B8144">
            <v>202503</v>
          </cell>
          <cell r="D8144" t="str">
            <v>Property</v>
          </cell>
          <cell r="G8144" t="str">
            <v>Presupuesto</v>
          </cell>
        </row>
        <row r="8145">
          <cell r="A8145" t="str">
            <v>O&amp;B</v>
          </cell>
          <cell r="B8145">
            <v>202503</v>
          </cell>
          <cell r="D8145" t="str">
            <v>Property</v>
          </cell>
          <cell r="G8145" t="str">
            <v>Real</v>
          </cell>
        </row>
        <row r="8146">
          <cell r="A8146" t="str">
            <v>O&amp;B</v>
          </cell>
          <cell r="B8146">
            <v>202503</v>
          </cell>
          <cell r="D8146" t="str">
            <v>RC</v>
          </cell>
          <cell r="G8146" t="str">
            <v>Presupuesto</v>
          </cell>
        </row>
        <row r="8147">
          <cell r="A8147" t="str">
            <v>O&amp;B</v>
          </cell>
          <cell r="B8147">
            <v>202503</v>
          </cell>
          <cell r="D8147" t="str">
            <v>RC</v>
          </cell>
          <cell r="G8147" t="str">
            <v>Real</v>
          </cell>
        </row>
        <row r="8148">
          <cell r="A8148" t="str">
            <v>O&amp;B</v>
          </cell>
          <cell r="B8148">
            <v>202503</v>
          </cell>
          <cell r="D8148" t="str">
            <v>Resto de lineas</v>
          </cell>
          <cell r="G8148" t="str">
            <v>Presupuesto</v>
          </cell>
        </row>
        <row r="8149">
          <cell r="A8149" t="str">
            <v>O&amp;B</v>
          </cell>
          <cell r="B8149">
            <v>202503</v>
          </cell>
          <cell r="D8149" t="str">
            <v>Resto de lineas</v>
          </cell>
          <cell r="G8149" t="str">
            <v>Real</v>
          </cell>
        </row>
        <row r="8150">
          <cell r="A8150" t="str">
            <v>O&amp;B</v>
          </cell>
          <cell r="B8150">
            <v>202503</v>
          </cell>
          <cell r="D8150" t="str">
            <v>Retirada</v>
          </cell>
          <cell r="G8150" t="str">
            <v>Presupuesto</v>
          </cell>
        </row>
        <row r="8151">
          <cell r="A8151" t="str">
            <v>O&amp;B</v>
          </cell>
          <cell r="B8151">
            <v>202503</v>
          </cell>
          <cell r="D8151" t="str">
            <v>Seguros Personales (No Vida) Colectivos</v>
          </cell>
          <cell r="G8151" t="str">
            <v>Presupuesto</v>
          </cell>
        </row>
        <row r="8152">
          <cell r="A8152" t="str">
            <v>O&amp;B</v>
          </cell>
          <cell r="B8152">
            <v>202503</v>
          </cell>
          <cell r="D8152" t="str">
            <v>Seguros Personales (No Vida) Colectivos</v>
          </cell>
          <cell r="G8152" t="str">
            <v>Real</v>
          </cell>
        </row>
        <row r="8153">
          <cell r="A8153" t="str">
            <v>O&amp;B</v>
          </cell>
          <cell r="B8153">
            <v>202503</v>
          </cell>
          <cell r="D8153" t="str">
            <v>Seguros Personales (No Vida) Particular</v>
          </cell>
          <cell r="G8153" t="str">
            <v>Presupuesto</v>
          </cell>
        </row>
        <row r="8154">
          <cell r="A8154" t="str">
            <v>O&amp;B</v>
          </cell>
          <cell r="B8154">
            <v>202503</v>
          </cell>
          <cell r="D8154" t="str">
            <v>Seguros Personales (No Vida) Particular</v>
          </cell>
          <cell r="G8154" t="str">
            <v>Real</v>
          </cell>
        </row>
        <row r="8155">
          <cell r="A8155" t="str">
            <v>O&amp;B</v>
          </cell>
          <cell r="B8155">
            <v>202503</v>
          </cell>
          <cell r="D8155" t="str">
            <v>Transporte</v>
          </cell>
          <cell r="G8155" t="str">
            <v>Presupuesto</v>
          </cell>
        </row>
        <row r="8156">
          <cell r="A8156" t="str">
            <v>O&amp;B</v>
          </cell>
          <cell r="B8156">
            <v>202503</v>
          </cell>
          <cell r="D8156" t="str">
            <v>Transporte</v>
          </cell>
          <cell r="G8156" t="str">
            <v>Real</v>
          </cell>
        </row>
        <row r="8157">
          <cell r="A8157" t="str">
            <v>O&amp;B</v>
          </cell>
          <cell r="B8157">
            <v>202503</v>
          </cell>
          <cell r="D8157" t="str">
            <v>Venta Cruzada</v>
          </cell>
          <cell r="G8157" t="str">
            <v>Presupuesto</v>
          </cell>
        </row>
        <row r="8158">
          <cell r="A8158" t="str">
            <v>O&amp;B</v>
          </cell>
          <cell r="B8158">
            <v>202503</v>
          </cell>
          <cell r="D8158" t="str">
            <v>Venta Cruzada</v>
          </cell>
          <cell r="G8158" t="str">
            <v>Real</v>
          </cell>
        </row>
        <row r="8159">
          <cell r="A8159" t="str">
            <v>O&amp;B</v>
          </cell>
          <cell r="B8159">
            <v>202503</v>
          </cell>
          <cell r="D8159" t="str">
            <v>Vida Ahorro Colectivo</v>
          </cell>
          <cell r="G8159" t="str">
            <v>Presupuesto</v>
          </cell>
        </row>
        <row r="8160">
          <cell r="A8160" t="str">
            <v>O&amp;B</v>
          </cell>
          <cell r="B8160">
            <v>202503</v>
          </cell>
          <cell r="D8160" t="str">
            <v>Vida Ahorro Particular</v>
          </cell>
          <cell r="G8160" t="str">
            <v>Presupuesto</v>
          </cell>
        </row>
        <row r="8161">
          <cell r="A8161" t="str">
            <v>O&amp;B</v>
          </cell>
          <cell r="B8161">
            <v>202503</v>
          </cell>
          <cell r="D8161" t="str">
            <v>Vida Ahorro Particular</v>
          </cell>
          <cell r="G8161" t="str">
            <v>Real</v>
          </cell>
        </row>
        <row r="8162">
          <cell r="A8162" t="str">
            <v>O&amp;B</v>
          </cell>
          <cell r="B8162">
            <v>202503</v>
          </cell>
          <cell r="D8162" t="str">
            <v>Vida Ganado</v>
          </cell>
          <cell r="G8162" t="str">
            <v>Presupuesto</v>
          </cell>
        </row>
        <row r="8163">
          <cell r="A8163" t="str">
            <v>O&amp;B</v>
          </cell>
          <cell r="B8163">
            <v>202503</v>
          </cell>
          <cell r="D8163" t="str">
            <v>Vida Riesgo Colectivo</v>
          </cell>
          <cell r="G8163" t="str">
            <v>Presupuesto</v>
          </cell>
        </row>
        <row r="8164">
          <cell r="A8164" t="str">
            <v>O&amp;B</v>
          </cell>
          <cell r="B8164">
            <v>202503</v>
          </cell>
          <cell r="D8164" t="str">
            <v>Vida Riesgo Colectivo</v>
          </cell>
          <cell r="G8164" t="str">
            <v>Real</v>
          </cell>
        </row>
        <row r="8165">
          <cell r="A8165" t="str">
            <v>O&amp;B</v>
          </cell>
          <cell r="B8165">
            <v>202503</v>
          </cell>
          <cell r="D8165" t="str">
            <v>Vida Riesgo Particular</v>
          </cell>
          <cell r="G8165" t="str">
            <v>Presupuesto</v>
          </cell>
        </row>
        <row r="8166">
          <cell r="A8166" t="str">
            <v>O&amp;B</v>
          </cell>
          <cell r="B8166">
            <v>202503</v>
          </cell>
          <cell r="D8166" t="str">
            <v>Vida Riesgo Particular</v>
          </cell>
          <cell r="G8166" t="str">
            <v>Real</v>
          </cell>
        </row>
        <row r="8167">
          <cell r="A8167" t="str">
            <v>O&amp;B</v>
          </cell>
          <cell r="B8167">
            <v>202504</v>
          </cell>
          <cell r="D8167" t="str">
            <v>--</v>
          </cell>
          <cell r="G8167" t="str">
            <v>Presupuesto</v>
          </cell>
        </row>
        <row r="8168">
          <cell r="A8168" t="str">
            <v>O&amp;B</v>
          </cell>
          <cell r="B8168">
            <v>202504</v>
          </cell>
          <cell r="D8168" t="str">
            <v>--</v>
          </cell>
          <cell r="G8168" t="str">
            <v>Real</v>
          </cell>
        </row>
        <row r="8169">
          <cell r="A8169" t="str">
            <v>O&amp;B</v>
          </cell>
          <cell r="B8169">
            <v>202504</v>
          </cell>
          <cell r="D8169" t="str">
            <v>Arte</v>
          </cell>
          <cell r="G8169" t="str">
            <v>Presupuesto</v>
          </cell>
        </row>
        <row r="8170">
          <cell r="A8170" t="str">
            <v>O&amp;B</v>
          </cell>
          <cell r="B8170">
            <v>202504</v>
          </cell>
          <cell r="D8170" t="str">
            <v>Autos</v>
          </cell>
          <cell r="G8170" t="str">
            <v>Presupuesto</v>
          </cell>
        </row>
        <row r="8171">
          <cell r="A8171" t="str">
            <v>O&amp;B</v>
          </cell>
          <cell r="B8171">
            <v>202504</v>
          </cell>
          <cell r="D8171" t="str">
            <v>Autos</v>
          </cell>
          <cell r="G8171" t="str">
            <v>Real</v>
          </cell>
        </row>
        <row r="8172">
          <cell r="A8172" t="str">
            <v>O&amp;B</v>
          </cell>
          <cell r="B8172">
            <v>202504</v>
          </cell>
          <cell r="D8172" t="str">
            <v>B2B2C</v>
          </cell>
          <cell r="G8172" t="str">
            <v>Presupuesto</v>
          </cell>
        </row>
        <row r="8173">
          <cell r="A8173" t="str">
            <v>O&amp;B</v>
          </cell>
          <cell r="B8173">
            <v>202504</v>
          </cell>
          <cell r="D8173" t="str">
            <v>Caución</v>
          </cell>
          <cell r="G8173" t="str">
            <v>Presupuesto</v>
          </cell>
        </row>
        <row r="8174">
          <cell r="A8174" t="str">
            <v>O&amp;B</v>
          </cell>
          <cell r="B8174">
            <v>202504</v>
          </cell>
          <cell r="D8174" t="str">
            <v>Caución</v>
          </cell>
          <cell r="G8174" t="str">
            <v>Real</v>
          </cell>
        </row>
        <row r="8175">
          <cell r="A8175" t="str">
            <v>O&amp;B</v>
          </cell>
          <cell r="B8175">
            <v>202504</v>
          </cell>
          <cell r="D8175" t="str">
            <v>Crédito Nacional</v>
          </cell>
          <cell r="G8175" t="str">
            <v>Real</v>
          </cell>
        </row>
        <row r="8176">
          <cell r="A8176" t="str">
            <v>O&amp;B</v>
          </cell>
          <cell r="B8176">
            <v>202504</v>
          </cell>
          <cell r="D8176" t="str">
            <v>Crédito Internacional</v>
          </cell>
          <cell r="G8176" t="str">
            <v>Presupuesto</v>
          </cell>
        </row>
        <row r="8177">
          <cell r="A8177" t="str">
            <v>O&amp;B</v>
          </cell>
          <cell r="B8177">
            <v>202504</v>
          </cell>
          <cell r="D8177" t="str">
            <v>Crédito Nacional</v>
          </cell>
          <cell r="G8177" t="str">
            <v>Presupuesto</v>
          </cell>
        </row>
        <row r="8178">
          <cell r="A8178" t="str">
            <v>O&amp;B</v>
          </cell>
          <cell r="B8178">
            <v>202504</v>
          </cell>
          <cell r="D8178" t="str">
            <v>Eventos</v>
          </cell>
          <cell r="G8178" t="str">
            <v>Presupuesto</v>
          </cell>
        </row>
        <row r="8179">
          <cell r="A8179" t="str">
            <v>O&amp;B</v>
          </cell>
          <cell r="B8179">
            <v>202504</v>
          </cell>
          <cell r="D8179" t="str">
            <v>Flotas</v>
          </cell>
          <cell r="G8179" t="str">
            <v>Presupuesto</v>
          </cell>
        </row>
        <row r="8180">
          <cell r="A8180" t="str">
            <v>O&amp;B</v>
          </cell>
          <cell r="B8180">
            <v>202504</v>
          </cell>
          <cell r="D8180" t="str">
            <v>Flotas</v>
          </cell>
          <cell r="G8180" t="str">
            <v>Real</v>
          </cell>
        </row>
        <row r="8181">
          <cell r="A8181" t="str">
            <v>O&amp;B</v>
          </cell>
          <cell r="B8181">
            <v>202504</v>
          </cell>
          <cell r="D8181" t="str">
            <v>Hogar</v>
          </cell>
          <cell r="G8181" t="str">
            <v>Presupuesto</v>
          </cell>
        </row>
        <row r="8182">
          <cell r="A8182" t="str">
            <v>O&amp;B</v>
          </cell>
          <cell r="B8182">
            <v>202504</v>
          </cell>
          <cell r="D8182" t="str">
            <v>Hogar</v>
          </cell>
          <cell r="G8182" t="str">
            <v>Real</v>
          </cell>
        </row>
        <row r="8183">
          <cell r="A8183" t="str">
            <v>O&amp;B</v>
          </cell>
          <cell r="B8183">
            <v>202504</v>
          </cell>
          <cell r="D8183" t="str">
            <v>Ingeniería</v>
          </cell>
          <cell r="G8183" t="str">
            <v>Presupuesto</v>
          </cell>
        </row>
        <row r="8184">
          <cell r="A8184" t="str">
            <v>O&amp;B</v>
          </cell>
          <cell r="B8184">
            <v>202504</v>
          </cell>
          <cell r="D8184" t="str">
            <v>Ingeniería</v>
          </cell>
          <cell r="G8184" t="str">
            <v>Real</v>
          </cell>
        </row>
        <row r="8185">
          <cell r="A8185" t="str">
            <v>O&amp;B</v>
          </cell>
          <cell r="B8185">
            <v>202504</v>
          </cell>
          <cell r="D8185" t="str">
            <v>Inmobiliario</v>
          </cell>
          <cell r="G8185" t="str">
            <v>Presupuesto</v>
          </cell>
        </row>
        <row r="8186">
          <cell r="A8186" t="str">
            <v>O&amp;B</v>
          </cell>
          <cell r="B8186">
            <v>202504</v>
          </cell>
          <cell r="D8186" t="str">
            <v>Líneas Financieras</v>
          </cell>
          <cell r="G8186" t="str">
            <v>Presupuesto</v>
          </cell>
        </row>
        <row r="8187">
          <cell r="A8187" t="str">
            <v>O&amp;B</v>
          </cell>
          <cell r="B8187">
            <v>202504</v>
          </cell>
          <cell r="D8187" t="str">
            <v>Líneas Financieras</v>
          </cell>
          <cell r="G8187" t="str">
            <v>Real</v>
          </cell>
        </row>
        <row r="8188">
          <cell r="A8188" t="str">
            <v>O&amp;B</v>
          </cell>
          <cell r="B8188">
            <v>202504</v>
          </cell>
          <cell r="D8188" t="str">
            <v>Náutica</v>
          </cell>
          <cell r="G8188" t="str">
            <v>Presupuesto</v>
          </cell>
        </row>
        <row r="8189">
          <cell r="A8189" t="str">
            <v>O&amp;B</v>
          </cell>
          <cell r="B8189">
            <v>202504</v>
          </cell>
          <cell r="D8189" t="str">
            <v>Náutica</v>
          </cell>
          <cell r="G8189" t="str">
            <v>Real</v>
          </cell>
        </row>
        <row r="8190">
          <cell r="A8190" t="str">
            <v>O&amp;B</v>
          </cell>
          <cell r="B8190">
            <v>202504</v>
          </cell>
          <cell r="D8190" t="str">
            <v>Particulares Resto</v>
          </cell>
          <cell r="G8190" t="str">
            <v>Presupuesto</v>
          </cell>
        </row>
        <row r="8191">
          <cell r="A8191" t="str">
            <v>O&amp;B</v>
          </cell>
          <cell r="B8191">
            <v>202504</v>
          </cell>
          <cell r="D8191" t="str">
            <v>Particulares Resto</v>
          </cell>
          <cell r="G8191" t="str">
            <v>Real</v>
          </cell>
        </row>
        <row r="8192">
          <cell r="A8192" t="str">
            <v>O&amp;B</v>
          </cell>
          <cell r="B8192">
            <v>202504</v>
          </cell>
          <cell r="D8192" t="str">
            <v>Property</v>
          </cell>
          <cell r="G8192" t="str">
            <v>Presupuesto</v>
          </cell>
        </row>
        <row r="8193">
          <cell r="A8193" t="str">
            <v>O&amp;B</v>
          </cell>
          <cell r="B8193">
            <v>202504</v>
          </cell>
          <cell r="D8193" t="str">
            <v>Property</v>
          </cell>
          <cell r="G8193" t="str">
            <v>Real</v>
          </cell>
        </row>
        <row r="8194">
          <cell r="A8194" t="str">
            <v>O&amp;B</v>
          </cell>
          <cell r="B8194">
            <v>202504</v>
          </cell>
          <cell r="D8194" t="str">
            <v>RC</v>
          </cell>
          <cell r="G8194" t="str">
            <v>Presupuesto</v>
          </cell>
        </row>
        <row r="8195">
          <cell r="A8195" t="str">
            <v>O&amp;B</v>
          </cell>
          <cell r="B8195">
            <v>202504</v>
          </cell>
          <cell r="D8195" t="str">
            <v>RC</v>
          </cell>
          <cell r="G8195" t="str">
            <v>Real</v>
          </cell>
        </row>
        <row r="8196">
          <cell r="A8196" t="str">
            <v>O&amp;B</v>
          </cell>
          <cell r="B8196">
            <v>202504</v>
          </cell>
          <cell r="D8196" t="str">
            <v>Resto de lineas</v>
          </cell>
          <cell r="G8196" t="str">
            <v>Presupuesto</v>
          </cell>
        </row>
        <row r="8197">
          <cell r="A8197" t="str">
            <v>O&amp;B</v>
          </cell>
          <cell r="B8197">
            <v>202504</v>
          </cell>
          <cell r="D8197" t="str">
            <v>Resto de lineas</v>
          </cell>
          <cell r="G8197" t="str">
            <v>Real</v>
          </cell>
        </row>
        <row r="8198">
          <cell r="A8198" t="str">
            <v>O&amp;B</v>
          </cell>
          <cell r="B8198">
            <v>202504</v>
          </cell>
          <cell r="D8198" t="str">
            <v>Retirada</v>
          </cell>
          <cell r="G8198" t="str">
            <v>Presupuesto</v>
          </cell>
        </row>
        <row r="8199">
          <cell r="A8199" t="str">
            <v>O&amp;B</v>
          </cell>
          <cell r="B8199">
            <v>202504</v>
          </cell>
          <cell r="D8199" t="str">
            <v>Seguros Personales (No Vida) Colectivos</v>
          </cell>
          <cell r="G8199" t="str">
            <v>Presupuesto</v>
          </cell>
        </row>
        <row r="8200">
          <cell r="A8200" t="str">
            <v>O&amp;B</v>
          </cell>
          <cell r="B8200">
            <v>202504</v>
          </cell>
          <cell r="D8200" t="str">
            <v>Seguros Personales (No Vida) Colectivos</v>
          </cell>
          <cell r="G8200" t="str">
            <v>Real</v>
          </cell>
        </row>
        <row r="8201">
          <cell r="A8201" t="str">
            <v>O&amp;B</v>
          </cell>
          <cell r="B8201">
            <v>202504</v>
          </cell>
          <cell r="D8201" t="str">
            <v>Seguros Personales (No Vida) Particular</v>
          </cell>
          <cell r="G8201" t="str">
            <v>Presupuesto</v>
          </cell>
        </row>
        <row r="8202">
          <cell r="A8202" t="str">
            <v>O&amp;B</v>
          </cell>
          <cell r="B8202">
            <v>202504</v>
          </cell>
          <cell r="D8202" t="str">
            <v>Seguros Personales (No Vida) Particular</v>
          </cell>
          <cell r="G8202" t="str">
            <v>Real</v>
          </cell>
        </row>
        <row r="8203">
          <cell r="A8203" t="str">
            <v>O&amp;B</v>
          </cell>
          <cell r="B8203">
            <v>202504</v>
          </cell>
          <cell r="D8203" t="str">
            <v>Transporte</v>
          </cell>
          <cell r="G8203" t="str">
            <v>Presupuesto</v>
          </cell>
        </row>
        <row r="8204">
          <cell r="A8204" t="str">
            <v>O&amp;B</v>
          </cell>
          <cell r="B8204">
            <v>202504</v>
          </cell>
          <cell r="D8204" t="str">
            <v>Transporte</v>
          </cell>
          <cell r="G8204" t="str">
            <v>Real</v>
          </cell>
        </row>
        <row r="8205">
          <cell r="A8205" t="str">
            <v>O&amp;B</v>
          </cell>
          <cell r="B8205">
            <v>202504</v>
          </cell>
          <cell r="D8205" t="str">
            <v>Venta Cruzada</v>
          </cell>
          <cell r="G8205" t="str">
            <v>Presupuesto</v>
          </cell>
        </row>
        <row r="8206">
          <cell r="A8206" t="str">
            <v>O&amp;B</v>
          </cell>
          <cell r="B8206">
            <v>202504</v>
          </cell>
          <cell r="D8206" t="str">
            <v>Venta Cruzada</v>
          </cell>
          <cell r="G8206" t="str">
            <v>Real</v>
          </cell>
        </row>
        <row r="8207">
          <cell r="A8207" t="str">
            <v>O&amp;B</v>
          </cell>
          <cell r="B8207">
            <v>202504</v>
          </cell>
          <cell r="D8207" t="str">
            <v>Vida Ahorro Colectivo</v>
          </cell>
          <cell r="G8207" t="str">
            <v>Presupuesto</v>
          </cell>
        </row>
        <row r="8208">
          <cell r="A8208" t="str">
            <v>O&amp;B</v>
          </cell>
          <cell r="B8208">
            <v>202504</v>
          </cell>
          <cell r="D8208" t="str">
            <v>Vida Ahorro Particular</v>
          </cell>
          <cell r="G8208" t="str">
            <v>Presupuesto</v>
          </cell>
        </row>
        <row r="8209">
          <cell r="A8209" t="str">
            <v>O&amp;B</v>
          </cell>
          <cell r="B8209">
            <v>202504</v>
          </cell>
          <cell r="D8209" t="str">
            <v>Vida Ahorro Particular</v>
          </cell>
          <cell r="G8209" t="str">
            <v>Real</v>
          </cell>
        </row>
        <row r="8210">
          <cell r="A8210" t="str">
            <v>O&amp;B</v>
          </cell>
          <cell r="B8210">
            <v>202504</v>
          </cell>
          <cell r="D8210" t="str">
            <v>Vida Ganado</v>
          </cell>
          <cell r="G8210" t="str">
            <v>Presupuesto</v>
          </cell>
        </row>
        <row r="8211">
          <cell r="A8211" t="str">
            <v>O&amp;B</v>
          </cell>
          <cell r="B8211">
            <v>202504</v>
          </cell>
          <cell r="D8211" t="str">
            <v>Vida Riesgo Colectivo</v>
          </cell>
          <cell r="G8211" t="str">
            <v>Presupuesto</v>
          </cell>
        </row>
        <row r="8212">
          <cell r="A8212" t="str">
            <v>O&amp;B</v>
          </cell>
          <cell r="B8212">
            <v>202504</v>
          </cell>
          <cell r="D8212" t="str">
            <v>Vida Riesgo Colectivo</v>
          </cell>
          <cell r="G8212" t="str">
            <v>Real</v>
          </cell>
        </row>
        <row r="8213">
          <cell r="A8213" t="str">
            <v>O&amp;B</v>
          </cell>
          <cell r="B8213">
            <v>202504</v>
          </cell>
          <cell r="D8213" t="str">
            <v>Vida Riesgo Particular</v>
          </cell>
          <cell r="G8213" t="str">
            <v>Presupuesto</v>
          </cell>
        </row>
        <row r="8214">
          <cell r="A8214" t="str">
            <v>O&amp;B</v>
          </cell>
          <cell r="B8214">
            <v>202504</v>
          </cell>
          <cell r="D8214" t="str">
            <v>Vida Riesgo Particular</v>
          </cell>
          <cell r="G8214" t="str">
            <v>Real</v>
          </cell>
        </row>
        <row r="8215">
          <cell r="A8215" t="str">
            <v>O&amp;B</v>
          </cell>
          <cell r="B8215">
            <v>202505</v>
          </cell>
          <cell r="D8215" t="str">
            <v>--</v>
          </cell>
          <cell r="G8215" t="str">
            <v>Presupuesto</v>
          </cell>
        </row>
        <row r="8216">
          <cell r="A8216" t="str">
            <v>O&amp;B</v>
          </cell>
          <cell r="B8216">
            <v>202505</v>
          </cell>
          <cell r="D8216" t="str">
            <v>--</v>
          </cell>
          <cell r="G8216" t="str">
            <v>Real</v>
          </cell>
        </row>
        <row r="8217">
          <cell r="A8217" t="str">
            <v>O&amp;B</v>
          </cell>
          <cell r="B8217">
            <v>202505</v>
          </cell>
          <cell r="D8217" t="str">
            <v>Arte</v>
          </cell>
          <cell r="G8217" t="str">
            <v>Presupuesto</v>
          </cell>
        </row>
        <row r="8218">
          <cell r="A8218" t="str">
            <v>O&amp;B</v>
          </cell>
          <cell r="B8218">
            <v>202505</v>
          </cell>
          <cell r="D8218" t="str">
            <v>Autos</v>
          </cell>
          <cell r="G8218" t="str">
            <v>Presupuesto</v>
          </cell>
        </row>
        <row r="8219">
          <cell r="A8219" t="str">
            <v>O&amp;B</v>
          </cell>
          <cell r="B8219">
            <v>202505</v>
          </cell>
          <cell r="D8219" t="str">
            <v>Autos</v>
          </cell>
          <cell r="G8219" t="str">
            <v>Real</v>
          </cell>
        </row>
        <row r="8220">
          <cell r="A8220" t="str">
            <v>O&amp;B</v>
          </cell>
          <cell r="B8220">
            <v>202505</v>
          </cell>
          <cell r="D8220" t="str">
            <v>B2B2C</v>
          </cell>
          <cell r="G8220" t="str">
            <v>Presupuesto</v>
          </cell>
        </row>
        <row r="8221">
          <cell r="A8221" t="str">
            <v>O&amp;B</v>
          </cell>
          <cell r="B8221">
            <v>202505</v>
          </cell>
          <cell r="D8221" t="str">
            <v>Caución</v>
          </cell>
          <cell r="G8221" t="str">
            <v>Presupuesto</v>
          </cell>
        </row>
        <row r="8222">
          <cell r="A8222" t="str">
            <v>O&amp;B</v>
          </cell>
          <cell r="B8222">
            <v>202505</v>
          </cell>
          <cell r="D8222" t="str">
            <v>Caución</v>
          </cell>
          <cell r="G8222" t="str">
            <v>Real</v>
          </cell>
        </row>
        <row r="8223">
          <cell r="A8223" t="str">
            <v>O&amp;B</v>
          </cell>
          <cell r="B8223">
            <v>202505</v>
          </cell>
          <cell r="D8223" t="str">
            <v>Crédito Nacional</v>
          </cell>
          <cell r="G8223" t="str">
            <v>Real</v>
          </cell>
        </row>
        <row r="8224">
          <cell r="A8224" t="str">
            <v>O&amp;B</v>
          </cell>
          <cell r="B8224">
            <v>202505</v>
          </cell>
          <cell r="D8224" t="str">
            <v>Crédito Internacional</v>
          </cell>
          <cell r="G8224" t="str">
            <v>Presupuesto</v>
          </cell>
        </row>
        <row r="8225">
          <cell r="A8225" t="str">
            <v>O&amp;B</v>
          </cell>
          <cell r="B8225">
            <v>202505</v>
          </cell>
          <cell r="D8225" t="str">
            <v>Crédito Nacional</v>
          </cell>
          <cell r="G8225" t="str">
            <v>Presupuesto</v>
          </cell>
        </row>
        <row r="8226">
          <cell r="A8226" t="str">
            <v>O&amp;B</v>
          </cell>
          <cell r="B8226">
            <v>202505</v>
          </cell>
          <cell r="D8226" t="str">
            <v>Eventos</v>
          </cell>
          <cell r="G8226" t="str">
            <v>Presupuesto</v>
          </cell>
        </row>
        <row r="8227">
          <cell r="A8227" t="str">
            <v>O&amp;B</v>
          </cell>
          <cell r="B8227">
            <v>202505</v>
          </cell>
          <cell r="D8227" t="str">
            <v>Eventos</v>
          </cell>
          <cell r="G8227" t="str">
            <v>Real</v>
          </cell>
        </row>
        <row r="8228">
          <cell r="A8228" t="str">
            <v>O&amp;B</v>
          </cell>
          <cell r="B8228">
            <v>202505</v>
          </cell>
          <cell r="D8228" t="str">
            <v>Flotas</v>
          </cell>
          <cell r="G8228" t="str">
            <v>Presupuesto</v>
          </cell>
        </row>
        <row r="8229">
          <cell r="A8229" t="str">
            <v>O&amp;B</v>
          </cell>
          <cell r="B8229">
            <v>202505</v>
          </cell>
          <cell r="D8229" t="str">
            <v>Flotas</v>
          </cell>
          <cell r="G8229" t="str">
            <v>Real</v>
          </cell>
        </row>
        <row r="8230">
          <cell r="A8230" t="str">
            <v>O&amp;B</v>
          </cell>
          <cell r="B8230">
            <v>202505</v>
          </cell>
          <cell r="D8230" t="str">
            <v>Hogar</v>
          </cell>
          <cell r="G8230" t="str">
            <v>Presupuesto</v>
          </cell>
        </row>
        <row r="8231">
          <cell r="A8231" t="str">
            <v>O&amp;B</v>
          </cell>
          <cell r="B8231">
            <v>202505</v>
          </cell>
          <cell r="D8231" t="str">
            <v>Hogar</v>
          </cell>
          <cell r="G8231" t="str">
            <v>Real</v>
          </cell>
        </row>
        <row r="8232">
          <cell r="A8232" t="str">
            <v>O&amp;B</v>
          </cell>
          <cell r="B8232">
            <v>202505</v>
          </cell>
          <cell r="D8232" t="str">
            <v>Ingeniería</v>
          </cell>
          <cell r="G8232" t="str">
            <v>Presupuesto</v>
          </cell>
        </row>
        <row r="8233">
          <cell r="A8233" t="str">
            <v>O&amp;B</v>
          </cell>
          <cell r="B8233">
            <v>202505</v>
          </cell>
          <cell r="D8233" t="str">
            <v>Ingeniería</v>
          </cell>
          <cell r="G8233" t="str">
            <v>Real</v>
          </cell>
        </row>
        <row r="8234">
          <cell r="A8234" t="str">
            <v>O&amp;B</v>
          </cell>
          <cell r="B8234">
            <v>202505</v>
          </cell>
          <cell r="D8234" t="str">
            <v>Inmobiliario</v>
          </cell>
          <cell r="G8234" t="str">
            <v>Presupuesto</v>
          </cell>
        </row>
        <row r="8235">
          <cell r="A8235" t="str">
            <v>O&amp;B</v>
          </cell>
          <cell r="B8235">
            <v>202505</v>
          </cell>
          <cell r="D8235" t="str">
            <v>Líneas Financieras</v>
          </cell>
          <cell r="G8235" t="str">
            <v>Presupuesto</v>
          </cell>
        </row>
        <row r="8236">
          <cell r="A8236" t="str">
            <v>O&amp;B</v>
          </cell>
          <cell r="B8236">
            <v>202505</v>
          </cell>
          <cell r="D8236" t="str">
            <v>Líneas Financieras</v>
          </cell>
          <cell r="G8236" t="str">
            <v>Real</v>
          </cell>
        </row>
        <row r="8237">
          <cell r="A8237" t="str">
            <v>O&amp;B</v>
          </cell>
          <cell r="B8237">
            <v>202505</v>
          </cell>
          <cell r="D8237" t="str">
            <v>Náutica</v>
          </cell>
          <cell r="G8237" t="str">
            <v>Presupuesto</v>
          </cell>
        </row>
        <row r="8238">
          <cell r="A8238" t="str">
            <v>O&amp;B</v>
          </cell>
          <cell r="B8238">
            <v>202505</v>
          </cell>
          <cell r="D8238" t="str">
            <v>Náutica</v>
          </cell>
          <cell r="G8238" t="str">
            <v>Real</v>
          </cell>
        </row>
        <row r="8239">
          <cell r="A8239" t="str">
            <v>O&amp;B</v>
          </cell>
          <cell r="B8239">
            <v>202505</v>
          </cell>
          <cell r="D8239" t="str">
            <v>Particulares Resto</v>
          </cell>
          <cell r="G8239" t="str">
            <v>Presupuesto</v>
          </cell>
        </row>
        <row r="8240">
          <cell r="A8240" t="str">
            <v>O&amp;B</v>
          </cell>
          <cell r="B8240">
            <v>202505</v>
          </cell>
          <cell r="D8240" t="str">
            <v>Particulares Resto</v>
          </cell>
          <cell r="G8240" t="str">
            <v>Real</v>
          </cell>
        </row>
        <row r="8241">
          <cell r="A8241" t="str">
            <v>O&amp;B</v>
          </cell>
          <cell r="B8241">
            <v>202505</v>
          </cell>
          <cell r="D8241" t="str">
            <v>Property</v>
          </cell>
          <cell r="G8241" t="str">
            <v>Presupuesto</v>
          </cell>
        </row>
        <row r="8242">
          <cell r="A8242" t="str">
            <v>O&amp;B</v>
          </cell>
          <cell r="B8242">
            <v>202505</v>
          </cell>
          <cell r="D8242" t="str">
            <v>Property</v>
          </cell>
          <cell r="G8242" t="str">
            <v>Real</v>
          </cell>
        </row>
        <row r="8243">
          <cell r="A8243" t="str">
            <v>O&amp;B</v>
          </cell>
          <cell r="B8243">
            <v>202505</v>
          </cell>
          <cell r="D8243" t="str">
            <v>RC</v>
          </cell>
          <cell r="G8243" t="str">
            <v>Presupuesto</v>
          </cell>
        </row>
        <row r="8244">
          <cell r="A8244" t="str">
            <v>O&amp;B</v>
          </cell>
          <cell r="B8244">
            <v>202505</v>
          </cell>
          <cell r="D8244" t="str">
            <v>RC</v>
          </cell>
          <cell r="G8244" t="str">
            <v>Real</v>
          </cell>
        </row>
        <row r="8245">
          <cell r="A8245" t="str">
            <v>O&amp;B</v>
          </cell>
          <cell r="B8245">
            <v>202505</v>
          </cell>
          <cell r="D8245" t="str">
            <v>Resto de lineas</v>
          </cell>
          <cell r="G8245" t="str">
            <v>Presupuesto</v>
          </cell>
        </row>
        <row r="8246">
          <cell r="A8246" t="str">
            <v>O&amp;B</v>
          </cell>
          <cell r="B8246">
            <v>202505</v>
          </cell>
          <cell r="D8246" t="str">
            <v>Resto de lineas</v>
          </cell>
          <cell r="G8246" t="str">
            <v>Real</v>
          </cell>
        </row>
        <row r="8247">
          <cell r="A8247" t="str">
            <v>O&amp;B</v>
          </cell>
          <cell r="B8247">
            <v>202505</v>
          </cell>
          <cell r="D8247" t="str">
            <v>Retirada</v>
          </cell>
          <cell r="G8247" t="str">
            <v>Presupuesto</v>
          </cell>
        </row>
        <row r="8248">
          <cell r="A8248" t="str">
            <v>O&amp;B</v>
          </cell>
          <cell r="B8248">
            <v>202505</v>
          </cell>
          <cell r="D8248" t="str">
            <v>Seguros Personales (No Vida) Colectivos</v>
          </cell>
          <cell r="G8248" t="str">
            <v>Presupuesto</v>
          </cell>
        </row>
        <row r="8249">
          <cell r="A8249" t="str">
            <v>O&amp;B</v>
          </cell>
          <cell r="B8249">
            <v>202505</v>
          </cell>
          <cell r="D8249" t="str">
            <v>Seguros Personales (No Vida) Colectivos</v>
          </cell>
          <cell r="G8249" t="str">
            <v>Real</v>
          </cell>
        </row>
        <row r="8250">
          <cell r="A8250" t="str">
            <v>O&amp;B</v>
          </cell>
          <cell r="B8250">
            <v>202505</v>
          </cell>
          <cell r="D8250" t="str">
            <v>Seguros Personales (No Vida) Particular</v>
          </cell>
          <cell r="G8250" t="str">
            <v>Presupuesto</v>
          </cell>
        </row>
        <row r="8251">
          <cell r="A8251" t="str">
            <v>O&amp;B</v>
          </cell>
          <cell r="B8251">
            <v>202505</v>
          </cell>
          <cell r="D8251" t="str">
            <v>Seguros Personales (No Vida) Particular</v>
          </cell>
          <cell r="G8251" t="str">
            <v>Real</v>
          </cell>
        </row>
        <row r="8252">
          <cell r="A8252" t="str">
            <v>O&amp;B</v>
          </cell>
          <cell r="B8252">
            <v>202505</v>
          </cell>
          <cell r="D8252" t="str">
            <v>Transporte</v>
          </cell>
          <cell r="G8252" t="str">
            <v>Presupuesto</v>
          </cell>
        </row>
        <row r="8253">
          <cell r="A8253" t="str">
            <v>O&amp;B</v>
          </cell>
          <cell r="B8253">
            <v>202505</v>
          </cell>
          <cell r="D8253" t="str">
            <v>Transporte</v>
          </cell>
          <cell r="G8253" t="str">
            <v>Real</v>
          </cell>
        </row>
        <row r="8254">
          <cell r="A8254" t="str">
            <v>O&amp;B</v>
          </cell>
          <cell r="B8254">
            <v>202505</v>
          </cell>
          <cell r="D8254" t="str">
            <v>Venta Cruzada</v>
          </cell>
          <cell r="G8254" t="str">
            <v>Presupuesto</v>
          </cell>
        </row>
        <row r="8255">
          <cell r="A8255" t="str">
            <v>O&amp;B</v>
          </cell>
          <cell r="B8255">
            <v>202505</v>
          </cell>
          <cell r="D8255" t="str">
            <v>Venta Cruzada</v>
          </cell>
          <cell r="G8255" t="str">
            <v>Real</v>
          </cell>
        </row>
        <row r="8256">
          <cell r="A8256" t="str">
            <v>O&amp;B</v>
          </cell>
          <cell r="B8256">
            <v>202505</v>
          </cell>
          <cell r="D8256" t="str">
            <v>Vida Ahorro Colectivo</v>
          </cell>
          <cell r="G8256" t="str">
            <v>Presupuesto</v>
          </cell>
        </row>
        <row r="8257">
          <cell r="A8257" t="str">
            <v>O&amp;B</v>
          </cell>
          <cell r="B8257">
            <v>202505</v>
          </cell>
          <cell r="D8257" t="str">
            <v>Vida Ahorro Particular</v>
          </cell>
          <cell r="G8257" t="str">
            <v>Presupuesto</v>
          </cell>
        </row>
        <row r="8258">
          <cell r="A8258" t="str">
            <v>O&amp;B</v>
          </cell>
          <cell r="B8258">
            <v>202505</v>
          </cell>
          <cell r="D8258" t="str">
            <v>Vida Ahorro Particular</v>
          </cell>
          <cell r="G8258" t="str">
            <v>Real</v>
          </cell>
        </row>
        <row r="8259">
          <cell r="A8259" t="str">
            <v>O&amp;B</v>
          </cell>
          <cell r="B8259">
            <v>202505</v>
          </cell>
          <cell r="D8259" t="str">
            <v>Vida Ganado</v>
          </cell>
          <cell r="G8259" t="str">
            <v>Presupuesto</v>
          </cell>
        </row>
        <row r="8260">
          <cell r="A8260" t="str">
            <v>O&amp;B</v>
          </cell>
          <cell r="B8260">
            <v>202505</v>
          </cell>
          <cell r="D8260" t="str">
            <v>Vida Riesgo Colectivo</v>
          </cell>
          <cell r="G8260" t="str">
            <v>Presupuesto</v>
          </cell>
        </row>
        <row r="8261">
          <cell r="A8261" t="str">
            <v>O&amp;B</v>
          </cell>
          <cell r="B8261">
            <v>202505</v>
          </cell>
          <cell r="D8261" t="str">
            <v>Vida Riesgo Colectivo</v>
          </cell>
          <cell r="G8261" t="str">
            <v>Real</v>
          </cell>
        </row>
        <row r="8262">
          <cell r="A8262" t="str">
            <v>O&amp;B</v>
          </cell>
          <cell r="B8262">
            <v>202505</v>
          </cell>
          <cell r="D8262" t="str">
            <v>Vida Riesgo Particular</v>
          </cell>
          <cell r="G8262" t="str">
            <v>Presupuesto</v>
          </cell>
        </row>
        <row r="8263">
          <cell r="A8263" t="str">
            <v>O&amp;B</v>
          </cell>
          <cell r="B8263">
            <v>202505</v>
          </cell>
          <cell r="D8263" t="str">
            <v>Vida Riesgo Particular</v>
          </cell>
          <cell r="G8263" t="str">
            <v>Real</v>
          </cell>
        </row>
        <row r="8264">
          <cell r="A8264" t="str">
            <v>O&amp;B</v>
          </cell>
          <cell r="B8264">
            <v>202506</v>
          </cell>
          <cell r="D8264" t="str">
            <v>--</v>
          </cell>
          <cell r="G8264" t="str">
            <v>Presupuesto</v>
          </cell>
        </row>
        <row r="8265">
          <cell r="A8265" t="str">
            <v>O&amp;B</v>
          </cell>
          <cell r="B8265">
            <v>202506</v>
          </cell>
          <cell r="D8265" t="str">
            <v>--</v>
          </cell>
          <cell r="G8265" t="str">
            <v>Real</v>
          </cell>
        </row>
        <row r="8266">
          <cell r="A8266" t="str">
            <v>O&amp;B</v>
          </cell>
          <cell r="B8266">
            <v>202506</v>
          </cell>
          <cell r="D8266" t="str">
            <v>Resto de Lineas</v>
          </cell>
          <cell r="G8266" t="str">
            <v>Real</v>
          </cell>
        </row>
        <row r="8267">
          <cell r="A8267" t="str">
            <v>O&amp;B</v>
          </cell>
          <cell r="B8267">
            <v>202506</v>
          </cell>
          <cell r="D8267" t="str">
            <v>Arte</v>
          </cell>
          <cell r="G8267" t="str">
            <v>Presupuesto</v>
          </cell>
        </row>
        <row r="8268">
          <cell r="A8268" t="str">
            <v>O&amp;B</v>
          </cell>
          <cell r="B8268">
            <v>202506</v>
          </cell>
          <cell r="D8268" t="str">
            <v>Autos</v>
          </cell>
          <cell r="G8268" t="str">
            <v>Presupuesto</v>
          </cell>
        </row>
        <row r="8269">
          <cell r="A8269" t="str">
            <v>O&amp;B</v>
          </cell>
          <cell r="B8269">
            <v>202506</v>
          </cell>
          <cell r="D8269" t="str">
            <v>Autos</v>
          </cell>
          <cell r="G8269" t="str">
            <v>Real</v>
          </cell>
        </row>
        <row r="8270">
          <cell r="A8270" t="str">
            <v>O&amp;B</v>
          </cell>
          <cell r="B8270">
            <v>202506</v>
          </cell>
          <cell r="D8270" t="str">
            <v>B2B2C</v>
          </cell>
          <cell r="G8270" t="str">
            <v>Presupuesto</v>
          </cell>
        </row>
        <row r="8271">
          <cell r="A8271" t="str">
            <v>O&amp;B</v>
          </cell>
          <cell r="B8271">
            <v>202506</v>
          </cell>
          <cell r="D8271" t="str">
            <v>Caución</v>
          </cell>
          <cell r="G8271" t="str">
            <v>Presupuesto</v>
          </cell>
        </row>
        <row r="8272">
          <cell r="A8272" t="str">
            <v>O&amp;B</v>
          </cell>
          <cell r="B8272">
            <v>202506</v>
          </cell>
          <cell r="D8272" t="str">
            <v>Caución</v>
          </cell>
          <cell r="G8272" t="str">
            <v>Real</v>
          </cell>
        </row>
        <row r="8273">
          <cell r="A8273" t="str">
            <v>O&amp;B</v>
          </cell>
          <cell r="B8273">
            <v>202506</v>
          </cell>
          <cell r="D8273" t="str">
            <v>Crédito Nacional</v>
          </cell>
          <cell r="G8273" t="str">
            <v>Real</v>
          </cell>
        </row>
        <row r="8274">
          <cell r="A8274" t="str">
            <v>O&amp;B</v>
          </cell>
          <cell r="B8274">
            <v>202506</v>
          </cell>
          <cell r="D8274" t="str">
            <v>Crédito Internacional</v>
          </cell>
          <cell r="G8274" t="str">
            <v>Presupuesto</v>
          </cell>
        </row>
        <row r="8275">
          <cell r="A8275" t="str">
            <v>O&amp;B</v>
          </cell>
          <cell r="B8275">
            <v>202506</v>
          </cell>
          <cell r="D8275" t="str">
            <v>Crédito Nacional</v>
          </cell>
          <cell r="G8275" t="str">
            <v>Presupuesto</v>
          </cell>
        </row>
        <row r="8276">
          <cell r="A8276" t="str">
            <v>O&amp;B</v>
          </cell>
          <cell r="B8276">
            <v>202506</v>
          </cell>
          <cell r="D8276" t="str">
            <v>Eventos</v>
          </cell>
          <cell r="G8276" t="str">
            <v>Presupuesto</v>
          </cell>
        </row>
        <row r="8277">
          <cell r="A8277" t="str">
            <v>O&amp;B</v>
          </cell>
          <cell r="B8277">
            <v>202506</v>
          </cell>
          <cell r="D8277" t="str">
            <v>Eventos</v>
          </cell>
          <cell r="G8277" t="str">
            <v>Real</v>
          </cell>
        </row>
        <row r="8278">
          <cell r="A8278" t="str">
            <v>O&amp;B</v>
          </cell>
          <cell r="B8278">
            <v>202506</v>
          </cell>
          <cell r="D8278" t="str">
            <v>Flotas</v>
          </cell>
          <cell r="G8278" t="str">
            <v>Presupuesto</v>
          </cell>
        </row>
        <row r="8279">
          <cell r="A8279" t="str">
            <v>O&amp;B</v>
          </cell>
          <cell r="B8279">
            <v>202506</v>
          </cell>
          <cell r="D8279" t="str">
            <v>Flotas</v>
          </cell>
          <cell r="G8279" t="str">
            <v>Real</v>
          </cell>
        </row>
        <row r="8280">
          <cell r="A8280" t="str">
            <v>O&amp;B</v>
          </cell>
          <cell r="B8280">
            <v>202506</v>
          </cell>
          <cell r="D8280" t="str">
            <v>Hogar</v>
          </cell>
          <cell r="G8280" t="str">
            <v>Presupuesto</v>
          </cell>
        </row>
        <row r="8281">
          <cell r="A8281" t="str">
            <v>O&amp;B</v>
          </cell>
          <cell r="B8281">
            <v>202506</v>
          </cell>
          <cell r="D8281" t="str">
            <v>Hogar</v>
          </cell>
          <cell r="G8281" t="str">
            <v>Real</v>
          </cell>
        </row>
        <row r="8282">
          <cell r="A8282" t="str">
            <v>O&amp;B</v>
          </cell>
          <cell r="B8282">
            <v>202506</v>
          </cell>
          <cell r="D8282" t="str">
            <v>Ingeniería</v>
          </cell>
          <cell r="G8282" t="str">
            <v>Presupuesto</v>
          </cell>
        </row>
        <row r="8283">
          <cell r="A8283" t="str">
            <v>O&amp;B</v>
          </cell>
          <cell r="B8283">
            <v>202506</v>
          </cell>
          <cell r="D8283" t="str">
            <v>Ingeniería</v>
          </cell>
          <cell r="G8283" t="str">
            <v>Real</v>
          </cell>
        </row>
        <row r="8284">
          <cell r="A8284" t="str">
            <v>O&amp;B</v>
          </cell>
          <cell r="B8284">
            <v>202506</v>
          </cell>
          <cell r="D8284" t="str">
            <v>Inmobiliario</v>
          </cell>
          <cell r="G8284" t="str">
            <v>Presupuesto</v>
          </cell>
        </row>
        <row r="8285">
          <cell r="A8285" t="str">
            <v>O&amp;B</v>
          </cell>
          <cell r="B8285">
            <v>202506</v>
          </cell>
          <cell r="D8285" t="str">
            <v>Líneas Financieras</v>
          </cell>
          <cell r="G8285" t="str">
            <v>Presupuesto</v>
          </cell>
        </row>
        <row r="8286">
          <cell r="A8286" t="str">
            <v>O&amp;B</v>
          </cell>
          <cell r="B8286">
            <v>202506</v>
          </cell>
          <cell r="D8286" t="str">
            <v>Líneas Financieras</v>
          </cell>
          <cell r="G8286" t="str">
            <v>Real</v>
          </cell>
        </row>
        <row r="8287">
          <cell r="A8287" t="str">
            <v>O&amp;B</v>
          </cell>
          <cell r="B8287">
            <v>202506</v>
          </cell>
          <cell r="D8287" t="str">
            <v>Náutica</v>
          </cell>
          <cell r="G8287" t="str">
            <v>Presupuesto</v>
          </cell>
        </row>
        <row r="8288">
          <cell r="A8288" t="str">
            <v>O&amp;B</v>
          </cell>
          <cell r="B8288">
            <v>202506</v>
          </cell>
          <cell r="D8288" t="str">
            <v>Náutica</v>
          </cell>
          <cell r="G8288" t="str">
            <v>Real</v>
          </cell>
        </row>
        <row r="8289">
          <cell r="A8289" t="str">
            <v>O&amp;B</v>
          </cell>
          <cell r="B8289">
            <v>202506</v>
          </cell>
          <cell r="D8289" t="str">
            <v>Particulares Resto</v>
          </cell>
          <cell r="G8289" t="str">
            <v>Presupuesto</v>
          </cell>
        </row>
        <row r="8290">
          <cell r="A8290" t="str">
            <v>O&amp;B</v>
          </cell>
          <cell r="B8290">
            <v>202506</v>
          </cell>
          <cell r="D8290" t="str">
            <v>Particulares Resto</v>
          </cell>
          <cell r="G8290" t="str">
            <v>Real</v>
          </cell>
        </row>
        <row r="8291">
          <cell r="A8291" t="str">
            <v>O&amp;B</v>
          </cell>
          <cell r="B8291">
            <v>202506</v>
          </cell>
          <cell r="D8291" t="str">
            <v>Property</v>
          </cell>
          <cell r="G8291" t="str">
            <v>Presupuesto</v>
          </cell>
        </row>
        <row r="8292">
          <cell r="A8292" t="str">
            <v>O&amp;B</v>
          </cell>
          <cell r="B8292">
            <v>202506</v>
          </cell>
          <cell r="D8292" t="str">
            <v>Property</v>
          </cell>
          <cell r="G8292" t="str">
            <v>Real</v>
          </cell>
        </row>
        <row r="8293">
          <cell r="A8293" t="str">
            <v>O&amp;B</v>
          </cell>
          <cell r="B8293">
            <v>202506</v>
          </cell>
          <cell r="D8293" t="str">
            <v>RC</v>
          </cell>
          <cell r="G8293" t="str">
            <v>Presupuesto</v>
          </cell>
        </row>
        <row r="8294">
          <cell r="A8294" t="str">
            <v>O&amp;B</v>
          </cell>
          <cell r="B8294">
            <v>202506</v>
          </cell>
          <cell r="D8294" t="str">
            <v>RC</v>
          </cell>
          <cell r="G8294" t="str">
            <v>Real</v>
          </cell>
        </row>
        <row r="8295">
          <cell r="A8295" t="str">
            <v>O&amp;B</v>
          </cell>
          <cell r="B8295">
            <v>202506</v>
          </cell>
          <cell r="D8295" t="str">
            <v>Resto de lineas</v>
          </cell>
          <cell r="G8295" t="str">
            <v>Presupuesto</v>
          </cell>
        </row>
        <row r="8296">
          <cell r="A8296" t="str">
            <v>O&amp;B</v>
          </cell>
          <cell r="B8296">
            <v>202506</v>
          </cell>
          <cell r="D8296" t="str">
            <v>Resto de lineas</v>
          </cell>
          <cell r="G8296" t="str">
            <v>Real</v>
          </cell>
        </row>
        <row r="8297">
          <cell r="A8297" t="str">
            <v>O&amp;B</v>
          </cell>
          <cell r="B8297">
            <v>202506</v>
          </cell>
          <cell r="D8297" t="str">
            <v>Retirada</v>
          </cell>
          <cell r="G8297" t="str">
            <v>Presupuesto</v>
          </cell>
        </row>
        <row r="8298">
          <cell r="A8298" t="str">
            <v>O&amp;B</v>
          </cell>
          <cell r="B8298">
            <v>202506</v>
          </cell>
          <cell r="D8298" t="str">
            <v>Seguros Personales (No Vida) Colectivos</v>
          </cell>
          <cell r="G8298" t="str">
            <v>Presupuesto</v>
          </cell>
        </row>
        <row r="8299">
          <cell r="A8299" t="str">
            <v>O&amp;B</v>
          </cell>
          <cell r="B8299">
            <v>202506</v>
          </cell>
          <cell r="D8299" t="str">
            <v>Seguros Personales (No Vida) Colectivos</v>
          </cell>
          <cell r="G8299" t="str">
            <v>Real</v>
          </cell>
        </row>
        <row r="8300">
          <cell r="A8300" t="str">
            <v>O&amp;B</v>
          </cell>
          <cell r="B8300">
            <v>202506</v>
          </cell>
          <cell r="D8300" t="str">
            <v>Seguros Personales (No Vida) Particular</v>
          </cell>
          <cell r="G8300" t="str">
            <v>Presupuesto</v>
          </cell>
        </row>
        <row r="8301">
          <cell r="A8301" t="str">
            <v>O&amp;B</v>
          </cell>
          <cell r="B8301">
            <v>202506</v>
          </cell>
          <cell r="D8301" t="str">
            <v>Seguros Personales (No Vida) Particular</v>
          </cell>
          <cell r="G8301" t="str">
            <v>Real</v>
          </cell>
        </row>
        <row r="8302">
          <cell r="A8302" t="str">
            <v>O&amp;B</v>
          </cell>
          <cell r="B8302">
            <v>202506</v>
          </cell>
          <cell r="D8302" t="str">
            <v>Transporte</v>
          </cell>
          <cell r="G8302" t="str">
            <v>Presupuesto</v>
          </cell>
        </row>
        <row r="8303">
          <cell r="A8303" t="str">
            <v>O&amp;B</v>
          </cell>
          <cell r="B8303">
            <v>202506</v>
          </cell>
          <cell r="D8303" t="str">
            <v>Transporte</v>
          </cell>
          <cell r="G8303" t="str">
            <v>Real</v>
          </cell>
        </row>
        <row r="8304">
          <cell r="A8304" t="str">
            <v>O&amp;B</v>
          </cell>
          <cell r="B8304">
            <v>202506</v>
          </cell>
          <cell r="D8304" t="str">
            <v>Venta Cruzada</v>
          </cell>
          <cell r="G8304" t="str">
            <v>Presupuesto</v>
          </cell>
        </row>
        <row r="8305">
          <cell r="A8305" t="str">
            <v>O&amp;B</v>
          </cell>
          <cell r="B8305">
            <v>202506</v>
          </cell>
          <cell r="D8305" t="str">
            <v>Venta Cruzada</v>
          </cell>
          <cell r="G8305" t="str">
            <v>Real</v>
          </cell>
        </row>
        <row r="8306">
          <cell r="A8306" t="str">
            <v>O&amp;B</v>
          </cell>
          <cell r="B8306">
            <v>202506</v>
          </cell>
          <cell r="D8306" t="str">
            <v>Vida Ahorro Colectivo</v>
          </cell>
          <cell r="G8306" t="str">
            <v>Presupuesto</v>
          </cell>
        </row>
        <row r="8307">
          <cell r="A8307" t="str">
            <v>O&amp;B</v>
          </cell>
          <cell r="B8307">
            <v>202506</v>
          </cell>
          <cell r="D8307" t="str">
            <v>Vida Ahorro Particular</v>
          </cell>
          <cell r="G8307" t="str">
            <v>Presupuesto</v>
          </cell>
        </row>
        <row r="8308">
          <cell r="A8308" t="str">
            <v>O&amp;B</v>
          </cell>
          <cell r="B8308">
            <v>202506</v>
          </cell>
          <cell r="D8308" t="str">
            <v>Vida Ahorro Particular</v>
          </cell>
          <cell r="G8308" t="str">
            <v>Real</v>
          </cell>
        </row>
        <row r="8309">
          <cell r="A8309" t="str">
            <v>O&amp;B</v>
          </cell>
          <cell r="B8309">
            <v>202506</v>
          </cell>
          <cell r="D8309" t="str">
            <v>Vida Ganado</v>
          </cell>
          <cell r="G8309" t="str">
            <v>Presupuesto</v>
          </cell>
        </row>
        <row r="8310">
          <cell r="A8310" t="str">
            <v>O&amp;B</v>
          </cell>
          <cell r="B8310">
            <v>202506</v>
          </cell>
          <cell r="D8310" t="str">
            <v>Vida Riesgo Colectivo</v>
          </cell>
          <cell r="G8310" t="str">
            <v>Presupuesto</v>
          </cell>
        </row>
        <row r="8311">
          <cell r="A8311" t="str">
            <v>O&amp;B</v>
          </cell>
          <cell r="B8311">
            <v>202506</v>
          </cell>
          <cell r="D8311" t="str">
            <v>Vida Riesgo Colectivo</v>
          </cell>
          <cell r="G8311" t="str">
            <v>Real</v>
          </cell>
        </row>
        <row r="8312">
          <cell r="A8312" t="str">
            <v>O&amp;B</v>
          </cell>
          <cell r="B8312">
            <v>202506</v>
          </cell>
          <cell r="D8312" t="str">
            <v>Vida Riesgo Particular</v>
          </cell>
          <cell r="G8312" t="str">
            <v>Presupuesto</v>
          </cell>
        </row>
        <row r="8313">
          <cell r="A8313" t="str">
            <v>O&amp;B</v>
          </cell>
          <cell r="B8313">
            <v>202506</v>
          </cell>
          <cell r="D8313" t="str">
            <v>Vida Riesgo Particular</v>
          </cell>
          <cell r="G8313" t="str">
            <v>Real</v>
          </cell>
        </row>
        <row r="8314">
          <cell r="A8314" t="str">
            <v>O&amp;B</v>
          </cell>
          <cell r="B8314">
            <v>202507</v>
          </cell>
          <cell r="D8314" t="str">
            <v>--</v>
          </cell>
          <cell r="G8314" t="str">
            <v>Presupuesto</v>
          </cell>
        </row>
        <row r="8315">
          <cell r="A8315" t="str">
            <v>O&amp;B</v>
          </cell>
          <cell r="B8315">
            <v>202507</v>
          </cell>
          <cell r="D8315" t="str">
            <v>--</v>
          </cell>
          <cell r="G8315" t="str">
            <v>Real</v>
          </cell>
        </row>
        <row r="8316">
          <cell r="A8316" t="str">
            <v>O&amp;B</v>
          </cell>
          <cell r="B8316">
            <v>202507</v>
          </cell>
          <cell r="D8316" t="str">
            <v>Resto de Lineas</v>
          </cell>
          <cell r="G8316" t="str">
            <v>Real</v>
          </cell>
        </row>
        <row r="8317">
          <cell r="A8317" t="str">
            <v>O&amp;B</v>
          </cell>
          <cell r="B8317">
            <v>202507</v>
          </cell>
          <cell r="D8317" t="str">
            <v>Arte</v>
          </cell>
          <cell r="G8317" t="str">
            <v>Presupuesto</v>
          </cell>
        </row>
        <row r="8318">
          <cell r="A8318" t="str">
            <v>O&amp;B</v>
          </cell>
          <cell r="B8318">
            <v>202507</v>
          </cell>
          <cell r="D8318" t="str">
            <v>Autos</v>
          </cell>
          <cell r="G8318" t="str">
            <v>Presupuesto</v>
          </cell>
        </row>
        <row r="8319">
          <cell r="A8319" t="str">
            <v>O&amp;B</v>
          </cell>
          <cell r="B8319">
            <v>202507</v>
          </cell>
          <cell r="D8319" t="str">
            <v>Autos</v>
          </cell>
          <cell r="G8319" t="str">
            <v>Real</v>
          </cell>
        </row>
        <row r="8320">
          <cell r="A8320" t="str">
            <v>O&amp;B</v>
          </cell>
          <cell r="B8320">
            <v>202507</v>
          </cell>
          <cell r="D8320" t="str">
            <v>B2B2C</v>
          </cell>
          <cell r="G8320" t="str">
            <v>Presupuesto</v>
          </cell>
        </row>
        <row r="8321">
          <cell r="A8321" t="str">
            <v>O&amp;B</v>
          </cell>
          <cell r="B8321">
            <v>202507</v>
          </cell>
          <cell r="D8321" t="str">
            <v>Caución</v>
          </cell>
          <cell r="G8321" t="str">
            <v>Presupuesto</v>
          </cell>
        </row>
        <row r="8322">
          <cell r="A8322" t="str">
            <v>O&amp;B</v>
          </cell>
          <cell r="B8322">
            <v>202507</v>
          </cell>
          <cell r="D8322" t="str">
            <v>Caución</v>
          </cell>
          <cell r="G8322" t="str">
            <v>Real</v>
          </cell>
        </row>
        <row r="8323">
          <cell r="A8323" t="str">
            <v>O&amp;B</v>
          </cell>
          <cell r="B8323">
            <v>202507</v>
          </cell>
          <cell r="D8323" t="str">
            <v>Crédito Nacional</v>
          </cell>
          <cell r="G8323" t="str">
            <v>Real</v>
          </cell>
        </row>
        <row r="8324">
          <cell r="A8324" t="str">
            <v>O&amp;B</v>
          </cell>
          <cell r="B8324">
            <v>202507</v>
          </cell>
          <cell r="D8324" t="str">
            <v>Crédito Internacional</v>
          </cell>
          <cell r="G8324" t="str">
            <v>Presupuesto</v>
          </cell>
        </row>
        <row r="8325">
          <cell r="A8325" t="str">
            <v>O&amp;B</v>
          </cell>
          <cell r="B8325">
            <v>202507</v>
          </cell>
          <cell r="D8325" t="str">
            <v>Crédito Nacional</v>
          </cell>
          <cell r="G8325" t="str">
            <v>Presupuesto</v>
          </cell>
        </row>
        <row r="8326">
          <cell r="A8326" t="str">
            <v>O&amp;B</v>
          </cell>
          <cell r="B8326">
            <v>202507</v>
          </cell>
          <cell r="D8326" t="str">
            <v>Eventos</v>
          </cell>
          <cell r="G8326" t="str">
            <v>Presupuesto</v>
          </cell>
        </row>
        <row r="8327">
          <cell r="A8327" t="str">
            <v>O&amp;B</v>
          </cell>
          <cell r="B8327">
            <v>202507</v>
          </cell>
          <cell r="D8327" t="str">
            <v>Eventos</v>
          </cell>
          <cell r="G8327" t="str">
            <v>Real</v>
          </cell>
        </row>
        <row r="8328">
          <cell r="A8328" t="str">
            <v>O&amp;B</v>
          </cell>
          <cell r="B8328">
            <v>202507</v>
          </cell>
          <cell r="D8328" t="str">
            <v>Flotas</v>
          </cell>
          <cell r="G8328" t="str">
            <v>Presupuesto</v>
          </cell>
        </row>
        <row r="8329">
          <cell r="A8329" t="str">
            <v>O&amp;B</v>
          </cell>
          <cell r="B8329">
            <v>202507</v>
          </cell>
          <cell r="D8329" t="str">
            <v>Flotas</v>
          </cell>
          <cell r="G8329" t="str">
            <v>Real</v>
          </cell>
        </row>
        <row r="8330">
          <cell r="A8330" t="str">
            <v>O&amp;B</v>
          </cell>
          <cell r="B8330">
            <v>202507</v>
          </cell>
          <cell r="D8330" t="str">
            <v>Hogar</v>
          </cell>
          <cell r="G8330" t="str">
            <v>Presupuesto</v>
          </cell>
        </row>
        <row r="8331">
          <cell r="A8331" t="str">
            <v>O&amp;B</v>
          </cell>
          <cell r="B8331">
            <v>202507</v>
          </cell>
          <cell r="D8331" t="str">
            <v>Hogar</v>
          </cell>
          <cell r="G8331" t="str">
            <v>Real</v>
          </cell>
        </row>
        <row r="8332">
          <cell r="A8332" t="str">
            <v>O&amp;B</v>
          </cell>
          <cell r="B8332">
            <v>202507</v>
          </cell>
          <cell r="D8332" t="str">
            <v>Ingeniería</v>
          </cell>
          <cell r="G8332" t="str">
            <v>Presupuesto</v>
          </cell>
        </row>
        <row r="8333">
          <cell r="A8333" t="str">
            <v>O&amp;B</v>
          </cell>
          <cell r="B8333">
            <v>202507</v>
          </cell>
          <cell r="D8333" t="str">
            <v>Ingeniería</v>
          </cell>
          <cell r="G8333" t="str">
            <v>Real</v>
          </cell>
        </row>
        <row r="8334">
          <cell r="A8334" t="str">
            <v>O&amp;B</v>
          </cell>
          <cell r="B8334">
            <v>202507</v>
          </cell>
          <cell r="D8334" t="str">
            <v>Inmobiliario</v>
          </cell>
          <cell r="G8334" t="str">
            <v>Presupuesto</v>
          </cell>
        </row>
        <row r="8335">
          <cell r="A8335" t="str">
            <v>O&amp;B</v>
          </cell>
          <cell r="B8335">
            <v>202507</v>
          </cell>
          <cell r="D8335" t="str">
            <v>Líneas Financieras</v>
          </cell>
          <cell r="G8335" t="str">
            <v>Presupuesto</v>
          </cell>
        </row>
        <row r="8336">
          <cell r="A8336" t="str">
            <v>O&amp;B</v>
          </cell>
          <cell r="B8336">
            <v>202507</v>
          </cell>
          <cell r="D8336" t="str">
            <v>Líneas Financieras</v>
          </cell>
          <cell r="G8336" t="str">
            <v>Real</v>
          </cell>
        </row>
        <row r="8337">
          <cell r="A8337" t="str">
            <v>O&amp;B</v>
          </cell>
          <cell r="B8337">
            <v>202507</v>
          </cell>
          <cell r="D8337" t="str">
            <v>Náutica</v>
          </cell>
          <cell r="G8337" t="str">
            <v>Presupuesto</v>
          </cell>
        </row>
        <row r="8338">
          <cell r="A8338" t="str">
            <v>O&amp;B</v>
          </cell>
          <cell r="B8338">
            <v>202507</v>
          </cell>
          <cell r="D8338" t="str">
            <v>Náutica</v>
          </cell>
          <cell r="G8338" t="str">
            <v>Real</v>
          </cell>
        </row>
        <row r="8339">
          <cell r="A8339" t="str">
            <v>O&amp;B</v>
          </cell>
          <cell r="B8339">
            <v>202507</v>
          </cell>
          <cell r="D8339" t="str">
            <v>Particulares Resto</v>
          </cell>
          <cell r="G8339" t="str">
            <v>Presupuesto</v>
          </cell>
        </row>
        <row r="8340">
          <cell r="A8340" t="str">
            <v>O&amp;B</v>
          </cell>
          <cell r="B8340">
            <v>202507</v>
          </cell>
          <cell r="D8340" t="str">
            <v>Particulares Resto</v>
          </cell>
          <cell r="G8340" t="str">
            <v>Real</v>
          </cell>
        </row>
        <row r="8341">
          <cell r="A8341" t="str">
            <v>O&amp;B</v>
          </cell>
          <cell r="B8341">
            <v>202507</v>
          </cell>
          <cell r="D8341" t="str">
            <v>Property</v>
          </cell>
          <cell r="G8341" t="str">
            <v>Presupuesto</v>
          </cell>
        </row>
        <row r="8342">
          <cell r="A8342" t="str">
            <v>O&amp;B</v>
          </cell>
          <cell r="B8342">
            <v>202507</v>
          </cell>
          <cell r="D8342" t="str">
            <v>Property</v>
          </cell>
          <cell r="G8342" t="str">
            <v>Real</v>
          </cell>
        </row>
        <row r="8343">
          <cell r="A8343" t="str">
            <v>O&amp;B</v>
          </cell>
          <cell r="B8343">
            <v>202507</v>
          </cell>
          <cell r="D8343" t="str">
            <v>RC</v>
          </cell>
          <cell r="G8343" t="str">
            <v>Presupuesto</v>
          </cell>
        </row>
        <row r="8344">
          <cell r="A8344" t="str">
            <v>O&amp;B</v>
          </cell>
          <cell r="B8344">
            <v>202507</v>
          </cell>
          <cell r="D8344" t="str">
            <v>RC</v>
          </cell>
          <cell r="G8344" t="str">
            <v>Real</v>
          </cell>
        </row>
        <row r="8345">
          <cell r="A8345" t="str">
            <v>O&amp;B</v>
          </cell>
          <cell r="B8345">
            <v>202507</v>
          </cell>
          <cell r="D8345" t="str">
            <v>Resto de lineas</v>
          </cell>
          <cell r="G8345" t="str">
            <v>Presupuesto</v>
          </cell>
        </row>
        <row r="8346">
          <cell r="A8346" t="str">
            <v>O&amp;B</v>
          </cell>
          <cell r="B8346">
            <v>202507</v>
          </cell>
          <cell r="D8346" t="str">
            <v>Retirada</v>
          </cell>
          <cell r="G8346" t="str">
            <v>Presupuesto</v>
          </cell>
        </row>
        <row r="8347">
          <cell r="A8347" t="str">
            <v>O&amp;B</v>
          </cell>
          <cell r="B8347">
            <v>202507</v>
          </cell>
          <cell r="D8347" t="str">
            <v>Seguros Personales (No Vida) Colectivos</v>
          </cell>
          <cell r="G8347" t="str">
            <v>Presupuesto</v>
          </cell>
        </row>
        <row r="8348">
          <cell r="A8348" t="str">
            <v>O&amp;B</v>
          </cell>
          <cell r="B8348">
            <v>202507</v>
          </cell>
          <cell r="D8348" t="str">
            <v>Seguros Personales (No Vida) Colectivos</v>
          </cell>
          <cell r="G8348" t="str">
            <v>Real</v>
          </cell>
        </row>
        <row r="8349">
          <cell r="A8349" t="str">
            <v>O&amp;B</v>
          </cell>
          <cell r="B8349">
            <v>202507</v>
          </cell>
          <cell r="D8349" t="str">
            <v>Seguros Personales (No Vida) Particular</v>
          </cell>
          <cell r="G8349" t="str">
            <v>Presupuesto</v>
          </cell>
        </row>
        <row r="8350">
          <cell r="A8350" t="str">
            <v>O&amp;B</v>
          </cell>
          <cell r="B8350">
            <v>202507</v>
          </cell>
          <cell r="D8350" t="str">
            <v>Seguros Personales (No Vida) Particular</v>
          </cell>
          <cell r="G8350" t="str">
            <v>Real</v>
          </cell>
        </row>
        <row r="8351">
          <cell r="A8351" t="str">
            <v>O&amp;B</v>
          </cell>
          <cell r="B8351">
            <v>202507</v>
          </cell>
          <cell r="D8351" t="str">
            <v>Transporte</v>
          </cell>
          <cell r="G8351" t="str">
            <v>Presupuesto</v>
          </cell>
        </row>
        <row r="8352">
          <cell r="A8352" t="str">
            <v>O&amp;B</v>
          </cell>
          <cell r="B8352">
            <v>202507</v>
          </cell>
          <cell r="D8352" t="str">
            <v>Transporte</v>
          </cell>
          <cell r="G8352" t="str">
            <v>Real</v>
          </cell>
        </row>
        <row r="8353">
          <cell r="A8353" t="str">
            <v>O&amp;B</v>
          </cell>
          <cell r="B8353">
            <v>202507</v>
          </cell>
          <cell r="D8353" t="str">
            <v>Venta Cruzada</v>
          </cell>
          <cell r="G8353" t="str">
            <v>Presupuesto</v>
          </cell>
        </row>
        <row r="8354">
          <cell r="A8354" t="str">
            <v>O&amp;B</v>
          </cell>
          <cell r="B8354">
            <v>202507</v>
          </cell>
          <cell r="D8354" t="str">
            <v>Venta Cruzada</v>
          </cell>
          <cell r="G8354" t="str">
            <v>Real</v>
          </cell>
        </row>
        <row r="8355">
          <cell r="A8355" t="str">
            <v>O&amp;B</v>
          </cell>
          <cell r="B8355">
            <v>202507</v>
          </cell>
          <cell r="D8355" t="str">
            <v>Vida Ahorro Colectivo</v>
          </cell>
          <cell r="G8355" t="str">
            <v>Presupuesto</v>
          </cell>
        </row>
        <row r="8356">
          <cell r="A8356" t="str">
            <v>O&amp;B</v>
          </cell>
          <cell r="B8356">
            <v>202507</v>
          </cell>
          <cell r="D8356" t="str">
            <v>Vida Ahorro Particular</v>
          </cell>
          <cell r="G8356" t="str">
            <v>Presupuesto</v>
          </cell>
        </row>
        <row r="8357">
          <cell r="A8357" t="str">
            <v>O&amp;B</v>
          </cell>
          <cell r="B8357">
            <v>202507</v>
          </cell>
          <cell r="D8357" t="str">
            <v>Vida Ahorro Particular</v>
          </cell>
          <cell r="G8357" t="str">
            <v>Real</v>
          </cell>
        </row>
        <row r="8358">
          <cell r="A8358" t="str">
            <v>O&amp;B</v>
          </cell>
          <cell r="B8358">
            <v>202507</v>
          </cell>
          <cell r="D8358" t="str">
            <v>Vida Ganado</v>
          </cell>
          <cell r="G8358" t="str">
            <v>Presupuesto</v>
          </cell>
        </row>
        <row r="8359">
          <cell r="A8359" t="str">
            <v>O&amp;B</v>
          </cell>
          <cell r="B8359">
            <v>202507</v>
          </cell>
          <cell r="D8359" t="str">
            <v>Vida Riesgo Colectivo</v>
          </cell>
          <cell r="G8359" t="str">
            <v>Presupuesto</v>
          </cell>
        </row>
        <row r="8360">
          <cell r="A8360" t="str">
            <v>O&amp;B</v>
          </cell>
          <cell r="B8360">
            <v>202507</v>
          </cell>
          <cell r="D8360" t="str">
            <v>Vida Riesgo Colectivo</v>
          </cell>
          <cell r="G8360" t="str">
            <v>Real</v>
          </cell>
        </row>
        <row r="8361">
          <cell r="A8361" t="str">
            <v>O&amp;B</v>
          </cell>
          <cell r="B8361">
            <v>202507</v>
          </cell>
          <cell r="D8361" t="str">
            <v>Vida Riesgo Particular</v>
          </cell>
          <cell r="G8361" t="str">
            <v>Presupuesto</v>
          </cell>
        </row>
        <row r="8362">
          <cell r="A8362" t="str">
            <v>O&amp;B</v>
          </cell>
          <cell r="B8362">
            <v>202507</v>
          </cell>
          <cell r="D8362" t="str">
            <v>Vida Riesgo Particular</v>
          </cell>
          <cell r="G8362" t="str">
            <v>Real</v>
          </cell>
        </row>
        <row r="8363">
          <cell r="A8363" t="str">
            <v>O&amp;B</v>
          </cell>
          <cell r="B8363">
            <v>202508</v>
          </cell>
          <cell r="D8363" t="str">
            <v>--</v>
          </cell>
          <cell r="G8363" t="str">
            <v>Presupuesto</v>
          </cell>
        </row>
        <row r="8364">
          <cell r="A8364" t="str">
            <v>O&amp;B</v>
          </cell>
          <cell r="B8364">
            <v>202508</v>
          </cell>
          <cell r="D8364" t="str">
            <v>--</v>
          </cell>
          <cell r="G8364" t="str">
            <v>Real</v>
          </cell>
        </row>
        <row r="8365">
          <cell r="A8365" t="str">
            <v>O&amp;B</v>
          </cell>
          <cell r="B8365">
            <v>202508</v>
          </cell>
          <cell r="D8365" t="str">
            <v>Resto de Lineas</v>
          </cell>
          <cell r="G8365" t="str">
            <v>Real</v>
          </cell>
        </row>
        <row r="8366">
          <cell r="A8366" t="str">
            <v>O&amp;B</v>
          </cell>
          <cell r="B8366">
            <v>202508</v>
          </cell>
          <cell r="D8366" t="str">
            <v>Arte</v>
          </cell>
          <cell r="G8366" t="str">
            <v>Presupuesto</v>
          </cell>
        </row>
        <row r="8367">
          <cell r="A8367" t="str">
            <v>O&amp;B</v>
          </cell>
          <cell r="B8367">
            <v>202508</v>
          </cell>
          <cell r="D8367" t="str">
            <v>Autos</v>
          </cell>
          <cell r="G8367" t="str">
            <v>Presupuesto</v>
          </cell>
        </row>
        <row r="8368">
          <cell r="A8368" t="str">
            <v>O&amp;B</v>
          </cell>
          <cell r="B8368">
            <v>202508</v>
          </cell>
          <cell r="D8368" t="str">
            <v>Autos</v>
          </cell>
          <cell r="G8368" t="str">
            <v>Real</v>
          </cell>
        </row>
        <row r="8369">
          <cell r="A8369" t="str">
            <v>O&amp;B</v>
          </cell>
          <cell r="B8369">
            <v>202508</v>
          </cell>
          <cell r="D8369" t="str">
            <v>B2B2C</v>
          </cell>
          <cell r="G8369" t="str">
            <v>Presupuesto</v>
          </cell>
        </row>
        <row r="8370">
          <cell r="A8370" t="str">
            <v>O&amp;B</v>
          </cell>
          <cell r="B8370">
            <v>202508</v>
          </cell>
          <cell r="D8370" t="str">
            <v>Caución</v>
          </cell>
          <cell r="G8370" t="str">
            <v>Presupuesto</v>
          </cell>
        </row>
        <row r="8371">
          <cell r="A8371" t="str">
            <v>O&amp;B</v>
          </cell>
          <cell r="B8371">
            <v>202508</v>
          </cell>
          <cell r="D8371" t="str">
            <v>Caución</v>
          </cell>
          <cell r="G8371" t="str">
            <v>Real</v>
          </cell>
        </row>
        <row r="8372">
          <cell r="A8372" t="str">
            <v>O&amp;B</v>
          </cell>
          <cell r="B8372">
            <v>202508</v>
          </cell>
          <cell r="D8372" t="str">
            <v>Crédito Nacional</v>
          </cell>
          <cell r="G8372" t="str">
            <v>Real</v>
          </cell>
        </row>
        <row r="8373">
          <cell r="A8373" t="str">
            <v>O&amp;B</v>
          </cell>
          <cell r="B8373">
            <v>202508</v>
          </cell>
          <cell r="D8373" t="str">
            <v>Crédito Internacional</v>
          </cell>
          <cell r="G8373" t="str">
            <v>Presupuesto</v>
          </cell>
        </row>
        <row r="8374">
          <cell r="A8374" t="str">
            <v>O&amp;B</v>
          </cell>
          <cell r="B8374">
            <v>202508</v>
          </cell>
          <cell r="D8374" t="str">
            <v>Crédito Nacional</v>
          </cell>
          <cell r="G8374" t="str">
            <v>Presupuesto</v>
          </cell>
        </row>
        <row r="8375">
          <cell r="A8375" t="str">
            <v>O&amp;B</v>
          </cell>
          <cell r="B8375">
            <v>202508</v>
          </cell>
          <cell r="D8375" t="str">
            <v>Eventos</v>
          </cell>
          <cell r="G8375" t="str">
            <v>Presupuesto</v>
          </cell>
        </row>
        <row r="8376">
          <cell r="A8376" t="str">
            <v>O&amp;B</v>
          </cell>
          <cell r="B8376">
            <v>202508</v>
          </cell>
          <cell r="D8376" t="str">
            <v>Eventos</v>
          </cell>
          <cell r="G8376" t="str">
            <v>Real</v>
          </cell>
        </row>
        <row r="8377">
          <cell r="A8377" t="str">
            <v>O&amp;B</v>
          </cell>
          <cell r="B8377">
            <v>202508</v>
          </cell>
          <cell r="D8377" t="str">
            <v>Flotas</v>
          </cell>
          <cell r="G8377" t="str">
            <v>Presupuesto</v>
          </cell>
        </row>
        <row r="8378">
          <cell r="A8378" t="str">
            <v>O&amp;B</v>
          </cell>
          <cell r="B8378">
            <v>202508</v>
          </cell>
          <cell r="D8378" t="str">
            <v>Flotas</v>
          </cell>
          <cell r="G8378" t="str">
            <v>Real</v>
          </cell>
        </row>
        <row r="8379">
          <cell r="A8379" t="str">
            <v>O&amp;B</v>
          </cell>
          <cell r="B8379">
            <v>202508</v>
          </cell>
          <cell r="D8379" t="str">
            <v>Hogar</v>
          </cell>
          <cell r="G8379" t="str">
            <v>Presupuesto</v>
          </cell>
        </row>
        <row r="8380">
          <cell r="A8380" t="str">
            <v>O&amp;B</v>
          </cell>
          <cell r="B8380">
            <v>202508</v>
          </cell>
          <cell r="D8380" t="str">
            <v>Hogar</v>
          </cell>
          <cell r="G8380" t="str">
            <v>Real</v>
          </cell>
        </row>
        <row r="8381">
          <cell r="A8381" t="str">
            <v>O&amp;B</v>
          </cell>
          <cell r="B8381">
            <v>202508</v>
          </cell>
          <cell r="D8381" t="str">
            <v>Ingeniería</v>
          </cell>
          <cell r="G8381" t="str">
            <v>Presupuesto</v>
          </cell>
        </row>
        <row r="8382">
          <cell r="A8382" t="str">
            <v>O&amp;B</v>
          </cell>
          <cell r="B8382">
            <v>202508</v>
          </cell>
          <cell r="D8382" t="str">
            <v>Ingeniería</v>
          </cell>
          <cell r="G8382" t="str">
            <v>Real</v>
          </cell>
        </row>
        <row r="8383">
          <cell r="A8383" t="str">
            <v>O&amp;B</v>
          </cell>
          <cell r="B8383">
            <v>202508</v>
          </cell>
          <cell r="D8383" t="str">
            <v>Inmobiliario</v>
          </cell>
          <cell r="G8383" t="str">
            <v>Presupuesto</v>
          </cell>
        </row>
        <row r="8384">
          <cell r="A8384" t="str">
            <v>O&amp;B</v>
          </cell>
          <cell r="B8384">
            <v>202508</v>
          </cell>
          <cell r="D8384" t="str">
            <v>Líneas Financieras</v>
          </cell>
          <cell r="G8384" t="str">
            <v>Presupuesto</v>
          </cell>
        </row>
        <row r="8385">
          <cell r="A8385" t="str">
            <v>O&amp;B</v>
          </cell>
          <cell r="B8385">
            <v>202508</v>
          </cell>
          <cell r="D8385" t="str">
            <v>Líneas Financieras</v>
          </cell>
          <cell r="G8385" t="str">
            <v>Real</v>
          </cell>
        </row>
        <row r="8386">
          <cell r="A8386" t="str">
            <v>O&amp;B</v>
          </cell>
          <cell r="B8386">
            <v>202508</v>
          </cell>
          <cell r="D8386" t="str">
            <v>Náutica</v>
          </cell>
          <cell r="G8386" t="str">
            <v>Presupuesto</v>
          </cell>
        </row>
        <row r="8387">
          <cell r="A8387" t="str">
            <v>O&amp;B</v>
          </cell>
          <cell r="B8387">
            <v>202508</v>
          </cell>
          <cell r="D8387" t="str">
            <v>Náutica</v>
          </cell>
          <cell r="G8387" t="str">
            <v>Real</v>
          </cell>
        </row>
        <row r="8388">
          <cell r="A8388" t="str">
            <v>O&amp;B</v>
          </cell>
          <cell r="B8388">
            <v>202508</v>
          </cell>
          <cell r="D8388" t="str">
            <v>Particulares Resto</v>
          </cell>
          <cell r="G8388" t="str">
            <v>Presupuesto</v>
          </cell>
        </row>
        <row r="8389">
          <cell r="A8389" t="str">
            <v>O&amp;B</v>
          </cell>
          <cell r="B8389">
            <v>202508</v>
          </cell>
          <cell r="D8389" t="str">
            <v>Particulares Resto</v>
          </cell>
          <cell r="G8389" t="str">
            <v>Real</v>
          </cell>
        </row>
        <row r="8390">
          <cell r="A8390" t="str">
            <v>O&amp;B</v>
          </cell>
          <cell r="B8390">
            <v>202508</v>
          </cell>
          <cell r="D8390" t="str">
            <v>Property</v>
          </cell>
          <cell r="G8390" t="str">
            <v>Presupuesto</v>
          </cell>
        </row>
        <row r="8391">
          <cell r="A8391" t="str">
            <v>O&amp;B</v>
          </cell>
          <cell r="B8391">
            <v>202508</v>
          </cell>
          <cell r="D8391" t="str">
            <v>Property</v>
          </cell>
          <cell r="G8391" t="str">
            <v>Real</v>
          </cell>
        </row>
        <row r="8392">
          <cell r="A8392" t="str">
            <v>O&amp;B</v>
          </cell>
          <cell r="B8392">
            <v>202508</v>
          </cell>
          <cell r="D8392" t="str">
            <v>RC</v>
          </cell>
          <cell r="G8392" t="str">
            <v>Presupuesto</v>
          </cell>
        </row>
        <row r="8393">
          <cell r="A8393" t="str">
            <v>O&amp;B</v>
          </cell>
          <cell r="B8393">
            <v>202508</v>
          </cell>
          <cell r="D8393" t="str">
            <v>RC</v>
          </cell>
          <cell r="G8393" t="str">
            <v>Real</v>
          </cell>
        </row>
        <row r="8394">
          <cell r="A8394" t="str">
            <v>O&amp;B</v>
          </cell>
          <cell r="B8394">
            <v>202508</v>
          </cell>
          <cell r="D8394" t="str">
            <v>Resto de lineas</v>
          </cell>
          <cell r="G8394" t="str">
            <v>Presupuesto</v>
          </cell>
        </row>
        <row r="8395">
          <cell r="A8395" t="str">
            <v>O&amp;B</v>
          </cell>
          <cell r="B8395">
            <v>202508</v>
          </cell>
          <cell r="D8395" t="str">
            <v>Retirada</v>
          </cell>
          <cell r="G8395" t="str">
            <v>Presupuesto</v>
          </cell>
        </row>
        <row r="8396">
          <cell r="A8396" t="str">
            <v>O&amp;B</v>
          </cell>
          <cell r="B8396">
            <v>202508</v>
          </cell>
          <cell r="D8396" t="str">
            <v>Seguros Personales (No Vida) Colectivos</v>
          </cell>
          <cell r="G8396" t="str">
            <v>Presupuesto</v>
          </cell>
        </row>
        <row r="8397">
          <cell r="A8397" t="str">
            <v>O&amp;B</v>
          </cell>
          <cell r="B8397">
            <v>202508</v>
          </cell>
          <cell r="D8397" t="str">
            <v>Seguros Personales (No Vida) Colectivos</v>
          </cell>
          <cell r="G8397" t="str">
            <v>Real</v>
          </cell>
        </row>
        <row r="8398">
          <cell r="A8398" t="str">
            <v>O&amp;B</v>
          </cell>
          <cell r="B8398">
            <v>202508</v>
          </cell>
          <cell r="D8398" t="str">
            <v>Seguros Personales (No Vida) Particular</v>
          </cell>
          <cell r="G8398" t="str">
            <v>Presupuesto</v>
          </cell>
        </row>
        <row r="8399">
          <cell r="A8399" t="str">
            <v>O&amp;B</v>
          </cell>
          <cell r="B8399">
            <v>202508</v>
          </cell>
          <cell r="D8399" t="str">
            <v>Seguros Personales (No Vida) Particular</v>
          </cell>
          <cell r="G8399" t="str">
            <v>Real</v>
          </cell>
        </row>
        <row r="8400">
          <cell r="A8400" t="str">
            <v>O&amp;B</v>
          </cell>
          <cell r="B8400">
            <v>202508</v>
          </cell>
          <cell r="D8400" t="str">
            <v>Transporte</v>
          </cell>
          <cell r="G8400" t="str">
            <v>Presupuesto</v>
          </cell>
        </row>
        <row r="8401">
          <cell r="A8401" t="str">
            <v>O&amp;B</v>
          </cell>
          <cell r="B8401">
            <v>202508</v>
          </cell>
          <cell r="D8401" t="str">
            <v>Transporte</v>
          </cell>
          <cell r="G8401" t="str">
            <v>Real</v>
          </cell>
        </row>
        <row r="8402">
          <cell r="A8402" t="str">
            <v>O&amp;B</v>
          </cell>
          <cell r="B8402">
            <v>202508</v>
          </cell>
          <cell r="D8402" t="str">
            <v>Venta Cruzada</v>
          </cell>
          <cell r="G8402" t="str">
            <v>Presupuesto</v>
          </cell>
        </row>
        <row r="8403">
          <cell r="A8403" t="str">
            <v>O&amp;B</v>
          </cell>
          <cell r="B8403">
            <v>202508</v>
          </cell>
          <cell r="D8403" t="str">
            <v>Venta Cruzada</v>
          </cell>
          <cell r="G8403" t="str">
            <v>Real</v>
          </cell>
        </row>
        <row r="8404">
          <cell r="A8404" t="str">
            <v>O&amp;B</v>
          </cell>
          <cell r="B8404">
            <v>202508</v>
          </cell>
          <cell r="D8404" t="str">
            <v>Vida Ahorro Colectivo</v>
          </cell>
          <cell r="G8404" t="str">
            <v>Presupuesto</v>
          </cell>
        </row>
        <row r="8405">
          <cell r="A8405" t="str">
            <v>O&amp;B</v>
          </cell>
          <cell r="B8405">
            <v>202508</v>
          </cell>
          <cell r="D8405" t="str">
            <v>Vida Ahorro Particular</v>
          </cell>
          <cell r="G8405" t="str">
            <v>Presupuesto</v>
          </cell>
        </row>
        <row r="8406">
          <cell r="A8406" t="str">
            <v>O&amp;B</v>
          </cell>
          <cell r="B8406">
            <v>202508</v>
          </cell>
          <cell r="D8406" t="str">
            <v>Vida Ahorro Particular</v>
          </cell>
          <cell r="G8406" t="str">
            <v>Real</v>
          </cell>
        </row>
        <row r="8407">
          <cell r="A8407" t="str">
            <v>O&amp;B</v>
          </cell>
          <cell r="B8407">
            <v>202508</v>
          </cell>
          <cell r="D8407" t="str">
            <v>Vida Ganado</v>
          </cell>
          <cell r="G8407" t="str">
            <v>Presupuesto</v>
          </cell>
        </row>
        <row r="8408">
          <cell r="A8408" t="str">
            <v>O&amp;B</v>
          </cell>
          <cell r="B8408">
            <v>202508</v>
          </cell>
          <cell r="D8408" t="str">
            <v>Vida Riesgo Colectivo</v>
          </cell>
          <cell r="G8408" t="str">
            <v>Presupuesto</v>
          </cell>
        </row>
        <row r="8409">
          <cell r="A8409" t="str">
            <v>O&amp;B</v>
          </cell>
          <cell r="B8409">
            <v>202508</v>
          </cell>
          <cell r="D8409" t="str">
            <v>Vida Riesgo Colectivo</v>
          </cell>
          <cell r="G8409" t="str">
            <v>Real</v>
          </cell>
        </row>
        <row r="8410">
          <cell r="A8410" t="str">
            <v>O&amp;B</v>
          </cell>
          <cell r="B8410">
            <v>202508</v>
          </cell>
          <cell r="D8410" t="str">
            <v>Vida Riesgo Particular</v>
          </cell>
          <cell r="G8410" t="str">
            <v>Presupuesto</v>
          </cell>
        </row>
        <row r="8411">
          <cell r="A8411" t="str">
            <v>O&amp;B</v>
          </cell>
          <cell r="B8411">
            <v>202508</v>
          </cell>
          <cell r="D8411" t="str">
            <v>Vida Riesgo Particular</v>
          </cell>
          <cell r="G8411" t="str">
            <v>Real</v>
          </cell>
        </row>
        <row r="8412">
          <cell r="A8412" t="str">
            <v>O&amp;B</v>
          </cell>
          <cell r="B8412">
            <v>202509</v>
          </cell>
          <cell r="D8412" t="str">
            <v>--</v>
          </cell>
          <cell r="G8412" t="str">
            <v>Presupuesto</v>
          </cell>
        </row>
        <row r="8413">
          <cell r="A8413" t="str">
            <v>O&amp;B</v>
          </cell>
          <cell r="B8413">
            <v>202509</v>
          </cell>
          <cell r="D8413" t="str">
            <v>--</v>
          </cell>
          <cell r="G8413" t="str">
            <v>Real</v>
          </cell>
        </row>
        <row r="8414">
          <cell r="A8414" t="str">
            <v>O&amp;B</v>
          </cell>
          <cell r="B8414">
            <v>202509</v>
          </cell>
          <cell r="D8414" t="str">
            <v>Resto de Lineas</v>
          </cell>
          <cell r="G8414" t="str">
            <v>Real</v>
          </cell>
        </row>
        <row r="8415">
          <cell r="A8415" t="str">
            <v>O&amp;B</v>
          </cell>
          <cell r="B8415">
            <v>202509</v>
          </cell>
          <cell r="D8415" t="str">
            <v>Arte</v>
          </cell>
          <cell r="G8415" t="str">
            <v>Presupuesto</v>
          </cell>
        </row>
        <row r="8416">
          <cell r="A8416" t="str">
            <v>O&amp;B</v>
          </cell>
          <cell r="B8416">
            <v>202509</v>
          </cell>
          <cell r="D8416" t="str">
            <v>Autos</v>
          </cell>
          <cell r="G8416" t="str">
            <v>Presupuesto</v>
          </cell>
        </row>
        <row r="8417">
          <cell r="A8417" t="str">
            <v>O&amp;B</v>
          </cell>
          <cell r="B8417">
            <v>202509</v>
          </cell>
          <cell r="D8417" t="str">
            <v>Autos</v>
          </cell>
          <cell r="G8417" t="str">
            <v>Real</v>
          </cell>
        </row>
        <row r="8418">
          <cell r="A8418" t="str">
            <v>O&amp;B</v>
          </cell>
          <cell r="B8418">
            <v>202509</v>
          </cell>
          <cell r="D8418" t="str">
            <v>B2B2C</v>
          </cell>
          <cell r="G8418" t="str">
            <v>Presupuesto</v>
          </cell>
        </row>
        <row r="8419">
          <cell r="A8419" t="str">
            <v>O&amp;B</v>
          </cell>
          <cell r="B8419">
            <v>202509</v>
          </cell>
          <cell r="D8419" t="str">
            <v>Caución</v>
          </cell>
          <cell r="G8419" t="str">
            <v>Presupuesto</v>
          </cell>
        </row>
        <row r="8420">
          <cell r="A8420" t="str">
            <v>O&amp;B</v>
          </cell>
          <cell r="B8420">
            <v>202509</v>
          </cell>
          <cell r="D8420" t="str">
            <v>Caución</v>
          </cell>
          <cell r="G8420" t="str">
            <v>Real</v>
          </cell>
        </row>
        <row r="8421">
          <cell r="A8421" t="str">
            <v>O&amp;B</v>
          </cell>
          <cell r="B8421">
            <v>202509</v>
          </cell>
          <cell r="D8421" t="str">
            <v>Crédito Nacional</v>
          </cell>
          <cell r="G8421" t="str">
            <v>Real</v>
          </cell>
        </row>
        <row r="8422">
          <cell r="A8422" t="str">
            <v>O&amp;B</v>
          </cell>
          <cell r="B8422">
            <v>202509</v>
          </cell>
          <cell r="D8422" t="str">
            <v>Crédito Internacional</v>
          </cell>
          <cell r="G8422" t="str">
            <v>Presupuesto</v>
          </cell>
        </row>
        <row r="8423">
          <cell r="A8423" t="str">
            <v>O&amp;B</v>
          </cell>
          <cell r="B8423">
            <v>202509</v>
          </cell>
          <cell r="D8423" t="str">
            <v>Crédito Nacional</v>
          </cell>
          <cell r="G8423" t="str">
            <v>Presupuesto</v>
          </cell>
        </row>
        <row r="8424">
          <cell r="A8424" t="str">
            <v>O&amp;B</v>
          </cell>
          <cell r="B8424">
            <v>202509</v>
          </cell>
          <cell r="D8424" t="str">
            <v>Eventos</v>
          </cell>
          <cell r="G8424" t="str">
            <v>Presupuesto</v>
          </cell>
        </row>
        <row r="8425">
          <cell r="A8425" t="str">
            <v>O&amp;B</v>
          </cell>
          <cell r="B8425">
            <v>202509</v>
          </cell>
          <cell r="D8425" t="str">
            <v>Eventos</v>
          </cell>
          <cell r="G8425" t="str">
            <v>Real</v>
          </cell>
        </row>
        <row r="8426">
          <cell r="A8426" t="str">
            <v>O&amp;B</v>
          </cell>
          <cell r="B8426">
            <v>202509</v>
          </cell>
          <cell r="D8426" t="str">
            <v>Flotas</v>
          </cell>
          <cell r="G8426" t="str">
            <v>Presupuesto</v>
          </cell>
        </row>
        <row r="8427">
          <cell r="A8427" t="str">
            <v>O&amp;B</v>
          </cell>
          <cell r="B8427">
            <v>202509</v>
          </cell>
          <cell r="D8427" t="str">
            <v>Flotas</v>
          </cell>
          <cell r="G8427" t="str">
            <v>Real</v>
          </cell>
        </row>
        <row r="8428">
          <cell r="A8428" t="str">
            <v>O&amp;B</v>
          </cell>
          <cell r="B8428">
            <v>202509</v>
          </cell>
          <cell r="D8428" t="str">
            <v>Hogar</v>
          </cell>
          <cell r="G8428" t="str">
            <v>Presupuesto</v>
          </cell>
        </row>
        <row r="8429">
          <cell r="A8429" t="str">
            <v>O&amp;B</v>
          </cell>
          <cell r="B8429">
            <v>202509</v>
          </cell>
          <cell r="D8429" t="str">
            <v>Hogar</v>
          </cell>
          <cell r="G8429" t="str">
            <v>Real</v>
          </cell>
        </row>
        <row r="8430">
          <cell r="A8430" t="str">
            <v>O&amp;B</v>
          </cell>
          <cell r="B8430">
            <v>202509</v>
          </cell>
          <cell r="D8430" t="str">
            <v>Ingeniería</v>
          </cell>
          <cell r="G8430" t="str">
            <v>Presupuesto</v>
          </cell>
        </row>
        <row r="8431">
          <cell r="A8431" t="str">
            <v>O&amp;B</v>
          </cell>
          <cell r="B8431">
            <v>202509</v>
          </cell>
          <cell r="D8431" t="str">
            <v>Ingeniería</v>
          </cell>
          <cell r="G8431" t="str">
            <v>Real</v>
          </cell>
        </row>
        <row r="8432">
          <cell r="A8432" t="str">
            <v>O&amp;B</v>
          </cell>
          <cell r="B8432">
            <v>202509</v>
          </cell>
          <cell r="D8432" t="str">
            <v>Inmobiliario</v>
          </cell>
          <cell r="G8432" t="str">
            <v>Presupuesto</v>
          </cell>
        </row>
        <row r="8433">
          <cell r="A8433" t="str">
            <v>O&amp;B</v>
          </cell>
          <cell r="B8433">
            <v>202509</v>
          </cell>
          <cell r="D8433" t="str">
            <v>Líneas Financieras</v>
          </cell>
          <cell r="G8433" t="str">
            <v>Presupuesto</v>
          </cell>
        </row>
        <row r="8434">
          <cell r="A8434" t="str">
            <v>O&amp;B</v>
          </cell>
          <cell r="B8434">
            <v>202509</v>
          </cell>
          <cell r="D8434" t="str">
            <v>Líneas Financieras</v>
          </cell>
          <cell r="G8434" t="str">
            <v>Real</v>
          </cell>
        </row>
        <row r="8435">
          <cell r="A8435" t="str">
            <v>O&amp;B</v>
          </cell>
          <cell r="B8435">
            <v>202509</v>
          </cell>
          <cell r="D8435" t="str">
            <v>Náutica</v>
          </cell>
          <cell r="G8435" t="str">
            <v>Presupuesto</v>
          </cell>
        </row>
        <row r="8436">
          <cell r="A8436" t="str">
            <v>O&amp;B</v>
          </cell>
          <cell r="B8436">
            <v>202509</v>
          </cell>
          <cell r="D8436" t="str">
            <v>Náutica</v>
          </cell>
          <cell r="G8436" t="str">
            <v>Real</v>
          </cell>
        </row>
        <row r="8437">
          <cell r="A8437" t="str">
            <v>O&amp;B</v>
          </cell>
          <cell r="B8437">
            <v>202509</v>
          </cell>
          <cell r="D8437" t="str">
            <v>Particulares Resto</v>
          </cell>
          <cell r="G8437" t="str">
            <v>Presupuesto</v>
          </cell>
        </row>
        <row r="8438">
          <cell r="A8438" t="str">
            <v>O&amp;B</v>
          </cell>
          <cell r="B8438">
            <v>202509</v>
          </cell>
          <cell r="D8438" t="str">
            <v>Particulares Resto</v>
          </cell>
          <cell r="G8438" t="str">
            <v>Real</v>
          </cell>
        </row>
        <row r="8439">
          <cell r="A8439" t="str">
            <v>O&amp;B</v>
          </cell>
          <cell r="B8439">
            <v>202509</v>
          </cell>
          <cell r="D8439" t="str">
            <v>Property</v>
          </cell>
          <cell r="G8439" t="str">
            <v>Presupuesto</v>
          </cell>
        </row>
        <row r="8440">
          <cell r="A8440" t="str">
            <v>O&amp;B</v>
          </cell>
          <cell r="B8440">
            <v>202509</v>
          </cell>
          <cell r="D8440" t="str">
            <v>Property</v>
          </cell>
          <cell r="G8440" t="str">
            <v>Real</v>
          </cell>
        </row>
        <row r="8441">
          <cell r="A8441" t="str">
            <v>O&amp;B</v>
          </cell>
          <cell r="B8441">
            <v>202509</v>
          </cell>
          <cell r="D8441" t="str">
            <v>RC</v>
          </cell>
          <cell r="G8441" t="str">
            <v>Presupuesto</v>
          </cell>
        </row>
        <row r="8442">
          <cell r="A8442" t="str">
            <v>O&amp;B</v>
          </cell>
          <cell r="B8442">
            <v>202509</v>
          </cell>
          <cell r="D8442" t="str">
            <v>RC</v>
          </cell>
          <cell r="G8442" t="str">
            <v>Real</v>
          </cell>
        </row>
        <row r="8443">
          <cell r="A8443" t="str">
            <v>O&amp;B</v>
          </cell>
          <cell r="B8443">
            <v>202509</v>
          </cell>
          <cell r="D8443" t="str">
            <v>Resto de lineas</v>
          </cell>
          <cell r="G8443" t="str">
            <v>Presupuesto</v>
          </cell>
        </row>
        <row r="8444">
          <cell r="A8444" t="str">
            <v>O&amp;B</v>
          </cell>
          <cell r="B8444">
            <v>202509</v>
          </cell>
          <cell r="D8444" t="str">
            <v>Retirada</v>
          </cell>
          <cell r="G8444" t="str">
            <v>Presupuesto</v>
          </cell>
        </row>
        <row r="8445">
          <cell r="A8445" t="str">
            <v>O&amp;B</v>
          </cell>
          <cell r="B8445">
            <v>202509</v>
          </cell>
          <cell r="D8445" t="str">
            <v>Seguros Personales (No Vida) Colectivos</v>
          </cell>
          <cell r="G8445" t="str">
            <v>Presupuesto</v>
          </cell>
        </row>
        <row r="8446">
          <cell r="A8446" t="str">
            <v>O&amp;B</v>
          </cell>
          <cell r="B8446">
            <v>202509</v>
          </cell>
          <cell r="D8446" t="str">
            <v>Seguros Personales (No Vida) Colectivos</v>
          </cell>
          <cell r="G8446" t="str">
            <v>Real</v>
          </cell>
        </row>
        <row r="8447">
          <cell r="A8447" t="str">
            <v>O&amp;B</v>
          </cell>
          <cell r="B8447">
            <v>202509</v>
          </cell>
          <cell r="D8447" t="str">
            <v>Seguros Personales (No Vida) Particular</v>
          </cell>
          <cell r="G8447" t="str">
            <v>Presupuesto</v>
          </cell>
        </row>
        <row r="8448">
          <cell r="A8448" t="str">
            <v>O&amp;B</v>
          </cell>
          <cell r="B8448">
            <v>202509</v>
          </cell>
          <cell r="D8448" t="str">
            <v>Seguros Personales (No Vida) Particular</v>
          </cell>
          <cell r="G8448" t="str">
            <v>Real</v>
          </cell>
        </row>
        <row r="8449">
          <cell r="A8449" t="str">
            <v>O&amp;B</v>
          </cell>
          <cell r="B8449">
            <v>202509</v>
          </cell>
          <cell r="D8449" t="str">
            <v>Transporte</v>
          </cell>
          <cell r="G8449" t="str">
            <v>Presupuesto</v>
          </cell>
        </row>
        <row r="8450">
          <cell r="A8450" t="str">
            <v>O&amp;B</v>
          </cell>
          <cell r="B8450">
            <v>202509</v>
          </cell>
          <cell r="D8450" t="str">
            <v>Transporte</v>
          </cell>
          <cell r="G8450" t="str">
            <v>Real</v>
          </cell>
        </row>
        <row r="8451">
          <cell r="A8451" t="str">
            <v>O&amp;B</v>
          </cell>
          <cell r="B8451">
            <v>202509</v>
          </cell>
          <cell r="D8451" t="str">
            <v>Venta Cruzada</v>
          </cell>
          <cell r="G8451" t="str">
            <v>Presupuesto</v>
          </cell>
        </row>
        <row r="8452">
          <cell r="A8452" t="str">
            <v>O&amp;B</v>
          </cell>
          <cell r="B8452">
            <v>202509</v>
          </cell>
          <cell r="D8452" t="str">
            <v>Venta Cruzada</v>
          </cell>
          <cell r="G8452" t="str">
            <v>Real</v>
          </cell>
        </row>
        <row r="8453">
          <cell r="A8453" t="str">
            <v>O&amp;B</v>
          </cell>
          <cell r="B8453">
            <v>202509</v>
          </cell>
          <cell r="D8453" t="str">
            <v>Vida Ahorro Colectivo</v>
          </cell>
          <cell r="G8453" t="str">
            <v>Presupuesto</v>
          </cell>
        </row>
        <row r="8454">
          <cell r="A8454" t="str">
            <v>O&amp;B</v>
          </cell>
          <cell r="B8454">
            <v>202509</v>
          </cell>
          <cell r="D8454" t="str">
            <v>Vida Ahorro Particular</v>
          </cell>
          <cell r="G8454" t="str">
            <v>Presupuesto</v>
          </cell>
        </row>
        <row r="8455">
          <cell r="A8455" t="str">
            <v>O&amp;B</v>
          </cell>
          <cell r="B8455">
            <v>202509</v>
          </cell>
          <cell r="D8455" t="str">
            <v>Vida Ahorro Particular</v>
          </cell>
          <cell r="G8455" t="str">
            <v>Real</v>
          </cell>
        </row>
        <row r="8456">
          <cell r="A8456" t="str">
            <v>O&amp;B</v>
          </cell>
          <cell r="B8456">
            <v>202509</v>
          </cell>
          <cell r="D8456" t="str">
            <v>Vida Ganado</v>
          </cell>
          <cell r="G8456" t="str">
            <v>Presupuesto</v>
          </cell>
        </row>
        <row r="8457">
          <cell r="A8457" t="str">
            <v>O&amp;B</v>
          </cell>
          <cell r="B8457">
            <v>202509</v>
          </cell>
          <cell r="D8457" t="str">
            <v>Vida Riesgo Colectivo</v>
          </cell>
          <cell r="G8457" t="str">
            <v>Presupuesto</v>
          </cell>
        </row>
        <row r="8458">
          <cell r="A8458" t="str">
            <v>O&amp;B</v>
          </cell>
          <cell r="B8458">
            <v>202509</v>
          </cell>
          <cell r="D8458" t="str">
            <v>Vida Riesgo Colectivo</v>
          </cell>
          <cell r="G8458" t="str">
            <v>Real</v>
          </cell>
        </row>
        <row r="8459">
          <cell r="A8459" t="str">
            <v>O&amp;B</v>
          </cell>
          <cell r="B8459">
            <v>202509</v>
          </cell>
          <cell r="D8459" t="str">
            <v>Vida Riesgo Particular</v>
          </cell>
          <cell r="G8459" t="str">
            <v>Presupuesto</v>
          </cell>
        </row>
        <row r="8460">
          <cell r="A8460" t="str">
            <v>O&amp;B</v>
          </cell>
          <cell r="B8460">
            <v>202509</v>
          </cell>
          <cell r="D8460" t="str">
            <v>Vida Riesgo Particular</v>
          </cell>
          <cell r="G8460" t="str">
            <v>Real</v>
          </cell>
        </row>
        <row r="8461">
          <cell r="A8461" t="str">
            <v>O&amp;B</v>
          </cell>
          <cell r="B8461">
            <v>202510</v>
          </cell>
          <cell r="D8461" t="str">
            <v>--</v>
          </cell>
          <cell r="G8461" t="str">
            <v>Presupuesto</v>
          </cell>
        </row>
        <row r="8462">
          <cell r="A8462" t="str">
            <v>O&amp;B</v>
          </cell>
          <cell r="B8462">
            <v>202510</v>
          </cell>
          <cell r="D8462" t="str">
            <v>--</v>
          </cell>
          <cell r="G8462" t="str">
            <v>Real</v>
          </cell>
        </row>
        <row r="8463">
          <cell r="A8463" t="str">
            <v>O&amp;B</v>
          </cell>
          <cell r="B8463">
            <v>202510</v>
          </cell>
          <cell r="D8463" t="str">
            <v>Resto de Lineas</v>
          </cell>
          <cell r="G8463" t="str">
            <v>Real</v>
          </cell>
        </row>
        <row r="8464">
          <cell r="A8464" t="str">
            <v>O&amp;B</v>
          </cell>
          <cell r="B8464">
            <v>202510</v>
          </cell>
          <cell r="D8464" t="str">
            <v>Arte</v>
          </cell>
          <cell r="G8464" t="str">
            <v>Presupuesto</v>
          </cell>
        </row>
        <row r="8465">
          <cell r="A8465" t="str">
            <v>O&amp;B</v>
          </cell>
          <cell r="B8465">
            <v>202510</v>
          </cell>
          <cell r="D8465" t="str">
            <v>Autos</v>
          </cell>
          <cell r="G8465" t="str">
            <v>Presupuesto</v>
          </cell>
        </row>
        <row r="8466">
          <cell r="A8466" t="str">
            <v>O&amp;B</v>
          </cell>
          <cell r="B8466">
            <v>202510</v>
          </cell>
          <cell r="D8466" t="str">
            <v>Autos</v>
          </cell>
          <cell r="G8466" t="str">
            <v>Real</v>
          </cell>
        </row>
        <row r="8467">
          <cell r="A8467" t="str">
            <v>O&amp;B</v>
          </cell>
          <cell r="B8467">
            <v>202510</v>
          </cell>
          <cell r="D8467" t="str">
            <v>B2B2C</v>
          </cell>
          <cell r="G8467" t="str">
            <v>Presupuesto</v>
          </cell>
        </row>
        <row r="8468">
          <cell r="A8468" t="str">
            <v>O&amp;B</v>
          </cell>
          <cell r="B8468">
            <v>202510</v>
          </cell>
          <cell r="D8468" t="str">
            <v>Caución</v>
          </cell>
          <cell r="G8468" t="str">
            <v>Presupuesto</v>
          </cell>
        </row>
        <row r="8469">
          <cell r="A8469" t="str">
            <v>O&amp;B</v>
          </cell>
          <cell r="B8469">
            <v>202510</v>
          </cell>
          <cell r="D8469" t="str">
            <v>Caución</v>
          </cell>
          <cell r="G8469" t="str">
            <v>Real</v>
          </cell>
        </row>
        <row r="8470">
          <cell r="A8470" t="str">
            <v>O&amp;B</v>
          </cell>
          <cell r="B8470">
            <v>202510</v>
          </cell>
          <cell r="D8470" t="str">
            <v>Crédito Nacional</v>
          </cell>
          <cell r="G8470" t="str">
            <v>Real</v>
          </cell>
        </row>
        <row r="8471">
          <cell r="A8471" t="str">
            <v>O&amp;B</v>
          </cell>
          <cell r="B8471">
            <v>202510</v>
          </cell>
          <cell r="D8471" t="str">
            <v>Crédito Internacional</v>
          </cell>
          <cell r="G8471" t="str">
            <v>Presupuesto</v>
          </cell>
        </row>
        <row r="8472">
          <cell r="A8472" t="str">
            <v>O&amp;B</v>
          </cell>
          <cell r="B8472">
            <v>202510</v>
          </cell>
          <cell r="D8472" t="str">
            <v>Crédito Nacional</v>
          </cell>
          <cell r="G8472" t="str">
            <v>Presupuesto</v>
          </cell>
        </row>
        <row r="8473">
          <cell r="A8473" t="str">
            <v>O&amp;B</v>
          </cell>
          <cell r="B8473">
            <v>202510</v>
          </cell>
          <cell r="D8473" t="str">
            <v>Eventos</v>
          </cell>
          <cell r="G8473" t="str">
            <v>Presupuesto</v>
          </cell>
        </row>
        <row r="8474">
          <cell r="A8474" t="str">
            <v>O&amp;B</v>
          </cell>
          <cell r="B8474">
            <v>202510</v>
          </cell>
          <cell r="D8474" t="str">
            <v>Eventos</v>
          </cell>
          <cell r="G8474" t="str">
            <v>Real</v>
          </cell>
        </row>
        <row r="8475">
          <cell r="A8475" t="str">
            <v>O&amp;B</v>
          </cell>
          <cell r="B8475">
            <v>202510</v>
          </cell>
          <cell r="D8475" t="str">
            <v>Flotas</v>
          </cell>
          <cell r="G8475" t="str">
            <v>Presupuesto</v>
          </cell>
        </row>
        <row r="8476">
          <cell r="A8476" t="str">
            <v>O&amp;B</v>
          </cell>
          <cell r="B8476">
            <v>202510</v>
          </cell>
          <cell r="D8476" t="str">
            <v>Flotas</v>
          </cell>
          <cell r="G8476" t="str">
            <v>Real</v>
          </cell>
        </row>
        <row r="8477">
          <cell r="A8477" t="str">
            <v>O&amp;B</v>
          </cell>
          <cell r="B8477">
            <v>202510</v>
          </cell>
          <cell r="D8477" t="str">
            <v>Hogar</v>
          </cell>
          <cell r="G8477" t="str">
            <v>Presupuesto</v>
          </cell>
        </row>
        <row r="8478">
          <cell r="A8478" t="str">
            <v>O&amp;B</v>
          </cell>
          <cell r="B8478">
            <v>202510</v>
          </cell>
          <cell r="D8478" t="str">
            <v>Hogar</v>
          </cell>
          <cell r="G8478" t="str">
            <v>Real</v>
          </cell>
        </row>
        <row r="8479">
          <cell r="A8479" t="str">
            <v>O&amp;B</v>
          </cell>
          <cell r="B8479">
            <v>202510</v>
          </cell>
          <cell r="D8479" t="str">
            <v>Ingeniería</v>
          </cell>
          <cell r="G8479" t="str">
            <v>Presupuesto</v>
          </cell>
        </row>
        <row r="8480">
          <cell r="A8480" t="str">
            <v>O&amp;B</v>
          </cell>
          <cell r="B8480">
            <v>202510</v>
          </cell>
          <cell r="D8480" t="str">
            <v>Ingeniería</v>
          </cell>
          <cell r="G8480" t="str">
            <v>Real</v>
          </cell>
        </row>
        <row r="8481">
          <cell r="A8481" t="str">
            <v>O&amp;B</v>
          </cell>
          <cell r="B8481">
            <v>202510</v>
          </cell>
          <cell r="D8481" t="str">
            <v>Inmobiliario</v>
          </cell>
          <cell r="G8481" t="str">
            <v>Presupuesto</v>
          </cell>
        </row>
        <row r="8482">
          <cell r="A8482" t="str">
            <v>O&amp;B</v>
          </cell>
          <cell r="B8482">
            <v>202510</v>
          </cell>
          <cell r="D8482" t="str">
            <v>Líneas Financieras</v>
          </cell>
          <cell r="G8482" t="str">
            <v>Presupuesto</v>
          </cell>
        </row>
        <row r="8483">
          <cell r="A8483" t="str">
            <v>O&amp;B</v>
          </cell>
          <cell r="B8483">
            <v>202510</v>
          </cell>
          <cell r="D8483" t="str">
            <v>Líneas Financieras</v>
          </cell>
          <cell r="G8483" t="str">
            <v>Real</v>
          </cell>
        </row>
        <row r="8484">
          <cell r="A8484" t="str">
            <v>O&amp;B</v>
          </cell>
          <cell r="B8484">
            <v>202510</v>
          </cell>
          <cell r="D8484" t="str">
            <v>Náutica</v>
          </cell>
          <cell r="G8484" t="str">
            <v>Presupuesto</v>
          </cell>
        </row>
        <row r="8485">
          <cell r="A8485" t="str">
            <v>O&amp;B</v>
          </cell>
          <cell r="B8485">
            <v>202510</v>
          </cell>
          <cell r="D8485" t="str">
            <v>Náutica</v>
          </cell>
          <cell r="G8485" t="str">
            <v>Real</v>
          </cell>
        </row>
        <row r="8486">
          <cell r="A8486" t="str">
            <v>O&amp;B</v>
          </cell>
          <cell r="B8486">
            <v>202510</v>
          </cell>
          <cell r="D8486" t="str">
            <v>Particulares Resto</v>
          </cell>
          <cell r="G8486" t="str">
            <v>Presupuesto</v>
          </cell>
        </row>
        <row r="8487">
          <cell r="A8487" t="str">
            <v>O&amp;B</v>
          </cell>
          <cell r="B8487">
            <v>202510</v>
          </cell>
          <cell r="D8487" t="str">
            <v>Particulares Resto</v>
          </cell>
          <cell r="G8487" t="str">
            <v>Real</v>
          </cell>
        </row>
        <row r="8488">
          <cell r="A8488" t="str">
            <v>O&amp;B</v>
          </cell>
          <cell r="B8488">
            <v>202510</v>
          </cell>
          <cell r="D8488" t="str">
            <v>Property</v>
          </cell>
          <cell r="G8488" t="str">
            <v>Presupuesto</v>
          </cell>
        </row>
        <row r="8489">
          <cell r="A8489" t="str">
            <v>O&amp;B</v>
          </cell>
          <cell r="B8489">
            <v>202510</v>
          </cell>
          <cell r="D8489" t="str">
            <v>Property</v>
          </cell>
          <cell r="G8489" t="str">
            <v>Real</v>
          </cell>
        </row>
        <row r="8490">
          <cell r="A8490" t="str">
            <v>O&amp;B</v>
          </cell>
          <cell r="B8490">
            <v>202510</v>
          </cell>
          <cell r="D8490" t="str">
            <v>RC</v>
          </cell>
          <cell r="G8490" t="str">
            <v>Presupuesto</v>
          </cell>
        </row>
        <row r="8491">
          <cell r="A8491" t="str">
            <v>O&amp;B</v>
          </cell>
          <cell r="B8491">
            <v>202510</v>
          </cell>
          <cell r="D8491" t="str">
            <v>RC</v>
          </cell>
          <cell r="G8491" t="str">
            <v>Real</v>
          </cell>
        </row>
        <row r="8492">
          <cell r="A8492" t="str">
            <v>O&amp;B</v>
          </cell>
          <cell r="B8492">
            <v>202510</v>
          </cell>
          <cell r="D8492" t="str">
            <v>Resto de lineas</v>
          </cell>
          <cell r="G8492" t="str">
            <v>Presupuesto</v>
          </cell>
        </row>
        <row r="8493">
          <cell r="A8493" t="str">
            <v>O&amp;B</v>
          </cell>
          <cell r="B8493">
            <v>202510</v>
          </cell>
          <cell r="D8493" t="str">
            <v>Retirada</v>
          </cell>
          <cell r="G8493" t="str">
            <v>Presupuesto</v>
          </cell>
        </row>
        <row r="8494">
          <cell r="A8494" t="str">
            <v>O&amp;B</v>
          </cell>
          <cell r="B8494">
            <v>202510</v>
          </cell>
          <cell r="D8494" t="str">
            <v>Seguros Personales (No Vida) Colectivos</v>
          </cell>
          <cell r="G8494" t="str">
            <v>Presupuesto</v>
          </cell>
        </row>
        <row r="8495">
          <cell r="A8495" t="str">
            <v>O&amp;B</v>
          </cell>
          <cell r="B8495">
            <v>202510</v>
          </cell>
          <cell r="D8495" t="str">
            <v>Seguros Personales (No Vida) Colectivos</v>
          </cell>
          <cell r="G8495" t="str">
            <v>Real</v>
          </cell>
        </row>
        <row r="8496">
          <cell r="A8496" t="str">
            <v>O&amp;B</v>
          </cell>
          <cell r="B8496">
            <v>202510</v>
          </cell>
          <cell r="D8496" t="str">
            <v>Seguros Personales (No Vida) Particular</v>
          </cell>
          <cell r="G8496" t="str">
            <v>Presupuesto</v>
          </cell>
        </row>
        <row r="8497">
          <cell r="A8497" t="str">
            <v>O&amp;B</v>
          </cell>
          <cell r="B8497">
            <v>202510</v>
          </cell>
          <cell r="D8497" t="str">
            <v>Seguros Personales (No Vida) Particular</v>
          </cell>
          <cell r="G8497" t="str">
            <v>Real</v>
          </cell>
        </row>
        <row r="8498">
          <cell r="A8498" t="str">
            <v>O&amp;B</v>
          </cell>
          <cell r="B8498">
            <v>202510</v>
          </cell>
          <cell r="D8498" t="str">
            <v>Transporte</v>
          </cell>
          <cell r="G8498" t="str">
            <v>Presupuesto</v>
          </cell>
        </row>
        <row r="8499">
          <cell r="A8499" t="str">
            <v>O&amp;B</v>
          </cell>
          <cell r="B8499">
            <v>202510</v>
          </cell>
          <cell r="D8499" t="str">
            <v>Transporte</v>
          </cell>
          <cell r="G8499" t="str">
            <v>Real</v>
          </cell>
        </row>
        <row r="8500">
          <cell r="A8500" t="str">
            <v>O&amp;B</v>
          </cell>
          <cell r="B8500">
            <v>202510</v>
          </cell>
          <cell r="D8500" t="str">
            <v>Venta Cruzada</v>
          </cell>
          <cell r="G8500" t="str">
            <v>Presupuesto</v>
          </cell>
        </row>
        <row r="8501">
          <cell r="A8501" t="str">
            <v>O&amp;B</v>
          </cell>
          <cell r="B8501">
            <v>202510</v>
          </cell>
          <cell r="D8501" t="str">
            <v>Venta Cruzada</v>
          </cell>
          <cell r="G8501" t="str">
            <v>Real</v>
          </cell>
        </row>
        <row r="8502">
          <cell r="A8502" t="str">
            <v>O&amp;B</v>
          </cell>
          <cell r="B8502">
            <v>202510</v>
          </cell>
          <cell r="D8502" t="str">
            <v>Vida Ahorro Colectivo</v>
          </cell>
          <cell r="G8502" t="str">
            <v>Presupuesto</v>
          </cell>
        </row>
        <row r="8503">
          <cell r="A8503" t="str">
            <v>O&amp;B</v>
          </cell>
          <cell r="B8503">
            <v>202510</v>
          </cell>
          <cell r="D8503" t="str">
            <v>Vida Ahorro Particular</v>
          </cell>
          <cell r="G8503" t="str">
            <v>Presupuesto</v>
          </cell>
        </row>
        <row r="8504">
          <cell r="A8504" t="str">
            <v>O&amp;B</v>
          </cell>
          <cell r="B8504">
            <v>202510</v>
          </cell>
          <cell r="D8504" t="str">
            <v>Vida Ahorro Particular</v>
          </cell>
          <cell r="G8504" t="str">
            <v>Real</v>
          </cell>
        </row>
        <row r="8505">
          <cell r="A8505" t="str">
            <v>O&amp;B</v>
          </cell>
          <cell r="B8505">
            <v>202510</v>
          </cell>
          <cell r="D8505" t="str">
            <v>Vida Ganado</v>
          </cell>
          <cell r="G8505" t="str">
            <v>Presupuesto</v>
          </cell>
        </row>
        <row r="8506">
          <cell r="A8506" t="str">
            <v>O&amp;B</v>
          </cell>
          <cell r="B8506">
            <v>202510</v>
          </cell>
          <cell r="D8506" t="str">
            <v>Vida Riesgo Colectivo</v>
          </cell>
          <cell r="G8506" t="str">
            <v>Presupuesto</v>
          </cell>
        </row>
        <row r="8507">
          <cell r="A8507" t="str">
            <v>O&amp;B</v>
          </cell>
          <cell r="B8507">
            <v>202510</v>
          </cell>
          <cell r="D8507" t="str">
            <v>Vida Riesgo Colectivo</v>
          </cell>
          <cell r="G8507" t="str">
            <v>Real</v>
          </cell>
        </row>
        <row r="8508">
          <cell r="A8508" t="str">
            <v>O&amp;B</v>
          </cell>
          <cell r="B8508">
            <v>202510</v>
          </cell>
          <cell r="D8508" t="str">
            <v>Vida Riesgo Particular</v>
          </cell>
          <cell r="G8508" t="str">
            <v>Presupuesto</v>
          </cell>
        </row>
        <row r="8509">
          <cell r="A8509" t="str">
            <v>O&amp;B</v>
          </cell>
          <cell r="B8509">
            <v>202510</v>
          </cell>
          <cell r="D8509" t="str">
            <v>Vida Riesgo Particular</v>
          </cell>
          <cell r="G8509" t="str">
            <v>Real</v>
          </cell>
        </row>
        <row r="8510">
          <cell r="A8510" t="str">
            <v>O&amp;B</v>
          </cell>
          <cell r="B8510">
            <v>202511</v>
          </cell>
          <cell r="D8510" t="str">
            <v>--</v>
          </cell>
          <cell r="G8510" t="str">
            <v>Presupuesto</v>
          </cell>
        </row>
        <row r="8511">
          <cell r="A8511" t="str">
            <v>O&amp;B</v>
          </cell>
          <cell r="B8511">
            <v>202511</v>
          </cell>
          <cell r="D8511" t="str">
            <v>--</v>
          </cell>
          <cell r="G8511" t="str">
            <v>Real</v>
          </cell>
        </row>
        <row r="8512">
          <cell r="A8512" t="str">
            <v>O&amp;B</v>
          </cell>
          <cell r="B8512">
            <v>202511</v>
          </cell>
          <cell r="D8512" t="str">
            <v>Resto de Lineas</v>
          </cell>
          <cell r="G8512" t="str">
            <v>Real</v>
          </cell>
        </row>
        <row r="8513">
          <cell r="A8513" t="str">
            <v>O&amp;B</v>
          </cell>
          <cell r="B8513">
            <v>202511</v>
          </cell>
          <cell r="D8513" t="str">
            <v>Arte</v>
          </cell>
          <cell r="G8513" t="str">
            <v>Presupuesto</v>
          </cell>
        </row>
        <row r="8514">
          <cell r="A8514" t="str">
            <v>O&amp;B</v>
          </cell>
          <cell r="B8514">
            <v>202511</v>
          </cell>
          <cell r="D8514" t="str">
            <v>Autos</v>
          </cell>
          <cell r="G8514" t="str">
            <v>Presupuesto</v>
          </cell>
        </row>
        <row r="8515">
          <cell r="A8515" t="str">
            <v>O&amp;B</v>
          </cell>
          <cell r="B8515">
            <v>202511</v>
          </cell>
          <cell r="D8515" t="str">
            <v>Autos</v>
          </cell>
          <cell r="G8515" t="str">
            <v>Real</v>
          </cell>
        </row>
        <row r="8516">
          <cell r="A8516" t="str">
            <v>O&amp;B</v>
          </cell>
          <cell r="B8516">
            <v>202511</v>
          </cell>
          <cell r="D8516" t="str">
            <v>B2B2C</v>
          </cell>
          <cell r="G8516" t="str">
            <v>Presupuesto</v>
          </cell>
        </row>
        <row r="8517">
          <cell r="A8517" t="str">
            <v>O&amp;B</v>
          </cell>
          <cell r="B8517">
            <v>202511</v>
          </cell>
          <cell r="D8517" t="str">
            <v>Caución</v>
          </cell>
          <cell r="G8517" t="str">
            <v>Presupuesto</v>
          </cell>
        </row>
        <row r="8518">
          <cell r="A8518" t="str">
            <v>O&amp;B</v>
          </cell>
          <cell r="B8518">
            <v>202511</v>
          </cell>
          <cell r="D8518" t="str">
            <v>Caución</v>
          </cell>
          <cell r="G8518" t="str">
            <v>Real</v>
          </cell>
        </row>
        <row r="8519">
          <cell r="A8519" t="str">
            <v>O&amp;B</v>
          </cell>
          <cell r="B8519">
            <v>202511</v>
          </cell>
          <cell r="D8519" t="str">
            <v>Crédito Nacional</v>
          </cell>
          <cell r="G8519" t="str">
            <v>Real</v>
          </cell>
        </row>
        <row r="8520">
          <cell r="A8520" t="str">
            <v>O&amp;B</v>
          </cell>
          <cell r="B8520">
            <v>202511</v>
          </cell>
          <cell r="D8520" t="str">
            <v>Crédito Internacional</v>
          </cell>
          <cell r="G8520" t="str">
            <v>Presupuesto</v>
          </cell>
        </row>
        <row r="8521">
          <cell r="A8521" t="str">
            <v>O&amp;B</v>
          </cell>
          <cell r="B8521">
            <v>202511</v>
          </cell>
          <cell r="D8521" t="str">
            <v>Crédito Nacional</v>
          </cell>
          <cell r="G8521" t="str">
            <v>Presupuesto</v>
          </cell>
        </row>
        <row r="8522">
          <cell r="A8522" t="str">
            <v>O&amp;B</v>
          </cell>
          <cell r="B8522">
            <v>202511</v>
          </cell>
          <cell r="D8522" t="str">
            <v>Eventos</v>
          </cell>
          <cell r="G8522" t="str">
            <v>Presupuesto</v>
          </cell>
        </row>
        <row r="8523">
          <cell r="A8523" t="str">
            <v>O&amp;B</v>
          </cell>
          <cell r="B8523">
            <v>202511</v>
          </cell>
          <cell r="D8523" t="str">
            <v>Eventos</v>
          </cell>
          <cell r="G8523" t="str">
            <v>Real</v>
          </cell>
        </row>
        <row r="8524">
          <cell r="A8524" t="str">
            <v>O&amp;B</v>
          </cell>
          <cell r="B8524">
            <v>202511</v>
          </cell>
          <cell r="D8524" t="str">
            <v>Flotas</v>
          </cell>
          <cell r="G8524" t="str">
            <v>Presupuesto</v>
          </cell>
        </row>
        <row r="8525">
          <cell r="A8525" t="str">
            <v>O&amp;B</v>
          </cell>
          <cell r="B8525">
            <v>202511</v>
          </cell>
          <cell r="D8525" t="str">
            <v>Flotas</v>
          </cell>
          <cell r="G8525" t="str">
            <v>Real</v>
          </cell>
        </row>
        <row r="8526">
          <cell r="A8526" t="str">
            <v>O&amp;B</v>
          </cell>
          <cell r="B8526">
            <v>202511</v>
          </cell>
          <cell r="D8526" t="str">
            <v>Hogar</v>
          </cell>
          <cell r="G8526" t="str">
            <v>Presupuesto</v>
          </cell>
        </row>
        <row r="8527">
          <cell r="A8527" t="str">
            <v>O&amp;B</v>
          </cell>
          <cell r="B8527">
            <v>202511</v>
          </cell>
          <cell r="D8527" t="str">
            <v>Hogar</v>
          </cell>
          <cell r="G8527" t="str">
            <v>Real</v>
          </cell>
        </row>
        <row r="8528">
          <cell r="A8528" t="str">
            <v>O&amp;B</v>
          </cell>
          <cell r="B8528">
            <v>202511</v>
          </cell>
          <cell r="D8528" t="str">
            <v>Ingeniería</v>
          </cell>
          <cell r="G8528" t="str">
            <v>Presupuesto</v>
          </cell>
        </row>
        <row r="8529">
          <cell r="A8529" t="str">
            <v>O&amp;B</v>
          </cell>
          <cell r="B8529">
            <v>202511</v>
          </cell>
          <cell r="D8529" t="str">
            <v>Ingeniería</v>
          </cell>
          <cell r="G8529" t="str">
            <v>Real</v>
          </cell>
        </row>
        <row r="8530">
          <cell r="A8530" t="str">
            <v>O&amp;B</v>
          </cell>
          <cell r="B8530">
            <v>202511</v>
          </cell>
          <cell r="D8530" t="str">
            <v>Inmobiliario</v>
          </cell>
          <cell r="G8530" t="str">
            <v>Presupuesto</v>
          </cell>
        </row>
        <row r="8531">
          <cell r="A8531" t="str">
            <v>O&amp;B</v>
          </cell>
          <cell r="B8531">
            <v>202511</v>
          </cell>
          <cell r="D8531" t="str">
            <v>Líneas Financieras</v>
          </cell>
          <cell r="G8531" t="str">
            <v>Presupuesto</v>
          </cell>
        </row>
        <row r="8532">
          <cell r="A8532" t="str">
            <v>O&amp;B</v>
          </cell>
          <cell r="B8532">
            <v>202511</v>
          </cell>
          <cell r="D8532" t="str">
            <v>Líneas Financieras</v>
          </cell>
          <cell r="G8532" t="str">
            <v>Real</v>
          </cell>
        </row>
        <row r="8533">
          <cell r="A8533" t="str">
            <v>O&amp;B</v>
          </cell>
          <cell r="B8533">
            <v>202511</v>
          </cell>
          <cell r="D8533" t="str">
            <v>Náutica</v>
          </cell>
          <cell r="G8533" t="str">
            <v>Presupuesto</v>
          </cell>
        </row>
        <row r="8534">
          <cell r="A8534" t="str">
            <v>O&amp;B</v>
          </cell>
          <cell r="B8534">
            <v>202511</v>
          </cell>
          <cell r="D8534" t="str">
            <v>Náutica</v>
          </cell>
          <cell r="G8534" t="str">
            <v>Real</v>
          </cell>
        </row>
        <row r="8535">
          <cell r="A8535" t="str">
            <v>O&amp;B</v>
          </cell>
          <cell r="B8535">
            <v>202511</v>
          </cell>
          <cell r="D8535" t="str">
            <v>Particulares Resto</v>
          </cell>
          <cell r="G8535" t="str">
            <v>Presupuesto</v>
          </cell>
        </row>
        <row r="8536">
          <cell r="A8536" t="str">
            <v>O&amp;B</v>
          </cell>
          <cell r="B8536">
            <v>202511</v>
          </cell>
          <cell r="D8536" t="str">
            <v>Particulares Resto</v>
          </cell>
          <cell r="G8536" t="str">
            <v>Real</v>
          </cell>
        </row>
        <row r="8537">
          <cell r="A8537" t="str">
            <v>O&amp;B</v>
          </cell>
          <cell r="B8537">
            <v>202511</v>
          </cell>
          <cell r="D8537" t="str">
            <v>Property</v>
          </cell>
          <cell r="G8537" t="str">
            <v>Presupuesto</v>
          </cell>
        </row>
        <row r="8538">
          <cell r="A8538" t="str">
            <v>O&amp;B</v>
          </cell>
          <cell r="B8538">
            <v>202511</v>
          </cell>
          <cell r="D8538" t="str">
            <v>Property</v>
          </cell>
          <cell r="G8538" t="str">
            <v>Real</v>
          </cell>
        </row>
        <row r="8539">
          <cell r="A8539" t="str">
            <v>O&amp;B</v>
          </cell>
          <cell r="B8539">
            <v>202511</v>
          </cell>
          <cell r="D8539" t="str">
            <v>RC</v>
          </cell>
          <cell r="G8539" t="str">
            <v>Presupuesto</v>
          </cell>
        </row>
        <row r="8540">
          <cell r="A8540" t="str">
            <v>O&amp;B</v>
          </cell>
          <cell r="B8540">
            <v>202511</v>
          </cell>
          <cell r="D8540" t="str">
            <v>RC</v>
          </cell>
          <cell r="G8540" t="str">
            <v>Real</v>
          </cell>
        </row>
        <row r="8541">
          <cell r="A8541" t="str">
            <v>O&amp;B</v>
          </cell>
          <cell r="B8541">
            <v>202511</v>
          </cell>
          <cell r="D8541" t="str">
            <v>Resto de lineas</v>
          </cell>
          <cell r="G8541" t="str">
            <v>Presupuesto</v>
          </cell>
        </row>
        <row r="8542">
          <cell r="A8542" t="str">
            <v>O&amp;B</v>
          </cell>
          <cell r="B8542">
            <v>202511</v>
          </cell>
          <cell r="D8542" t="str">
            <v>Retirada</v>
          </cell>
          <cell r="G8542" t="str">
            <v>Presupuesto</v>
          </cell>
        </row>
        <row r="8543">
          <cell r="A8543" t="str">
            <v>O&amp;B</v>
          </cell>
          <cell r="B8543">
            <v>202511</v>
          </cell>
          <cell r="D8543" t="str">
            <v>Seguros Personales (No Vida) Colectivos</v>
          </cell>
          <cell r="G8543" t="str">
            <v>Presupuesto</v>
          </cell>
        </row>
        <row r="8544">
          <cell r="A8544" t="str">
            <v>O&amp;B</v>
          </cell>
          <cell r="B8544">
            <v>202511</v>
          </cell>
          <cell r="D8544" t="str">
            <v>Seguros Personales (No Vida) Colectivos</v>
          </cell>
          <cell r="G8544" t="str">
            <v>Real</v>
          </cell>
        </row>
        <row r="8545">
          <cell r="A8545" t="str">
            <v>O&amp;B</v>
          </cell>
          <cell r="B8545">
            <v>202511</v>
          </cell>
          <cell r="D8545" t="str">
            <v>Seguros Personales (No Vida) Particular</v>
          </cell>
          <cell r="G8545" t="str">
            <v>Presupuesto</v>
          </cell>
        </row>
        <row r="8546">
          <cell r="A8546" t="str">
            <v>O&amp;B</v>
          </cell>
          <cell r="B8546">
            <v>202511</v>
          </cell>
          <cell r="D8546" t="str">
            <v>Seguros Personales (No Vida) Particular</v>
          </cell>
          <cell r="G8546" t="str">
            <v>Real</v>
          </cell>
        </row>
        <row r="8547">
          <cell r="A8547" t="str">
            <v>O&amp;B</v>
          </cell>
          <cell r="B8547">
            <v>202511</v>
          </cell>
          <cell r="D8547" t="str">
            <v>Transporte</v>
          </cell>
          <cell r="G8547" t="str">
            <v>Presupuesto</v>
          </cell>
        </row>
        <row r="8548">
          <cell r="A8548" t="str">
            <v>O&amp;B</v>
          </cell>
          <cell r="B8548">
            <v>202511</v>
          </cell>
          <cell r="D8548" t="str">
            <v>Transporte</v>
          </cell>
          <cell r="G8548" t="str">
            <v>Real</v>
          </cell>
        </row>
        <row r="8549">
          <cell r="A8549" t="str">
            <v>O&amp;B</v>
          </cell>
          <cell r="B8549">
            <v>202511</v>
          </cell>
          <cell r="D8549" t="str">
            <v>Venta Cruzada</v>
          </cell>
          <cell r="G8549" t="str">
            <v>Presupuesto</v>
          </cell>
        </row>
        <row r="8550">
          <cell r="A8550" t="str">
            <v>O&amp;B</v>
          </cell>
          <cell r="B8550">
            <v>202511</v>
          </cell>
          <cell r="D8550" t="str">
            <v>Venta Cruzada</v>
          </cell>
          <cell r="G8550" t="str">
            <v>Real</v>
          </cell>
        </row>
        <row r="8551">
          <cell r="A8551" t="str">
            <v>O&amp;B</v>
          </cell>
          <cell r="B8551">
            <v>202511</v>
          </cell>
          <cell r="D8551" t="str">
            <v>Vida Ahorro Colectivo</v>
          </cell>
          <cell r="G8551" t="str">
            <v>Presupuesto</v>
          </cell>
        </row>
        <row r="8552">
          <cell r="A8552" t="str">
            <v>O&amp;B</v>
          </cell>
          <cell r="B8552">
            <v>202511</v>
          </cell>
          <cell r="D8552" t="str">
            <v>Vida Ahorro Particular</v>
          </cell>
          <cell r="G8552" t="str">
            <v>Presupuesto</v>
          </cell>
        </row>
        <row r="8553">
          <cell r="A8553" t="str">
            <v>O&amp;B</v>
          </cell>
          <cell r="B8553">
            <v>202511</v>
          </cell>
          <cell r="D8553" t="str">
            <v>Vida Ahorro Particular</v>
          </cell>
          <cell r="G8553" t="str">
            <v>Real</v>
          </cell>
        </row>
        <row r="8554">
          <cell r="A8554" t="str">
            <v>O&amp;B</v>
          </cell>
          <cell r="B8554">
            <v>202511</v>
          </cell>
          <cell r="D8554" t="str">
            <v>Vida Ganado</v>
          </cell>
          <cell r="G8554" t="str">
            <v>Presupuesto</v>
          </cell>
        </row>
        <row r="8555">
          <cell r="A8555" t="str">
            <v>O&amp;B</v>
          </cell>
          <cell r="B8555">
            <v>202511</v>
          </cell>
          <cell r="D8555" t="str">
            <v>Vida Riesgo Colectivo</v>
          </cell>
          <cell r="G8555" t="str">
            <v>Presupuesto</v>
          </cell>
        </row>
        <row r="8556">
          <cell r="A8556" t="str">
            <v>O&amp;B</v>
          </cell>
          <cell r="B8556">
            <v>202511</v>
          </cell>
          <cell r="D8556" t="str">
            <v>Vida Riesgo Colectivo</v>
          </cell>
          <cell r="G8556" t="str">
            <v>Real</v>
          </cell>
        </row>
        <row r="8557">
          <cell r="A8557" t="str">
            <v>O&amp;B</v>
          </cell>
          <cell r="B8557">
            <v>202511</v>
          </cell>
          <cell r="D8557" t="str">
            <v>Vida Riesgo Particular</v>
          </cell>
          <cell r="G8557" t="str">
            <v>Presupuesto</v>
          </cell>
        </row>
        <row r="8558">
          <cell r="A8558" t="str">
            <v>O&amp;B</v>
          </cell>
          <cell r="B8558">
            <v>202511</v>
          </cell>
          <cell r="D8558" t="str">
            <v>Vida Riesgo Particular</v>
          </cell>
          <cell r="G8558" t="str">
            <v>Real</v>
          </cell>
        </row>
        <row r="8559">
          <cell r="A8559" t="str">
            <v>O&amp;B</v>
          </cell>
          <cell r="B8559">
            <v>202512</v>
          </cell>
          <cell r="D8559" t="str">
            <v>--</v>
          </cell>
          <cell r="G8559" t="str">
            <v>Presupuesto</v>
          </cell>
        </row>
        <row r="8560">
          <cell r="A8560" t="str">
            <v>O&amp;B</v>
          </cell>
          <cell r="B8560">
            <v>202512</v>
          </cell>
          <cell r="D8560" t="str">
            <v>--</v>
          </cell>
          <cell r="G8560" t="str">
            <v>Real</v>
          </cell>
        </row>
        <row r="8561">
          <cell r="A8561" t="str">
            <v>O&amp;B</v>
          </cell>
          <cell r="B8561">
            <v>202512</v>
          </cell>
          <cell r="D8561" t="str">
            <v>Resto de Lineas</v>
          </cell>
          <cell r="G8561" t="str">
            <v>Real</v>
          </cell>
        </row>
        <row r="8562">
          <cell r="A8562" t="str">
            <v>O&amp;B</v>
          </cell>
          <cell r="B8562">
            <v>202512</v>
          </cell>
          <cell r="D8562" t="str">
            <v>Arte</v>
          </cell>
          <cell r="G8562" t="str">
            <v>Presupuesto</v>
          </cell>
        </row>
        <row r="8563">
          <cell r="A8563" t="str">
            <v>O&amp;B</v>
          </cell>
          <cell r="B8563">
            <v>202512</v>
          </cell>
          <cell r="D8563" t="str">
            <v>Autos</v>
          </cell>
          <cell r="G8563" t="str">
            <v>Presupuesto</v>
          </cell>
        </row>
        <row r="8564">
          <cell r="A8564" t="str">
            <v>O&amp;B</v>
          </cell>
          <cell r="B8564">
            <v>202512</v>
          </cell>
          <cell r="D8564" t="str">
            <v>Autos</v>
          </cell>
          <cell r="G8564" t="str">
            <v>Real</v>
          </cell>
        </row>
        <row r="8565">
          <cell r="A8565" t="str">
            <v>O&amp;B</v>
          </cell>
          <cell r="B8565">
            <v>202512</v>
          </cell>
          <cell r="D8565" t="str">
            <v>B2B2C</v>
          </cell>
          <cell r="G8565" t="str">
            <v>Presupuesto</v>
          </cell>
        </row>
        <row r="8566">
          <cell r="A8566" t="str">
            <v>O&amp;B</v>
          </cell>
          <cell r="B8566">
            <v>202512</v>
          </cell>
          <cell r="D8566" t="str">
            <v>Caución</v>
          </cell>
          <cell r="G8566" t="str">
            <v>Presupuesto</v>
          </cell>
        </row>
        <row r="8567">
          <cell r="A8567" t="str">
            <v>O&amp;B</v>
          </cell>
          <cell r="B8567">
            <v>202512</v>
          </cell>
          <cell r="D8567" t="str">
            <v>Caución</v>
          </cell>
          <cell r="G8567" t="str">
            <v>Real</v>
          </cell>
        </row>
        <row r="8568">
          <cell r="A8568" t="str">
            <v>O&amp;B</v>
          </cell>
          <cell r="B8568">
            <v>202512</v>
          </cell>
          <cell r="D8568" t="str">
            <v>Crédito Nacional</v>
          </cell>
          <cell r="G8568" t="str">
            <v>Real</v>
          </cell>
        </row>
        <row r="8569">
          <cell r="A8569" t="str">
            <v>O&amp;B</v>
          </cell>
          <cell r="B8569">
            <v>202512</v>
          </cell>
          <cell r="D8569" t="str">
            <v>Crédito Internacional</v>
          </cell>
          <cell r="G8569" t="str">
            <v>Presupuesto</v>
          </cell>
        </row>
        <row r="8570">
          <cell r="A8570" t="str">
            <v>O&amp;B</v>
          </cell>
          <cell r="B8570">
            <v>202512</v>
          </cell>
          <cell r="D8570" t="str">
            <v>Crédito Nacional</v>
          </cell>
          <cell r="G8570" t="str">
            <v>Presupuesto</v>
          </cell>
        </row>
        <row r="8571">
          <cell r="A8571" t="str">
            <v>O&amp;B</v>
          </cell>
          <cell r="B8571">
            <v>202512</v>
          </cell>
          <cell r="D8571" t="str">
            <v>Eventos</v>
          </cell>
          <cell r="G8571" t="str">
            <v>Presupuesto</v>
          </cell>
        </row>
        <row r="8572">
          <cell r="A8572" t="str">
            <v>O&amp;B</v>
          </cell>
          <cell r="B8572">
            <v>202512</v>
          </cell>
          <cell r="D8572" t="str">
            <v>Eventos</v>
          </cell>
          <cell r="G8572" t="str">
            <v>Real</v>
          </cell>
        </row>
        <row r="8573">
          <cell r="A8573" t="str">
            <v>O&amp;B</v>
          </cell>
          <cell r="B8573">
            <v>202512</v>
          </cell>
          <cell r="D8573" t="str">
            <v>Flotas</v>
          </cell>
          <cell r="G8573" t="str">
            <v>Presupuesto</v>
          </cell>
        </row>
        <row r="8574">
          <cell r="A8574" t="str">
            <v>O&amp;B</v>
          </cell>
          <cell r="B8574">
            <v>202512</v>
          </cell>
          <cell r="D8574" t="str">
            <v>Flotas</v>
          </cell>
          <cell r="G8574" t="str">
            <v>Real</v>
          </cell>
        </row>
        <row r="8575">
          <cell r="A8575" t="str">
            <v>O&amp;B</v>
          </cell>
          <cell r="B8575">
            <v>202512</v>
          </cell>
          <cell r="D8575" t="str">
            <v>Hogar</v>
          </cell>
          <cell r="G8575" t="str">
            <v>Presupuesto</v>
          </cell>
        </row>
        <row r="8576">
          <cell r="A8576" t="str">
            <v>O&amp;B</v>
          </cell>
          <cell r="B8576">
            <v>202512</v>
          </cell>
          <cell r="D8576" t="str">
            <v>Hogar</v>
          </cell>
          <cell r="G8576" t="str">
            <v>Real</v>
          </cell>
        </row>
        <row r="8577">
          <cell r="A8577" t="str">
            <v>O&amp;B</v>
          </cell>
          <cell r="B8577">
            <v>202512</v>
          </cell>
          <cell r="D8577" t="str">
            <v>Ingeniería</v>
          </cell>
          <cell r="G8577" t="str">
            <v>Presupuesto</v>
          </cell>
        </row>
        <row r="8578">
          <cell r="A8578" t="str">
            <v>O&amp;B</v>
          </cell>
          <cell r="B8578">
            <v>202512</v>
          </cell>
          <cell r="D8578" t="str">
            <v>Ingeniería</v>
          </cell>
          <cell r="G8578" t="str">
            <v>Real</v>
          </cell>
        </row>
        <row r="8579">
          <cell r="A8579" t="str">
            <v>O&amp;B</v>
          </cell>
          <cell r="B8579">
            <v>202512</v>
          </cell>
          <cell r="D8579" t="str">
            <v>Inmobiliario</v>
          </cell>
          <cell r="G8579" t="str">
            <v>Presupuesto</v>
          </cell>
        </row>
        <row r="8580">
          <cell r="A8580" t="str">
            <v>O&amp;B</v>
          </cell>
          <cell r="B8580">
            <v>202512</v>
          </cell>
          <cell r="D8580" t="str">
            <v>Líneas Financieras</v>
          </cell>
          <cell r="G8580" t="str">
            <v>Presupuesto</v>
          </cell>
        </row>
        <row r="8581">
          <cell r="A8581" t="str">
            <v>O&amp;B</v>
          </cell>
          <cell r="B8581">
            <v>202512</v>
          </cell>
          <cell r="D8581" t="str">
            <v>Líneas Financieras</v>
          </cell>
          <cell r="G8581" t="str">
            <v>Real</v>
          </cell>
        </row>
        <row r="8582">
          <cell r="A8582" t="str">
            <v>O&amp;B</v>
          </cell>
          <cell r="B8582">
            <v>202512</v>
          </cell>
          <cell r="D8582" t="str">
            <v>Náutica</v>
          </cell>
          <cell r="G8582" t="str">
            <v>Presupuesto</v>
          </cell>
        </row>
        <row r="8583">
          <cell r="A8583" t="str">
            <v>O&amp;B</v>
          </cell>
          <cell r="B8583">
            <v>202512</v>
          </cell>
          <cell r="D8583" t="str">
            <v>Náutica</v>
          </cell>
          <cell r="G8583" t="str">
            <v>Real</v>
          </cell>
        </row>
        <row r="8584">
          <cell r="A8584" t="str">
            <v>O&amp;B</v>
          </cell>
          <cell r="B8584">
            <v>202512</v>
          </cell>
          <cell r="D8584" t="str">
            <v>Particulares Resto</v>
          </cell>
          <cell r="G8584" t="str">
            <v>Presupuesto</v>
          </cell>
        </row>
        <row r="8585">
          <cell r="A8585" t="str">
            <v>O&amp;B</v>
          </cell>
          <cell r="B8585">
            <v>202512</v>
          </cell>
          <cell r="D8585" t="str">
            <v>Particulares Resto</v>
          </cell>
          <cell r="G8585" t="str">
            <v>Real</v>
          </cell>
        </row>
        <row r="8586">
          <cell r="A8586" t="str">
            <v>O&amp;B</v>
          </cell>
          <cell r="B8586">
            <v>202512</v>
          </cell>
          <cell r="D8586" t="str">
            <v>Property</v>
          </cell>
          <cell r="G8586" t="str">
            <v>Presupuesto</v>
          </cell>
        </row>
        <row r="8587">
          <cell r="A8587" t="str">
            <v>O&amp;B</v>
          </cell>
          <cell r="B8587">
            <v>202512</v>
          </cell>
          <cell r="D8587" t="str">
            <v>Property</v>
          </cell>
          <cell r="G8587" t="str">
            <v>Real</v>
          </cell>
        </row>
        <row r="8588">
          <cell r="A8588" t="str">
            <v>O&amp;B</v>
          </cell>
          <cell r="B8588">
            <v>202512</v>
          </cell>
          <cell r="D8588" t="str">
            <v>RC</v>
          </cell>
          <cell r="G8588" t="str">
            <v>Presupuesto</v>
          </cell>
        </row>
        <row r="8589">
          <cell r="A8589" t="str">
            <v>O&amp;B</v>
          </cell>
          <cell r="B8589">
            <v>202512</v>
          </cell>
          <cell r="D8589" t="str">
            <v>RC</v>
          </cell>
          <cell r="G8589" t="str">
            <v>Real</v>
          </cell>
        </row>
        <row r="8590">
          <cell r="A8590" t="str">
            <v>O&amp;B</v>
          </cell>
          <cell r="B8590">
            <v>202512</v>
          </cell>
          <cell r="D8590" t="str">
            <v>Resto de lineas</v>
          </cell>
          <cell r="G8590" t="str">
            <v>Presupuesto</v>
          </cell>
        </row>
        <row r="8591">
          <cell r="A8591" t="str">
            <v>O&amp;B</v>
          </cell>
          <cell r="B8591">
            <v>202512</v>
          </cell>
          <cell r="D8591" t="str">
            <v>Retirada</v>
          </cell>
          <cell r="G8591" t="str">
            <v>Presupuesto</v>
          </cell>
        </row>
        <row r="8592">
          <cell r="A8592" t="str">
            <v>O&amp;B</v>
          </cell>
          <cell r="B8592">
            <v>202512</v>
          </cell>
          <cell r="D8592" t="str">
            <v>Seguros Personales (No Vida) Colectivos</v>
          </cell>
          <cell r="G8592" t="str">
            <v>Presupuesto</v>
          </cell>
        </row>
        <row r="8593">
          <cell r="A8593" t="str">
            <v>O&amp;B</v>
          </cell>
          <cell r="B8593">
            <v>202512</v>
          </cell>
          <cell r="D8593" t="str">
            <v>Seguros Personales (No Vida) Colectivos</v>
          </cell>
          <cell r="G8593" t="str">
            <v>Real</v>
          </cell>
        </row>
        <row r="8594">
          <cell r="A8594" t="str">
            <v>O&amp;B</v>
          </cell>
          <cell r="B8594">
            <v>202512</v>
          </cell>
          <cell r="D8594" t="str">
            <v>Seguros Personales (No Vida) Particular</v>
          </cell>
          <cell r="G8594" t="str">
            <v>Presupuesto</v>
          </cell>
        </row>
        <row r="8595">
          <cell r="A8595" t="str">
            <v>O&amp;B</v>
          </cell>
          <cell r="B8595">
            <v>202512</v>
          </cell>
          <cell r="D8595" t="str">
            <v>Seguros Personales (No Vida) Particular</v>
          </cell>
          <cell r="G8595" t="str">
            <v>Real</v>
          </cell>
        </row>
        <row r="8596">
          <cell r="A8596" t="str">
            <v>O&amp;B</v>
          </cell>
          <cell r="B8596">
            <v>202512</v>
          </cell>
          <cell r="D8596" t="str">
            <v>Transporte</v>
          </cell>
          <cell r="G8596" t="str">
            <v>Presupuesto</v>
          </cell>
        </row>
        <row r="8597">
          <cell r="A8597" t="str">
            <v>O&amp;B</v>
          </cell>
          <cell r="B8597">
            <v>202512</v>
          </cell>
          <cell r="D8597" t="str">
            <v>Transporte</v>
          </cell>
          <cell r="G8597" t="str">
            <v>Real</v>
          </cell>
        </row>
        <row r="8598">
          <cell r="A8598" t="str">
            <v>O&amp;B</v>
          </cell>
          <cell r="B8598">
            <v>202512</v>
          </cell>
          <cell r="D8598" t="str">
            <v>Venta Cruzada</v>
          </cell>
          <cell r="G8598" t="str">
            <v>Presupuesto</v>
          </cell>
        </row>
        <row r="8599">
          <cell r="A8599" t="str">
            <v>O&amp;B</v>
          </cell>
          <cell r="B8599">
            <v>202512</v>
          </cell>
          <cell r="D8599" t="str">
            <v>Venta Cruzada</v>
          </cell>
          <cell r="G8599" t="str">
            <v>Real</v>
          </cell>
        </row>
        <row r="8600">
          <cell r="A8600" t="str">
            <v>O&amp;B</v>
          </cell>
          <cell r="B8600">
            <v>202512</v>
          </cell>
          <cell r="D8600" t="str">
            <v>Vida Ahorro Colectivo</v>
          </cell>
          <cell r="G8600" t="str">
            <v>Presupuesto</v>
          </cell>
        </row>
        <row r="8601">
          <cell r="A8601" t="str">
            <v>O&amp;B</v>
          </cell>
          <cell r="B8601">
            <v>202512</v>
          </cell>
          <cell r="D8601" t="str">
            <v>Vida Ahorro Colectivo</v>
          </cell>
          <cell r="G8601" t="str">
            <v>Real</v>
          </cell>
        </row>
        <row r="8602">
          <cell r="A8602" t="str">
            <v>O&amp;B</v>
          </cell>
          <cell r="B8602">
            <v>202512</v>
          </cell>
          <cell r="D8602" t="str">
            <v>Vida Ahorro Particular</v>
          </cell>
          <cell r="G8602" t="str">
            <v>Presupuesto</v>
          </cell>
        </row>
        <row r="8603">
          <cell r="A8603" t="str">
            <v>O&amp;B</v>
          </cell>
          <cell r="B8603">
            <v>202512</v>
          </cell>
          <cell r="D8603" t="str">
            <v>Vida Ahorro Particular</v>
          </cell>
          <cell r="G8603" t="str">
            <v>Real</v>
          </cell>
        </row>
        <row r="8604">
          <cell r="A8604" t="str">
            <v>O&amp;B</v>
          </cell>
          <cell r="B8604">
            <v>202512</v>
          </cell>
          <cell r="D8604" t="str">
            <v>Vida Ganado</v>
          </cell>
          <cell r="G8604" t="str">
            <v>Presupuesto</v>
          </cell>
        </row>
        <row r="8605">
          <cell r="A8605" t="str">
            <v>O&amp;B</v>
          </cell>
          <cell r="B8605">
            <v>202512</v>
          </cell>
          <cell r="D8605" t="str">
            <v>Vida Riesgo Colectivo</v>
          </cell>
          <cell r="G8605" t="str">
            <v>Presupuesto</v>
          </cell>
        </row>
        <row r="8606">
          <cell r="A8606" t="str">
            <v>O&amp;B</v>
          </cell>
          <cell r="B8606">
            <v>202512</v>
          </cell>
          <cell r="D8606" t="str">
            <v>Vida Riesgo Colectivo</v>
          </cell>
          <cell r="G8606" t="str">
            <v>Real</v>
          </cell>
        </row>
        <row r="8607">
          <cell r="A8607" t="str">
            <v>O&amp;B</v>
          </cell>
          <cell r="B8607">
            <v>202512</v>
          </cell>
          <cell r="D8607" t="str">
            <v>Vida Riesgo Particular</v>
          </cell>
          <cell r="G8607" t="str">
            <v>Presupuesto</v>
          </cell>
        </row>
        <row r="8608">
          <cell r="A8608" t="str">
            <v>O&amp;B</v>
          </cell>
          <cell r="B8608">
            <v>202512</v>
          </cell>
          <cell r="D8608" t="str">
            <v>Vida Riesgo Particular</v>
          </cell>
          <cell r="G8608" t="str">
            <v>Real</v>
          </cell>
        </row>
        <row r="8609">
          <cell r="A8609" t="str">
            <v>PG</v>
          </cell>
          <cell r="B8609">
            <v>202301</v>
          </cell>
          <cell r="D8609" t="str">
            <v>Property</v>
          </cell>
          <cell r="G8609" t="str">
            <v>Real</v>
          </cell>
        </row>
        <row r="8610">
          <cell r="A8610" t="str">
            <v>PG</v>
          </cell>
          <cell r="B8610">
            <v>202301</v>
          </cell>
          <cell r="D8610" t="str">
            <v>Seguros Personales (No Vida) Colectivos</v>
          </cell>
          <cell r="G8610" t="str">
            <v>Real</v>
          </cell>
        </row>
        <row r="8611">
          <cell r="A8611" t="str">
            <v>PG</v>
          </cell>
          <cell r="B8611">
            <v>202302</v>
          </cell>
          <cell r="D8611" t="str">
            <v>Property</v>
          </cell>
          <cell r="G8611" t="str">
            <v>Real</v>
          </cell>
        </row>
        <row r="8612">
          <cell r="A8612" t="str">
            <v>PG</v>
          </cell>
          <cell r="B8612">
            <v>202302</v>
          </cell>
          <cell r="D8612" t="str">
            <v>Seguros Personales (No Vida) Colectivos</v>
          </cell>
          <cell r="G8612" t="str">
            <v>Real</v>
          </cell>
        </row>
        <row r="8613">
          <cell r="A8613" t="str">
            <v>PG</v>
          </cell>
          <cell r="B8613">
            <v>202302</v>
          </cell>
          <cell r="D8613" t="str">
            <v>Vida Riesgo Particular</v>
          </cell>
          <cell r="G8613" t="str">
            <v>Real</v>
          </cell>
        </row>
        <row r="8614">
          <cell r="A8614" t="str">
            <v>PG</v>
          </cell>
          <cell r="B8614">
            <v>202303</v>
          </cell>
          <cell r="D8614" t="str">
            <v>Property</v>
          </cell>
          <cell r="G8614" t="str">
            <v>Real</v>
          </cell>
        </row>
        <row r="8615">
          <cell r="A8615" t="str">
            <v>PG</v>
          </cell>
          <cell r="B8615">
            <v>202303</v>
          </cell>
          <cell r="D8615" t="str">
            <v>RC</v>
          </cell>
          <cell r="G8615" t="str">
            <v>Real</v>
          </cell>
        </row>
        <row r="8616">
          <cell r="A8616" t="str">
            <v>PG</v>
          </cell>
          <cell r="B8616">
            <v>202303</v>
          </cell>
          <cell r="D8616" t="str">
            <v>Seguros Personales (No Vida) Colectivos</v>
          </cell>
          <cell r="G8616" t="str">
            <v>Real</v>
          </cell>
        </row>
        <row r="8617">
          <cell r="A8617" t="str">
            <v>PG</v>
          </cell>
          <cell r="B8617">
            <v>202303</v>
          </cell>
          <cell r="D8617" t="str">
            <v>Vida Ahorro Particular</v>
          </cell>
          <cell r="G8617" t="str">
            <v>Real</v>
          </cell>
        </row>
        <row r="8618">
          <cell r="A8618" t="str">
            <v>PG</v>
          </cell>
          <cell r="B8618">
            <v>202303</v>
          </cell>
          <cell r="D8618" t="str">
            <v>Vida Riesgo Colectivo</v>
          </cell>
          <cell r="G8618" t="str">
            <v>Real</v>
          </cell>
        </row>
        <row r="8619">
          <cell r="A8619" t="str">
            <v>PG</v>
          </cell>
          <cell r="B8619">
            <v>202303</v>
          </cell>
          <cell r="D8619" t="str">
            <v>Vida Riesgo Particular</v>
          </cell>
          <cell r="G8619" t="str">
            <v>Real</v>
          </cell>
        </row>
        <row r="8620">
          <cell r="A8620" t="str">
            <v>PG</v>
          </cell>
          <cell r="B8620">
            <v>202304</v>
          </cell>
          <cell r="D8620" t="str">
            <v>Flotas</v>
          </cell>
          <cell r="G8620" t="str">
            <v>Real</v>
          </cell>
        </row>
        <row r="8621">
          <cell r="A8621" t="str">
            <v>PG</v>
          </cell>
          <cell r="B8621">
            <v>202304</v>
          </cell>
          <cell r="D8621" t="str">
            <v>Particulares Resto</v>
          </cell>
          <cell r="G8621" t="str">
            <v>Real</v>
          </cell>
        </row>
        <row r="8622">
          <cell r="A8622" t="str">
            <v>PG</v>
          </cell>
          <cell r="B8622">
            <v>202304</v>
          </cell>
          <cell r="D8622" t="str">
            <v>Seguros Personales (No Vida) Particular</v>
          </cell>
          <cell r="G8622" t="str">
            <v>Real</v>
          </cell>
        </row>
        <row r="8623">
          <cell r="A8623" t="str">
            <v>PG</v>
          </cell>
          <cell r="B8623">
            <v>202305</v>
          </cell>
          <cell r="D8623" t="str">
            <v>Ingeniería</v>
          </cell>
          <cell r="G8623" t="str">
            <v>Real</v>
          </cell>
        </row>
        <row r="8624">
          <cell r="A8624" t="str">
            <v>PG</v>
          </cell>
          <cell r="B8624">
            <v>202305</v>
          </cell>
          <cell r="D8624" t="str">
            <v>Property</v>
          </cell>
          <cell r="G8624" t="str">
            <v>Real</v>
          </cell>
        </row>
        <row r="8625">
          <cell r="A8625" t="str">
            <v>PG</v>
          </cell>
          <cell r="B8625">
            <v>202305</v>
          </cell>
          <cell r="D8625" t="str">
            <v>Seguros Personales (No Vida) Colectivos</v>
          </cell>
          <cell r="G8625" t="str">
            <v>Real</v>
          </cell>
        </row>
        <row r="8626">
          <cell r="A8626" t="str">
            <v>PG</v>
          </cell>
          <cell r="B8626">
            <v>202305</v>
          </cell>
          <cell r="D8626" t="str">
            <v>Seguros Personales (No Vida) Particular</v>
          </cell>
          <cell r="G8626" t="str">
            <v>Real</v>
          </cell>
        </row>
        <row r="8627">
          <cell r="A8627" t="str">
            <v>PG</v>
          </cell>
          <cell r="B8627">
            <v>202306</v>
          </cell>
          <cell r="D8627" t="str">
            <v>Property</v>
          </cell>
          <cell r="G8627" t="str">
            <v>Real</v>
          </cell>
        </row>
        <row r="8628">
          <cell r="A8628" t="str">
            <v>PG</v>
          </cell>
          <cell r="B8628">
            <v>202306</v>
          </cell>
          <cell r="D8628" t="str">
            <v>Seguros Personales (No Vida) Particular</v>
          </cell>
          <cell r="G8628" t="str">
            <v>Real</v>
          </cell>
        </row>
        <row r="8629">
          <cell r="A8629" t="str">
            <v>PG</v>
          </cell>
          <cell r="B8629">
            <v>202307</v>
          </cell>
          <cell r="D8629" t="str">
            <v>Autos</v>
          </cell>
          <cell r="G8629" t="str">
            <v>Real</v>
          </cell>
        </row>
        <row r="8630">
          <cell r="A8630" t="str">
            <v>PG</v>
          </cell>
          <cell r="B8630">
            <v>202307</v>
          </cell>
          <cell r="D8630" t="str">
            <v>Líneas Financieras</v>
          </cell>
          <cell r="G8630" t="str">
            <v>Real</v>
          </cell>
        </row>
        <row r="8631">
          <cell r="A8631" t="str">
            <v>PG</v>
          </cell>
          <cell r="B8631">
            <v>202307</v>
          </cell>
          <cell r="D8631" t="str">
            <v>Property</v>
          </cell>
          <cell r="G8631" t="str">
            <v>Real</v>
          </cell>
        </row>
        <row r="8632">
          <cell r="A8632" t="str">
            <v>PG</v>
          </cell>
          <cell r="B8632">
            <v>202308</v>
          </cell>
          <cell r="D8632" t="str">
            <v>Autos</v>
          </cell>
          <cell r="G8632" t="str">
            <v>Real</v>
          </cell>
        </row>
        <row r="8633">
          <cell r="A8633" t="str">
            <v>PG</v>
          </cell>
          <cell r="B8633">
            <v>202308</v>
          </cell>
          <cell r="D8633" t="str">
            <v>Hogar</v>
          </cell>
          <cell r="G8633" t="str">
            <v>Real</v>
          </cell>
        </row>
        <row r="8634">
          <cell r="A8634" t="str">
            <v>PG</v>
          </cell>
          <cell r="B8634">
            <v>202308</v>
          </cell>
          <cell r="D8634" t="str">
            <v>Inmobiliario</v>
          </cell>
          <cell r="G8634" t="str">
            <v>Real</v>
          </cell>
        </row>
        <row r="8635">
          <cell r="A8635" t="str">
            <v>PG</v>
          </cell>
          <cell r="B8635">
            <v>202309</v>
          </cell>
          <cell r="D8635" t="str">
            <v>Autos</v>
          </cell>
          <cell r="G8635" t="str">
            <v>Real</v>
          </cell>
        </row>
        <row r="8636">
          <cell r="A8636" t="str">
            <v>PG</v>
          </cell>
          <cell r="B8636">
            <v>202309</v>
          </cell>
          <cell r="D8636" t="str">
            <v>RC</v>
          </cell>
          <cell r="G8636" t="str">
            <v>Real</v>
          </cell>
        </row>
        <row r="8637">
          <cell r="A8637" t="str">
            <v>PG</v>
          </cell>
          <cell r="B8637">
            <v>202309</v>
          </cell>
          <cell r="D8637" t="str">
            <v>Seguros Personales (No Vida) Particular</v>
          </cell>
          <cell r="G8637" t="str">
            <v>Real</v>
          </cell>
        </row>
        <row r="8638">
          <cell r="A8638" t="str">
            <v>PG</v>
          </cell>
          <cell r="B8638">
            <v>202310</v>
          </cell>
          <cell r="D8638" t="str">
            <v>Autos</v>
          </cell>
          <cell r="G8638" t="str">
            <v>Real</v>
          </cell>
        </row>
        <row r="8639">
          <cell r="A8639" t="str">
            <v>PG</v>
          </cell>
          <cell r="B8639">
            <v>202310</v>
          </cell>
          <cell r="D8639" t="str">
            <v>Hogar</v>
          </cell>
          <cell r="G8639" t="str">
            <v>Real</v>
          </cell>
        </row>
        <row r="8640">
          <cell r="A8640" t="str">
            <v>PG</v>
          </cell>
          <cell r="B8640">
            <v>202310</v>
          </cell>
          <cell r="D8640" t="str">
            <v>Property</v>
          </cell>
          <cell r="G8640" t="str">
            <v>Real</v>
          </cell>
        </row>
        <row r="8641">
          <cell r="A8641" t="str">
            <v>PG</v>
          </cell>
          <cell r="B8641">
            <v>202310</v>
          </cell>
          <cell r="D8641" t="str">
            <v>RC</v>
          </cell>
          <cell r="G8641" t="str">
            <v>Real</v>
          </cell>
        </row>
        <row r="8642">
          <cell r="A8642" t="str">
            <v>PG</v>
          </cell>
          <cell r="B8642">
            <v>202310</v>
          </cell>
          <cell r="D8642" t="str">
            <v>Seguros Personales (No Vida) Colectivos</v>
          </cell>
          <cell r="G8642" t="str">
            <v>Real</v>
          </cell>
        </row>
        <row r="8643">
          <cell r="A8643" t="str">
            <v>PG</v>
          </cell>
          <cell r="B8643">
            <v>202310</v>
          </cell>
          <cell r="D8643" t="str">
            <v>Seguros Personales (No Vida) Particular</v>
          </cell>
          <cell r="G8643" t="str">
            <v>Real</v>
          </cell>
        </row>
        <row r="8644">
          <cell r="A8644" t="str">
            <v>PG</v>
          </cell>
          <cell r="B8644">
            <v>202310</v>
          </cell>
          <cell r="D8644" t="str">
            <v>Vida Riesgo Particular</v>
          </cell>
          <cell r="G8644" t="str">
            <v>Real</v>
          </cell>
        </row>
        <row r="8645">
          <cell r="A8645" t="str">
            <v>PG</v>
          </cell>
          <cell r="B8645">
            <v>202311</v>
          </cell>
          <cell r="D8645" t="str">
            <v>Autos</v>
          </cell>
          <cell r="G8645" t="str">
            <v>Real</v>
          </cell>
        </row>
        <row r="8646">
          <cell r="A8646" t="str">
            <v>PG</v>
          </cell>
          <cell r="B8646">
            <v>202311</v>
          </cell>
          <cell r="D8646" t="str">
            <v>Hogar</v>
          </cell>
          <cell r="G8646" t="str">
            <v>Real</v>
          </cell>
        </row>
        <row r="8647">
          <cell r="A8647" t="str">
            <v>PG</v>
          </cell>
          <cell r="B8647">
            <v>202311</v>
          </cell>
          <cell r="D8647" t="str">
            <v>Property</v>
          </cell>
          <cell r="G8647" t="str">
            <v>Real</v>
          </cell>
        </row>
        <row r="8648">
          <cell r="A8648" t="str">
            <v>PG</v>
          </cell>
          <cell r="B8648">
            <v>202311</v>
          </cell>
          <cell r="D8648" t="str">
            <v>Seguros Personales (No Vida) Particular</v>
          </cell>
          <cell r="G8648" t="str">
            <v>Real</v>
          </cell>
        </row>
        <row r="8649">
          <cell r="A8649" t="str">
            <v>PG</v>
          </cell>
          <cell r="B8649">
            <v>202311</v>
          </cell>
          <cell r="D8649" t="str">
            <v>Transporte</v>
          </cell>
          <cell r="G8649" t="str">
            <v>Real</v>
          </cell>
        </row>
        <row r="8650">
          <cell r="A8650" t="str">
            <v>PG</v>
          </cell>
          <cell r="B8650">
            <v>202311</v>
          </cell>
          <cell r="D8650" t="str">
            <v>Vida Riesgo Particular</v>
          </cell>
          <cell r="G8650" t="str">
            <v>Real</v>
          </cell>
        </row>
        <row r="8651">
          <cell r="A8651" t="str">
            <v>PG</v>
          </cell>
          <cell r="B8651">
            <v>202312</v>
          </cell>
          <cell r="D8651" t="str">
            <v>Autos</v>
          </cell>
          <cell r="G8651" t="str">
            <v>Real</v>
          </cell>
        </row>
        <row r="8652">
          <cell r="A8652" t="str">
            <v>PG</v>
          </cell>
          <cell r="B8652">
            <v>202312</v>
          </cell>
          <cell r="D8652" t="str">
            <v>Hogar</v>
          </cell>
          <cell r="G8652" t="str">
            <v>Real</v>
          </cell>
        </row>
        <row r="8653">
          <cell r="A8653" t="str">
            <v>PG</v>
          </cell>
          <cell r="B8653">
            <v>202312</v>
          </cell>
          <cell r="D8653" t="str">
            <v>Inmobiliario</v>
          </cell>
          <cell r="G8653" t="str">
            <v>Real</v>
          </cell>
        </row>
        <row r="8654">
          <cell r="A8654" t="str">
            <v>PG</v>
          </cell>
          <cell r="B8654">
            <v>202312</v>
          </cell>
          <cell r="D8654" t="str">
            <v>Property</v>
          </cell>
          <cell r="G8654" t="str">
            <v>Real</v>
          </cell>
        </row>
        <row r="8655">
          <cell r="A8655" t="str">
            <v>PG</v>
          </cell>
          <cell r="B8655">
            <v>202312</v>
          </cell>
          <cell r="D8655" t="str">
            <v>RC</v>
          </cell>
          <cell r="G8655" t="str">
            <v>Real</v>
          </cell>
        </row>
        <row r="8656">
          <cell r="A8656" t="str">
            <v>PG</v>
          </cell>
          <cell r="B8656">
            <v>202312</v>
          </cell>
          <cell r="D8656" t="str">
            <v>Seguros Personales (No Vida) Colectivos</v>
          </cell>
          <cell r="G8656" t="str">
            <v>Real</v>
          </cell>
        </row>
        <row r="8657">
          <cell r="A8657" t="str">
            <v>PG</v>
          </cell>
          <cell r="B8657">
            <v>202312</v>
          </cell>
          <cell r="D8657" t="str">
            <v>Seguros Personales (No Vida) Particular</v>
          </cell>
          <cell r="G8657" t="str">
            <v>Real</v>
          </cell>
        </row>
        <row r="8658">
          <cell r="A8658" t="str">
            <v>PG</v>
          </cell>
          <cell r="B8658">
            <v>202312</v>
          </cell>
          <cell r="D8658" t="str">
            <v>Transporte</v>
          </cell>
          <cell r="G8658" t="str">
            <v>Real</v>
          </cell>
        </row>
        <row r="8659">
          <cell r="A8659" t="str">
            <v>PG</v>
          </cell>
          <cell r="B8659">
            <v>202312</v>
          </cell>
          <cell r="D8659" t="str">
            <v>Vida Ahorro Particular</v>
          </cell>
          <cell r="G8659" t="str">
            <v>Real</v>
          </cell>
        </row>
        <row r="8660">
          <cell r="A8660" t="str">
            <v>PG</v>
          </cell>
          <cell r="B8660">
            <v>202312</v>
          </cell>
          <cell r="D8660" t="str">
            <v>Vida Riesgo Particular</v>
          </cell>
          <cell r="G8660" t="str">
            <v>Real</v>
          </cell>
        </row>
        <row r="8661">
          <cell r="A8661" t="str">
            <v>PG</v>
          </cell>
          <cell r="B8661">
            <v>202401</v>
          </cell>
          <cell r="D8661" t="str">
            <v>--</v>
          </cell>
          <cell r="G8661" t="str">
            <v>Real</v>
          </cell>
        </row>
        <row r="8662">
          <cell r="A8662" t="str">
            <v>PG</v>
          </cell>
          <cell r="B8662">
            <v>202401</v>
          </cell>
          <cell r="D8662" t="str">
            <v>Autos</v>
          </cell>
          <cell r="G8662" t="str">
            <v>Real</v>
          </cell>
        </row>
        <row r="8663">
          <cell r="A8663" t="str">
            <v>PG</v>
          </cell>
          <cell r="B8663">
            <v>202401</v>
          </cell>
          <cell r="D8663" t="str">
            <v>Crédito Nacional</v>
          </cell>
          <cell r="G8663" t="str">
            <v>Real</v>
          </cell>
        </row>
        <row r="8664">
          <cell r="A8664" t="str">
            <v>PG</v>
          </cell>
          <cell r="B8664">
            <v>202401</v>
          </cell>
          <cell r="D8664" t="str">
            <v>Flotas</v>
          </cell>
          <cell r="G8664" t="str">
            <v>Real</v>
          </cell>
        </row>
        <row r="8665">
          <cell r="A8665" t="str">
            <v>PG</v>
          </cell>
          <cell r="B8665">
            <v>202401</v>
          </cell>
          <cell r="D8665" t="str">
            <v>Hogar</v>
          </cell>
          <cell r="G8665" t="str">
            <v>Real</v>
          </cell>
        </row>
        <row r="8666">
          <cell r="A8666" t="str">
            <v>PG</v>
          </cell>
          <cell r="B8666">
            <v>202401</v>
          </cell>
          <cell r="D8666" t="str">
            <v>Ingeniería</v>
          </cell>
          <cell r="G8666" t="str">
            <v>Real</v>
          </cell>
        </row>
        <row r="8667">
          <cell r="A8667" t="str">
            <v>PG</v>
          </cell>
          <cell r="B8667">
            <v>202401</v>
          </cell>
          <cell r="D8667" t="str">
            <v>Inmobiliario</v>
          </cell>
          <cell r="G8667" t="str">
            <v>Real</v>
          </cell>
        </row>
        <row r="8668">
          <cell r="A8668" t="str">
            <v>PG</v>
          </cell>
          <cell r="B8668">
            <v>202401</v>
          </cell>
          <cell r="D8668" t="str">
            <v>Líneas Financieras</v>
          </cell>
          <cell r="G8668" t="str">
            <v>Real</v>
          </cell>
        </row>
        <row r="8669">
          <cell r="A8669" t="str">
            <v>PG</v>
          </cell>
          <cell r="B8669">
            <v>202401</v>
          </cell>
          <cell r="D8669" t="str">
            <v>Particulares Resto</v>
          </cell>
          <cell r="G8669" t="str">
            <v>Real</v>
          </cell>
        </row>
        <row r="8670">
          <cell r="A8670" t="str">
            <v>PG</v>
          </cell>
          <cell r="B8670">
            <v>202401</v>
          </cell>
          <cell r="D8670" t="str">
            <v>Property</v>
          </cell>
          <cell r="G8670" t="str">
            <v>Real</v>
          </cell>
        </row>
        <row r="8671">
          <cell r="A8671" t="str">
            <v>PG</v>
          </cell>
          <cell r="B8671">
            <v>202401</v>
          </cell>
          <cell r="D8671" t="str">
            <v>RC</v>
          </cell>
          <cell r="G8671" t="str">
            <v>Real</v>
          </cell>
        </row>
        <row r="8672">
          <cell r="A8672" t="str">
            <v>PG</v>
          </cell>
          <cell r="B8672">
            <v>202401</v>
          </cell>
          <cell r="D8672" t="str">
            <v>Seguros Personales (No Vida) Colectivos</v>
          </cell>
          <cell r="G8672" t="str">
            <v>Real</v>
          </cell>
        </row>
        <row r="8673">
          <cell r="A8673" t="str">
            <v>PG</v>
          </cell>
          <cell r="B8673">
            <v>202401</v>
          </cell>
          <cell r="D8673" t="str">
            <v>Seguros Personales (No Vida) Particular</v>
          </cell>
          <cell r="G8673" t="str">
            <v>Real</v>
          </cell>
        </row>
        <row r="8674">
          <cell r="A8674" t="str">
            <v>PG</v>
          </cell>
          <cell r="B8674">
            <v>202401</v>
          </cell>
          <cell r="D8674" t="str">
            <v>Transporte</v>
          </cell>
          <cell r="G8674" t="str">
            <v>Real</v>
          </cell>
        </row>
        <row r="8675">
          <cell r="A8675" t="str">
            <v>PG</v>
          </cell>
          <cell r="B8675">
            <v>202401</v>
          </cell>
          <cell r="D8675" t="str">
            <v>Vida Ahorro Particular</v>
          </cell>
          <cell r="G8675" t="str">
            <v>Real</v>
          </cell>
        </row>
        <row r="8676">
          <cell r="A8676" t="str">
            <v>PG</v>
          </cell>
          <cell r="B8676">
            <v>202401</v>
          </cell>
          <cell r="D8676" t="str">
            <v>Vida Riesgo Colectivo</v>
          </cell>
          <cell r="G8676" t="str">
            <v>Real</v>
          </cell>
        </row>
        <row r="8677">
          <cell r="A8677" t="str">
            <v>PG</v>
          </cell>
          <cell r="B8677">
            <v>202401</v>
          </cell>
          <cell r="D8677" t="str">
            <v>Vida Riesgo Particular</v>
          </cell>
          <cell r="G8677" t="str">
            <v>Real</v>
          </cell>
        </row>
        <row r="8678">
          <cell r="A8678" t="str">
            <v>PG</v>
          </cell>
          <cell r="B8678">
            <v>202402</v>
          </cell>
          <cell r="D8678" t="str">
            <v>--</v>
          </cell>
          <cell r="G8678" t="str">
            <v>Real</v>
          </cell>
        </row>
        <row r="8679">
          <cell r="A8679" t="str">
            <v>PG</v>
          </cell>
          <cell r="B8679">
            <v>202402</v>
          </cell>
          <cell r="D8679" t="str">
            <v>Resto de Lineas</v>
          </cell>
          <cell r="G8679" t="str">
            <v>Real</v>
          </cell>
        </row>
        <row r="8680">
          <cell r="A8680" t="str">
            <v>PG</v>
          </cell>
          <cell r="B8680">
            <v>202402</v>
          </cell>
          <cell r="D8680" t="str">
            <v>Autos</v>
          </cell>
          <cell r="G8680" t="str">
            <v>Real</v>
          </cell>
        </row>
        <row r="8681">
          <cell r="A8681" t="str">
            <v>PG</v>
          </cell>
          <cell r="B8681">
            <v>202402</v>
          </cell>
          <cell r="D8681" t="str">
            <v>Crédito Nacional</v>
          </cell>
          <cell r="G8681" t="str">
            <v>Real</v>
          </cell>
        </row>
        <row r="8682">
          <cell r="A8682" t="str">
            <v>PG</v>
          </cell>
          <cell r="B8682">
            <v>202402</v>
          </cell>
          <cell r="D8682" t="str">
            <v>Flotas</v>
          </cell>
          <cell r="G8682" t="str">
            <v>Real</v>
          </cell>
        </row>
        <row r="8683">
          <cell r="A8683" t="str">
            <v>PG</v>
          </cell>
          <cell r="B8683">
            <v>202402</v>
          </cell>
          <cell r="D8683" t="str">
            <v>Hogar</v>
          </cell>
          <cell r="G8683" t="str">
            <v>Real</v>
          </cell>
        </row>
        <row r="8684">
          <cell r="A8684" t="str">
            <v>PG</v>
          </cell>
          <cell r="B8684">
            <v>202402</v>
          </cell>
          <cell r="D8684" t="str">
            <v>Ingeniería</v>
          </cell>
          <cell r="G8684" t="str">
            <v>Real</v>
          </cell>
        </row>
        <row r="8685">
          <cell r="A8685" t="str">
            <v>PG</v>
          </cell>
          <cell r="B8685">
            <v>202402</v>
          </cell>
          <cell r="D8685" t="str">
            <v>Inmobiliario</v>
          </cell>
          <cell r="G8685" t="str">
            <v>Real</v>
          </cell>
        </row>
        <row r="8686">
          <cell r="A8686" t="str">
            <v>PG</v>
          </cell>
          <cell r="B8686">
            <v>202402</v>
          </cell>
          <cell r="D8686" t="str">
            <v>Líneas Financieras</v>
          </cell>
          <cell r="G8686" t="str">
            <v>Real</v>
          </cell>
        </row>
        <row r="8687">
          <cell r="A8687" t="str">
            <v>PG</v>
          </cell>
          <cell r="B8687">
            <v>202402</v>
          </cell>
          <cell r="D8687" t="str">
            <v>Particulares Resto</v>
          </cell>
          <cell r="G8687" t="str">
            <v>Real</v>
          </cell>
        </row>
        <row r="8688">
          <cell r="A8688" t="str">
            <v>PG</v>
          </cell>
          <cell r="B8688">
            <v>202402</v>
          </cell>
          <cell r="D8688" t="str">
            <v>Property</v>
          </cell>
          <cell r="G8688" t="str">
            <v>Real</v>
          </cell>
        </row>
        <row r="8689">
          <cell r="A8689" t="str">
            <v>PG</v>
          </cell>
          <cell r="B8689">
            <v>202402</v>
          </cell>
          <cell r="D8689" t="str">
            <v>RC</v>
          </cell>
          <cell r="G8689" t="str">
            <v>Real</v>
          </cell>
        </row>
        <row r="8690">
          <cell r="A8690" t="str">
            <v>PG</v>
          </cell>
          <cell r="B8690">
            <v>202402</v>
          </cell>
          <cell r="D8690" t="str">
            <v>Seguros Personales (No Vida) Colectivos</v>
          </cell>
          <cell r="G8690" t="str">
            <v>Real</v>
          </cell>
        </row>
        <row r="8691">
          <cell r="A8691" t="str">
            <v>PG</v>
          </cell>
          <cell r="B8691">
            <v>202402</v>
          </cell>
          <cell r="D8691" t="str">
            <v>Seguros Personales (No Vida) Particular</v>
          </cell>
          <cell r="G8691" t="str">
            <v>Real</v>
          </cell>
        </row>
        <row r="8692">
          <cell r="A8692" t="str">
            <v>PG</v>
          </cell>
          <cell r="B8692">
            <v>202402</v>
          </cell>
          <cell r="D8692" t="str">
            <v>Transporte</v>
          </cell>
          <cell r="G8692" t="str">
            <v>Real</v>
          </cell>
        </row>
        <row r="8693">
          <cell r="A8693" t="str">
            <v>PG</v>
          </cell>
          <cell r="B8693">
            <v>202402</v>
          </cell>
          <cell r="D8693" t="str">
            <v>Vida Ahorro Particular</v>
          </cell>
          <cell r="G8693" t="str">
            <v>Real</v>
          </cell>
        </row>
        <row r="8694">
          <cell r="A8694" t="str">
            <v>PG</v>
          </cell>
          <cell r="B8694">
            <v>202402</v>
          </cell>
          <cell r="D8694" t="str">
            <v>Vida Riesgo Colectivo</v>
          </cell>
          <cell r="G8694" t="str">
            <v>Real</v>
          </cell>
        </row>
        <row r="8695">
          <cell r="A8695" t="str">
            <v>PG</v>
          </cell>
          <cell r="B8695">
            <v>202402</v>
          </cell>
          <cell r="D8695" t="str">
            <v>Vida Riesgo Particular</v>
          </cell>
          <cell r="G8695" t="str">
            <v>Real</v>
          </cell>
        </row>
        <row r="8696">
          <cell r="A8696" t="str">
            <v>PG</v>
          </cell>
          <cell r="B8696">
            <v>202403</v>
          </cell>
          <cell r="D8696" t="str">
            <v>--</v>
          </cell>
          <cell r="G8696" t="str">
            <v>Real</v>
          </cell>
        </row>
        <row r="8697">
          <cell r="A8697" t="str">
            <v>PG</v>
          </cell>
          <cell r="B8697">
            <v>202403</v>
          </cell>
          <cell r="D8697" t="str">
            <v>Autos</v>
          </cell>
          <cell r="G8697" t="str">
            <v>Real</v>
          </cell>
        </row>
        <row r="8698">
          <cell r="A8698" t="str">
            <v>PG</v>
          </cell>
          <cell r="B8698">
            <v>202403</v>
          </cell>
          <cell r="D8698" t="str">
            <v>Flotas</v>
          </cell>
          <cell r="G8698" t="str">
            <v>Real</v>
          </cell>
        </row>
        <row r="8699">
          <cell r="A8699" t="str">
            <v>PG</v>
          </cell>
          <cell r="B8699">
            <v>202403</v>
          </cell>
          <cell r="D8699" t="str">
            <v>Hogar</v>
          </cell>
          <cell r="G8699" t="str">
            <v>Real</v>
          </cell>
        </row>
        <row r="8700">
          <cell r="A8700" t="str">
            <v>PG</v>
          </cell>
          <cell r="B8700">
            <v>202403</v>
          </cell>
          <cell r="D8700" t="str">
            <v>Ingeniería</v>
          </cell>
          <cell r="G8700" t="str">
            <v>Real</v>
          </cell>
        </row>
        <row r="8701">
          <cell r="A8701" t="str">
            <v>PG</v>
          </cell>
          <cell r="B8701">
            <v>202403</v>
          </cell>
          <cell r="D8701" t="str">
            <v>Inmobiliario</v>
          </cell>
          <cell r="G8701" t="str">
            <v>Real</v>
          </cell>
        </row>
        <row r="8702">
          <cell r="A8702" t="str">
            <v>PG</v>
          </cell>
          <cell r="B8702">
            <v>202403</v>
          </cell>
          <cell r="D8702" t="str">
            <v>Líneas Financieras</v>
          </cell>
          <cell r="G8702" t="str">
            <v>Real</v>
          </cell>
        </row>
        <row r="8703">
          <cell r="A8703" t="str">
            <v>PG</v>
          </cell>
          <cell r="B8703">
            <v>202403</v>
          </cell>
          <cell r="D8703" t="str">
            <v>Náutica</v>
          </cell>
          <cell r="G8703" t="str">
            <v>Real</v>
          </cell>
        </row>
        <row r="8704">
          <cell r="A8704" t="str">
            <v>PG</v>
          </cell>
          <cell r="B8704">
            <v>202403</v>
          </cell>
          <cell r="D8704" t="str">
            <v>Particulares Resto</v>
          </cell>
          <cell r="G8704" t="str">
            <v>Real</v>
          </cell>
        </row>
        <row r="8705">
          <cell r="A8705" t="str">
            <v>PG</v>
          </cell>
          <cell r="B8705">
            <v>202403</v>
          </cell>
          <cell r="D8705" t="str">
            <v>Property</v>
          </cell>
          <cell r="G8705" t="str">
            <v>Real</v>
          </cell>
        </row>
        <row r="8706">
          <cell r="A8706" t="str">
            <v>PG</v>
          </cell>
          <cell r="B8706">
            <v>202403</v>
          </cell>
          <cell r="D8706" t="str">
            <v>RC</v>
          </cell>
          <cell r="G8706" t="str">
            <v>Real</v>
          </cell>
        </row>
        <row r="8707">
          <cell r="A8707" t="str">
            <v>PG</v>
          </cell>
          <cell r="B8707">
            <v>202403</v>
          </cell>
          <cell r="D8707" t="str">
            <v>Seguros Personales (No Vida) Colectivos</v>
          </cell>
          <cell r="G8707" t="str">
            <v>Real</v>
          </cell>
        </row>
        <row r="8708">
          <cell r="A8708" t="str">
            <v>PG</v>
          </cell>
          <cell r="B8708">
            <v>202403</v>
          </cell>
          <cell r="D8708" t="str">
            <v>Seguros Personales (No Vida) Particular</v>
          </cell>
          <cell r="G8708" t="str">
            <v>Real</v>
          </cell>
        </row>
        <row r="8709">
          <cell r="A8709" t="str">
            <v>PG</v>
          </cell>
          <cell r="B8709">
            <v>202403</v>
          </cell>
          <cell r="D8709" t="str">
            <v>Vida Ahorro Particular</v>
          </cell>
          <cell r="G8709" t="str">
            <v>Real</v>
          </cell>
        </row>
        <row r="8710">
          <cell r="A8710" t="str">
            <v>PG</v>
          </cell>
          <cell r="B8710">
            <v>202403</v>
          </cell>
          <cell r="D8710" t="str">
            <v>Vida Riesgo Colectivo</v>
          </cell>
          <cell r="G8710" t="str">
            <v>Real</v>
          </cell>
        </row>
        <row r="8711">
          <cell r="A8711" t="str">
            <v>PG</v>
          </cell>
          <cell r="B8711">
            <v>202403</v>
          </cell>
          <cell r="D8711" t="str">
            <v>Vida Riesgo Particular</v>
          </cell>
          <cell r="G8711" t="str">
            <v>Real</v>
          </cell>
        </row>
        <row r="8712">
          <cell r="A8712" t="str">
            <v>PG</v>
          </cell>
          <cell r="B8712">
            <v>202404</v>
          </cell>
          <cell r="D8712" t="str">
            <v>--</v>
          </cell>
          <cell r="G8712" t="str">
            <v>Real</v>
          </cell>
        </row>
        <row r="8713">
          <cell r="A8713" t="str">
            <v>PG</v>
          </cell>
          <cell r="B8713">
            <v>202404</v>
          </cell>
          <cell r="D8713" t="str">
            <v>Resto de Lineas</v>
          </cell>
          <cell r="G8713" t="str">
            <v>Real</v>
          </cell>
        </row>
        <row r="8714">
          <cell r="A8714" t="str">
            <v>PG</v>
          </cell>
          <cell r="B8714">
            <v>202404</v>
          </cell>
          <cell r="D8714" t="str">
            <v>Autos</v>
          </cell>
          <cell r="G8714" t="str">
            <v>Real</v>
          </cell>
        </row>
        <row r="8715">
          <cell r="A8715" t="str">
            <v>PG</v>
          </cell>
          <cell r="B8715">
            <v>202404</v>
          </cell>
          <cell r="D8715" t="str">
            <v>Crédito Nacional</v>
          </cell>
          <cell r="G8715" t="str">
            <v>Real</v>
          </cell>
        </row>
        <row r="8716">
          <cell r="A8716" t="str">
            <v>PG</v>
          </cell>
          <cell r="B8716">
            <v>202404</v>
          </cell>
          <cell r="D8716" t="str">
            <v>Flotas</v>
          </cell>
          <cell r="G8716" t="str">
            <v>Real</v>
          </cell>
        </row>
        <row r="8717">
          <cell r="A8717" t="str">
            <v>PG</v>
          </cell>
          <cell r="B8717">
            <v>202404</v>
          </cell>
          <cell r="D8717" t="str">
            <v>Hogar</v>
          </cell>
          <cell r="G8717" t="str">
            <v>Real</v>
          </cell>
        </row>
        <row r="8718">
          <cell r="A8718" t="str">
            <v>PG</v>
          </cell>
          <cell r="B8718">
            <v>202404</v>
          </cell>
          <cell r="D8718" t="str">
            <v>Ingeniería</v>
          </cell>
          <cell r="G8718" t="str">
            <v>Real</v>
          </cell>
        </row>
        <row r="8719">
          <cell r="A8719" t="str">
            <v>PG</v>
          </cell>
          <cell r="B8719">
            <v>202404</v>
          </cell>
          <cell r="D8719" t="str">
            <v>Inmobiliario</v>
          </cell>
          <cell r="G8719" t="str">
            <v>Real</v>
          </cell>
        </row>
        <row r="8720">
          <cell r="A8720" t="str">
            <v>PG</v>
          </cell>
          <cell r="B8720">
            <v>202404</v>
          </cell>
          <cell r="D8720" t="str">
            <v>Líneas Financieras</v>
          </cell>
          <cell r="G8720" t="str">
            <v>Real</v>
          </cell>
        </row>
        <row r="8721">
          <cell r="A8721" t="str">
            <v>PG</v>
          </cell>
          <cell r="B8721">
            <v>202404</v>
          </cell>
          <cell r="D8721" t="str">
            <v>Náutica</v>
          </cell>
          <cell r="G8721" t="str">
            <v>Real</v>
          </cell>
        </row>
        <row r="8722">
          <cell r="A8722" t="str">
            <v>PG</v>
          </cell>
          <cell r="B8722">
            <v>202404</v>
          </cell>
          <cell r="D8722" t="str">
            <v>Particulares Resto</v>
          </cell>
          <cell r="G8722" t="str">
            <v>Real</v>
          </cell>
        </row>
        <row r="8723">
          <cell r="A8723" t="str">
            <v>PG</v>
          </cell>
          <cell r="B8723">
            <v>202404</v>
          </cell>
          <cell r="D8723" t="str">
            <v>Property</v>
          </cell>
          <cell r="G8723" t="str">
            <v>Real</v>
          </cell>
        </row>
        <row r="8724">
          <cell r="A8724" t="str">
            <v>PG</v>
          </cell>
          <cell r="B8724">
            <v>202404</v>
          </cell>
          <cell r="D8724" t="str">
            <v>RC</v>
          </cell>
          <cell r="G8724" t="str">
            <v>Real</v>
          </cell>
        </row>
        <row r="8725">
          <cell r="A8725" t="str">
            <v>PG</v>
          </cell>
          <cell r="B8725">
            <v>202404</v>
          </cell>
          <cell r="D8725" t="str">
            <v>Seguros Personales (No Vida) Colectivos</v>
          </cell>
          <cell r="G8725" t="str">
            <v>Real</v>
          </cell>
        </row>
        <row r="8726">
          <cell r="A8726" t="str">
            <v>PG</v>
          </cell>
          <cell r="B8726">
            <v>202404</v>
          </cell>
          <cell r="D8726" t="str">
            <v>Seguros Personales (No Vida) Particular</v>
          </cell>
          <cell r="G8726" t="str">
            <v>Real</v>
          </cell>
        </row>
        <row r="8727">
          <cell r="A8727" t="str">
            <v>PG</v>
          </cell>
          <cell r="B8727">
            <v>202404</v>
          </cell>
          <cell r="D8727" t="str">
            <v>Transporte</v>
          </cell>
          <cell r="G8727" t="str">
            <v>Real</v>
          </cell>
        </row>
        <row r="8728">
          <cell r="A8728" t="str">
            <v>PG</v>
          </cell>
          <cell r="B8728">
            <v>202404</v>
          </cell>
          <cell r="D8728" t="str">
            <v>Vida Ahorro Particular</v>
          </cell>
          <cell r="G8728" t="str">
            <v>Real</v>
          </cell>
        </row>
        <row r="8729">
          <cell r="A8729" t="str">
            <v>PG</v>
          </cell>
          <cell r="B8729">
            <v>202404</v>
          </cell>
          <cell r="D8729" t="str">
            <v>Vida Riesgo Colectivo</v>
          </cell>
          <cell r="G8729" t="str">
            <v>Real</v>
          </cell>
        </row>
        <row r="8730">
          <cell r="A8730" t="str">
            <v>PG</v>
          </cell>
          <cell r="B8730">
            <v>202404</v>
          </cell>
          <cell r="D8730" t="str">
            <v>Vida Riesgo Particular</v>
          </cell>
          <cell r="G8730" t="str">
            <v>Real</v>
          </cell>
        </row>
        <row r="8731">
          <cell r="A8731" t="str">
            <v>PG</v>
          </cell>
          <cell r="B8731">
            <v>202405</v>
          </cell>
          <cell r="D8731" t="str">
            <v>--</v>
          </cell>
          <cell r="G8731" t="str">
            <v>Real</v>
          </cell>
        </row>
        <row r="8732">
          <cell r="A8732" t="str">
            <v>PG</v>
          </cell>
          <cell r="B8732">
            <v>202405</v>
          </cell>
          <cell r="D8732" t="str">
            <v>Autos</v>
          </cell>
          <cell r="G8732" t="str">
            <v>Real</v>
          </cell>
        </row>
        <row r="8733">
          <cell r="A8733" t="str">
            <v>PG</v>
          </cell>
          <cell r="B8733">
            <v>202405</v>
          </cell>
          <cell r="D8733" t="str">
            <v>Crédito Nacional</v>
          </cell>
          <cell r="G8733" t="str">
            <v>Real</v>
          </cell>
        </row>
        <row r="8734">
          <cell r="A8734" t="str">
            <v>PG</v>
          </cell>
          <cell r="B8734">
            <v>202405</v>
          </cell>
          <cell r="D8734" t="str">
            <v>Flotas</v>
          </cell>
          <cell r="G8734" t="str">
            <v>Real</v>
          </cell>
        </row>
        <row r="8735">
          <cell r="A8735" t="str">
            <v>PG</v>
          </cell>
          <cell r="B8735">
            <v>202405</v>
          </cell>
          <cell r="D8735" t="str">
            <v>Hogar</v>
          </cell>
          <cell r="G8735" t="str">
            <v>Real</v>
          </cell>
        </row>
        <row r="8736">
          <cell r="A8736" t="str">
            <v>PG</v>
          </cell>
          <cell r="B8736">
            <v>202405</v>
          </cell>
          <cell r="D8736" t="str">
            <v>Ingeniería</v>
          </cell>
          <cell r="G8736" t="str">
            <v>Real</v>
          </cell>
        </row>
        <row r="8737">
          <cell r="A8737" t="str">
            <v>PG</v>
          </cell>
          <cell r="B8737">
            <v>202405</v>
          </cell>
          <cell r="D8737" t="str">
            <v>Inmobiliario</v>
          </cell>
          <cell r="G8737" t="str">
            <v>Real</v>
          </cell>
        </row>
        <row r="8738">
          <cell r="A8738" t="str">
            <v>PG</v>
          </cell>
          <cell r="B8738">
            <v>202405</v>
          </cell>
          <cell r="D8738" t="str">
            <v>Líneas Financieras</v>
          </cell>
          <cell r="G8738" t="str">
            <v>Real</v>
          </cell>
        </row>
        <row r="8739">
          <cell r="A8739" t="str">
            <v>PG</v>
          </cell>
          <cell r="B8739">
            <v>202405</v>
          </cell>
          <cell r="D8739" t="str">
            <v>Náutica</v>
          </cell>
          <cell r="G8739" t="str">
            <v>Real</v>
          </cell>
        </row>
        <row r="8740">
          <cell r="A8740" t="str">
            <v>PG</v>
          </cell>
          <cell r="B8740">
            <v>202405</v>
          </cell>
          <cell r="D8740" t="str">
            <v>Particulares Resto</v>
          </cell>
          <cell r="G8740" t="str">
            <v>Real</v>
          </cell>
        </row>
        <row r="8741">
          <cell r="A8741" t="str">
            <v>PG</v>
          </cell>
          <cell r="B8741">
            <v>202405</v>
          </cell>
          <cell r="D8741" t="str">
            <v>Property</v>
          </cell>
          <cell r="G8741" t="str">
            <v>Real</v>
          </cell>
        </row>
        <row r="8742">
          <cell r="A8742" t="str">
            <v>PG</v>
          </cell>
          <cell r="B8742">
            <v>202405</v>
          </cell>
          <cell r="D8742" t="str">
            <v>RC</v>
          </cell>
          <cell r="G8742" t="str">
            <v>Real</v>
          </cell>
        </row>
        <row r="8743">
          <cell r="A8743" t="str">
            <v>PG</v>
          </cell>
          <cell r="B8743">
            <v>202405</v>
          </cell>
          <cell r="D8743" t="str">
            <v>Seguros Personales (No Vida) Colectivos</v>
          </cell>
          <cell r="G8743" t="str">
            <v>Real</v>
          </cell>
        </row>
        <row r="8744">
          <cell r="A8744" t="str">
            <v>PG</v>
          </cell>
          <cell r="B8744">
            <v>202405</v>
          </cell>
          <cell r="D8744" t="str">
            <v>Seguros Personales (No Vida) Particular</v>
          </cell>
          <cell r="G8744" t="str">
            <v>Real</v>
          </cell>
        </row>
        <row r="8745">
          <cell r="A8745" t="str">
            <v>PG</v>
          </cell>
          <cell r="B8745">
            <v>202405</v>
          </cell>
          <cell r="D8745" t="str">
            <v>Transporte</v>
          </cell>
          <cell r="G8745" t="str">
            <v>Real</v>
          </cell>
        </row>
        <row r="8746">
          <cell r="A8746" t="str">
            <v>PG</v>
          </cell>
          <cell r="B8746">
            <v>202405</v>
          </cell>
          <cell r="D8746" t="str">
            <v>Vida Ahorro Particular</v>
          </cell>
          <cell r="G8746" t="str">
            <v>Real</v>
          </cell>
        </row>
        <row r="8747">
          <cell r="A8747" t="str">
            <v>PG</v>
          </cell>
          <cell r="B8747">
            <v>202405</v>
          </cell>
          <cell r="D8747" t="str">
            <v>Vida Riesgo Colectivo</v>
          </cell>
          <cell r="G8747" t="str">
            <v>Real</v>
          </cell>
        </row>
        <row r="8748">
          <cell r="A8748" t="str">
            <v>PG</v>
          </cell>
          <cell r="B8748">
            <v>202405</v>
          </cell>
          <cell r="D8748" t="str">
            <v>Vida Riesgo Particular</v>
          </cell>
          <cell r="G8748" t="str">
            <v>Real</v>
          </cell>
        </row>
        <row r="8749">
          <cell r="A8749" t="str">
            <v>PG</v>
          </cell>
          <cell r="B8749">
            <v>202406</v>
          </cell>
          <cell r="D8749" t="str">
            <v>--</v>
          </cell>
          <cell r="G8749" t="str">
            <v>Real</v>
          </cell>
        </row>
        <row r="8750">
          <cell r="A8750" t="str">
            <v>PG</v>
          </cell>
          <cell r="B8750">
            <v>202406</v>
          </cell>
          <cell r="D8750" t="str">
            <v>Autos</v>
          </cell>
          <cell r="G8750" t="str">
            <v>Real</v>
          </cell>
        </row>
        <row r="8751">
          <cell r="A8751" t="str">
            <v>PG</v>
          </cell>
          <cell r="B8751">
            <v>202406</v>
          </cell>
          <cell r="D8751" t="str">
            <v>Flotas</v>
          </cell>
          <cell r="G8751" t="str">
            <v>Real</v>
          </cell>
        </row>
        <row r="8752">
          <cell r="A8752" t="str">
            <v>PG</v>
          </cell>
          <cell r="B8752">
            <v>202406</v>
          </cell>
          <cell r="D8752" t="str">
            <v>Hogar</v>
          </cell>
          <cell r="G8752" t="str">
            <v>Real</v>
          </cell>
        </row>
        <row r="8753">
          <cell r="A8753" t="str">
            <v>PG</v>
          </cell>
          <cell r="B8753">
            <v>202406</v>
          </cell>
          <cell r="D8753" t="str">
            <v>Ingeniería</v>
          </cell>
          <cell r="G8753" t="str">
            <v>Real</v>
          </cell>
        </row>
        <row r="8754">
          <cell r="A8754" t="str">
            <v>PG</v>
          </cell>
          <cell r="B8754">
            <v>202406</v>
          </cell>
          <cell r="D8754" t="str">
            <v>Inmobiliario</v>
          </cell>
          <cell r="G8754" t="str">
            <v>Real</v>
          </cell>
        </row>
        <row r="8755">
          <cell r="A8755" t="str">
            <v>PG</v>
          </cell>
          <cell r="B8755">
            <v>202406</v>
          </cell>
          <cell r="D8755" t="str">
            <v>Líneas Financieras</v>
          </cell>
          <cell r="G8755" t="str">
            <v>Real</v>
          </cell>
        </row>
        <row r="8756">
          <cell r="A8756" t="str">
            <v>PG</v>
          </cell>
          <cell r="B8756">
            <v>202406</v>
          </cell>
          <cell r="D8756" t="str">
            <v>Particulares</v>
          </cell>
          <cell r="G8756" t="str">
            <v>Real</v>
          </cell>
        </row>
        <row r="8757">
          <cell r="A8757" t="str">
            <v>PG</v>
          </cell>
          <cell r="B8757">
            <v>202406</v>
          </cell>
          <cell r="D8757" t="str">
            <v>Particulares Resto</v>
          </cell>
          <cell r="G8757" t="str">
            <v>Real</v>
          </cell>
        </row>
        <row r="8758">
          <cell r="A8758" t="str">
            <v>PG</v>
          </cell>
          <cell r="B8758">
            <v>202406</v>
          </cell>
          <cell r="D8758" t="str">
            <v>Property</v>
          </cell>
          <cell r="G8758" t="str">
            <v>Real</v>
          </cell>
        </row>
        <row r="8759">
          <cell r="A8759" t="str">
            <v>PG</v>
          </cell>
          <cell r="B8759">
            <v>202406</v>
          </cell>
          <cell r="D8759" t="str">
            <v>RC</v>
          </cell>
          <cell r="G8759" t="str">
            <v>Real</v>
          </cell>
        </row>
        <row r="8760">
          <cell r="A8760" t="str">
            <v>PG</v>
          </cell>
          <cell r="B8760">
            <v>202406</v>
          </cell>
          <cell r="D8760" t="str">
            <v>Seguros Personales (No Vida) Colectivos</v>
          </cell>
          <cell r="G8760" t="str">
            <v>Real</v>
          </cell>
        </row>
        <row r="8761">
          <cell r="A8761" t="str">
            <v>PG</v>
          </cell>
          <cell r="B8761">
            <v>202406</v>
          </cell>
          <cell r="D8761" t="str">
            <v>Seguros Personales (No Vida) Particular</v>
          </cell>
          <cell r="G8761" t="str">
            <v>Real</v>
          </cell>
        </row>
        <row r="8762">
          <cell r="A8762" t="str">
            <v>PG</v>
          </cell>
          <cell r="B8762">
            <v>202406</v>
          </cell>
          <cell r="D8762" t="str">
            <v>Transporte</v>
          </cell>
          <cell r="G8762" t="str">
            <v>Real</v>
          </cell>
        </row>
        <row r="8763">
          <cell r="A8763" t="str">
            <v>PG</v>
          </cell>
          <cell r="B8763">
            <v>202406</v>
          </cell>
          <cell r="D8763" t="str">
            <v>Vida Ahorro Particular</v>
          </cell>
          <cell r="G8763" t="str">
            <v>Real</v>
          </cell>
        </row>
        <row r="8764">
          <cell r="A8764" t="str">
            <v>PG</v>
          </cell>
          <cell r="B8764">
            <v>202406</v>
          </cell>
          <cell r="D8764" t="str">
            <v>Vida Riesgo Colectivo</v>
          </cell>
          <cell r="G8764" t="str">
            <v>Real</v>
          </cell>
        </row>
        <row r="8765">
          <cell r="A8765" t="str">
            <v>PG</v>
          </cell>
          <cell r="B8765">
            <v>202406</v>
          </cell>
          <cell r="D8765" t="str">
            <v>Vida Riesgo Particular</v>
          </cell>
          <cell r="G8765" t="str">
            <v>Real</v>
          </cell>
        </row>
        <row r="8766">
          <cell r="A8766" t="str">
            <v>PG</v>
          </cell>
          <cell r="B8766">
            <v>202407</v>
          </cell>
          <cell r="D8766" t="str">
            <v>--</v>
          </cell>
          <cell r="G8766" t="str">
            <v>Real</v>
          </cell>
        </row>
        <row r="8767">
          <cell r="A8767" t="str">
            <v>PG</v>
          </cell>
          <cell r="B8767">
            <v>202407</v>
          </cell>
          <cell r="D8767" t="str">
            <v>Resto de Lineas</v>
          </cell>
          <cell r="G8767" t="str">
            <v>Real</v>
          </cell>
        </row>
        <row r="8768">
          <cell r="A8768" t="str">
            <v>PG</v>
          </cell>
          <cell r="B8768">
            <v>202407</v>
          </cell>
          <cell r="D8768" t="str">
            <v>Autos</v>
          </cell>
          <cell r="G8768" t="str">
            <v>Real</v>
          </cell>
        </row>
        <row r="8769">
          <cell r="A8769" t="str">
            <v>PG</v>
          </cell>
          <cell r="B8769">
            <v>202407</v>
          </cell>
          <cell r="D8769" t="str">
            <v>Crédito Nacional</v>
          </cell>
          <cell r="G8769" t="str">
            <v>Real</v>
          </cell>
        </row>
        <row r="8770">
          <cell r="A8770" t="str">
            <v>PG</v>
          </cell>
          <cell r="B8770">
            <v>202407</v>
          </cell>
          <cell r="D8770" t="str">
            <v>Flotas</v>
          </cell>
          <cell r="G8770" t="str">
            <v>Real</v>
          </cell>
        </row>
        <row r="8771">
          <cell r="A8771" t="str">
            <v>PG</v>
          </cell>
          <cell r="B8771">
            <v>202407</v>
          </cell>
          <cell r="D8771" t="str">
            <v>Hogar</v>
          </cell>
          <cell r="G8771" t="str">
            <v>Real</v>
          </cell>
        </row>
        <row r="8772">
          <cell r="A8772" t="str">
            <v>PG</v>
          </cell>
          <cell r="B8772">
            <v>202407</v>
          </cell>
          <cell r="D8772" t="str">
            <v>Ingeniería</v>
          </cell>
          <cell r="G8772" t="str">
            <v>Real</v>
          </cell>
        </row>
        <row r="8773">
          <cell r="A8773" t="str">
            <v>PG</v>
          </cell>
          <cell r="B8773">
            <v>202407</v>
          </cell>
          <cell r="D8773" t="str">
            <v>Inmobiliario</v>
          </cell>
          <cell r="G8773" t="str">
            <v>Real</v>
          </cell>
        </row>
        <row r="8774">
          <cell r="A8774" t="str">
            <v>PG</v>
          </cell>
          <cell r="B8774">
            <v>202407</v>
          </cell>
          <cell r="D8774" t="str">
            <v>Líneas Financieras</v>
          </cell>
          <cell r="G8774" t="str">
            <v>Real</v>
          </cell>
        </row>
        <row r="8775">
          <cell r="A8775" t="str">
            <v>PG</v>
          </cell>
          <cell r="B8775">
            <v>202407</v>
          </cell>
          <cell r="D8775" t="str">
            <v>Náutica</v>
          </cell>
          <cell r="G8775" t="str">
            <v>Real</v>
          </cell>
        </row>
        <row r="8776">
          <cell r="A8776" t="str">
            <v>PG</v>
          </cell>
          <cell r="B8776">
            <v>202407</v>
          </cell>
          <cell r="D8776" t="str">
            <v>Particulares Resto</v>
          </cell>
          <cell r="G8776" t="str">
            <v>Real</v>
          </cell>
        </row>
        <row r="8777">
          <cell r="A8777" t="str">
            <v>PG</v>
          </cell>
          <cell r="B8777">
            <v>202407</v>
          </cell>
          <cell r="D8777" t="str">
            <v>Property</v>
          </cell>
          <cell r="G8777" t="str">
            <v>Real</v>
          </cell>
        </row>
        <row r="8778">
          <cell r="A8778" t="str">
            <v>PG</v>
          </cell>
          <cell r="B8778">
            <v>202407</v>
          </cell>
          <cell r="D8778" t="str">
            <v>RC</v>
          </cell>
          <cell r="G8778" t="str">
            <v>Real</v>
          </cell>
        </row>
        <row r="8779">
          <cell r="A8779" t="str">
            <v>PG</v>
          </cell>
          <cell r="B8779">
            <v>202407</v>
          </cell>
          <cell r="D8779" t="str">
            <v>Seguros Personales (No Vida) Colectivos</v>
          </cell>
          <cell r="G8779" t="str">
            <v>Real</v>
          </cell>
        </row>
        <row r="8780">
          <cell r="A8780" t="str">
            <v>PG</v>
          </cell>
          <cell r="B8780">
            <v>202407</v>
          </cell>
          <cell r="D8780" t="str">
            <v>Seguros Personales (No Vida) Particular</v>
          </cell>
          <cell r="G8780" t="str">
            <v>Real</v>
          </cell>
        </row>
        <row r="8781">
          <cell r="A8781" t="str">
            <v>PG</v>
          </cell>
          <cell r="B8781">
            <v>202407</v>
          </cell>
          <cell r="D8781" t="str">
            <v>Transporte</v>
          </cell>
          <cell r="G8781" t="str">
            <v>Real</v>
          </cell>
        </row>
        <row r="8782">
          <cell r="A8782" t="str">
            <v>PG</v>
          </cell>
          <cell r="B8782">
            <v>202407</v>
          </cell>
          <cell r="D8782" t="str">
            <v>Vida Ahorro Particular</v>
          </cell>
          <cell r="G8782" t="str">
            <v>Real</v>
          </cell>
        </row>
        <row r="8783">
          <cell r="A8783" t="str">
            <v>PG</v>
          </cell>
          <cell r="B8783">
            <v>202407</v>
          </cell>
          <cell r="D8783" t="str">
            <v>Vida Riesgo Colectivo</v>
          </cell>
          <cell r="G8783" t="str">
            <v>Real</v>
          </cell>
        </row>
        <row r="8784">
          <cell r="A8784" t="str">
            <v>PG</v>
          </cell>
          <cell r="B8784">
            <v>202407</v>
          </cell>
          <cell r="D8784" t="str">
            <v>Vida Riesgo Particular</v>
          </cell>
          <cell r="G8784" t="str">
            <v>Real</v>
          </cell>
        </row>
        <row r="8785">
          <cell r="A8785" t="str">
            <v>PG</v>
          </cell>
          <cell r="B8785">
            <v>202408</v>
          </cell>
          <cell r="D8785" t="str">
            <v>--</v>
          </cell>
          <cell r="G8785" t="str">
            <v>Real</v>
          </cell>
        </row>
        <row r="8786">
          <cell r="A8786" t="str">
            <v>PG</v>
          </cell>
          <cell r="B8786">
            <v>202408</v>
          </cell>
          <cell r="D8786" t="str">
            <v>Autos</v>
          </cell>
          <cell r="G8786" t="str">
            <v>Real</v>
          </cell>
        </row>
        <row r="8787">
          <cell r="A8787" t="str">
            <v>PG</v>
          </cell>
          <cell r="B8787">
            <v>202408</v>
          </cell>
          <cell r="D8787" t="str">
            <v>Crédito Nacional</v>
          </cell>
          <cell r="G8787" t="str">
            <v>Real</v>
          </cell>
        </row>
        <row r="8788">
          <cell r="A8788" t="str">
            <v>PG</v>
          </cell>
          <cell r="B8788">
            <v>202408</v>
          </cell>
          <cell r="D8788" t="str">
            <v>Flotas</v>
          </cell>
          <cell r="G8788" t="str">
            <v>Real</v>
          </cell>
        </row>
        <row r="8789">
          <cell r="A8789" t="str">
            <v>PG</v>
          </cell>
          <cell r="B8789">
            <v>202408</v>
          </cell>
          <cell r="D8789" t="str">
            <v>Hogar</v>
          </cell>
          <cell r="G8789" t="str">
            <v>Real</v>
          </cell>
        </row>
        <row r="8790">
          <cell r="A8790" t="str">
            <v>PG</v>
          </cell>
          <cell r="B8790">
            <v>202408</v>
          </cell>
          <cell r="D8790" t="str">
            <v>Ingeniería</v>
          </cell>
          <cell r="G8790" t="str">
            <v>Real</v>
          </cell>
        </row>
        <row r="8791">
          <cell r="A8791" t="str">
            <v>PG</v>
          </cell>
          <cell r="B8791">
            <v>202408</v>
          </cell>
          <cell r="D8791" t="str">
            <v>Inmobiliario</v>
          </cell>
          <cell r="G8791" t="str">
            <v>Real</v>
          </cell>
        </row>
        <row r="8792">
          <cell r="A8792" t="str">
            <v>PG</v>
          </cell>
          <cell r="B8792">
            <v>202408</v>
          </cell>
          <cell r="D8792" t="str">
            <v>Líneas Financieras</v>
          </cell>
          <cell r="G8792" t="str">
            <v>Real</v>
          </cell>
        </row>
        <row r="8793">
          <cell r="A8793" t="str">
            <v>PG</v>
          </cell>
          <cell r="B8793">
            <v>202408</v>
          </cell>
          <cell r="D8793" t="str">
            <v>Particulares Resto</v>
          </cell>
          <cell r="G8793" t="str">
            <v>Real</v>
          </cell>
        </row>
        <row r="8794">
          <cell r="A8794" t="str">
            <v>PG</v>
          </cell>
          <cell r="B8794">
            <v>202408</v>
          </cell>
          <cell r="D8794" t="str">
            <v>Property</v>
          </cell>
          <cell r="G8794" t="str">
            <v>Real</v>
          </cell>
        </row>
        <row r="8795">
          <cell r="A8795" t="str">
            <v>PG</v>
          </cell>
          <cell r="B8795">
            <v>202408</v>
          </cell>
          <cell r="D8795" t="str">
            <v>RC</v>
          </cell>
          <cell r="G8795" t="str">
            <v>Real</v>
          </cell>
        </row>
        <row r="8796">
          <cell r="A8796" t="str">
            <v>PG</v>
          </cell>
          <cell r="B8796">
            <v>202408</v>
          </cell>
          <cell r="D8796" t="str">
            <v>Seguros Personales (No Vida) Colectivos</v>
          </cell>
          <cell r="G8796" t="str">
            <v>Real</v>
          </cell>
        </row>
        <row r="8797">
          <cell r="A8797" t="str">
            <v>PG</v>
          </cell>
          <cell r="B8797">
            <v>202408</v>
          </cell>
          <cell r="D8797" t="str">
            <v>Seguros Personales (No Vida) Particular</v>
          </cell>
          <cell r="G8797" t="str">
            <v>Real</v>
          </cell>
        </row>
        <row r="8798">
          <cell r="A8798" t="str">
            <v>PG</v>
          </cell>
          <cell r="B8798">
            <v>202408</v>
          </cell>
          <cell r="D8798" t="str">
            <v>Transporte</v>
          </cell>
          <cell r="G8798" t="str">
            <v>Real</v>
          </cell>
        </row>
        <row r="8799">
          <cell r="A8799" t="str">
            <v>PG</v>
          </cell>
          <cell r="B8799">
            <v>202408</v>
          </cell>
          <cell r="D8799" t="str">
            <v>Vida Ahorro Particular</v>
          </cell>
          <cell r="G8799" t="str">
            <v>Real</v>
          </cell>
        </row>
        <row r="8800">
          <cell r="A8800" t="str">
            <v>PG</v>
          </cell>
          <cell r="B8800">
            <v>202408</v>
          </cell>
          <cell r="D8800" t="str">
            <v>Vida Riesgo Colectivo</v>
          </cell>
          <cell r="G8800" t="str">
            <v>Real</v>
          </cell>
        </row>
        <row r="8801">
          <cell r="A8801" t="str">
            <v>PG</v>
          </cell>
          <cell r="B8801">
            <v>202408</v>
          </cell>
          <cell r="D8801" t="str">
            <v>Vida Riesgo Particular</v>
          </cell>
          <cell r="G8801" t="str">
            <v>Real</v>
          </cell>
        </row>
        <row r="8802">
          <cell r="A8802" t="str">
            <v>PG</v>
          </cell>
          <cell r="B8802">
            <v>202409</v>
          </cell>
          <cell r="D8802" t="str">
            <v>--</v>
          </cell>
          <cell r="G8802" t="str">
            <v>Real</v>
          </cell>
        </row>
        <row r="8803">
          <cell r="A8803" t="str">
            <v>PG</v>
          </cell>
          <cell r="B8803">
            <v>202409</v>
          </cell>
          <cell r="D8803" t="str">
            <v>Autos</v>
          </cell>
          <cell r="G8803" t="str">
            <v>Real</v>
          </cell>
        </row>
        <row r="8804">
          <cell r="A8804" t="str">
            <v>PG</v>
          </cell>
          <cell r="B8804">
            <v>202409</v>
          </cell>
          <cell r="D8804" t="str">
            <v>Flotas</v>
          </cell>
          <cell r="G8804" t="str">
            <v>Real</v>
          </cell>
        </row>
        <row r="8805">
          <cell r="A8805" t="str">
            <v>PG</v>
          </cell>
          <cell r="B8805">
            <v>202409</v>
          </cell>
          <cell r="D8805" t="str">
            <v>Hogar</v>
          </cell>
          <cell r="G8805" t="str">
            <v>Real</v>
          </cell>
        </row>
        <row r="8806">
          <cell r="A8806" t="str">
            <v>PG</v>
          </cell>
          <cell r="B8806">
            <v>202409</v>
          </cell>
          <cell r="D8806" t="str">
            <v>Ingeniería</v>
          </cell>
          <cell r="G8806" t="str">
            <v>Real</v>
          </cell>
        </row>
        <row r="8807">
          <cell r="A8807" t="str">
            <v>PG</v>
          </cell>
          <cell r="B8807">
            <v>202409</v>
          </cell>
          <cell r="D8807" t="str">
            <v>Inmobiliario</v>
          </cell>
          <cell r="G8807" t="str">
            <v>Real</v>
          </cell>
        </row>
        <row r="8808">
          <cell r="A8808" t="str">
            <v>PG</v>
          </cell>
          <cell r="B8808">
            <v>202409</v>
          </cell>
          <cell r="D8808" t="str">
            <v>Líneas Financieras</v>
          </cell>
          <cell r="G8808" t="str">
            <v>Real</v>
          </cell>
        </row>
        <row r="8809">
          <cell r="A8809" t="str">
            <v>PG</v>
          </cell>
          <cell r="B8809">
            <v>202409</v>
          </cell>
          <cell r="D8809" t="str">
            <v>Particulares Resto</v>
          </cell>
          <cell r="G8809" t="str">
            <v>Real</v>
          </cell>
        </row>
        <row r="8810">
          <cell r="A8810" t="str">
            <v>PG</v>
          </cell>
          <cell r="B8810">
            <v>202409</v>
          </cell>
          <cell r="D8810" t="str">
            <v>Property</v>
          </cell>
          <cell r="G8810" t="str">
            <v>Real</v>
          </cell>
        </row>
        <row r="8811">
          <cell r="A8811" t="str">
            <v>PG</v>
          </cell>
          <cell r="B8811">
            <v>202409</v>
          </cell>
          <cell r="D8811" t="str">
            <v>RC</v>
          </cell>
          <cell r="G8811" t="str">
            <v>Real</v>
          </cell>
        </row>
        <row r="8812">
          <cell r="A8812" t="str">
            <v>PG</v>
          </cell>
          <cell r="B8812">
            <v>202409</v>
          </cell>
          <cell r="D8812" t="str">
            <v>Seguros Personales (No Vida) Colectivos</v>
          </cell>
          <cell r="G8812" t="str">
            <v>Real</v>
          </cell>
        </row>
        <row r="8813">
          <cell r="A8813" t="str">
            <v>PG</v>
          </cell>
          <cell r="B8813">
            <v>202409</v>
          </cell>
          <cell r="D8813" t="str">
            <v>Seguros Personales (No Vida) Particular</v>
          </cell>
          <cell r="G8813" t="str">
            <v>Real</v>
          </cell>
        </row>
        <row r="8814">
          <cell r="A8814" t="str">
            <v>PG</v>
          </cell>
          <cell r="B8814">
            <v>202409</v>
          </cell>
          <cell r="D8814" t="str">
            <v>Transporte</v>
          </cell>
          <cell r="G8814" t="str">
            <v>Real</v>
          </cell>
        </row>
        <row r="8815">
          <cell r="A8815" t="str">
            <v>PG</v>
          </cell>
          <cell r="B8815">
            <v>202409</v>
          </cell>
          <cell r="D8815" t="str">
            <v>Vida Ahorro Particular</v>
          </cell>
          <cell r="G8815" t="str">
            <v>Real</v>
          </cell>
        </row>
        <row r="8816">
          <cell r="A8816" t="str">
            <v>PG</v>
          </cell>
          <cell r="B8816">
            <v>202409</v>
          </cell>
          <cell r="D8816" t="str">
            <v>Vida Riesgo Colectivo</v>
          </cell>
          <cell r="G8816" t="str">
            <v>Real</v>
          </cell>
        </row>
        <row r="8817">
          <cell r="A8817" t="str">
            <v>PG</v>
          </cell>
          <cell r="B8817">
            <v>202409</v>
          </cell>
          <cell r="D8817" t="str">
            <v>Vida Riesgo Particular</v>
          </cell>
          <cell r="G8817" t="str">
            <v>Real</v>
          </cell>
        </row>
        <row r="8818">
          <cell r="A8818" t="str">
            <v>PG</v>
          </cell>
          <cell r="B8818">
            <v>202410</v>
          </cell>
          <cell r="D8818" t="str">
            <v>--</v>
          </cell>
          <cell r="G8818" t="str">
            <v>Real</v>
          </cell>
        </row>
        <row r="8819">
          <cell r="A8819" t="str">
            <v>PG</v>
          </cell>
          <cell r="B8819">
            <v>202410</v>
          </cell>
          <cell r="D8819" t="str">
            <v>Autos</v>
          </cell>
          <cell r="G8819" t="str">
            <v>Real</v>
          </cell>
        </row>
        <row r="8820">
          <cell r="A8820" t="str">
            <v>PG</v>
          </cell>
          <cell r="B8820">
            <v>202410</v>
          </cell>
          <cell r="D8820" t="str">
            <v>Crédito Nacional</v>
          </cell>
          <cell r="G8820" t="str">
            <v>Real</v>
          </cell>
        </row>
        <row r="8821">
          <cell r="A8821" t="str">
            <v>PG</v>
          </cell>
          <cell r="B8821">
            <v>202410</v>
          </cell>
          <cell r="D8821" t="str">
            <v>Flotas</v>
          </cell>
          <cell r="G8821" t="str">
            <v>Real</v>
          </cell>
        </row>
        <row r="8822">
          <cell r="A8822" t="str">
            <v>PG</v>
          </cell>
          <cell r="B8822">
            <v>202410</v>
          </cell>
          <cell r="D8822" t="str">
            <v>Hogar</v>
          </cell>
          <cell r="G8822" t="str">
            <v>Real</v>
          </cell>
        </row>
        <row r="8823">
          <cell r="A8823" t="str">
            <v>PG</v>
          </cell>
          <cell r="B8823">
            <v>202410</v>
          </cell>
          <cell r="D8823" t="str">
            <v>Ingeniería</v>
          </cell>
          <cell r="G8823" t="str">
            <v>Real</v>
          </cell>
        </row>
        <row r="8824">
          <cell r="A8824" t="str">
            <v>PG</v>
          </cell>
          <cell r="B8824">
            <v>202410</v>
          </cell>
          <cell r="D8824" t="str">
            <v>Inmobiliario</v>
          </cell>
          <cell r="G8824" t="str">
            <v>Real</v>
          </cell>
        </row>
        <row r="8825">
          <cell r="A8825" t="str">
            <v>PG</v>
          </cell>
          <cell r="B8825">
            <v>202410</v>
          </cell>
          <cell r="D8825" t="str">
            <v>Líneas Financieras</v>
          </cell>
          <cell r="G8825" t="str">
            <v>Real</v>
          </cell>
        </row>
        <row r="8826">
          <cell r="A8826" t="str">
            <v>PG</v>
          </cell>
          <cell r="B8826">
            <v>202410</v>
          </cell>
          <cell r="D8826" t="str">
            <v>Particulares Resto</v>
          </cell>
          <cell r="G8826" t="str">
            <v>Real</v>
          </cell>
        </row>
        <row r="8827">
          <cell r="A8827" t="str">
            <v>PG</v>
          </cell>
          <cell r="B8827">
            <v>202410</v>
          </cell>
          <cell r="D8827" t="str">
            <v>Property</v>
          </cell>
          <cell r="G8827" t="str">
            <v>Real</v>
          </cell>
        </row>
        <row r="8828">
          <cell r="A8828" t="str">
            <v>PG</v>
          </cell>
          <cell r="B8828">
            <v>202410</v>
          </cell>
          <cell r="D8828" t="str">
            <v>RC</v>
          </cell>
          <cell r="G8828" t="str">
            <v>Real</v>
          </cell>
        </row>
        <row r="8829">
          <cell r="A8829" t="str">
            <v>PG</v>
          </cell>
          <cell r="B8829">
            <v>202410</v>
          </cell>
          <cell r="D8829" t="str">
            <v>Seguros Personales (No Vida) Colectivos</v>
          </cell>
          <cell r="G8829" t="str">
            <v>Real</v>
          </cell>
        </row>
        <row r="8830">
          <cell r="A8830" t="str">
            <v>PG</v>
          </cell>
          <cell r="B8830">
            <v>202410</v>
          </cell>
          <cell r="D8830" t="str">
            <v>Seguros Personales (No Vida) Particular</v>
          </cell>
          <cell r="G8830" t="str">
            <v>Real</v>
          </cell>
        </row>
        <row r="8831">
          <cell r="A8831" t="str">
            <v>PG</v>
          </cell>
          <cell r="B8831">
            <v>202410</v>
          </cell>
          <cell r="D8831" t="str">
            <v>Transporte</v>
          </cell>
          <cell r="G8831" t="str">
            <v>Real</v>
          </cell>
        </row>
        <row r="8832">
          <cell r="A8832" t="str">
            <v>PG</v>
          </cell>
          <cell r="B8832">
            <v>202410</v>
          </cell>
          <cell r="D8832" t="str">
            <v>Vida Ahorro Particular</v>
          </cell>
          <cell r="G8832" t="str">
            <v>Real</v>
          </cell>
        </row>
        <row r="8833">
          <cell r="A8833" t="str">
            <v>PG</v>
          </cell>
          <cell r="B8833">
            <v>202410</v>
          </cell>
          <cell r="D8833" t="str">
            <v>Vida Riesgo Colectivo</v>
          </cell>
          <cell r="G8833" t="str">
            <v>Real</v>
          </cell>
        </row>
        <row r="8834">
          <cell r="A8834" t="str">
            <v>PG</v>
          </cell>
          <cell r="B8834">
            <v>202410</v>
          </cell>
          <cell r="D8834" t="str">
            <v>Vida Riesgo Particular</v>
          </cell>
          <cell r="G8834" t="str">
            <v>Real</v>
          </cell>
        </row>
        <row r="8835">
          <cell r="A8835" t="str">
            <v>PG</v>
          </cell>
          <cell r="B8835">
            <v>202411</v>
          </cell>
          <cell r="D8835" t="str">
            <v>--</v>
          </cell>
          <cell r="G8835" t="str">
            <v>Real</v>
          </cell>
        </row>
        <row r="8836">
          <cell r="A8836" t="str">
            <v>PG</v>
          </cell>
          <cell r="B8836">
            <v>202411</v>
          </cell>
          <cell r="D8836" t="str">
            <v>Autos</v>
          </cell>
          <cell r="G8836" t="str">
            <v>Real</v>
          </cell>
        </row>
        <row r="8837">
          <cell r="A8837" t="str">
            <v>PG</v>
          </cell>
          <cell r="B8837">
            <v>202411</v>
          </cell>
          <cell r="D8837" t="str">
            <v>Crédito Nacional</v>
          </cell>
          <cell r="G8837" t="str">
            <v>Real</v>
          </cell>
        </row>
        <row r="8838">
          <cell r="A8838" t="str">
            <v>PG</v>
          </cell>
          <cell r="B8838">
            <v>202411</v>
          </cell>
          <cell r="D8838" t="str">
            <v>Flotas</v>
          </cell>
          <cell r="G8838" t="str">
            <v>Real</v>
          </cell>
        </row>
        <row r="8839">
          <cell r="A8839" t="str">
            <v>PG</v>
          </cell>
          <cell r="B8839">
            <v>202411</v>
          </cell>
          <cell r="D8839" t="str">
            <v>Hogar</v>
          </cell>
          <cell r="G8839" t="str">
            <v>Real</v>
          </cell>
        </row>
        <row r="8840">
          <cell r="A8840" t="str">
            <v>PG</v>
          </cell>
          <cell r="B8840">
            <v>202411</v>
          </cell>
          <cell r="D8840" t="str">
            <v>Ingeniería</v>
          </cell>
          <cell r="G8840" t="str">
            <v>Real</v>
          </cell>
        </row>
        <row r="8841">
          <cell r="A8841" t="str">
            <v>PG</v>
          </cell>
          <cell r="B8841">
            <v>202411</v>
          </cell>
          <cell r="D8841" t="str">
            <v>Inmobiliario</v>
          </cell>
          <cell r="G8841" t="str">
            <v>Real</v>
          </cell>
        </row>
        <row r="8842">
          <cell r="A8842" t="str">
            <v>PG</v>
          </cell>
          <cell r="B8842">
            <v>202411</v>
          </cell>
          <cell r="D8842" t="str">
            <v>Líneas Financieras</v>
          </cell>
          <cell r="G8842" t="str">
            <v>Real</v>
          </cell>
        </row>
        <row r="8843">
          <cell r="A8843" t="str">
            <v>PG</v>
          </cell>
          <cell r="B8843">
            <v>202411</v>
          </cell>
          <cell r="D8843" t="str">
            <v>Náutica</v>
          </cell>
          <cell r="G8843" t="str">
            <v>Real</v>
          </cell>
        </row>
        <row r="8844">
          <cell r="A8844" t="str">
            <v>PG</v>
          </cell>
          <cell r="B8844">
            <v>202411</v>
          </cell>
          <cell r="D8844" t="str">
            <v>Particulares Resto</v>
          </cell>
          <cell r="G8844" t="str">
            <v>Real</v>
          </cell>
        </row>
        <row r="8845">
          <cell r="A8845" t="str">
            <v>PG</v>
          </cell>
          <cell r="B8845">
            <v>202411</v>
          </cell>
          <cell r="D8845" t="str">
            <v>Property</v>
          </cell>
          <cell r="G8845" t="str">
            <v>Real</v>
          </cell>
        </row>
        <row r="8846">
          <cell r="A8846" t="str">
            <v>PG</v>
          </cell>
          <cell r="B8846">
            <v>202411</v>
          </cell>
          <cell r="D8846" t="str">
            <v>RC</v>
          </cell>
          <cell r="G8846" t="str">
            <v>Real</v>
          </cell>
        </row>
        <row r="8847">
          <cell r="A8847" t="str">
            <v>PG</v>
          </cell>
          <cell r="B8847">
            <v>202411</v>
          </cell>
          <cell r="D8847" t="str">
            <v>Seguros Personales (No Vida) Colectivos</v>
          </cell>
          <cell r="G8847" t="str">
            <v>Real</v>
          </cell>
        </row>
        <row r="8848">
          <cell r="A8848" t="str">
            <v>PG</v>
          </cell>
          <cell r="B8848">
            <v>202411</v>
          </cell>
          <cell r="D8848" t="str">
            <v>Seguros Personales (No Vida) Particular</v>
          </cell>
          <cell r="G8848" t="str">
            <v>Real</v>
          </cell>
        </row>
        <row r="8849">
          <cell r="A8849" t="str">
            <v>PG</v>
          </cell>
          <cell r="B8849">
            <v>202411</v>
          </cell>
          <cell r="D8849" t="str">
            <v>Transporte</v>
          </cell>
          <cell r="G8849" t="str">
            <v>Real</v>
          </cell>
        </row>
        <row r="8850">
          <cell r="A8850" t="str">
            <v>PG</v>
          </cell>
          <cell r="B8850">
            <v>202411</v>
          </cell>
          <cell r="D8850" t="str">
            <v>Vida Ahorro Particular</v>
          </cell>
          <cell r="G8850" t="str">
            <v>Real</v>
          </cell>
        </row>
        <row r="8851">
          <cell r="A8851" t="str">
            <v>PG</v>
          </cell>
          <cell r="B8851">
            <v>202411</v>
          </cell>
          <cell r="D8851" t="str">
            <v>Vida Riesgo Colectivo</v>
          </cell>
          <cell r="G8851" t="str">
            <v>Real</v>
          </cell>
        </row>
        <row r="8852">
          <cell r="A8852" t="str">
            <v>PG</v>
          </cell>
          <cell r="B8852">
            <v>202411</v>
          </cell>
          <cell r="D8852" t="str">
            <v>Vida Riesgo Particular</v>
          </cell>
          <cell r="G8852" t="str">
            <v>Real</v>
          </cell>
        </row>
        <row r="8853">
          <cell r="A8853" t="str">
            <v>PG</v>
          </cell>
          <cell r="B8853">
            <v>202412</v>
          </cell>
          <cell r="D8853" t="str">
            <v>--</v>
          </cell>
          <cell r="G8853" t="str">
            <v>Real</v>
          </cell>
        </row>
        <row r="8854">
          <cell r="A8854" t="str">
            <v>PG</v>
          </cell>
          <cell r="B8854">
            <v>202412</v>
          </cell>
          <cell r="D8854" t="str">
            <v>Autos</v>
          </cell>
          <cell r="G8854" t="str">
            <v>Real</v>
          </cell>
        </row>
        <row r="8855">
          <cell r="A8855" t="str">
            <v>PG</v>
          </cell>
          <cell r="B8855">
            <v>202412</v>
          </cell>
          <cell r="D8855" t="str">
            <v>Crédito Nacional</v>
          </cell>
          <cell r="G8855" t="str">
            <v>Real</v>
          </cell>
        </row>
        <row r="8856">
          <cell r="A8856" t="str">
            <v>PG</v>
          </cell>
          <cell r="B8856">
            <v>202412</v>
          </cell>
          <cell r="D8856" t="str">
            <v>Flotas</v>
          </cell>
          <cell r="G8856" t="str">
            <v>Real</v>
          </cell>
        </row>
        <row r="8857">
          <cell r="A8857" t="str">
            <v>PG</v>
          </cell>
          <cell r="B8857">
            <v>202412</v>
          </cell>
          <cell r="D8857" t="str">
            <v>Hogar</v>
          </cell>
          <cell r="G8857" t="str">
            <v>Real</v>
          </cell>
        </row>
        <row r="8858">
          <cell r="A8858" t="str">
            <v>PG</v>
          </cell>
          <cell r="B8858">
            <v>202412</v>
          </cell>
          <cell r="D8858" t="str">
            <v>Ingeniería</v>
          </cell>
          <cell r="G8858" t="str">
            <v>Real</v>
          </cell>
        </row>
        <row r="8859">
          <cell r="A8859" t="str">
            <v>PG</v>
          </cell>
          <cell r="B8859">
            <v>202412</v>
          </cell>
          <cell r="D8859" t="str">
            <v>Inmobiliario</v>
          </cell>
          <cell r="G8859" t="str">
            <v>Real</v>
          </cell>
        </row>
        <row r="8860">
          <cell r="A8860" t="str">
            <v>PG</v>
          </cell>
          <cell r="B8860">
            <v>202412</v>
          </cell>
          <cell r="D8860" t="str">
            <v>Líneas Financieras</v>
          </cell>
          <cell r="G8860" t="str">
            <v>Real</v>
          </cell>
        </row>
        <row r="8861">
          <cell r="A8861" t="str">
            <v>PG</v>
          </cell>
          <cell r="B8861">
            <v>202412</v>
          </cell>
          <cell r="D8861" t="str">
            <v>Particulares Resto</v>
          </cell>
          <cell r="G8861" t="str">
            <v>Real</v>
          </cell>
        </row>
        <row r="8862">
          <cell r="A8862" t="str">
            <v>PG</v>
          </cell>
          <cell r="B8862">
            <v>202412</v>
          </cell>
          <cell r="D8862" t="str">
            <v>Property</v>
          </cell>
          <cell r="G8862" t="str">
            <v>Real</v>
          </cell>
        </row>
        <row r="8863">
          <cell r="A8863" t="str">
            <v>PG</v>
          </cell>
          <cell r="B8863">
            <v>202412</v>
          </cell>
          <cell r="D8863" t="str">
            <v>RC</v>
          </cell>
          <cell r="G8863" t="str">
            <v>Real</v>
          </cell>
        </row>
        <row r="8864">
          <cell r="A8864" t="str">
            <v>PG</v>
          </cell>
          <cell r="B8864">
            <v>202412</v>
          </cell>
          <cell r="D8864" t="str">
            <v>Seguros Personales (No Vida) Colectivos</v>
          </cell>
          <cell r="G8864" t="str">
            <v>Real</v>
          </cell>
        </row>
        <row r="8865">
          <cell r="A8865" t="str">
            <v>PG</v>
          </cell>
          <cell r="B8865">
            <v>202412</v>
          </cell>
          <cell r="D8865" t="str">
            <v>Seguros Personales (No Vida) Particular</v>
          </cell>
          <cell r="G8865" t="str">
            <v>Real</v>
          </cell>
        </row>
        <row r="8866">
          <cell r="A8866" t="str">
            <v>PG</v>
          </cell>
          <cell r="B8866">
            <v>202412</v>
          </cell>
          <cell r="D8866" t="str">
            <v>Transporte</v>
          </cell>
          <cell r="G8866" t="str">
            <v>Real</v>
          </cell>
        </row>
        <row r="8867">
          <cell r="A8867" t="str">
            <v>PG</v>
          </cell>
          <cell r="B8867">
            <v>202412</v>
          </cell>
          <cell r="D8867" t="str">
            <v>Vida Ahorro Particular</v>
          </cell>
          <cell r="G8867" t="str">
            <v>Real</v>
          </cell>
        </row>
        <row r="8868">
          <cell r="A8868" t="str">
            <v>PG</v>
          </cell>
          <cell r="B8868">
            <v>202412</v>
          </cell>
          <cell r="D8868" t="str">
            <v>Vida Riesgo Colectivo</v>
          </cell>
          <cell r="G8868" t="str">
            <v>Real</v>
          </cell>
        </row>
        <row r="8869">
          <cell r="A8869" t="str">
            <v>PG</v>
          </cell>
          <cell r="B8869">
            <v>202412</v>
          </cell>
          <cell r="D8869" t="str">
            <v>Vida Riesgo Particular</v>
          </cell>
          <cell r="G8869" t="str">
            <v>Real</v>
          </cell>
        </row>
        <row r="8870">
          <cell r="A8870" t="str">
            <v>PG</v>
          </cell>
          <cell r="B8870">
            <v>202501</v>
          </cell>
          <cell r="D8870" t="str">
            <v>--</v>
          </cell>
          <cell r="G8870" t="str">
            <v>Presupuesto</v>
          </cell>
        </row>
        <row r="8871">
          <cell r="A8871" t="str">
            <v>PG</v>
          </cell>
          <cell r="B8871">
            <v>202501</v>
          </cell>
          <cell r="D8871" t="str">
            <v>--</v>
          </cell>
          <cell r="G8871" t="str">
            <v>Real</v>
          </cell>
        </row>
        <row r="8872">
          <cell r="A8872" t="str">
            <v>PG</v>
          </cell>
          <cell r="B8872">
            <v>202501</v>
          </cell>
          <cell r="D8872" t="str">
            <v>Resto de Lineas</v>
          </cell>
          <cell r="G8872" t="str">
            <v>Real</v>
          </cell>
        </row>
        <row r="8873">
          <cell r="A8873" t="str">
            <v>PG</v>
          </cell>
          <cell r="B8873">
            <v>202501</v>
          </cell>
          <cell r="D8873" t="str">
            <v>Arte</v>
          </cell>
          <cell r="G8873" t="str">
            <v>Presupuesto</v>
          </cell>
        </row>
        <row r="8874">
          <cell r="A8874" t="str">
            <v>PG</v>
          </cell>
          <cell r="B8874">
            <v>202501</v>
          </cell>
          <cell r="D8874" t="str">
            <v>Autos</v>
          </cell>
          <cell r="G8874" t="str">
            <v>Presupuesto</v>
          </cell>
        </row>
        <row r="8875">
          <cell r="A8875" t="str">
            <v>PG</v>
          </cell>
          <cell r="B8875">
            <v>202501</v>
          </cell>
          <cell r="D8875" t="str">
            <v>Autos</v>
          </cell>
          <cell r="G8875" t="str">
            <v>Real</v>
          </cell>
        </row>
        <row r="8876">
          <cell r="A8876" t="str">
            <v>PG</v>
          </cell>
          <cell r="B8876">
            <v>202501</v>
          </cell>
          <cell r="D8876" t="str">
            <v>B2B2C</v>
          </cell>
          <cell r="G8876" t="str">
            <v>Presupuesto</v>
          </cell>
        </row>
        <row r="8877">
          <cell r="A8877" t="str">
            <v>PG</v>
          </cell>
          <cell r="B8877">
            <v>202501</v>
          </cell>
          <cell r="D8877" t="str">
            <v>Caución</v>
          </cell>
          <cell r="G8877" t="str">
            <v>Presupuesto</v>
          </cell>
        </row>
        <row r="8878">
          <cell r="A8878" t="str">
            <v>PG</v>
          </cell>
          <cell r="B8878">
            <v>202501</v>
          </cell>
          <cell r="D8878" t="str">
            <v>Crédito Nacional</v>
          </cell>
          <cell r="G8878" t="str">
            <v>Real</v>
          </cell>
        </row>
        <row r="8879">
          <cell r="A8879" t="str">
            <v>PG</v>
          </cell>
          <cell r="B8879">
            <v>202501</v>
          </cell>
          <cell r="D8879" t="str">
            <v>Crédito Internacional</v>
          </cell>
          <cell r="G8879" t="str">
            <v>Presupuesto</v>
          </cell>
        </row>
        <row r="8880">
          <cell r="A8880" t="str">
            <v>PG</v>
          </cell>
          <cell r="B8880">
            <v>202501</v>
          </cell>
          <cell r="D8880" t="str">
            <v>Crédito Nacional</v>
          </cell>
          <cell r="G8880" t="str">
            <v>Presupuesto</v>
          </cell>
        </row>
        <row r="8881">
          <cell r="A8881" t="str">
            <v>PG</v>
          </cell>
          <cell r="B8881">
            <v>202501</v>
          </cell>
          <cell r="D8881" t="str">
            <v>Eventos</v>
          </cell>
          <cell r="G8881" t="str">
            <v>Presupuesto</v>
          </cell>
        </row>
        <row r="8882">
          <cell r="A8882" t="str">
            <v>PG</v>
          </cell>
          <cell r="B8882">
            <v>202501</v>
          </cell>
          <cell r="D8882" t="str">
            <v>Flotas</v>
          </cell>
          <cell r="G8882" t="str">
            <v>Presupuesto</v>
          </cell>
        </row>
        <row r="8883">
          <cell r="A8883" t="str">
            <v>PG</v>
          </cell>
          <cell r="B8883">
            <v>202501</v>
          </cell>
          <cell r="D8883" t="str">
            <v>Flotas</v>
          </cell>
          <cell r="G8883" t="str">
            <v>Real</v>
          </cell>
        </row>
        <row r="8884">
          <cell r="A8884" t="str">
            <v>PG</v>
          </cell>
          <cell r="B8884">
            <v>202501</v>
          </cell>
          <cell r="D8884" t="str">
            <v>Hogar</v>
          </cell>
          <cell r="G8884" t="str">
            <v>Presupuesto</v>
          </cell>
        </row>
        <row r="8885">
          <cell r="A8885" t="str">
            <v>PG</v>
          </cell>
          <cell r="B8885">
            <v>202501</v>
          </cell>
          <cell r="D8885" t="str">
            <v>Hogar</v>
          </cell>
          <cell r="G8885" t="str">
            <v>Real</v>
          </cell>
        </row>
        <row r="8886">
          <cell r="A8886" t="str">
            <v>PG</v>
          </cell>
          <cell r="B8886">
            <v>202501</v>
          </cell>
          <cell r="D8886" t="str">
            <v>Ingeniería</v>
          </cell>
          <cell r="G8886" t="str">
            <v>Presupuesto</v>
          </cell>
        </row>
        <row r="8887">
          <cell r="A8887" t="str">
            <v>PG</v>
          </cell>
          <cell r="B8887">
            <v>202501</v>
          </cell>
          <cell r="D8887" t="str">
            <v>Ingeniería</v>
          </cell>
          <cell r="G8887" t="str">
            <v>Real</v>
          </cell>
        </row>
        <row r="8888">
          <cell r="A8888" t="str">
            <v>PG</v>
          </cell>
          <cell r="B8888">
            <v>202501</v>
          </cell>
          <cell r="D8888" t="str">
            <v>Inmobiliario</v>
          </cell>
          <cell r="G8888" t="str">
            <v>Presupuesto</v>
          </cell>
        </row>
        <row r="8889">
          <cell r="A8889" t="str">
            <v>PG</v>
          </cell>
          <cell r="B8889">
            <v>202501</v>
          </cell>
          <cell r="D8889" t="str">
            <v>Inmobiliario</v>
          </cell>
          <cell r="G8889" t="str">
            <v>Real</v>
          </cell>
        </row>
        <row r="8890">
          <cell r="A8890" t="str">
            <v>PG</v>
          </cell>
          <cell r="B8890">
            <v>202501</v>
          </cell>
          <cell r="D8890" t="str">
            <v>Líneas Financieras</v>
          </cell>
          <cell r="G8890" t="str">
            <v>Presupuesto</v>
          </cell>
        </row>
        <row r="8891">
          <cell r="A8891" t="str">
            <v>PG</v>
          </cell>
          <cell r="B8891">
            <v>202501</v>
          </cell>
          <cell r="D8891" t="str">
            <v>Líneas Financieras</v>
          </cell>
          <cell r="G8891" t="str">
            <v>Real</v>
          </cell>
        </row>
        <row r="8892">
          <cell r="A8892" t="str">
            <v>PG</v>
          </cell>
          <cell r="B8892">
            <v>202501</v>
          </cell>
          <cell r="D8892" t="str">
            <v>Náutica</v>
          </cell>
          <cell r="G8892" t="str">
            <v>Presupuesto</v>
          </cell>
        </row>
        <row r="8893">
          <cell r="A8893" t="str">
            <v>PG</v>
          </cell>
          <cell r="B8893">
            <v>202501</v>
          </cell>
          <cell r="D8893" t="str">
            <v>Particulares Resto</v>
          </cell>
          <cell r="G8893" t="str">
            <v>Presupuesto</v>
          </cell>
        </row>
        <row r="8894">
          <cell r="A8894" t="str">
            <v>PG</v>
          </cell>
          <cell r="B8894">
            <v>202501</v>
          </cell>
          <cell r="D8894" t="str">
            <v>Particulares Resto</v>
          </cell>
          <cell r="G8894" t="str">
            <v>Real</v>
          </cell>
        </row>
        <row r="8895">
          <cell r="A8895" t="str">
            <v>PG</v>
          </cell>
          <cell r="B8895">
            <v>202501</v>
          </cell>
          <cell r="D8895" t="str">
            <v>Property</v>
          </cell>
          <cell r="G8895" t="str">
            <v>Presupuesto</v>
          </cell>
        </row>
        <row r="8896">
          <cell r="A8896" t="str">
            <v>PG</v>
          </cell>
          <cell r="B8896">
            <v>202501</v>
          </cell>
          <cell r="D8896" t="str">
            <v>Property</v>
          </cell>
          <cell r="G8896" t="str">
            <v>Real</v>
          </cell>
        </row>
        <row r="8897">
          <cell r="A8897" t="str">
            <v>PG</v>
          </cell>
          <cell r="B8897">
            <v>202501</v>
          </cell>
          <cell r="D8897" t="str">
            <v>RC</v>
          </cell>
          <cell r="G8897" t="str">
            <v>Presupuesto</v>
          </cell>
        </row>
        <row r="8898">
          <cell r="A8898" t="str">
            <v>PG</v>
          </cell>
          <cell r="B8898">
            <v>202501</v>
          </cell>
          <cell r="D8898" t="str">
            <v>RC</v>
          </cell>
          <cell r="G8898" t="str">
            <v>Real</v>
          </cell>
        </row>
        <row r="8899">
          <cell r="A8899" t="str">
            <v>PG</v>
          </cell>
          <cell r="B8899">
            <v>202501</v>
          </cell>
          <cell r="D8899" t="str">
            <v>Resto de lineas</v>
          </cell>
          <cell r="G8899" t="str">
            <v>Presupuesto</v>
          </cell>
        </row>
        <row r="8900">
          <cell r="A8900" t="str">
            <v>PG</v>
          </cell>
          <cell r="B8900">
            <v>202501</v>
          </cell>
          <cell r="D8900" t="str">
            <v>Retirada</v>
          </cell>
          <cell r="G8900" t="str">
            <v>Presupuesto</v>
          </cell>
        </row>
        <row r="8901">
          <cell r="A8901" t="str">
            <v>PG</v>
          </cell>
          <cell r="B8901">
            <v>202501</v>
          </cell>
          <cell r="D8901" t="str">
            <v>Seguros Personales (No Vida) Colectivos</v>
          </cell>
          <cell r="G8901" t="str">
            <v>Presupuesto</v>
          </cell>
        </row>
        <row r="8902">
          <cell r="A8902" t="str">
            <v>PG</v>
          </cell>
          <cell r="B8902">
            <v>202501</v>
          </cell>
          <cell r="D8902" t="str">
            <v>Seguros Personales (No Vida) Colectivos</v>
          </cell>
          <cell r="G8902" t="str">
            <v>Real</v>
          </cell>
        </row>
        <row r="8903">
          <cell r="A8903" t="str">
            <v>PG</v>
          </cell>
          <cell r="B8903">
            <v>202501</v>
          </cell>
          <cell r="D8903" t="str">
            <v>Seguros Personales (No Vida) Particular</v>
          </cell>
          <cell r="G8903" t="str">
            <v>Presupuesto</v>
          </cell>
        </row>
        <row r="8904">
          <cell r="A8904" t="str">
            <v>PG</v>
          </cell>
          <cell r="B8904">
            <v>202501</v>
          </cell>
          <cell r="D8904" t="str">
            <v>Seguros Personales (No Vida) Particular</v>
          </cell>
          <cell r="G8904" t="str">
            <v>Real</v>
          </cell>
        </row>
        <row r="8905">
          <cell r="A8905" t="str">
            <v>PG</v>
          </cell>
          <cell r="B8905">
            <v>202501</v>
          </cell>
          <cell r="D8905" t="str">
            <v>Transporte</v>
          </cell>
          <cell r="G8905" t="str">
            <v>Presupuesto</v>
          </cell>
        </row>
        <row r="8906">
          <cell r="A8906" t="str">
            <v>PG</v>
          </cell>
          <cell r="B8906">
            <v>202501</v>
          </cell>
          <cell r="D8906" t="str">
            <v>Transporte</v>
          </cell>
          <cell r="G8906" t="str">
            <v>Real</v>
          </cell>
        </row>
        <row r="8907">
          <cell r="A8907" t="str">
            <v>PG</v>
          </cell>
          <cell r="B8907">
            <v>202501</v>
          </cell>
          <cell r="D8907" t="str">
            <v>Venta Cruzada</v>
          </cell>
          <cell r="G8907" t="str">
            <v>Presupuesto</v>
          </cell>
        </row>
        <row r="8908">
          <cell r="A8908" t="str">
            <v>PG</v>
          </cell>
          <cell r="B8908">
            <v>202501</v>
          </cell>
          <cell r="D8908" t="str">
            <v>Vida Ahorro Colectivo</v>
          </cell>
          <cell r="G8908" t="str">
            <v>Presupuesto</v>
          </cell>
        </row>
        <row r="8909">
          <cell r="A8909" t="str">
            <v>PG</v>
          </cell>
          <cell r="B8909">
            <v>202501</v>
          </cell>
          <cell r="D8909" t="str">
            <v>Vida Ahorro Particular</v>
          </cell>
          <cell r="G8909" t="str">
            <v>Presupuesto</v>
          </cell>
        </row>
        <row r="8910">
          <cell r="A8910" t="str">
            <v>PG</v>
          </cell>
          <cell r="B8910">
            <v>202501</v>
          </cell>
          <cell r="D8910" t="str">
            <v>Vida Ahorro Particular</v>
          </cell>
          <cell r="G8910" t="str">
            <v>Real</v>
          </cell>
        </row>
        <row r="8911">
          <cell r="A8911" t="str">
            <v>PG</v>
          </cell>
          <cell r="B8911">
            <v>202501</v>
          </cell>
          <cell r="D8911" t="str">
            <v>Vida Ganado</v>
          </cell>
          <cell r="G8911" t="str">
            <v>Presupuesto</v>
          </cell>
        </row>
        <row r="8912">
          <cell r="A8912" t="str">
            <v>PG</v>
          </cell>
          <cell r="B8912">
            <v>202501</v>
          </cell>
          <cell r="D8912" t="str">
            <v>Vida Riesgo Colectivo</v>
          </cell>
          <cell r="G8912" t="str">
            <v>Presupuesto</v>
          </cell>
        </row>
        <row r="8913">
          <cell r="A8913" t="str">
            <v>PG</v>
          </cell>
          <cell r="B8913">
            <v>202501</v>
          </cell>
          <cell r="D8913" t="str">
            <v>Vida Riesgo Colectivo</v>
          </cell>
          <cell r="G8913" t="str">
            <v>Real</v>
          </cell>
        </row>
        <row r="8914">
          <cell r="A8914" t="str">
            <v>PG</v>
          </cell>
          <cell r="B8914">
            <v>202501</v>
          </cell>
          <cell r="D8914" t="str">
            <v>Vida Riesgo Particular</v>
          </cell>
          <cell r="G8914" t="str">
            <v>Presupuesto</v>
          </cell>
        </row>
        <row r="8915">
          <cell r="A8915" t="str">
            <v>PG</v>
          </cell>
          <cell r="B8915">
            <v>202501</v>
          </cell>
          <cell r="D8915" t="str">
            <v>Vida Riesgo Particular</v>
          </cell>
          <cell r="G8915" t="str">
            <v>Real</v>
          </cell>
        </row>
        <row r="8916">
          <cell r="A8916" t="str">
            <v>PG</v>
          </cell>
          <cell r="B8916">
            <v>202502</v>
          </cell>
          <cell r="D8916" t="str">
            <v>--</v>
          </cell>
          <cell r="G8916" t="str">
            <v>Presupuesto</v>
          </cell>
        </row>
        <row r="8917">
          <cell r="A8917" t="str">
            <v>PG</v>
          </cell>
          <cell r="B8917">
            <v>202502</v>
          </cell>
          <cell r="D8917" t="str">
            <v>--</v>
          </cell>
          <cell r="G8917" t="str">
            <v>Real</v>
          </cell>
        </row>
        <row r="8918">
          <cell r="A8918" t="str">
            <v>PG</v>
          </cell>
          <cell r="B8918">
            <v>202502</v>
          </cell>
          <cell r="D8918" t="str">
            <v>Resto de Lineas</v>
          </cell>
          <cell r="G8918" t="str">
            <v>Real</v>
          </cell>
        </row>
        <row r="8919">
          <cell r="A8919" t="str">
            <v>PG</v>
          </cell>
          <cell r="B8919">
            <v>202502</v>
          </cell>
          <cell r="D8919" t="str">
            <v>Arte</v>
          </cell>
          <cell r="G8919" t="str">
            <v>Presupuesto</v>
          </cell>
        </row>
        <row r="8920">
          <cell r="A8920" t="str">
            <v>PG</v>
          </cell>
          <cell r="B8920">
            <v>202502</v>
          </cell>
          <cell r="D8920" t="str">
            <v>Autos</v>
          </cell>
          <cell r="G8920" t="str">
            <v>Presupuesto</v>
          </cell>
        </row>
        <row r="8921">
          <cell r="A8921" t="str">
            <v>PG</v>
          </cell>
          <cell r="B8921">
            <v>202502</v>
          </cell>
          <cell r="D8921" t="str">
            <v>Autos</v>
          </cell>
          <cell r="G8921" t="str">
            <v>Real</v>
          </cell>
        </row>
        <row r="8922">
          <cell r="A8922" t="str">
            <v>PG</v>
          </cell>
          <cell r="B8922">
            <v>202502</v>
          </cell>
          <cell r="D8922" t="str">
            <v>B2B2C</v>
          </cell>
          <cell r="G8922" t="str">
            <v>Presupuesto</v>
          </cell>
        </row>
        <row r="8923">
          <cell r="A8923" t="str">
            <v>PG</v>
          </cell>
          <cell r="B8923">
            <v>202502</v>
          </cell>
          <cell r="D8923" t="str">
            <v>Caución</v>
          </cell>
          <cell r="G8923" t="str">
            <v>Presupuesto</v>
          </cell>
        </row>
        <row r="8924">
          <cell r="A8924" t="str">
            <v>PG</v>
          </cell>
          <cell r="B8924">
            <v>202502</v>
          </cell>
          <cell r="D8924" t="str">
            <v>Crédito Nacional</v>
          </cell>
          <cell r="G8924" t="str">
            <v>Real</v>
          </cell>
        </row>
        <row r="8925">
          <cell r="A8925" t="str">
            <v>PG</v>
          </cell>
          <cell r="B8925">
            <v>202502</v>
          </cell>
          <cell r="D8925" t="str">
            <v>Crédito Internacional</v>
          </cell>
          <cell r="G8925" t="str">
            <v>Presupuesto</v>
          </cell>
        </row>
        <row r="8926">
          <cell r="A8926" t="str">
            <v>PG</v>
          </cell>
          <cell r="B8926">
            <v>202502</v>
          </cell>
          <cell r="D8926" t="str">
            <v>Crédito Nacional</v>
          </cell>
          <cell r="G8926" t="str">
            <v>Presupuesto</v>
          </cell>
        </row>
        <row r="8927">
          <cell r="A8927" t="str">
            <v>PG</v>
          </cell>
          <cell r="B8927">
            <v>202502</v>
          </cell>
          <cell r="D8927" t="str">
            <v>Eventos</v>
          </cell>
          <cell r="G8927" t="str">
            <v>Presupuesto</v>
          </cell>
        </row>
        <row r="8928">
          <cell r="A8928" t="str">
            <v>PG</v>
          </cell>
          <cell r="B8928">
            <v>202502</v>
          </cell>
          <cell r="D8928" t="str">
            <v>Flotas</v>
          </cell>
          <cell r="G8928" t="str">
            <v>Presupuesto</v>
          </cell>
        </row>
        <row r="8929">
          <cell r="A8929" t="str">
            <v>PG</v>
          </cell>
          <cell r="B8929">
            <v>202502</v>
          </cell>
          <cell r="D8929" t="str">
            <v>Flotas</v>
          </cell>
          <cell r="G8929" t="str">
            <v>Real</v>
          </cell>
        </row>
        <row r="8930">
          <cell r="A8930" t="str">
            <v>PG</v>
          </cell>
          <cell r="B8930">
            <v>202502</v>
          </cell>
          <cell r="D8930" t="str">
            <v>Hogar</v>
          </cell>
          <cell r="G8930" t="str">
            <v>Presupuesto</v>
          </cell>
        </row>
        <row r="8931">
          <cell r="A8931" t="str">
            <v>PG</v>
          </cell>
          <cell r="B8931">
            <v>202502</v>
          </cell>
          <cell r="D8931" t="str">
            <v>Hogar</v>
          </cell>
          <cell r="G8931" t="str">
            <v>Real</v>
          </cell>
        </row>
        <row r="8932">
          <cell r="A8932" t="str">
            <v>PG</v>
          </cell>
          <cell r="B8932">
            <v>202502</v>
          </cell>
          <cell r="D8932" t="str">
            <v>Ingeniería</v>
          </cell>
          <cell r="G8932" t="str">
            <v>Presupuesto</v>
          </cell>
        </row>
        <row r="8933">
          <cell r="A8933" t="str">
            <v>PG</v>
          </cell>
          <cell r="B8933">
            <v>202502</v>
          </cell>
          <cell r="D8933" t="str">
            <v>Ingeniería</v>
          </cell>
          <cell r="G8933" t="str">
            <v>Real</v>
          </cell>
        </row>
        <row r="8934">
          <cell r="A8934" t="str">
            <v>PG</v>
          </cell>
          <cell r="B8934">
            <v>202502</v>
          </cell>
          <cell r="D8934" t="str">
            <v>Inmobiliario</v>
          </cell>
          <cell r="G8934" t="str">
            <v>Presupuesto</v>
          </cell>
        </row>
        <row r="8935">
          <cell r="A8935" t="str">
            <v>PG</v>
          </cell>
          <cell r="B8935">
            <v>202502</v>
          </cell>
          <cell r="D8935" t="str">
            <v>Inmobiliario</v>
          </cell>
          <cell r="G8935" t="str">
            <v>Real</v>
          </cell>
        </row>
        <row r="8936">
          <cell r="A8936" t="str">
            <v>PG</v>
          </cell>
          <cell r="B8936">
            <v>202502</v>
          </cell>
          <cell r="D8936" t="str">
            <v>Líneas Financieras</v>
          </cell>
          <cell r="G8936" t="str">
            <v>Presupuesto</v>
          </cell>
        </row>
        <row r="8937">
          <cell r="A8937" t="str">
            <v>PG</v>
          </cell>
          <cell r="B8937">
            <v>202502</v>
          </cell>
          <cell r="D8937" t="str">
            <v>Líneas Financieras</v>
          </cell>
          <cell r="G8937" t="str">
            <v>Real</v>
          </cell>
        </row>
        <row r="8938">
          <cell r="A8938" t="str">
            <v>PG</v>
          </cell>
          <cell r="B8938">
            <v>202502</v>
          </cell>
          <cell r="D8938" t="str">
            <v>Náutica</v>
          </cell>
          <cell r="G8938" t="str">
            <v>Presupuesto</v>
          </cell>
        </row>
        <row r="8939">
          <cell r="A8939" t="str">
            <v>PG</v>
          </cell>
          <cell r="B8939">
            <v>202502</v>
          </cell>
          <cell r="D8939" t="str">
            <v>Particulares Resto</v>
          </cell>
          <cell r="G8939" t="str">
            <v>Presupuesto</v>
          </cell>
        </row>
        <row r="8940">
          <cell r="A8940" t="str">
            <v>PG</v>
          </cell>
          <cell r="B8940">
            <v>202502</v>
          </cell>
          <cell r="D8940" t="str">
            <v>Particulares Resto</v>
          </cell>
          <cell r="G8940" t="str">
            <v>Real</v>
          </cell>
        </row>
        <row r="8941">
          <cell r="A8941" t="str">
            <v>PG</v>
          </cell>
          <cell r="B8941">
            <v>202502</v>
          </cell>
          <cell r="D8941" t="str">
            <v>Property</v>
          </cell>
          <cell r="G8941" t="str">
            <v>Presupuesto</v>
          </cell>
        </row>
        <row r="8942">
          <cell r="A8942" t="str">
            <v>PG</v>
          </cell>
          <cell r="B8942">
            <v>202502</v>
          </cell>
          <cell r="D8942" t="str">
            <v>Property</v>
          </cell>
          <cell r="G8942" t="str">
            <v>Real</v>
          </cell>
        </row>
        <row r="8943">
          <cell r="A8943" t="str">
            <v>PG</v>
          </cell>
          <cell r="B8943">
            <v>202502</v>
          </cell>
          <cell r="D8943" t="str">
            <v>RC</v>
          </cell>
          <cell r="G8943" t="str">
            <v>Presupuesto</v>
          </cell>
        </row>
        <row r="8944">
          <cell r="A8944" t="str">
            <v>PG</v>
          </cell>
          <cell r="B8944">
            <v>202502</v>
          </cell>
          <cell r="D8944" t="str">
            <v>RC</v>
          </cell>
          <cell r="G8944" t="str">
            <v>Real</v>
          </cell>
        </row>
        <row r="8945">
          <cell r="A8945" t="str">
            <v>PG</v>
          </cell>
          <cell r="B8945">
            <v>202502</v>
          </cell>
          <cell r="D8945" t="str">
            <v>Resto de lineas</v>
          </cell>
          <cell r="G8945" t="str">
            <v>Presupuesto</v>
          </cell>
        </row>
        <row r="8946">
          <cell r="A8946" t="str">
            <v>PG</v>
          </cell>
          <cell r="B8946">
            <v>202502</v>
          </cell>
          <cell r="D8946" t="str">
            <v>Retirada</v>
          </cell>
          <cell r="G8946" t="str">
            <v>Presupuesto</v>
          </cell>
        </row>
        <row r="8947">
          <cell r="A8947" t="str">
            <v>PG</v>
          </cell>
          <cell r="B8947">
            <v>202502</v>
          </cell>
          <cell r="D8947" t="str">
            <v>Seguros Personales (No Vida) Colectivos</v>
          </cell>
          <cell r="G8947" t="str">
            <v>Presupuesto</v>
          </cell>
        </row>
        <row r="8948">
          <cell r="A8948" t="str">
            <v>PG</v>
          </cell>
          <cell r="B8948">
            <v>202502</v>
          </cell>
          <cell r="D8948" t="str">
            <v>Seguros Personales (No Vida) Colectivos</v>
          </cell>
          <cell r="G8948" t="str">
            <v>Real</v>
          </cell>
        </row>
        <row r="8949">
          <cell r="A8949" t="str">
            <v>PG</v>
          </cell>
          <cell r="B8949">
            <v>202502</v>
          </cell>
          <cell r="D8949" t="str">
            <v>Seguros Personales (No Vida) Particular</v>
          </cell>
          <cell r="G8949" t="str">
            <v>Presupuesto</v>
          </cell>
        </row>
        <row r="8950">
          <cell r="A8950" t="str">
            <v>PG</v>
          </cell>
          <cell r="B8950">
            <v>202502</v>
          </cell>
          <cell r="D8950" t="str">
            <v>Seguros Personales (No Vida) Particular</v>
          </cell>
          <cell r="G8950" t="str">
            <v>Real</v>
          </cell>
        </row>
        <row r="8951">
          <cell r="A8951" t="str">
            <v>PG</v>
          </cell>
          <cell r="B8951">
            <v>202502</v>
          </cell>
          <cell r="D8951" t="str">
            <v>Transporte</v>
          </cell>
          <cell r="G8951" t="str">
            <v>Presupuesto</v>
          </cell>
        </row>
        <row r="8952">
          <cell r="A8952" t="str">
            <v>PG</v>
          </cell>
          <cell r="B8952">
            <v>202502</v>
          </cell>
          <cell r="D8952" t="str">
            <v>Transporte</v>
          </cell>
          <cell r="G8952" t="str">
            <v>Real</v>
          </cell>
        </row>
        <row r="8953">
          <cell r="A8953" t="str">
            <v>PG</v>
          </cell>
          <cell r="B8953">
            <v>202502</v>
          </cell>
          <cell r="D8953" t="str">
            <v>Venta Cruzada</v>
          </cell>
          <cell r="G8953" t="str">
            <v>Presupuesto</v>
          </cell>
        </row>
        <row r="8954">
          <cell r="A8954" t="str">
            <v>PG</v>
          </cell>
          <cell r="B8954">
            <v>202502</v>
          </cell>
          <cell r="D8954" t="str">
            <v>Vida Ahorro Colectivo</v>
          </cell>
          <cell r="G8954" t="str">
            <v>Presupuesto</v>
          </cell>
        </row>
        <row r="8955">
          <cell r="A8955" t="str">
            <v>PG</v>
          </cell>
          <cell r="B8955">
            <v>202502</v>
          </cell>
          <cell r="D8955" t="str">
            <v>Vida Ahorro Particular</v>
          </cell>
          <cell r="G8955" t="str">
            <v>Presupuesto</v>
          </cell>
        </row>
        <row r="8956">
          <cell r="A8956" t="str">
            <v>PG</v>
          </cell>
          <cell r="B8956">
            <v>202502</v>
          </cell>
          <cell r="D8956" t="str">
            <v>Vida Ahorro Particular</v>
          </cell>
          <cell r="G8956" t="str">
            <v>Real</v>
          </cell>
        </row>
        <row r="8957">
          <cell r="A8957" t="str">
            <v>PG</v>
          </cell>
          <cell r="B8957">
            <v>202502</v>
          </cell>
          <cell r="D8957" t="str">
            <v>Vida Ganado</v>
          </cell>
          <cell r="G8957" t="str">
            <v>Presupuesto</v>
          </cell>
        </row>
        <row r="8958">
          <cell r="A8958" t="str">
            <v>PG</v>
          </cell>
          <cell r="B8958">
            <v>202502</v>
          </cell>
          <cell r="D8958" t="str">
            <v>Vida Riesgo Colectivo</v>
          </cell>
          <cell r="G8958" t="str">
            <v>Presupuesto</v>
          </cell>
        </row>
        <row r="8959">
          <cell r="A8959" t="str">
            <v>PG</v>
          </cell>
          <cell r="B8959">
            <v>202502</v>
          </cell>
          <cell r="D8959" t="str">
            <v>Vida Riesgo Colectivo</v>
          </cell>
          <cell r="G8959" t="str">
            <v>Real</v>
          </cell>
        </row>
        <row r="8960">
          <cell r="A8960" t="str">
            <v>PG</v>
          </cell>
          <cell r="B8960">
            <v>202502</v>
          </cell>
          <cell r="D8960" t="str">
            <v>Vida Riesgo Particular</v>
          </cell>
          <cell r="G8960" t="str">
            <v>Presupuesto</v>
          </cell>
        </row>
        <row r="8961">
          <cell r="A8961" t="str">
            <v>PG</v>
          </cell>
          <cell r="B8961">
            <v>202502</v>
          </cell>
          <cell r="D8961" t="str">
            <v>Vida Riesgo Particular</v>
          </cell>
          <cell r="G8961" t="str">
            <v>Real</v>
          </cell>
        </row>
        <row r="8962">
          <cell r="A8962" t="str">
            <v>PG</v>
          </cell>
          <cell r="B8962">
            <v>202503</v>
          </cell>
          <cell r="D8962" t="str">
            <v>--</v>
          </cell>
          <cell r="G8962" t="str">
            <v>Presupuesto</v>
          </cell>
        </row>
        <row r="8963">
          <cell r="A8963" t="str">
            <v>PG</v>
          </cell>
          <cell r="B8963">
            <v>202503</v>
          </cell>
          <cell r="D8963" t="str">
            <v>--</v>
          </cell>
          <cell r="G8963" t="str">
            <v>Real</v>
          </cell>
        </row>
        <row r="8964">
          <cell r="A8964" t="str">
            <v>PG</v>
          </cell>
          <cell r="B8964">
            <v>202503</v>
          </cell>
          <cell r="D8964" t="str">
            <v>Resto de Lineas</v>
          </cell>
          <cell r="G8964" t="str">
            <v>Real</v>
          </cell>
        </row>
        <row r="8965">
          <cell r="A8965" t="str">
            <v>PG</v>
          </cell>
          <cell r="B8965">
            <v>202503</v>
          </cell>
          <cell r="D8965" t="str">
            <v>Arte</v>
          </cell>
          <cell r="G8965" t="str">
            <v>Presupuesto</v>
          </cell>
        </row>
        <row r="8966">
          <cell r="A8966" t="str">
            <v>PG</v>
          </cell>
          <cell r="B8966">
            <v>202503</v>
          </cell>
          <cell r="D8966" t="str">
            <v>Autos</v>
          </cell>
          <cell r="G8966" t="str">
            <v>Presupuesto</v>
          </cell>
        </row>
        <row r="8967">
          <cell r="A8967" t="str">
            <v>PG</v>
          </cell>
          <cell r="B8967">
            <v>202503</v>
          </cell>
          <cell r="D8967" t="str">
            <v>Autos</v>
          </cell>
          <cell r="G8967" t="str">
            <v>Real</v>
          </cell>
        </row>
        <row r="8968">
          <cell r="A8968" t="str">
            <v>PG</v>
          </cell>
          <cell r="B8968">
            <v>202503</v>
          </cell>
          <cell r="D8968" t="str">
            <v>B2B2C</v>
          </cell>
          <cell r="G8968" t="str">
            <v>Presupuesto</v>
          </cell>
        </row>
        <row r="8969">
          <cell r="A8969" t="str">
            <v>PG</v>
          </cell>
          <cell r="B8969">
            <v>202503</v>
          </cell>
          <cell r="D8969" t="str">
            <v>Caución</v>
          </cell>
          <cell r="G8969" t="str">
            <v>Presupuesto</v>
          </cell>
        </row>
        <row r="8970">
          <cell r="A8970" t="str">
            <v>PG</v>
          </cell>
          <cell r="B8970">
            <v>202503</v>
          </cell>
          <cell r="D8970" t="str">
            <v>Crédito Nacional</v>
          </cell>
          <cell r="G8970" t="str">
            <v>Real</v>
          </cell>
        </row>
        <row r="8971">
          <cell r="A8971" t="str">
            <v>PG</v>
          </cell>
          <cell r="B8971">
            <v>202503</v>
          </cell>
          <cell r="D8971" t="str">
            <v>Crédito Internacional</v>
          </cell>
          <cell r="G8971" t="str">
            <v>Presupuesto</v>
          </cell>
        </row>
        <row r="8972">
          <cell r="A8972" t="str">
            <v>PG</v>
          </cell>
          <cell r="B8972">
            <v>202503</v>
          </cell>
          <cell r="D8972" t="str">
            <v>Crédito Nacional</v>
          </cell>
          <cell r="G8972" t="str">
            <v>Presupuesto</v>
          </cell>
        </row>
        <row r="8973">
          <cell r="A8973" t="str">
            <v>PG</v>
          </cell>
          <cell r="B8973">
            <v>202503</v>
          </cell>
          <cell r="D8973" t="str">
            <v>Eventos</v>
          </cell>
          <cell r="G8973" t="str">
            <v>Presupuesto</v>
          </cell>
        </row>
        <row r="8974">
          <cell r="A8974" t="str">
            <v>PG</v>
          </cell>
          <cell r="B8974">
            <v>202503</v>
          </cell>
          <cell r="D8974" t="str">
            <v>Flotas</v>
          </cell>
          <cell r="G8974" t="str">
            <v>Presupuesto</v>
          </cell>
        </row>
        <row r="8975">
          <cell r="A8975" t="str">
            <v>PG</v>
          </cell>
          <cell r="B8975">
            <v>202503</v>
          </cell>
          <cell r="D8975" t="str">
            <v>Flotas</v>
          </cell>
          <cell r="G8975" t="str">
            <v>Real</v>
          </cell>
        </row>
        <row r="8976">
          <cell r="A8976" t="str">
            <v>PG</v>
          </cell>
          <cell r="B8976">
            <v>202503</v>
          </cell>
          <cell r="D8976" t="str">
            <v>Hogar</v>
          </cell>
          <cell r="G8976" t="str">
            <v>Presupuesto</v>
          </cell>
        </row>
        <row r="8977">
          <cell r="A8977" t="str">
            <v>PG</v>
          </cell>
          <cell r="B8977">
            <v>202503</v>
          </cell>
          <cell r="D8977" t="str">
            <v>Hogar</v>
          </cell>
          <cell r="G8977" t="str">
            <v>Real</v>
          </cell>
        </row>
        <row r="8978">
          <cell r="A8978" t="str">
            <v>PG</v>
          </cell>
          <cell r="B8978">
            <v>202503</v>
          </cell>
          <cell r="D8978" t="str">
            <v>Ingeniería</v>
          </cell>
          <cell r="G8978" t="str">
            <v>Presupuesto</v>
          </cell>
        </row>
        <row r="8979">
          <cell r="A8979" t="str">
            <v>PG</v>
          </cell>
          <cell r="B8979">
            <v>202503</v>
          </cell>
          <cell r="D8979" t="str">
            <v>Ingeniería</v>
          </cell>
          <cell r="G8979" t="str">
            <v>Real</v>
          </cell>
        </row>
        <row r="8980">
          <cell r="A8980" t="str">
            <v>PG</v>
          </cell>
          <cell r="B8980">
            <v>202503</v>
          </cell>
          <cell r="D8980" t="str">
            <v>Inmobiliario</v>
          </cell>
          <cell r="G8980" t="str">
            <v>Presupuesto</v>
          </cell>
        </row>
        <row r="8981">
          <cell r="A8981" t="str">
            <v>PG</v>
          </cell>
          <cell r="B8981">
            <v>202503</v>
          </cell>
          <cell r="D8981" t="str">
            <v>Inmobiliario</v>
          </cell>
          <cell r="G8981" t="str">
            <v>Real</v>
          </cell>
        </row>
        <row r="8982">
          <cell r="A8982" t="str">
            <v>PG</v>
          </cell>
          <cell r="B8982">
            <v>202503</v>
          </cell>
          <cell r="D8982" t="str">
            <v>Líneas Financieras</v>
          </cell>
          <cell r="G8982" t="str">
            <v>Presupuesto</v>
          </cell>
        </row>
        <row r="8983">
          <cell r="A8983" t="str">
            <v>PG</v>
          </cell>
          <cell r="B8983">
            <v>202503</v>
          </cell>
          <cell r="D8983" t="str">
            <v>Líneas Financieras</v>
          </cell>
          <cell r="G8983" t="str">
            <v>Real</v>
          </cell>
        </row>
        <row r="8984">
          <cell r="A8984" t="str">
            <v>PG</v>
          </cell>
          <cell r="B8984">
            <v>202503</v>
          </cell>
          <cell r="D8984" t="str">
            <v>Náutica</v>
          </cell>
          <cell r="G8984" t="str">
            <v>Presupuesto</v>
          </cell>
        </row>
        <row r="8985">
          <cell r="A8985" t="str">
            <v>PG</v>
          </cell>
          <cell r="B8985">
            <v>202503</v>
          </cell>
          <cell r="D8985" t="str">
            <v>Náutica</v>
          </cell>
          <cell r="G8985" t="str">
            <v>Real</v>
          </cell>
        </row>
        <row r="8986">
          <cell r="A8986" t="str">
            <v>PG</v>
          </cell>
          <cell r="B8986">
            <v>202503</v>
          </cell>
          <cell r="D8986" t="str">
            <v>Particulares Resto</v>
          </cell>
          <cell r="G8986" t="str">
            <v>Presupuesto</v>
          </cell>
        </row>
        <row r="8987">
          <cell r="A8987" t="str">
            <v>PG</v>
          </cell>
          <cell r="B8987">
            <v>202503</v>
          </cell>
          <cell r="D8987" t="str">
            <v>Particulares Resto</v>
          </cell>
          <cell r="G8987" t="str">
            <v>Real</v>
          </cell>
        </row>
        <row r="8988">
          <cell r="A8988" t="str">
            <v>PG</v>
          </cell>
          <cell r="B8988">
            <v>202503</v>
          </cell>
          <cell r="D8988" t="str">
            <v>Property</v>
          </cell>
          <cell r="G8988" t="str">
            <v>Presupuesto</v>
          </cell>
        </row>
        <row r="8989">
          <cell r="A8989" t="str">
            <v>PG</v>
          </cell>
          <cell r="B8989">
            <v>202503</v>
          </cell>
          <cell r="D8989" t="str">
            <v>Property</v>
          </cell>
          <cell r="G8989" t="str">
            <v>Real</v>
          </cell>
        </row>
        <row r="8990">
          <cell r="A8990" t="str">
            <v>PG</v>
          </cell>
          <cell r="B8990">
            <v>202503</v>
          </cell>
          <cell r="D8990" t="str">
            <v>RC</v>
          </cell>
          <cell r="G8990" t="str">
            <v>Presupuesto</v>
          </cell>
        </row>
        <row r="8991">
          <cell r="A8991" t="str">
            <v>PG</v>
          </cell>
          <cell r="B8991">
            <v>202503</v>
          </cell>
          <cell r="D8991" t="str">
            <v>RC</v>
          </cell>
          <cell r="G8991" t="str">
            <v>Real</v>
          </cell>
        </row>
        <row r="8992">
          <cell r="A8992" t="str">
            <v>PG</v>
          </cell>
          <cell r="B8992">
            <v>202503</v>
          </cell>
          <cell r="D8992" t="str">
            <v>Resto de lineas</v>
          </cell>
          <cell r="G8992" t="str">
            <v>Presupuesto</v>
          </cell>
        </row>
        <row r="8993">
          <cell r="A8993" t="str">
            <v>PG</v>
          </cell>
          <cell r="B8993">
            <v>202503</v>
          </cell>
          <cell r="D8993" t="str">
            <v>Retirada</v>
          </cell>
          <cell r="G8993" t="str">
            <v>Presupuesto</v>
          </cell>
        </row>
        <row r="8994">
          <cell r="A8994" t="str">
            <v>PG</v>
          </cell>
          <cell r="B8994">
            <v>202503</v>
          </cell>
          <cell r="D8994" t="str">
            <v>Seguros Personales (No Vida) Colectivos</v>
          </cell>
          <cell r="G8994" t="str">
            <v>Presupuesto</v>
          </cell>
        </row>
        <row r="8995">
          <cell r="A8995" t="str">
            <v>PG</v>
          </cell>
          <cell r="B8995">
            <v>202503</v>
          </cell>
          <cell r="D8995" t="str">
            <v>Seguros Personales (No Vida) Colectivos</v>
          </cell>
          <cell r="G8995" t="str">
            <v>Real</v>
          </cell>
        </row>
        <row r="8996">
          <cell r="A8996" t="str">
            <v>PG</v>
          </cell>
          <cell r="B8996">
            <v>202503</v>
          </cell>
          <cell r="D8996" t="str">
            <v>Seguros Personales (No Vida) Particular</v>
          </cell>
          <cell r="G8996" t="str">
            <v>Presupuesto</v>
          </cell>
        </row>
        <row r="8997">
          <cell r="A8997" t="str">
            <v>PG</v>
          </cell>
          <cell r="B8997">
            <v>202503</v>
          </cell>
          <cell r="D8997" t="str">
            <v>Seguros Personales (No Vida) Particular</v>
          </cell>
          <cell r="G8997" t="str">
            <v>Real</v>
          </cell>
        </row>
        <row r="8998">
          <cell r="A8998" t="str">
            <v>PG</v>
          </cell>
          <cell r="B8998">
            <v>202503</v>
          </cell>
          <cell r="D8998" t="str">
            <v>Transporte</v>
          </cell>
          <cell r="G8998" t="str">
            <v>Presupuesto</v>
          </cell>
        </row>
        <row r="8999">
          <cell r="A8999" t="str">
            <v>PG</v>
          </cell>
          <cell r="B8999">
            <v>202503</v>
          </cell>
          <cell r="D8999" t="str">
            <v>Transporte</v>
          </cell>
          <cell r="G8999" t="str">
            <v>Real</v>
          </cell>
        </row>
        <row r="9000">
          <cell r="A9000" t="str">
            <v>PG</v>
          </cell>
          <cell r="B9000">
            <v>202503</v>
          </cell>
          <cell r="D9000" t="str">
            <v>Venta Cruzada</v>
          </cell>
          <cell r="G9000" t="str">
            <v>Presupuesto</v>
          </cell>
        </row>
        <row r="9001">
          <cell r="A9001" t="str">
            <v>PG</v>
          </cell>
          <cell r="B9001">
            <v>202503</v>
          </cell>
          <cell r="D9001" t="str">
            <v>Vida Ahorro Colectivo</v>
          </cell>
          <cell r="G9001" t="str">
            <v>Presupuesto</v>
          </cell>
        </row>
        <row r="9002">
          <cell r="A9002" t="str">
            <v>PG</v>
          </cell>
          <cell r="B9002">
            <v>202503</v>
          </cell>
          <cell r="D9002" t="str">
            <v>Vida Ahorro Particular</v>
          </cell>
          <cell r="G9002" t="str">
            <v>Presupuesto</v>
          </cell>
        </row>
        <row r="9003">
          <cell r="A9003" t="str">
            <v>PG</v>
          </cell>
          <cell r="B9003">
            <v>202503</v>
          </cell>
          <cell r="D9003" t="str">
            <v>Vida Ahorro Particular</v>
          </cell>
          <cell r="G9003" t="str">
            <v>Real</v>
          </cell>
        </row>
        <row r="9004">
          <cell r="A9004" t="str">
            <v>PG</v>
          </cell>
          <cell r="B9004">
            <v>202503</v>
          </cell>
          <cell r="D9004" t="str">
            <v>Vida Ganado</v>
          </cell>
          <cell r="G9004" t="str">
            <v>Presupuesto</v>
          </cell>
        </row>
        <row r="9005">
          <cell r="A9005" t="str">
            <v>PG</v>
          </cell>
          <cell r="B9005">
            <v>202503</v>
          </cell>
          <cell r="D9005" t="str">
            <v>Vida Riesgo Colectivo</v>
          </cell>
          <cell r="G9005" t="str">
            <v>Presupuesto</v>
          </cell>
        </row>
        <row r="9006">
          <cell r="A9006" t="str">
            <v>PG</v>
          </cell>
          <cell r="B9006">
            <v>202503</v>
          </cell>
          <cell r="D9006" t="str">
            <v>Vida Riesgo Colectivo</v>
          </cell>
          <cell r="G9006" t="str">
            <v>Real</v>
          </cell>
        </row>
        <row r="9007">
          <cell r="A9007" t="str">
            <v>PG</v>
          </cell>
          <cell r="B9007">
            <v>202503</v>
          </cell>
          <cell r="D9007" t="str">
            <v>Vida Riesgo Particular</v>
          </cell>
          <cell r="G9007" t="str">
            <v>Presupuesto</v>
          </cell>
        </row>
        <row r="9008">
          <cell r="A9008" t="str">
            <v>PG</v>
          </cell>
          <cell r="B9008">
            <v>202503</v>
          </cell>
          <cell r="D9008" t="str">
            <v>Vida Riesgo Particular</v>
          </cell>
          <cell r="G9008" t="str">
            <v>Real</v>
          </cell>
        </row>
        <row r="9009">
          <cell r="A9009" t="str">
            <v>PG</v>
          </cell>
          <cell r="B9009">
            <v>202504</v>
          </cell>
          <cell r="D9009" t="str">
            <v>--</v>
          </cell>
          <cell r="G9009" t="str">
            <v>Presupuesto</v>
          </cell>
        </row>
        <row r="9010">
          <cell r="A9010" t="str">
            <v>PG</v>
          </cell>
          <cell r="B9010">
            <v>202504</v>
          </cell>
          <cell r="D9010" t="str">
            <v>--</v>
          </cell>
          <cell r="G9010" t="str">
            <v>Real</v>
          </cell>
        </row>
        <row r="9011">
          <cell r="A9011" t="str">
            <v>PG</v>
          </cell>
          <cell r="B9011">
            <v>202504</v>
          </cell>
          <cell r="D9011" t="str">
            <v>Resto de Lineas</v>
          </cell>
          <cell r="G9011" t="str">
            <v>Real</v>
          </cell>
        </row>
        <row r="9012">
          <cell r="A9012" t="str">
            <v>PG</v>
          </cell>
          <cell r="B9012">
            <v>202504</v>
          </cell>
          <cell r="D9012" t="str">
            <v>Arte</v>
          </cell>
          <cell r="G9012" t="str">
            <v>Presupuesto</v>
          </cell>
        </row>
        <row r="9013">
          <cell r="A9013" t="str">
            <v>PG</v>
          </cell>
          <cell r="B9013">
            <v>202504</v>
          </cell>
          <cell r="D9013" t="str">
            <v>Autos</v>
          </cell>
          <cell r="G9013" t="str">
            <v>Presupuesto</v>
          </cell>
        </row>
        <row r="9014">
          <cell r="A9014" t="str">
            <v>PG</v>
          </cell>
          <cell r="B9014">
            <v>202504</v>
          </cell>
          <cell r="D9014" t="str">
            <v>Autos</v>
          </cell>
          <cell r="G9014" t="str">
            <v>Real</v>
          </cell>
        </row>
        <row r="9015">
          <cell r="A9015" t="str">
            <v>PG</v>
          </cell>
          <cell r="B9015">
            <v>202504</v>
          </cell>
          <cell r="D9015" t="str">
            <v>B2B2C</v>
          </cell>
          <cell r="G9015" t="str">
            <v>Presupuesto</v>
          </cell>
        </row>
        <row r="9016">
          <cell r="A9016" t="str">
            <v>PG</v>
          </cell>
          <cell r="B9016">
            <v>202504</v>
          </cell>
          <cell r="D9016" t="str">
            <v>Caución</v>
          </cell>
          <cell r="G9016" t="str">
            <v>Presupuesto</v>
          </cell>
        </row>
        <row r="9017">
          <cell r="A9017" t="str">
            <v>PG</v>
          </cell>
          <cell r="B9017">
            <v>202504</v>
          </cell>
          <cell r="D9017" t="str">
            <v>Crédito Nacional</v>
          </cell>
          <cell r="G9017" t="str">
            <v>Real</v>
          </cell>
        </row>
        <row r="9018">
          <cell r="A9018" t="str">
            <v>PG</v>
          </cell>
          <cell r="B9018">
            <v>202504</v>
          </cell>
          <cell r="D9018" t="str">
            <v>Crédito Internacional</v>
          </cell>
          <cell r="G9018" t="str">
            <v>Presupuesto</v>
          </cell>
        </row>
        <row r="9019">
          <cell r="A9019" t="str">
            <v>PG</v>
          </cell>
          <cell r="B9019">
            <v>202504</v>
          </cell>
          <cell r="D9019" t="str">
            <v>Crédito Nacional</v>
          </cell>
          <cell r="G9019" t="str">
            <v>Presupuesto</v>
          </cell>
        </row>
        <row r="9020">
          <cell r="A9020" t="str">
            <v>PG</v>
          </cell>
          <cell r="B9020">
            <v>202504</v>
          </cell>
          <cell r="D9020" t="str">
            <v>Eventos</v>
          </cell>
          <cell r="G9020" t="str">
            <v>Presupuesto</v>
          </cell>
        </row>
        <row r="9021">
          <cell r="A9021" t="str">
            <v>PG</v>
          </cell>
          <cell r="B9021">
            <v>202504</v>
          </cell>
          <cell r="D9021" t="str">
            <v>Flotas</v>
          </cell>
          <cell r="G9021" t="str">
            <v>Presupuesto</v>
          </cell>
        </row>
        <row r="9022">
          <cell r="A9022" t="str">
            <v>PG</v>
          </cell>
          <cell r="B9022">
            <v>202504</v>
          </cell>
          <cell r="D9022" t="str">
            <v>Flotas</v>
          </cell>
          <cell r="G9022" t="str">
            <v>Real</v>
          </cell>
        </row>
        <row r="9023">
          <cell r="A9023" t="str">
            <v>PG</v>
          </cell>
          <cell r="B9023">
            <v>202504</v>
          </cell>
          <cell r="D9023" t="str">
            <v>Hogar</v>
          </cell>
          <cell r="G9023" t="str">
            <v>Presupuesto</v>
          </cell>
        </row>
        <row r="9024">
          <cell r="A9024" t="str">
            <v>PG</v>
          </cell>
          <cell r="B9024">
            <v>202504</v>
          </cell>
          <cell r="D9024" t="str">
            <v>Hogar</v>
          </cell>
          <cell r="G9024" t="str">
            <v>Real</v>
          </cell>
        </row>
        <row r="9025">
          <cell r="A9025" t="str">
            <v>PG</v>
          </cell>
          <cell r="B9025">
            <v>202504</v>
          </cell>
          <cell r="D9025" t="str">
            <v>Ingeniería</v>
          </cell>
          <cell r="G9025" t="str">
            <v>Presupuesto</v>
          </cell>
        </row>
        <row r="9026">
          <cell r="A9026" t="str">
            <v>PG</v>
          </cell>
          <cell r="B9026">
            <v>202504</v>
          </cell>
          <cell r="D9026" t="str">
            <v>Ingeniería</v>
          </cell>
          <cell r="G9026" t="str">
            <v>Real</v>
          </cell>
        </row>
        <row r="9027">
          <cell r="A9027" t="str">
            <v>PG</v>
          </cell>
          <cell r="B9027">
            <v>202504</v>
          </cell>
          <cell r="D9027" t="str">
            <v>Inmobiliario</v>
          </cell>
          <cell r="G9027" t="str">
            <v>Presupuesto</v>
          </cell>
        </row>
        <row r="9028">
          <cell r="A9028" t="str">
            <v>PG</v>
          </cell>
          <cell r="B9028">
            <v>202504</v>
          </cell>
          <cell r="D9028" t="str">
            <v>Inmobiliario</v>
          </cell>
          <cell r="G9028" t="str">
            <v>Real</v>
          </cell>
        </row>
        <row r="9029">
          <cell r="A9029" t="str">
            <v>PG</v>
          </cell>
          <cell r="B9029">
            <v>202504</v>
          </cell>
          <cell r="D9029" t="str">
            <v>Líneas Financieras</v>
          </cell>
          <cell r="G9029" t="str">
            <v>Presupuesto</v>
          </cell>
        </row>
        <row r="9030">
          <cell r="A9030" t="str">
            <v>PG</v>
          </cell>
          <cell r="B9030">
            <v>202504</v>
          </cell>
          <cell r="D9030" t="str">
            <v>Líneas Financieras</v>
          </cell>
          <cell r="G9030" t="str">
            <v>Real</v>
          </cell>
        </row>
        <row r="9031">
          <cell r="A9031" t="str">
            <v>PG</v>
          </cell>
          <cell r="B9031">
            <v>202504</v>
          </cell>
          <cell r="D9031" t="str">
            <v>Náutica</v>
          </cell>
          <cell r="G9031" t="str">
            <v>Presupuesto</v>
          </cell>
        </row>
        <row r="9032">
          <cell r="A9032" t="str">
            <v>PG</v>
          </cell>
          <cell r="B9032">
            <v>202504</v>
          </cell>
          <cell r="D9032" t="str">
            <v>Náutica</v>
          </cell>
          <cell r="G9032" t="str">
            <v>Real</v>
          </cell>
        </row>
        <row r="9033">
          <cell r="A9033" t="str">
            <v>PG</v>
          </cell>
          <cell r="B9033">
            <v>202504</v>
          </cell>
          <cell r="D9033" t="str">
            <v>Particulares Resto</v>
          </cell>
          <cell r="G9033" t="str">
            <v>Presupuesto</v>
          </cell>
        </row>
        <row r="9034">
          <cell r="A9034" t="str">
            <v>PG</v>
          </cell>
          <cell r="B9034">
            <v>202504</v>
          </cell>
          <cell r="D9034" t="str">
            <v>Particulares Resto</v>
          </cell>
          <cell r="G9034" t="str">
            <v>Real</v>
          </cell>
        </row>
        <row r="9035">
          <cell r="A9035" t="str">
            <v>PG</v>
          </cell>
          <cell r="B9035">
            <v>202504</v>
          </cell>
          <cell r="D9035" t="str">
            <v>Property</v>
          </cell>
          <cell r="G9035" t="str">
            <v>Presupuesto</v>
          </cell>
        </row>
        <row r="9036">
          <cell r="A9036" t="str">
            <v>PG</v>
          </cell>
          <cell r="B9036">
            <v>202504</v>
          </cell>
          <cell r="D9036" t="str">
            <v>Property</v>
          </cell>
          <cell r="G9036" t="str">
            <v>Real</v>
          </cell>
        </row>
        <row r="9037">
          <cell r="A9037" t="str">
            <v>PG</v>
          </cell>
          <cell r="B9037">
            <v>202504</v>
          </cell>
          <cell r="D9037" t="str">
            <v>RC</v>
          </cell>
          <cell r="G9037" t="str">
            <v>Presupuesto</v>
          </cell>
        </row>
        <row r="9038">
          <cell r="A9038" t="str">
            <v>PG</v>
          </cell>
          <cell r="B9038">
            <v>202504</v>
          </cell>
          <cell r="D9038" t="str">
            <v>RC</v>
          </cell>
          <cell r="G9038" t="str">
            <v>Real</v>
          </cell>
        </row>
        <row r="9039">
          <cell r="A9039" t="str">
            <v>PG</v>
          </cell>
          <cell r="B9039">
            <v>202504</v>
          </cell>
          <cell r="D9039" t="str">
            <v>Resto de lineas</v>
          </cell>
          <cell r="G9039" t="str">
            <v>Presupuesto</v>
          </cell>
        </row>
        <row r="9040">
          <cell r="A9040" t="str">
            <v>PG</v>
          </cell>
          <cell r="B9040">
            <v>202504</v>
          </cell>
          <cell r="D9040" t="str">
            <v>Retirada</v>
          </cell>
          <cell r="G9040" t="str">
            <v>Presupuesto</v>
          </cell>
        </row>
        <row r="9041">
          <cell r="A9041" t="str">
            <v>PG</v>
          </cell>
          <cell r="B9041">
            <v>202504</v>
          </cell>
          <cell r="D9041" t="str">
            <v>Seguros Personales (No Vida) Colectivos</v>
          </cell>
          <cell r="G9041" t="str">
            <v>Presupuesto</v>
          </cell>
        </row>
        <row r="9042">
          <cell r="A9042" t="str">
            <v>PG</v>
          </cell>
          <cell r="B9042">
            <v>202504</v>
          </cell>
          <cell r="D9042" t="str">
            <v>Seguros Personales (No Vida) Colectivos</v>
          </cell>
          <cell r="G9042" t="str">
            <v>Real</v>
          </cell>
        </row>
        <row r="9043">
          <cell r="A9043" t="str">
            <v>PG</v>
          </cell>
          <cell r="B9043">
            <v>202504</v>
          </cell>
          <cell r="D9043" t="str">
            <v>Seguros Personales (No Vida) Particular</v>
          </cell>
          <cell r="G9043" t="str">
            <v>Presupuesto</v>
          </cell>
        </row>
        <row r="9044">
          <cell r="A9044" t="str">
            <v>PG</v>
          </cell>
          <cell r="B9044">
            <v>202504</v>
          </cell>
          <cell r="D9044" t="str">
            <v>Seguros Personales (No Vida) Particular</v>
          </cell>
          <cell r="G9044" t="str">
            <v>Real</v>
          </cell>
        </row>
        <row r="9045">
          <cell r="A9045" t="str">
            <v>PG</v>
          </cell>
          <cell r="B9045">
            <v>202504</v>
          </cell>
          <cell r="D9045" t="str">
            <v>Transporte</v>
          </cell>
          <cell r="G9045" t="str">
            <v>Presupuesto</v>
          </cell>
        </row>
        <row r="9046">
          <cell r="A9046" t="str">
            <v>PG</v>
          </cell>
          <cell r="B9046">
            <v>202504</v>
          </cell>
          <cell r="D9046" t="str">
            <v>Transporte</v>
          </cell>
          <cell r="G9046" t="str">
            <v>Real</v>
          </cell>
        </row>
        <row r="9047">
          <cell r="A9047" t="str">
            <v>PG</v>
          </cell>
          <cell r="B9047">
            <v>202504</v>
          </cell>
          <cell r="D9047" t="str">
            <v>Venta Cruzada</v>
          </cell>
          <cell r="G9047" t="str">
            <v>Presupuesto</v>
          </cell>
        </row>
        <row r="9048">
          <cell r="A9048" t="str">
            <v>PG</v>
          </cell>
          <cell r="B9048">
            <v>202504</v>
          </cell>
          <cell r="D9048" t="str">
            <v>Vida Ahorro Colectivo</v>
          </cell>
          <cell r="G9048" t="str">
            <v>Presupuesto</v>
          </cell>
        </row>
        <row r="9049">
          <cell r="A9049" t="str">
            <v>PG</v>
          </cell>
          <cell r="B9049">
            <v>202504</v>
          </cell>
          <cell r="D9049" t="str">
            <v>Vida Ahorro Particular</v>
          </cell>
          <cell r="G9049" t="str">
            <v>Presupuesto</v>
          </cell>
        </row>
        <row r="9050">
          <cell r="A9050" t="str">
            <v>PG</v>
          </cell>
          <cell r="B9050">
            <v>202504</v>
          </cell>
          <cell r="D9050" t="str">
            <v>Vida Ahorro Particular</v>
          </cell>
          <cell r="G9050" t="str">
            <v>Real</v>
          </cell>
        </row>
        <row r="9051">
          <cell r="A9051" t="str">
            <v>PG</v>
          </cell>
          <cell r="B9051">
            <v>202504</v>
          </cell>
          <cell r="D9051" t="str">
            <v>Vida Ganado</v>
          </cell>
          <cell r="G9051" t="str">
            <v>Presupuesto</v>
          </cell>
        </row>
        <row r="9052">
          <cell r="A9052" t="str">
            <v>PG</v>
          </cell>
          <cell r="B9052">
            <v>202504</v>
          </cell>
          <cell r="D9052" t="str">
            <v>Vida Riesgo Colectivo</v>
          </cell>
          <cell r="G9052" t="str">
            <v>Presupuesto</v>
          </cell>
        </row>
        <row r="9053">
          <cell r="A9053" t="str">
            <v>PG</v>
          </cell>
          <cell r="B9053">
            <v>202504</v>
          </cell>
          <cell r="D9053" t="str">
            <v>Vida Riesgo Colectivo</v>
          </cell>
          <cell r="G9053" t="str">
            <v>Real</v>
          </cell>
        </row>
        <row r="9054">
          <cell r="A9054" t="str">
            <v>PG</v>
          </cell>
          <cell r="B9054">
            <v>202504</v>
          </cell>
          <cell r="D9054" t="str">
            <v>Vida Riesgo Particular</v>
          </cell>
          <cell r="G9054" t="str">
            <v>Presupuesto</v>
          </cell>
        </row>
        <row r="9055">
          <cell r="A9055" t="str">
            <v>PG</v>
          </cell>
          <cell r="B9055">
            <v>202504</v>
          </cell>
          <cell r="D9055" t="str">
            <v>Vida Riesgo Particular</v>
          </cell>
          <cell r="G9055" t="str">
            <v>Real</v>
          </cell>
        </row>
        <row r="9056">
          <cell r="A9056" t="str">
            <v>PG</v>
          </cell>
          <cell r="B9056">
            <v>202505</v>
          </cell>
          <cell r="D9056" t="str">
            <v>--</v>
          </cell>
          <cell r="G9056" t="str">
            <v>Presupuesto</v>
          </cell>
        </row>
        <row r="9057">
          <cell r="A9057" t="str">
            <v>PG</v>
          </cell>
          <cell r="B9057">
            <v>202505</v>
          </cell>
          <cell r="D9057" t="str">
            <v>--</v>
          </cell>
          <cell r="G9057" t="str">
            <v>Real</v>
          </cell>
        </row>
        <row r="9058">
          <cell r="A9058" t="str">
            <v>PG</v>
          </cell>
          <cell r="B9058">
            <v>202505</v>
          </cell>
          <cell r="D9058" t="str">
            <v>Arte</v>
          </cell>
          <cell r="G9058" t="str">
            <v>Presupuesto</v>
          </cell>
        </row>
        <row r="9059">
          <cell r="A9059" t="str">
            <v>PG</v>
          </cell>
          <cell r="B9059">
            <v>202505</v>
          </cell>
          <cell r="D9059" t="str">
            <v>Autos</v>
          </cell>
          <cell r="G9059" t="str">
            <v>Presupuesto</v>
          </cell>
        </row>
        <row r="9060">
          <cell r="A9060" t="str">
            <v>PG</v>
          </cell>
          <cell r="B9060">
            <v>202505</v>
          </cell>
          <cell r="D9060" t="str">
            <v>Autos</v>
          </cell>
          <cell r="G9060" t="str">
            <v>Real</v>
          </cell>
        </row>
        <row r="9061">
          <cell r="A9061" t="str">
            <v>PG</v>
          </cell>
          <cell r="B9061">
            <v>202505</v>
          </cell>
          <cell r="D9061" t="str">
            <v>B2B2C</v>
          </cell>
          <cell r="G9061" t="str">
            <v>Presupuesto</v>
          </cell>
        </row>
        <row r="9062">
          <cell r="A9062" t="str">
            <v>PG</v>
          </cell>
          <cell r="B9062">
            <v>202505</v>
          </cell>
          <cell r="D9062" t="str">
            <v>Caución</v>
          </cell>
          <cell r="G9062" t="str">
            <v>Presupuesto</v>
          </cell>
        </row>
        <row r="9063">
          <cell r="A9063" t="str">
            <v>PG</v>
          </cell>
          <cell r="B9063">
            <v>202505</v>
          </cell>
          <cell r="D9063" t="str">
            <v>Crédito Nacional</v>
          </cell>
          <cell r="G9063" t="str">
            <v>Real</v>
          </cell>
        </row>
        <row r="9064">
          <cell r="A9064" t="str">
            <v>PG</v>
          </cell>
          <cell r="B9064">
            <v>202505</v>
          </cell>
          <cell r="D9064" t="str">
            <v>Crédito Internacional</v>
          </cell>
          <cell r="G9064" t="str">
            <v>Presupuesto</v>
          </cell>
        </row>
        <row r="9065">
          <cell r="A9065" t="str">
            <v>PG</v>
          </cell>
          <cell r="B9065">
            <v>202505</v>
          </cell>
          <cell r="D9065" t="str">
            <v>Crédito Nacional</v>
          </cell>
          <cell r="G9065" t="str">
            <v>Presupuesto</v>
          </cell>
        </row>
        <row r="9066">
          <cell r="A9066" t="str">
            <v>PG</v>
          </cell>
          <cell r="B9066">
            <v>202505</v>
          </cell>
          <cell r="D9066" t="str">
            <v>Eventos</v>
          </cell>
          <cell r="G9066" t="str">
            <v>Presupuesto</v>
          </cell>
        </row>
        <row r="9067">
          <cell r="A9067" t="str">
            <v>PG</v>
          </cell>
          <cell r="B9067">
            <v>202505</v>
          </cell>
          <cell r="D9067" t="str">
            <v>Flotas</v>
          </cell>
          <cell r="G9067" t="str">
            <v>Presupuesto</v>
          </cell>
        </row>
        <row r="9068">
          <cell r="A9068" t="str">
            <v>PG</v>
          </cell>
          <cell r="B9068">
            <v>202505</v>
          </cell>
          <cell r="D9068" t="str">
            <v>Flotas</v>
          </cell>
          <cell r="G9068" t="str">
            <v>Real</v>
          </cell>
        </row>
        <row r="9069">
          <cell r="A9069" t="str">
            <v>PG</v>
          </cell>
          <cell r="B9069">
            <v>202505</v>
          </cell>
          <cell r="D9069" t="str">
            <v>Hogar</v>
          </cell>
          <cell r="G9069" t="str">
            <v>Presupuesto</v>
          </cell>
        </row>
        <row r="9070">
          <cell r="A9070" t="str">
            <v>PG</v>
          </cell>
          <cell r="B9070">
            <v>202505</v>
          </cell>
          <cell r="D9070" t="str">
            <v>Hogar</v>
          </cell>
          <cell r="G9070" t="str">
            <v>Real</v>
          </cell>
        </row>
        <row r="9071">
          <cell r="A9071" t="str">
            <v>PG</v>
          </cell>
          <cell r="B9071">
            <v>202505</v>
          </cell>
          <cell r="D9071" t="str">
            <v>Ingeniería</v>
          </cell>
          <cell r="G9071" t="str">
            <v>Presupuesto</v>
          </cell>
        </row>
        <row r="9072">
          <cell r="A9072" t="str">
            <v>PG</v>
          </cell>
          <cell r="B9072">
            <v>202505</v>
          </cell>
          <cell r="D9072" t="str">
            <v>Ingeniería</v>
          </cell>
          <cell r="G9072" t="str">
            <v>Real</v>
          </cell>
        </row>
        <row r="9073">
          <cell r="A9073" t="str">
            <v>PG</v>
          </cell>
          <cell r="B9073">
            <v>202505</v>
          </cell>
          <cell r="D9073" t="str">
            <v>Inmobiliario</v>
          </cell>
          <cell r="G9073" t="str">
            <v>Presupuesto</v>
          </cell>
        </row>
        <row r="9074">
          <cell r="A9074" t="str">
            <v>PG</v>
          </cell>
          <cell r="B9074">
            <v>202505</v>
          </cell>
          <cell r="D9074" t="str">
            <v>Inmobiliario</v>
          </cell>
          <cell r="G9074" t="str">
            <v>Real</v>
          </cell>
        </row>
        <row r="9075">
          <cell r="A9075" t="str">
            <v>PG</v>
          </cell>
          <cell r="B9075">
            <v>202505</v>
          </cell>
          <cell r="D9075" t="str">
            <v>Líneas Financieras</v>
          </cell>
          <cell r="G9075" t="str">
            <v>Presupuesto</v>
          </cell>
        </row>
        <row r="9076">
          <cell r="A9076" t="str">
            <v>PG</v>
          </cell>
          <cell r="B9076">
            <v>202505</v>
          </cell>
          <cell r="D9076" t="str">
            <v>Líneas Financieras</v>
          </cell>
          <cell r="G9076" t="str">
            <v>Real</v>
          </cell>
        </row>
        <row r="9077">
          <cell r="A9077" t="str">
            <v>PG</v>
          </cell>
          <cell r="B9077">
            <v>202505</v>
          </cell>
          <cell r="D9077" t="str">
            <v>Náutica</v>
          </cell>
          <cell r="G9077" t="str">
            <v>Presupuesto</v>
          </cell>
        </row>
        <row r="9078">
          <cell r="A9078" t="str">
            <v>PG</v>
          </cell>
          <cell r="B9078">
            <v>202505</v>
          </cell>
          <cell r="D9078" t="str">
            <v>Náutica</v>
          </cell>
          <cell r="G9078" t="str">
            <v>Real</v>
          </cell>
        </row>
        <row r="9079">
          <cell r="A9079" t="str">
            <v>PG</v>
          </cell>
          <cell r="B9079">
            <v>202505</v>
          </cell>
          <cell r="D9079" t="str">
            <v>Particulares Resto</v>
          </cell>
          <cell r="G9079" t="str">
            <v>Presupuesto</v>
          </cell>
        </row>
        <row r="9080">
          <cell r="A9080" t="str">
            <v>PG</v>
          </cell>
          <cell r="B9080">
            <v>202505</v>
          </cell>
          <cell r="D9080" t="str">
            <v>Particulares Resto</v>
          </cell>
          <cell r="G9080" t="str">
            <v>Real</v>
          </cell>
        </row>
        <row r="9081">
          <cell r="A9081" t="str">
            <v>PG</v>
          </cell>
          <cell r="B9081">
            <v>202505</v>
          </cell>
          <cell r="D9081" t="str">
            <v>Property</v>
          </cell>
          <cell r="G9081" t="str">
            <v>Presupuesto</v>
          </cell>
        </row>
        <row r="9082">
          <cell r="A9082" t="str">
            <v>PG</v>
          </cell>
          <cell r="B9082">
            <v>202505</v>
          </cell>
          <cell r="D9082" t="str">
            <v>Property</v>
          </cell>
          <cell r="G9082" t="str">
            <v>Real</v>
          </cell>
        </row>
        <row r="9083">
          <cell r="A9083" t="str">
            <v>PG</v>
          </cell>
          <cell r="B9083">
            <v>202505</v>
          </cell>
          <cell r="D9083" t="str">
            <v>RC</v>
          </cell>
          <cell r="G9083" t="str">
            <v>Presupuesto</v>
          </cell>
        </row>
        <row r="9084">
          <cell r="A9084" t="str">
            <v>PG</v>
          </cell>
          <cell r="B9084">
            <v>202505</v>
          </cell>
          <cell r="D9084" t="str">
            <v>RC</v>
          </cell>
          <cell r="G9084" t="str">
            <v>Real</v>
          </cell>
        </row>
        <row r="9085">
          <cell r="A9085" t="str">
            <v>PG</v>
          </cell>
          <cell r="B9085">
            <v>202505</v>
          </cell>
          <cell r="D9085" t="str">
            <v>Resto de lineas</v>
          </cell>
          <cell r="G9085" t="str">
            <v>Presupuesto</v>
          </cell>
        </row>
        <row r="9086">
          <cell r="A9086" t="str">
            <v>PG</v>
          </cell>
          <cell r="B9086">
            <v>202505</v>
          </cell>
          <cell r="D9086" t="str">
            <v>Resto de lineas</v>
          </cell>
          <cell r="G9086" t="str">
            <v>Real</v>
          </cell>
        </row>
        <row r="9087">
          <cell r="A9087" t="str">
            <v>PG</v>
          </cell>
          <cell r="B9087">
            <v>202505</v>
          </cell>
          <cell r="D9087" t="str">
            <v>Retirada</v>
          </cell>
          <cell r="G9087" t="str">
            <v>Presupuesto</v>
          </cell>
        </row>
        <row r="9088">
          <cell r="A9088" t="str">
            <v>PG</v>
          </cell>
          <cell r="B9088">
            <v>202505</v>
          </cell>
          <cell r="D9088" t="str">
            <v>Retirada</v>
          </cell>
          <cell r="G9088" t="str">
            <v>Real</v>
          </cell>
        </row>
        <row r="9089">
          <cell r="A9089" t="str">
            <v>PG</v>
          </cell>
          <cell r="B9089">
            <v>202505</v>
          </cell>
          <cell r="D9089" t="str">
            <v>Seguros Personales (No Vida) Colectivos</v>
          </cell>
          <cell r="G9089" t="str">
            <v>Presupuesto</v>
          </cell>
        </row>
        <row r="9090">
          <cell r="A9090" t="str">
            <v>PG</v>
          </cell>
          <cell r="B9090">
            <v>202505</v>
          </cell>
          <cell r="D9090" t="str">
            <v>Seguros Personales (No Vida) Colectivos</v>
          </cell>
          <cell r="G9090" t="str">
            <v>Real</v>
          </cell>
        </row>
        <row r="9091">
          <cell r="A9091" t="str">
            <v>PG</v>
          </cell>
          <cell r="B9091">
            <v>202505</v>
          </cell>
          <cell r="D9091" t="str">
            <v>Seguros Personales (No Vida) Particular</v>
          </cell>
          <cell r="G9091" t="str">
            <v>Presupuesto</v>
          </cell>
        </row>
        <row r="9092">
          <cell r="A9092" t="str">
            <v>PG</v>
          </cell>
          <cell r="B9092">
            <v>202505</v>
          </cell>
          <cell r="D9092" t="str">
            <v>Seguros Personales (No Vida) Particular</v>
          </cell>
          <cell r="G9092" t="str">
            <v>Real</v>
          </cell>
        </row>
        <row r="9093">
          <cell r="A9093" t="str">
            <v>PG</v>
          </cell>
          <cell r="B9093">
            <v>202505</v>
          </cell>
          <cell r="D9093" t="str">
            <v>Transporte</v>
          </cell>
          <cell r="G9093" t="str">
            <v>Presupuesto</v>
          </cell>
        </row>
        <row r="9094">
          <cell r="A9094" t="str">
            <v>PG</v>
          </cell>
          <cell r="B9094">
            <v>202505</v>
          </cell>
          <cell r="D9094" t="str">
            <v>Transporte</v>
          </cell>
          <cell r="G9094" t="str">
            <v>Real</v>
          </cell>
        </row>
        <row r="9095">
          <cell r="A9095" t="str">
            <v>PG</v>
          </cell>
          <cell r="B9095">
            <v>202505</v>
          </cell>
          <cell r="D9095" t="str">
            <v>Venta Cruzada</v>
          </cell>
          <cell r="G9095" t="str">
            <v>Presupuesto</v>
          </cell>
        </row>
        <row r="9096">
          <cell r="A9096" t="str">
            <v>PG</v>
          </cell>
          <cell r="B9096">
            <v>202505</v>
          </cell>
          <cell r="D9096" t="str">
            <v>Vida Ahorro Colectivo</v>
          </cell>
          <cell r="G9096" t="str">
            <v>Presupuesto</v>
          </cell>
        </row>
        <row r="9097">
          <cell r="A9097" t="str">
            <v>PG</v>
          </cell>
          <cell r="B9097">
            <v>202505</v>
          </cell>
          <cell r="D9097" t="str">
            <v>Vida Ahorro Particular</v>
          </cell>
          <cell r="G9097" t="str">
            <v>Presupuesto</v>
          </cell>
        </row>
        <row r="9098">
          <cell r="A9098" t="str">
            <v>PG</v>
          </cell>
          <cell r="B9098">
            <v>202505</v>
          </cell>
          <cell r="D9098" t="str">
            <v>Vida Ahorro Particular</v>
          </cell>
          <cell r="G9098" t="str">
            <v>Real</v>
          </cell>
        </row>
        <row r="9099">
          <cell r="A9099" t="str">
            <v>PG</v>
          </cell>
          <cell r="B9099">
            <v>202505</v>
          </cell>
          <cell r="D9099" t="str">
            <v>Vida Ganado</v>
          </cell>
          <cell r="G9099" t="str">
            <v>Presupuesto</v>
          </cell>
        </row>
        <row r="9100">
          <cell r="A9100" t="str">
            <v>PG</v>
          </cell>
          <cell r="B9100">
            <v>202505</v>
          </cell>
          <cell r="D9100" t="str">
            <v>Vida Ganado</v>
          </cell>
          <cell r="G9100" t="str">
            <v>Real</v>
          </cell>
        </row>
        <row r="9101">
          <cell r="A9101" t="str">
            <v>PG</v>
          </cell>
          <cell r="B9101">
            <v>202505</v>
          </cell>
          <cell r="D9101" t="str">
            <v>Vida Riesgo Colectivo</v>
          </cell>
          <cell r="G9101" t="str">
            <v>Presupuesto</v>
          </cell>
        </row>
        <row r="9102">
          <cell r="A9102" t="str">
            <v>PG</v>
          </cell>
          <cell r="B9102">
            <v>202505</v>
          </cell>
          <cell r="D9102" t="str">
            <v>Vida Riesgo Colectivo</v>
          </cell>
          <cell r="G9102" t="str">
            <v>Real</v>
          </cell>
        </row>
        <row r="9103">
          <cell r="A9103" t="str">
            <v>PG</v>
          </cell>
          <cell r="B9103">
            <v>202505</v>
          </cell>
          <cell r="D9103" t="str">
            <v>Vida Riesgo Particular</v>
          </cell>
          <cell r="G9103" t="str">
            <v>Presupuesto</v>
          </cell>
        </row>
        <row r="9104">
          <cell r="A9104" t="str">
            <v>PG</v>
          </cell>
          <cell r="B9104">
            <v>202505</v>
          </cell>
          <cell r="D9104" t="str">
            <v>Vida Riesgo Particular</v>
          </cell>
          <cell r="G9104" t="str">
            <v>Real</v>
          </cell>
        </row>
        <row r="9105">
          <cell r="A9105" t="str">
            <v>PG</v>
          </cell>
          <cell r="B9105">
            <v>202506</v>
          </cell>
          <cell r="D9105" t="str">
            <v>--</v>
          </cell>
          <cell r="G9105" t="str">
            <v>Presupuesto</v>
          </cell>
        </row>
        <row r="9106">
          <cell r="A9106" t="str">
            <v>PG</v>
          </cell>
          <cell r="B9106">
            <v>202506</v>
          </cell>
          <cell r="D9106" t="str">
            <v>--</v>
          </cell>
          <cell r="G9106" t="str">
            <v>Real</v>
          </cell>
        </row>
        <row r="9107">
          <cell r="A9107" t="str">
            <v>PG</v>
          </cell>
          <cell r="B9107">
            <v>202506</v>
          </cell>
          <cell r="D9107" t="str">
            <v>Resto de Lineas</v>
          </cell>
          <cell r="G9107" t="str">
            <v>Real</v>
          </cell>
        </row>
        <row r="9108">
          <cell r="A9108" t="str">
            <v>PG</v>
          </cell>
          <cell r="B9108">
            <v>202506</v>
          </cell>
          <cell r="D9108" t="str">
            <v>Arte</v>
          </cell>
          <cell r="G9108" t="str">
            <v>Presupuesto</v>
          </cell>
        </row>
        <row r="9109">
          <cell r="A9109" t="str">
            <v>PG</v>
          </cell>
          <cell r="B9109">
            <v>202506</v>
          </cell>
          <cell r="D9109" t="str">
            <v>Autos</v>
          </cell>
          <cell r="G9109" t="str">
            <v>Presupuesto</v>
          </cell>
        </row>
        <row r="9110">
          <cell r="A9110" t="str">
            <v>PG</v>
          </cell>
          <cell r="B9110">
            <v>202506</v>
          </cell>
          <cell r="D9110" t="str">
            <v>Autos</v>
          </cell>
          <cell r="G9110" t="str">
            <v>Real</v>
          </cell>
        </row>
        <row r="9111">
          <cell r="A9111" t="str">
            <v>PG</v>
          </cell>
          <cell r="B9111">
            <v>202506</v>
          </cell>
          <cell r="D9111" t="str">
            <v>B2B2C</v>
          </cell>
          <cell r="G9111" t="str">
            <v>Presupuesto</v>
          </cell>
        </row>
        <row r="9112">
          <cell r="A9112" t="str">
            <v>PG</v>
          </cell>
          <cell r="B9112">
            <v>202506</v>
          </cell>
          <cell r="D9112" t="str">
            <v>Caución</v>
          </cell>
          <cell r="G9112" t="str">
            <v>Presupuesto</v>
          </cell>
        </row>
        <row r="9113">
          <cell r="A9113" t="str">
            <v>PG</v>
          </cell>
          <cell r="B9113">
            <v>202506</v>
          </cell>
          <cell r="D9113" t="str">
            <v>Crédito Nacional</v>
          </cell>
          <cell r="G9113" t="str">
            <v>Real</v>
          </cell>
        </row>
        <row r="9114">
          <cell r="A9114" t="str">
            <v>PG</v>
          </cell>
          <cell r="B9114">
            <v>202506</v>
          </cell>
          <cell r="D9114" t="str">
            <v>Crédito Internacional</v>
          </cell>
          <cell r="G9114" t="str">
            <v>Presupuesto</v>
          </cell>
        </row>
        <row r="9115">
          <cell r="A9115" t="str">
            <v>PG</v>
          </cell>
          <cell r="B9115">
            <v>202506</v>
          </cell>
          <cell r="D9115" t="str">
            <v>Crédito Nacional</v>
          </cell>
          <cell r="G9115" t="str">
            <v>Presupuesto</v>
          </cell>
        </row>
        <row r="9116">
          <cell r="A9116" t="str">
            <v>PG</v>
          </cell>
          <cell r="B9116">
            <v>202506</v>
          </cell>
          <cell r="D9116" t="str">
            <v>Eventos</v>
          </cell>
          <cell r="G9116" t="str">
            <v>Presupuesto</v>
          </cell>
        </row>
        <row r="9117">
          <cell r="A9117" t="str">
            <v>PG</v>
          </cell>
          <cell r="B9117">
            <v>202506</v>
          </cell>
          <cell r="D9117" t="str">
            <v>Flotas</v>
          </cell>
          <cell r="G9117" t="str">
            <v>Presupuesto</v>
          </cell>
        </row>
        <row r="9118">
          <cell r="A9118" t="str">
            <v>PG</v>
          </cell>
          <cell r="B9118">
            <v>202506</v>
          </cell>
          <cell r="D9118" t="str">
            <v>Flotas</v>
          </cell>
          <cell r="G9118" t="str">
            <v>Real</v>
          </cell>
        </row>
        <row r="9119">
          <cell r="A9119" t="str">
            <v>PG</v>
          </cell>
          <cell r="B9119">
            <v>202506</v>
          </cell>
          <cell r="D9119" t="str">
            <v>Hogar</v>
          </cell>
          <cell r="G9119" t="str">
            <v>Presupuesto</v>
          </cell>
        </row>
        <row r="9120">
          <cell r="A9120" t="str">
            <v>PG</v>
          </cell>
          <cell r="B9120">
            <v>202506</v>
          </cell>
          <cell r="D9120" t="str">
            <v>Hogar</v>
          </cell>
          <cell r="G9120" t="str">
            <v>Real</v>
          </cell>
        </row>
        <row r="9121">
          <cell r="A9121" t="str">
            <v>PG</v>
          </cell>
          <cell r="B9121">
            <v>202506</v>
          </cell>
          <cell r="D9121" t="str">
            <v>Ingeniería</v>
          </cell>
          <cell r="G9121" t="str">
            <v>Presupuesto</v>
          </cell>
        </row>
        <row r="9122">
          <cell r="A9122" t="str">
            <v>PG</v>
          </cell>
          <cell r="B9122">
            <v>202506</v>
          </cell>
          <cell r="D9122" t="str">
            <v>Ingeniería</v>
          </cell>
          <cell r="G9122" t="str">
            <v>Real</v>
          </cell>
        </row>
        <row r="9123">
          <cell r="A9123" t="str">
            <v>PG</v>
          </cell>
          <cell r="B9123">
            <v>202506</v>
          </cell>
          <cell r="D9123" t="str">
            <v>Inmobiliario</v>
          </cell>
          <cell r="G9123" t="str">
            <v>Presupuesto</v>
          </cell>
        </row>
        <row r="9124">
          <cell r="A9124" t="str">
            <v>PG</v>
          </cell>
          <cell r="B9124">
            <v>202506</v>
          </cell>
          <cell r="D9124" t="str">
            <v>Inmobiliario</v>
          </cell>
          <cell r="G9124" t="str">
            <v>Real</v>
          </cell>
        </row>
        <row r="9125">
          <cell r="A9125" t="str">
            <v>PG</v>
          </cell>
          <cell r="B9125">
            <v>202506</v>
          </cell>
          <cell r="D9125" t="str">
            <v>Líneas Financieras</v>
          </cell>
          <cell r="G9125" t="str">
            <v>Presupuesto</v>
          </cell>
        </row>
        <row r="9126">
          <cell r="A9126" t="str">
            <v>PG</v>
          </cell>
          <cell r="B9126">
            <v>202506</v>
          </cell>
          <cell r="D9126" t="str">
            <v>Líneas Financieras</v>
          </cell>
          <cell r="G9126" t="str">
            <v>Real</v>
          </cell>
        </row>
        <row r="9127">
          <cell r="A9127" t="str">
            <v>PG</v>
          </cell>
          <cell r="B9127">
            <v>202506</v>
          </cell>
          <cell r="D9127" t="str">
            <v>Náutica</v>
          </cell>
          <cell r="G9127" t="str">
            <v>Presupuesto</v>
          </cell>
        </row>
        <row r="9128">
          <cell r="A9128" t="str">
            <v>PG</v>
          </cell>
          <cell r="B9128">
            <v>202506</v>
          </cell>
          <cell r="D9128" t="str">
            <v>Náutica</v>
          </cell>
          <cell r="G9128" t="str">
            <v>Real</v>
          </cell>
        </row>
        <row r="9129">
          <cell r="A9129" t="str">
            <v>PG</v>
          </cell>
          <cell r="B9129">
            <v>202506</v>
          </cell>
          <cell r="D9129" t="str">
            <v>Particulares Resto</v>
          </cell>
          <cell r="G9129" t="str">
            <v>Presupuesto</v>
          </cell>
        </row>
        <row r="9130">
          <cell r="A9130" t="str">
            <v>PG</v>
          </cell>
          <cell r="B9130">
            <v>202506</v>
          </cell>
          <cell r="D9130" t="str">
            <v>Particulares Resto</v>
          </cell>
          <cell r="G9130" t="str">
            <v>Real</v>
          </cell>
        </row>
        <row r="9131">
          <cell r="A9131" t="str">
            <v>PG</v>
          </cell>
          <cell r="B9131">
            <v>202506</v>
          </cell>
          <cell r="D9131" t="str">
            <v>Property</v>
          </cell>
          <cell r="G9131" t="str">
            <v>Presupuesto</v>
          </cell>
        </row>
        <row r="9132">
          <cell r="A9132" t="str">
            <v>PG</v>
          </cell>
          <cell r="B9132">
            <v>202506</v>
          </cell>
          <cell r="D9132" t="str">
            <v>Property</v>
          </cell>
          <cell r="G9132" t="str">
            <v>Real</v>
          </cell>
        </row>
        <row r="9133">
          <cell r="A9133" t="str">
            <v>PG</v>
          </cell>
          <cell r="B9133">
            <v>202506</v>
          </cell>
          <cell r="D9133" t="str">
            <v>RC</v>
          </cell>
          <cell r="G9133" t="str">
            <v>Presupuesto</v>
          </cell>
        </row>
        <row r="9134">
          <cell r="A9134" t="str">
            <v>PG</v>
          </cell>
          <cell r="B9134">
            <v>202506</v>
          </cell>
          <cell r="D9134" t="str">
            <v>RC</v>
          </cell>
          <cell r="G9134" t="str">
            <v>Real</v>
          </cell>
        </row>
        <row r="9135">
          <cell r="A9135" t="str">
            <v>PG</v>
          </cell>
          <cell r="B9135">
            <v>202506</v>
          </cell>
          <cell r="D9135" t="str">
            <v>Resto de lineas</v>
          </cell>
          <cell r="G9135" t="str">
            <v>Presupuesto</v>
          </cell>
        </row>
        <row r="9136">
          <cell r="A9136" t="str">
            <v>PG</v>
          </cell>
          <cell r="B9136">
            <v>202506</v>
          </cell>
          <cell r="D9136" t="str">
            <v>Retirada</v>
          </cell>
          <cell r="G9136" t="str">
            <v>Presupuesto</v>
          </cell>
        </row>
        <row r="9137">
          <cell r="A9137" t="str">
            <v>PG</v>
          </cell>
          <cell r="B9137">
            <v>202506</v>
          </cell>
          <cell r="D9137" t="str">
            <v>Seguros Personales (No Vida) Colectivos</v>
          </cell>
          <cell r="G9137" t="str">
            <v>Presupuesto</v>
          </cell>
        </row>
        <row r="9138">
          <cell r="A9138" t="str">
            <v>PG</v>
          </cell>
          <cell r="B9138">
            <v>202506</v>
          </cell>
          <cell r="D9138" t="str">
            <v>Seguros Personales (No Vida) Colectivos</v>
          </cell>
          <cell r="G9138" t="str">
            <v>Real</v>
          </cell>
        </row>
        <row r="9139">
          <cell r="A9139" t="str">
            <v>PG</v>
          </cell>
          <cell r="B9139">
            <v>202506</v>
          </cell>
          <cell r="D9139" t="str">
            <v>Seguros Personales (No Vida) Particular</v>
          </cell>
          <cell r="G9139" t="str">
            <v>Presupuesto</v>
          </cell>
        </row>
        <row r="9140">
          <cell r="A9140" t="str">
            <v>PG</v>
          </cell>
          <cell r="B9140">
            <v>202506</v>
          </cell>
          <cell r="D9140" t="str">
            <v>Seguros Personales (No Vida) Particular</v>
          </cell>
          <cell r="G9140" t="str">
            <v>Real</v>
          </cell>
        </row>
        <row r="9141">
          <cell r="A9141" t="str">
            <v>PG</v>
          </cell>
          <cell r="B9141">
            <v>202506</v>
          </cell>
          <cell r="D9141" t="str">
            <v>Transporte</v>
          </cell>
          <cell r="G9141" t="str">
            <v>Presupuesto</v>
          </cell>
        </row>
        <row r="9142">
          <cell r="A9142" t="str">
            <v>PG</v>
          </cell>
          <cell r="B9142">
            <v>202506</v>
          </cell>
          <cell r="D9142" t="str">
            <v>Transporte</v>
          </cell>
          <cell r="G9142" t="str">
            <v>Real</v>
          </cell>
        </row>
        <row r="9143">
          <cell r="A9143" t="str">
            <v>PG</v>
          </cell>
          <cell r="B9143">
            <v>202506</v>
          </cell>
          <cell r="D9143" t="str">
            <v>Venta Cruzada</v>
          </cell>
          <cell r="G9143" t="str">
            <v>Presupuesto</v>
          </cell>
        </row>
        <row r="9144">
          <cell r="A9144" t="str">
            <v>PG</v>
          </cell>
          <cell r="B9144">
            <v>202506</v>
          </cell>
          <cell r="D9144" t="str">
            <v>Vida Ahorro Colectivo</v>
          </cell>
          <cell r="G9144" t="str">
            <v>Presupuesto</v>
          </cell>
        </row>
        <row r="9145">
          <cell r="A9145" t="str">
            <v>PG</v>
          </cell>
          <cell r="B9145">
            <v>202506</v>
          </cell>
          <cell r="D9145" t="str">
            <v>Vida Ahorro Particular</v>
          </cell>
          <cell r="G9145" t="str">
            <v>Presupuesto</v>
          </cell>
        </row>
        <row r="9146">
          <cell r="A9146" t="str">
            <v>PG</v>
          </cell>
          <cell r="B9146">
            <v>202506</v>
          </cell>
          <cell r="D9146" t="str">
            <v>Vida Ahorro Particular</v>
          </cell>
          <cell r="G9146" t="str">
            <v>Real</v>
          </cell>
        </row>
        <row r="9147">
          <cell r="A9147" t="str">
            <v>PG</v>
          </cell>
          <cell r="B9147">
            <v>202506</v>
          </cell>
          <cell r="D9147" t="str">
            <v>Vida Ganado</v>
          </cell>
          <cell r="G9147" t="str">
            <v>Presupuesto</v>
          </cell>
        </row>
        <row r="9148">
          <cell r="A9148" t="str">
            <v>PG</v>
          </cell>
          <cell r="B9148">
            <v>202506</v>
          </cell>
          <cell r="D9148" t="str">
            <v>Vida Ganado</v>
          </cell>
          <cell r="G9148" t="str">
            <v>Real</v>
          </cell>
        </row>
        <row r="9149">
          <cell r="A9149" t="str">
            <v>PG</v>
          </cell>
          <cell r="B9149">
            <v>202506</v>
          </cell>
          <cell r="D9149" t="str">
            <v>Vida Riesgo Colectivo</v>
          </cell>
          <cell r="G9149" t="str">
            <v>Presupuesto</v>
          </cell>
        </row>
        <row r="9150">
          <cell r="A9150" t="str">
            <v>PG</v>
          </cell>
          <cell r="B9150">
            <v>202506</v>
          </cell>
          <cell r="D9150" t="str">
            <v>Vida Riesgo Colectivo</v>
          </cell>
          <cell r="G9150" t="str">
            <v>Real</v>
          </cell>
        </row>
        <row r="9151">
          <cell r="A9151" t="str">
            <v>PG</v>
          </cell>
          <cell r="B9151">
            <v>202506</v>
          </cell>
          <cell r="D9151" t="str">
            <v>Vida Riesgo Particular</v>
          </cell>
          <cell r="G9151" t="str">
            <v>Presupuesto</v>
          </cell>
        </row>
        <row r="9152">
          <cell r="A9152" t="str">
            <v>PG</v>
          </cell>
          <cell r="B9152">
            <v>202506</v>
          </cell>
          <cell r="D9152" t="str">
            <v>Vida Riesgo Particular</v>
          </cell>
          <cell r="G9152" t="str">
            <v>Real</v>
          </cell>
        </row>
        <row r="9153">
          <cell r="A9153" t="str">
            <v>PG</v>
          </cell>
          <cell r="B9153">
            <v>202507</v>
          </cell>
          <cell r="D9153" t="str">
            <v>--</v>
          </cell>
          <cell r="G9153" t="str">
            <v>Presupuesto</v>
          </cell>
        </row>
        <row r="9154">
          <cell r="A9154" t="str">
            <v>PG</v>
          </cell>
          <cell r="B9154">
            <v>202507</v>
          </cell>
          <cell r="D9154" t="str">
            <v>--</v>
          </cell>
          <cell r="G9154" t="str">
            <v>Real</v>
          </cell>
        </row>
        <row r="9155">
          <cell r="A9155" t="str">
            <v>PG</v>
          </cell>
          <cell r="B9155">
            <v>202507</v>
          </cell>
          <cell r="D9155" t="str">
            <v>Resto de Lineas</v>
          </cell>
          <cell r="G9155" t="str">
            <v>Real</v>
          </cell>
        </row>
        <row r="9156">
          <cell r="A9156" t="str">
            <v>PG</v>
          </cell>
          <cell r="B9156">
            <v>202507</v>
          </cell>
          <cell r="D9156" t="str">
            <v>Arte</v>
          </cell>
          <cell r="G9156" t="str">
            <v>Presupuesto</v>
          </cell>
        </row>
        <row r="9157">
          <cell r="A9157" t="str">
            <v>PG</v>
          </cell>
          <cell r="B9157">
            <v>202507</v>
          </cell>
          <cell r="D9157" t="str">
            <v>Autos</v>
          </cell>
          <cell r="G9157" t="str">
            <v>Presupuesto</v>
          </cell>
        </row>
        <row r="9158">
          <cell r="A9158" t="str">
            <v>PG</v>
          </cell>
          <cell r="B9158">
            <v>202507</v>
          </cell>
          <cell r="D9158" t="str">
            <v>Autos</v>
          </cell>
          <cell r="G9158" t="str">
            <v>Real</v>
          </cell>
        </row>
        <row r="9159">
          <cell r="A9159" t="str">
            <v>PG</v>
          </cell>
          <cell r="B9159">
            <v>202507</v>
          </cell>
          <cell r="D9159" t="str">
            <v>B2B2C</v>
          </cell>
          <cell r="G9159" t="str">
            <v>Presupuesto</v>
          </cell>
        </row>
        <row r="9160">
          <cell r="A9160" t="str">
            <v>PG</v>
          </cell>
          <cell r="B9160">
            <v>202507</v>
          </cell>
          <cell r="D9160" t="str">
            <v>Caución</v>
          </cell>
          <cell r="G9160" t="str">
            <v>Presupuesto</v>
          </cell>
        </row>
        <row r="9161">
          <cell r="A9161" t="str">
            <v>PG</v>
          </cell>
          <cell r="B9161">
            <v>202507</v>
          </cell>
          <cell r="D9161" t="str">
            <v>Crédito Nacional</v>
          </cell>
          <cell r="G9161" t="str">
            <v>Real</v>
          </cell>
        </row>
        <row r="9162">
          <cell r="A9162" t="str">
            <v>PG</v>
          </cell>
          <cell r="B9162">
            <v>202507</v>
          </cell>
          <cell r="D9162" t="str">
            <v>Crédito Internacional</v>
          </cell>
          <cell r="G9162" t="str">
            <v>Presupuesto</v>
          </cell>
        </row>
        <row r="9163">
          <cell r="A9163" t="str">
            <v>PG</v>
          </cell>
          <cell r="B9163">
            <v>202507</v>
          </cell>
          <cell r="D9163" t="str">
            <v>Crédito Nacional</v>
          </cell>
          <cell r="G9163" t="str">
            <v>Presupuesto</v>
          </cell>
        </row>
        <row r="9164">
          <cell r="A9164" t="str">
            <v>PG</v>
          </cell>
          <cell r="B9164">
            <v>202507</v>
          </cell>
          <cell r="D9164" t="str">
            <v>Eventos</v>
          </cell>
          <cell r="G9164" t="str">
            <v>Presupuesto</v>
          </cell>
        </row>
        <row r="9165">
          <cell r="A9165" t="str">
            <v>PG</v>
          </cell>
          <cell r="B9165">
            <v>202507</v>
          </cell>
          <cell r="D9165" t="str">
            <v>Flotas</v>
          </cell>
          <cell r="G9165" t="str">
            <v>Presupuesto</v>
          </cell>
        </row>
        <row r="9166">
          <cell r="A9166" t="str">
            <v>PG</v>
          </cell>
          <cell r="B9166">
            <v>202507</v>
          </cell>
          <cell r="D9166" t="str">
            <v>Flotas</v>
          </cell>
          <cell r="G9166" t="str">
            <v>Real</v>
          </cell>
        </row>
        <row r="9167">
          <cell r="A9167" t="str">
            <v>PG</v>
          </cell>
          <cell r="B9167">
            <v>202507</v>
          </cell>
          <cell r="D9167" t="str">
            <v>Hogar</v>
          </cell>
          <cell r="G9167" t="str">
            <v>Presupuesto</v>
          </cell>
        </row>
        <row r="9168">
          <cell r="A9168" t="str">
            <v>PG</v>
          </cell>
          <cell r="B9168">
            <v>202507</v>
          </cell>
          <cell r="D9168" t="str">
            <v>Hogar</v>
          </cell>
          <cell r="G9168" t="str">
            <v>Real</v>
          </cell>
        </row>
        <row r="9169">
          <cell r="A9169" t="str">
            <v>PG</v>
          </cell>
          <cell r="B9169">
            <v>202507</v>
          </cell>
          <cell r="D9169" t="str">
            <v>Ingeniería</v>
          </cell>
          <cell r="G9169" t="str">
            <v>Presupuesto</v>
          </cell>
        </row>
        <row r="9170">
          <cell r="A9170" t="str">
            <v>PG</v>
          </cell>
          <cell r="B9170">
            <v>202507</v>
          </cell>
          <cell r="D9170" t="str">
            <v>Ingeniería</v>
          </cell>
          <cell r="G9170" t="str">
            <v>Real</v>
          </cell>
        </row>
        <row r="9171">
          <cell r="A9171" t="str">
            <v>PG</v>
          </cell>
          <cell r="B9171">
            <v>202507</v>
          </cell>
          <cell r="D9171" t="str">
            <v>Inmobiliario</v>
          </cell>
          <cell r="G9171" t="str">
            <v>Presupuesto</v>
          </cell>
        </row>
        <row r="9172">
          <cell r="A9172" t="str">
            <v>PG</v>
          </cell>
          <cell r="B9172">
            <v>202507</v>
          </cell>
          <cell r="D9172" t="str">
            <v>Inmobiliario</v>
          </cell>
          <cell r="G9172" t="str">
            <v>Real</v>
          </cell>
        </row>
        <row r="9173">
          <cell r="A9173" t="str">
            <v>PG</v>
          </cell>
          <cell r="B9173">
            <v>202507</v>
          </cell>
          <cell r="D9173" t="str">
            <v>Líneas Financieras</v>
          </cell>
          <cell r="G9173" t="str">
            <v>Presupuesto</v>
          </cell>
        </row>
        <row r="9174">
          <cell r="A9174" t="str">
            <v>PG</v>
          </cell>
          <cell r="B9174">
            <v>202507</v>
          </cell>
          <cell r="D9174" t="str">
            <v>Líneas Financieras</v>
          </cell>
          <cell r="G9174" t="str">
            <v>Real</v>
          </cell>
        </row>
        <row r="9175">
          <cell r="A9175" t="str">
            <v>PG</v>
          </cell>
          <cell r="B9175">
            <v>202507</v>
          </cell>
          <cell r="D9175" t="str">
            <v>Náutica</v>
          </cell>
          <cell r="G9175" t="str">
            <v>Presupuesto</v>
          </cell>
        </row>
        <row r="9176">
          <cell r="A9176" t="str">
            <v>PG</v>
          </cell>
          <cell r="B9176">
            <v>202507</v>
          </cell>
          <cell r="D9176" t="str">
            <v>Náutica</v>
          </cell>
          <cell r="G9176" t="str">
            <v>Real</v>
          </cell>
        </row>
        <row r="9177">
          <cell r="A9177" t="str">
            <v>PG</v>
          </cell>
          <cell r="B9177">
            <v>202507</v>
          </cell>
          <cell r="D9177" t="str">
            <v>Particulares Resto</v>
          </cell>
          <cell r="G9177" t="str">
            <v>Presupuesto</v>
          </cell>
        </row>
        <row r="9178">
          <cell r="A9178" t="str">
            <v>PG</v>
          </cell>
          <cell r="B9178">
            <v>202507</v>
          </cell>
          <cell r="D9178" t="str">
            <v>Particulares Resto</v>
          </cell>
          <cell r="G9178" t="str">
            <v>Real</v>
          </cell>
        </row>
        <row r="9179">
          <cell r="A9179" t="str">
            <v>PG</v>
          </cell>
          <cell r="B9179">
            <v>202507</v>
          </cell>
          <cell r="D9179" t="str">
            <v>Property</v>
          </cell>
          <cell r="G9179" t="str">
            <v>Presupuesto</v>
          </cell>
        </row>
        <row r="9180">
          <cell r="A9180" t="str">
            <v>PG</v>
          </cell>
          <cell r="B9180">
            <v>202507</v>
          </cell>
          <cell r="D9180" t="str">
            <v>Property</v>
          </cell>
          <cell r="G9180" t="str">
            <v>Real</v>
          </cell>
        </row>
        <row r="9181">
          <cell r="A9181" t="str">
            <v>PG</v>
          </cell>
          <cell r="B9181">
            <v>202507</v>
          </cell>
          <cell r="D9181" t="str">
            <v>RC</v>
          </cell>
          <cell r="G9181" t="str">
            <v>Presupuesto</v>
          </cell>
        </row>
        <row r="9182">
          <cell r="A9182" t="str">
            <v>PG</v>
          </cell>
          <cell r="B9182">
            <v>202507</v>
          </cell>
          <cell r="D9182" t="str">
            <v>RC</v>
          </cell>
          <cell r="G9182" t="str">
            <v>Real</v>
          </cell>
        </row>
        <row r="9183">
          <cell r="A9183" t="str">
            <v>PG</v>
          </cell>
          <cell r="B9183">
            <v>202507</v>
          </cell>
          <cell r="D9183" t="str">
            <v>Resto de lineas</v>
          </cell>
          <cell r="G9183" t="str">
            <v>Presupuesto</v>
          </cell>
        </row>
        <row r="9184">
          <cell r="A9184" t="str">
            <v>PG</v>
          </cell>
          <cell r="B9184">
            <v>202507</v>
          </cell>
          <cell r="D9184" t="str">
            <v>Retirada</v>
          </cell>
          <cell r="G9184" t="str">
            <v>Presupuesto</v>
          </cell>
        </row>
        <row r="9185">
          <cell r="A9185" t="str">
            <v>PG</v>
          </cell>
          <cell r="B9185">
            <v>202507</v>
          </cell>
          <cell r="D9185" t="str">
            <v>Seguros Personales (No Vida) Colectivos</v>
          </cell>
          <cell r="G9185" t="str">
            <v>Presupuesto</v>
          </cell>
        </row>
        <row r="9186">
          <cell r="A9186" t="str">
            <v>PG</v>
          </cell>
          <cell r="B9186">
            <v>202507</v>
          </cell>
          <cell r="D9186" t="str">
            <v>Seguros Personales (No Vida) Colectivos</v>
          </cell>
          <cell r="G9186" t="str">
            <v>Real</v>
          </cell>
        </row>
        <row r="9187">
          <cell r="A9187" t="str">
            <v>PG</v>
          </cell>
          <cell r="B9187">
            <v>202507</v>
          </cell>
          <cell r="D9187" t="str">
            <v>Seguros Personales (No Vida) Particular</v>
          </cell>
          <cell r="G9187" t="str">
            <v>Presupuesto</v>
          </cell>
        </row>
        <row r="9188">
          <cell r="A9188" t="str">
            <v>PG</v>
          </cell>
          <cell r="B9188">
            <v>202507</v>
          </cell>
          <cell r="D9188" t="str">
            <v>Seguros Personales (No Vida) Particular</v>
          </cell>
          <cell r="G9188" t="str">
            <v>Real</v>
          </cell>
        </row>
        <row r="9189">
          <cell r="A9189" t="str">
            <v>PG</v>
          </cell>
          <cell r="B9189">
            <v>202507</v>
          </cell>
          <cell r="D9189" t="str">
            <v>Transporte</v>
          </cell>
          <cell r="G9189" t="str">
            <v>Presupuesto</v>
          </cell>
        </row>
        <row r="9190">
          <cell r="A9190" t="str">
            <v>PG</v>
          </cell>
          <cell r="B9190">
            <v>202507</v>
          </cell>
          <cell r="D9190" t="str">
            <v>Transporte</v>
          </cell>
          <cell r="G9190" t="str">
            <v>Real</v>
          </cell>
        </row>
        <row r="9191">
          <cell r="A9191" t="str">
            <v>PG</v>
          </cell>
          <cell r="B9191">
            <v>202507</v>
          </cell>
          <cell r="D9191" t="str">
            <v>Venta Cruzada</v>
          </cell>
          <cell r="G9191" t="str">
            <v>Presupuesto</v>
          </cell>
        </row>
        <row r="9192">
          <cell r="A9192" t="str">
            <v>PG</v>
          </cell>
          <cell r="B9192">
            <v>202507</v>
          </cell>
          <cell r="D9192" t="str">
            <v>Vida Ahorro Colectivo</v>
          </cell>
          <cell r="G9192" t="str">
            <v>Presupuesto</v>
          </cell>
        </row>
        <row r="9193">
          <cell r="A9193" t="str">
            <v>PG</v>
          </cell>
          <cell r="B9193">
            <v>202507</v>
          </cell>
          <cell r="D9193" t="str">
            <v>Vida Ahorro Particular</v>
          </cell>
          <cell r="G9193" t="str">
            <v>Presupuesto</v>
          </cell>
        </row>
        <row r="9194">
          <cell r="A9194" t="str">
            <v>PG</v>
          </cell>
          <cell r="B9194">
            <v>202507</v>
          </cell>
          <cell r="D9194" t="str">
            <v>Vida Ahorro Particular</v>
          </cell>
          <cell r="G9194" t="str">
            <v>Real</v>
          </cell>
        </row>
        <row r="9195">
          <cell r="A9195" t="str">
            <v>PG</v>
          </cell>
          <cell r="B9195">
            <v>202507</v>
          </cell>
          <cell r="D9195" t="str">
            <v>Vida Ganado</v>
          </cell>
          <cell r="G9195" t="str">
            <v>Presupuesto</v>
          </cell>
        </row>
        <row r="9196">
          <cell r="A9196" t="str">
            <v>PG</v>
          </cell>
          <cell r="B9196">
            <v>202507</v>
          </cell>
          <cell r="D9196" t="str">
            <v>Vida Riesgo Colectivo</v>
          </cell>
          <cell r="G9196" t="str">
            <v>Presupuesto</v>
          </cell>
        </row>
        <row r="9197">
          <cell r="A9197" t="str">
            <v>PG</v>
          </cell>
          <cell r="B9197">
            <v>202507</v>
          </cell>
          <cell r="D9197" t="str">
            <v>Vida Riesgo Colectivo</v>
          </cell>
          <cell r="G9197" t="str">
            <v>Real</v>
          </cell>
        </row>
        <row r="9198">
          <cell r="A9198" t="str">
            <v>PG</v>
          </cell>
          <cell r="B9198">
            <v>202507</v>
          </cell>
          <cell r="D9198" t="str">
            <v>Vida Riesgo Particular</v>
          </cell>
          <cell r="G9198" t="str">
            <v>Presupuesto</v>
          </cell>
        </row>
        <row r="9199">
          <cell r="A9199" t="str">
            <v>PG</v>
          </cell>
          <cell r="B9199">
            <v>202507</v>
          </cell>
          <cell r="D9199" t="str">
            <v>Vida Riesgo Particular</v>
          </cell>
          <cell r="G9199" t="str">
            <v>Real</v>
          </cell>
        </row>
        <row r="9200">
          <cell r="A9200" t="str">
            <v>PG</v>
          </cell>
          <cell r="B9200">
            <v>202508</v>
          </cell>
          <cell r="D9200" t="str">
            <v>--</v>
          </cell>
          <cell r="G9200" t="str">
            <v>Presupuesto</v>
          </cell>
        </row>
        <row r="9201">
          <cell r="A9201" t="str">
            <v>PG</v>
          </cell>
          <cell r="B9201">
            <v>202508</v>
          </cell>
          <cell r="D9201" t="str">
            <v>--</v>
          </cell>
          <cell r="G9201" t="str">
            <v>Real</v>
          </cell>
        </row>
        <row r="9202">
          <cell r="A9202" t="str">
            <v>PG</v>
          </cell>
          <cell r="B9202">
            <v>202508</v>
          </cell>
          <cell r="D9202" t="str">
            <v>Resto de Lineas</v>
          </cell>
          <cell r="G9202" t="str">
            <v>Real</v>
          </cell>
        </row>
        <row r="9203">
          <cell r="A9203" t="str">
            <v>PG</v>
          </cell>
          <cell r="B9203">
            <v>202508</v>
          </cell>
          <cell r="D9203" t="str">
            <v>Arte</v>
          </cell>
          <cell r="G9203" t="str">
            <v>Presupuesto</v>
          </cell>
        </row>
        <row r="9204">
          <cell r="A9204" t="str">
            <v>PG</v>
          </cell>
          <cell r="B9204">
            <v>202508</v>
          </cell>
          <cell r="D9204" t="str">
            <v>Autos</v>
          </cell>
          <cell r="G9204" t="str">
            <v>Presupuesto</v>
          </cell>
        </row>
        <row r="9205">
          <cell r="A9205" t="str">
            <v>PG</v>
          </cell>
          <cell r="B9205">
            <v>202508</v>
          </cell>
          <cell r="D9205" t="str">
            <v>Autos</v>
          </cell>
          <cell r="G9205" t="str">
            <v>Real</v>
          </cell>
        </row>
        <row r="9206">
          <cell r="A9206" t="str">
            <v>PG</v>
          </cell>
          <cell r="B9206">
            <v>202508</v>
          </cell>
          <cell r="D9206" t="str">
            <v>B2B2C</v>
          </cell>
          <cell r="G9206" t="str">
            <v>Presupuesto</v>
          </cell>
        </row>
        <row r="9207">
          <cell r="A9207" t="str">
            <v>PG</v>
          </cell>
          <cell r="B9207">
            <v>202508</v>
          </cell>
          <cell r="D9207" t="str">
            <v>Caución</v>
          </cell>
          <cell r="G9207" t="str">
            <v>Presupuesto</v>
          </cell>
        </row>
        <row r="9208">
          <cell r="A9208" t="str">
            <v>PG</v>
          </cell>
          <cell r="B9208">
            <v>202508</v>
          </cell>
          <cell r="D9208" t="str">
            <v>Crédito Nacional</v>
          </cell>
          <cell r="G9208" t="str">
            <v>Real</v>
          </cell>
        </row>
        <row r="9209">
          <cell r="A9209" t="str">
            <v>PG</v>
          </cell>
          <cell r="B9209">
            <v>202508</v>
          </cell>
          <cell r="D9209" t="str">
            <v>Crédito Internacional</v>
          </cell>
          <cell r="G9209" t="str">
            <v>Presupuesto</v>
          </cell>
        </row>
        <row r="9210">
          <cell r="A9210" t="str">
            <v>PG</v>
          </cell>
          <cell r="B9210">
            <v>202508</v>
          </cell>
          <cell r="D9210" t="str">
            <v>Crédito Nacional</v>
          </cell>
          <cell r="G9210" t="str">
            <v>Presupuesto</v>
          </cell>
        </row>
        <row r="9211">
          <cell r="A9211" t="str">
            <v>PG</v>
          </cell>
          <cell r="B9211">
            <v>202508</v>
          </cell>
          <cell r="D9211" t="str">
            <v>Eventos</v>
          </cell>
          <cell r="G9211" t="str">
            <v>Presupuesto</v>
          </cell>
        </row>
        <row r="9212">
          <cell r="A9212" t="str">
            <v>PG</v>
          </cell>
          <cell r="B9212">
            <v>202508</v>
          </cell>
          <cell r="D9212" t="str">
            <v>Flotas</v>
          </cell>
          <cell r="G9212" t="str">
            <v>Presupuesto</v>
          </cell>
        </row>
        <row r="9213">
          <cell r="A9213" t="str">
            <v>PG</v>
          </cell>
          <cell r="B9213">
            <v>202508</v>
          </cell>
          <cell r="D9213" t="str">
            <v>Flotas</v>
          </cell>
          <cell r="G9213" t="str">
            <v>Real</v>
          </cell>
        </row>
        <row r="9214">
          <cell r="A9214" t="str">
            <v>PG</v>
          </cell>
          <cell r="B9214">
            <v>202508</v>
          </cell>
          <cell r="D9214" t="str">
            <v>Hogar</v>
          </cell>
          <cell r="G9214" t="str">
            <v>Presupuesto</v>
          </cell>
        </row>
        <row r="9215">
          <cell r="A9215" t="str">
            <v>PG</v>
          </cell>
          <cell r="B9215">
            <v>202508</v>
          </cell>
          <cell r="D9215" t="str">
            <v>Hogar</v>
          </cell>
          <cell r="G9215" t="str">
            <v>Real</v>
          </cell>
        </row>
        <row r="9216">
          <cell r="A9216" t="str">
            <v>PG</v>
          </cell>
          <cell r="B9216">
            <v>202508</v>
          </cell>
          <cell r="D9216" t="str">
            <v>Ingeniería</v>
          </cell>
          <cell r="G9216" t="str">
            <v>Presupuesto</v>
          </cell>
        </row>
        <row r="9217">
          <cell r="A9217" t="str">
            <v>PG</v>
          </cell>
          <cell r="B9217">
            <v>202508</v>
          </cell>
          <cell r="D9217" t="str">
            <v>Ingeniería</v>
          </cell>
          <cell r="G9217" t="str">
            <v>Real</v>
          </cell>
        </row>
        <row r="9218">
          <cell r="A9218" t="str">
            <v>PG</v>
          </cell>
          <cell r="B9218">
            <v>202508</v>
          </cell>
          <cell r="D9218" t="str">
            <v>Inmobiliario</v>
          </cell>
          <cell r="G9218" t="str">
            <v>Presupuesto</v>
          </cell>
        </row>
        <row r="9219">
          <cell r="A9219" t="str">
            <v>PG</v>
          </cell>
          <cell r="B9219">
            <v>202508</v>
          </cell>
          <cell r="D9219" t="str">
            <v>Inmobiliario</v>
          </cell>
          <cell r="G9219" t="str">
            <v>Real</v>
          </cell>
        </row>
        <row r="9220">
          <cell r="A9220" t="str">
            <v>PG</v>
          </cell>
          <cell r="B9220">
            <v>202508</v>
          </cell>
          <cell r="D9220" t="str">
            <v>Líneas Financieras</v>
          </cell>
          <cell r="G9220" t="str">
            <v>Presupuesto</v>
          </cell>
        </row>
        <row r="9221">
          <cell r="A9221" t="str">
            <v>PG</v>
          </cell>
          <cell r="B9221">
            <v>202508</v>
          </cell>
          <cell r="D9221" t="str">
            <v>Líneas Financieras</v>
          </cell>
          <cell r="G9221" t="str">
            <v>Real</v>
          </cell>
        </row>
        <row r="9222">
          <cell r="A9222" t="str">
            <v>PG</v>
          </cell>
          <cell r="B9222">
            <v>202508</v>
          </cell>
          <cell r="D9222" t="str">
            <v>Náutica</v>
          </cell>
          <cell r="G9222" t="str">
            <v>Presupuesto</v>
          </cell>
        </row>
        <row r="9223">
          <cell r="A9223" t="str">
            <v>PG</v>
          </cell>
          <cell r="B9223">
            <v>202508</v>
          </cell>
          <cell r="D9223" t="str">
            <v>Náutica</v>
          </cell>
          <cell r="G9223" t="str">
            <v>Real</v>
          </cell>
        </row>
        <row r="9224">
          <cell r="A9224" t="str">
            <v>PG</v>
          </cell>
          <cell r="B9224">
            <v>202508</v>
          </cell>
          <cell r="D9224" t="str">
            <v>Particulares Resto</v>
          </cell>
          <cell r="G9224" t="str">
            <v>Presupuesto</v>
          </cell>
        </row>
        <row r="9225">
          <cell r="A9225" t="str">
            <v>PG</v>
          </cell>
          <cell r="B9225">
            <v>202508</v>
          </cell>
          <cell r="D9225" t="str">
            <v>Particulares Resto</v>
          </cell>
          <cell r="G9225" t="str">
            <v>Real</v>
          </cell>
        </row>
        <row r="9226">
          <cell r="A9226" t="str">
            <v>PG</v>
          </cell>
          <cell r="B9226">
            <v>202508</v>
          </cell>
          <cell r="D9226" t="str">
            <v>Property</v>
          </cell>
          <cell r="G9226" t="str">
            <v>Presupuesto</v>
          </cell>
        </row>
        <row r="9227">
          <cell r="A9227" t="str">
            <v>PG</v>
          </cell>
          <cell r="B9227">
            <v>202508</v>
          </cell>
          <cell r="D9227" t="str">
            <v>Property</v>
          </cell>
          <cell r="G9227" t="str">
            <v>Real</v>
          </cell>
        </row>
        <row r="9228">
          <cell r="A9228" t="str">
            <v>PG</v>
          </cell>
          <cell r="B9228">
            <v>202508</v>
          </cell>
          <cell r="D9228" t="str">
            <v>RC</v>
          </cell>
          <cell r="G9228" t="str">
            <v>Presupuesto</v>
          </cell>
        </row>
        <row r="9229">
          <cell r="A9229" t="str">
            <v>PG</v>
          </cell>
          <cell r="B9229">
            <v>202508</v>
          </cell>
          <cell r="D9229" t="str">
            <v>RC</v>
          </cell>
          <cell r="G9229" t="str">
            <v>Real</v>
          </cell>
        </row>
        <row r="9230">
          <cell r="A9230" t="str">
            <v>PG</v>
          </cell>
          <cell r="B9230">
            <v>202508</v>
          </cell>
          <cell r="D9230" t="str">
            <v>Resto de lineas</v>
          </cell>
          <cell r="G9230" t="str">
            <v>Presupuesto</v>
          </cell>
        </row>
        <row r="9231">
          <cell r="A9231" t="str">
            <v>PG</v>
          </cell>
          <cell r="B9231">
            <v>202508</v>
          </cell>
          <cell r="D9231" t="str">
            <v>Retirada</v>
          </cell>
          <cell r="G9231" t="str">
            <v>Presupuesto</v>
          </cell>
        </row>
        <row r="9232">
          <cell r="A9232" t="str">
            <v>PG</v>
          </cell>
          <cell r="B9232">
            <v>202508</v>
          </cell>
          <cell r="D9232" t="str">
            <v>Seguros Personales (No Vida) Colectivos</v>
          </cell>
          <cell r="G9232" t="str">
            <v>Presupuesto</v>
          </cell>
        </row>
        <row r="9233">
          <cell r="A9233" t="str">
            <v>PG</v>
          </cell>
          <cell r="B9233">
            <v>202508</v>
          </cell>
          <cell r="D9233" t="str">
            <v>Seguros Personales (No Vida) Colectivos</v>
          </cell>
          <cell r="G9233" t="str">
            <v>Real</v>
          </cell>
        </row>
        <row r="9234">
          <cell r="A9234" t="str">
            <v>PG</v>
          </cell>
          <cell r="B9234">
            <v>202508</v>
          </cell>
          <cell r="D9234" t="str">
            <v>Seguros Personales (No Vida) Particular</v>
          </cell>
          <cell r="G9234" t="str">
            <v>Presupuesto</v>
          </cell>
        </row>
        <row r="9235">
          <cell r="A9235" t="str">
            <v>PG</v>
          </cell>
          <cell r="B9235">
            <v>202508</v>
          </cell>
          <cell r="D9235" t="str">
            <v>Seguros Personales (No Vida) Particular</v>
          </cell>
          <cell r="G9235" t="str">
            <v>Real</v>
          </cell>
        </row>
        <row r="9236">
          <cell r="A9236" t="str">
            <v>PG</v>
          </cell>
          <cell r="B9236">
            <v>202508</v>
          </cell>
          <cell r="D9236" t="str">
            <v>Transporte</v>
          </cell>
          <cell r="G9236" t="str">
            <v>Presupuesto</v>
          </cell>
        </row>
        <row r="9237">
          <cell r="A9237" t="str">
            <v>PG</v>
          </cell>
          <cell r="B9237">
            <v>202508</v>
          </cell>
          <cell r="D9237" t="str">
            <v>Transporte</v>
          </cell>
          <cell r="G9237" t="str">
            <v>Real</v>
          </cell>
        </row>
        <row r="9238">
          <cell r="A9238" t="str">
            <v>PG</v>
          </cell>
          <cell r="B9238">
            <v>202508</v>
          </cell>
          <cell r="D9238" t="str">
            <v>Venta Cruzada</v>
          </cell>
          <cell r="G9238" t="str">
            <v>Presupuesto</v>
          </cell>
        </row>
        <row r="9239">
          <cell r="A9239" t="str">
            <v>PG</v>
          </cell>
          <cell r="B9239">
            <v>202508</v>
          </cell>
          <cell r="D9239" t="str">
            <v>Vida Ahorro Colectivo</v>
          </cell>
          <cell r="G9239" t="str">
            <v>Presupuesto</v>
          </cell>
        </row>
        <row r="9240">
          <cell r="A9240" t="str">
            <v>PG</v>
          </cell>
          <cell r="B9240">
            <v>202508</v>
          </cell>
          <cell r="D9240" t="str">
            <v>Vida Ahorro Particular</v>
          </cell>
          <cell r="G9240" t="str">
            <v>Presupuesto</v>
          </cell>
        </row>
        <row r="9241">
          <cell r="A9241" t="str">
            <v>PG</v>
          </cell>
          <cell r="B9241">
            <v>202508</v>
          </cell>
          <cell r="D9241" t="str">
            <v>Vida Ahorro Particular</v>
          </cell>
          <cell r="G9241" t="str">
            <v>Real</v>
          </cell>
        </row>
        <row r="9242">
          <cell r="A9242" t="str">
            <v>PG</v>
          </cell>
          <cell r="B9242">
            <v>202508</v>
          </cell>
          <cell r="D9242" t="str">
            <v>Vida Ganado</v>
          </cell>
          <cell r="G9242" t="str">
            <v>Presupuesto</v>
          </cell>
        </row>
        <row r="9243">
          <cell r="A9243" t="str">
            <v>PG</v>
          </cell>
          <cell r="B9243">
            <v>202508</v>
          </cell>
          <cell r="D9243" t="str">
            <v>Vida Riesgo Colectivo</v>
          </cell>
          <cell r="G9243" t="str">
            <v>Presupuesto</v>
          </cell>
        </row>
        <row r="9244">
          <cell r="A9244" t="str">
            <v>PG</v>
          </cell>
          <cell r="B9244">
            <v>202508</v>
          </cell>
          <cell r="D9244" t="str">
            <v>Vida Riesgo Colectivo</v>
          </cell>
          <cell r="G9244" t="str">
            <v>Real</v>
          </cell>
        </row>
        <row r="9245">
          <cell r="A9245" t="str">
            <v>PG</v>
          </cell>
          <cell r="B9245">
            <v>202508</v>
          </cell>
          <cell r="D9245" t="str">
            <v>Vida Riesgo Particular</v>
          </cell>
          <cell r="G9245" t="str">
            <v>Presupuesto</v>
          </cell>
        </row>
        <row r="9246">
          <cell r="A9246" t="str">
            <v>PG</v>
          </cell>
          <cell r="B9246">
            <v>202508</v>
          </cell>
          <cell r="D9246" t="str">
            <v>Vida Riesgo Particular</v>
          </cell>
          <cell r="G9246" t="str">
            <v>Real</v>
          </cell>
        </row>
        <row r="9247">
          <cell r="A9247" t="str">
            <v>PG</v>
          </cell>
          <cell r="B9247">
            <v>202509</v>
          </cell>
          <cell r="D9247" t="str">
            <v>--</v>
          </cell>
          <cell r="G9247" t="str">
            <v>Presupuesto</v>
          </cell>
        </row>
        <row r="9248">
          <cell r="A9248" t="str">
            <v>PG</v>
          </cell>
          <cell r="B9248">
            <v>202509</v>
          </cell>
          <cell r="D9248" t="str">
            <v>--</v>
          </cell>
          <cell r="G9248" t="str">
            <v>Real</v>
          </cell>
        </row>
        <row r="9249">
          <cell r="A9249" t="str">
            <v>PG</v>
          </cell>
          <cell r="B9249">
            <v>202509</v>
          </cell>
          <cell r="D9249" t="str">
            <v>Resto de Lineas</v>
          </cell>
          <cell r="G9249" t="str">
            <v>Real</v>
          </cell>
        </row>
        <row r="9250">
          <cell r="A9250" t="str">
            <v>PG</v>
          </cell>
          <cell r="B9250">
            <v>202509</v>
          </cell>
          <cell r="D9250" t="str">
            <v>Arte</v>
          </cell>
          <cell r="G9250" t="str">
            <v>Presupuesto</v>
          </cell>
        </row>
        <row r="9251">
          <cell r="A9251" t="str">
            <v>PG</v>
          </cell>
          <cell r="B9251">
            <v>202509</v>
          </cell>
          <cell r="D9251" t="str">
            <v>Autos</v>
          </cell>
          <cell r="G9251" t="str">
            <v>Presupuesto</v>
          </cell>
        </row>
        <row r="9252">
          <cell r="A9252" t="str">
            <v>PG</v>
          </cell>
          <cell r="B9252">
            <v>202509</v>
          </cell>
          <cell r="D9252" t="str">
            <v>Autos</v>
          </cell>
          <cell r="G9252" t="str">
            <v>Real</v>
          </cell>
        </row>
        <row r="9253">
          <cell r="A9253" t="str">
            <v>PG</v>
          </cell>
          <cell r="B9253">
            <v>202509</v>
          </cell>
          <cell r="D9253" t="str">
            <v>B2B2C</v>
          </cell>
          <cell r="G9253" t="str">
            <v>Presupuesto</v>
          </cell>
        </row>
        <row r="9254">
          <cell r="A9254" t="str">
            <v>PG</v>
          </cell>
          <cell r="B9254">
            <v>202509</v>
          </cell>
          <cell r="D9254" t="str">
            <v>Caución</v>
          </cell>
          <cell r="G9254" t="str">
            <v>Presupuesto</v>
          </cell>
        </row>
        <row r="9255">
          <cell r="A9255" t="str">
            <v>PG</v>
          </cell>
          <cell r="B9255">
            <v>202509</v>
          </cell>
          <cell r="D9255" t="str">
            <v>Crédito Nacional</v>
          </cell>
          <cell r="G9255" t="str">
            <v>Real</v>
          </cell>
        </row>
        <row r="9256">
          <cell r="A9256" t="str">
            <v>PG</v>
          </cell>
          <cell r="B9256">
            <v>202509</v>
          </cell>
          <cell r="D9256" t="str">
            <v>Crédito Internacional</v>
          </cell>
          <cell r="G9256" t="str">
            <v>Presupuesto</v>
          </cell>
        </row>
        <row r="9257">
          <cell r="A9257" t="str">
            <v>PG</v>
          </cell>
          <cell r="B9257">
            <v>202509</v>
          </cell>
          <cell r="D9257" t="str">
            <v>Crédito Nacional</v>
          </cell>
          <cell r="G9257" t="str">
            <v>Presupuesto</v>
          </cell>
        </row>
        <row r="9258">
          <cell r="A9258" t="str">
            <v>PG</v>
          </cell>
          <cell r="B9258">
            <v>202509</v>
          </cell>
          <cell r="D9258" t="str">
            <v>Eventos</v>
          </cell>
          <cell r="G9258" t="str">
            <v>Presupuesto</v>
          </cell>
        </row>
        <row r="9259">
          <cell r="A9259" t="str">
            <v>PG</v>
          </cell>
          <cell r="B9259">
            <v>202509</v>
          </cell>
          <cell r="D9259" t="str">
            <v>Flotas</v>
          </cell>
          <cell r="G9259" t="str">
            <v>Presupuesto</v>
          </cell>
        </row>
        <row r="9260">
          <cell r="A9260" t="str">
            <v>PG</v>
          </cell>
          <cell r="B9260">
            <v>202509</v>
          </cell>
          <cell r="D9260" t="str">
            <v>Flotas</v>
          </cell>
          <cell r="G9260" t="str">
            <v>Real</v>
          </cell>
        </row>
        <row r="9261">
          <cell r="A9261" t="str">
            <v>PG</v>
          </cell>
          <cell r="B9261">
            <v>202509</v>
          </cell>
          <cell r="D9261" t="str">
            <v>Hogar</v>
          </cell>
          <cell r="G9261" t="str">
            <v>Presupuesto</v>
          </cell>
        </row>
        <row r="9262">
          <cell r="A9262" t="str">
            <v>PG</v>
          </cell>
          <cell r="B9262">
            <v>202509</v>
          </cell>
          <cell r="D9262" t="str">
            <v>Hogar</v>
          </cell>
          <cell r="G9262" t="str">
            <v>Real</v>
          </cell>
        </row>
        <row r="9263">
          <cell r="A9263" t="str">
            <v>PG</v>
          </cell>
          <cell r="B9263">
            <v>202509</v>
          </cell>
          <cell r="D9263" t="str">
            <v>Ingeniería</v>
          </cell>
          <cell r="G9263" t="str">
            <v>Presupuesto</v>
          </cell>
        </row>
        <row r="9264">
          <cell r="A9264" t="str">
            <v>PG</v>
          </cell>
          <cell r="B9264">
            <v>202509</v>
          </cell>
          <cell r="D9264" t="str">
            <v>Ingeniería</v>
          </cell>
          <cell r="G9264" t="str">
            <v>Real</v>
          </cell>
        </row>
        <row r="9265">
          <cell r="A9265" t="str">
            <v>PG</v>
          </cell>
          <cell r="B9265">
            <v>202509</v>
          </cell>
          <cell r="D9265" t="str">
            <v>Inmobiliario</v>
          </cell>
          <cell r="G9265" t="str">
            <v>Presupuesto</v>
          </cell>
        </row>
        <row r="9266">
          <cell r="A9266" t="str">
            <v>PG</v>
          </cell>
          <cell r="B9266">
            <v>202509</v>
          </cell>
          <cell r="D9266" t="str">
            <v>Inmobiliario</v>
          </cell>
          <cell r="G9266" t="str">
            <v>Real</v>
          </cell>
        </row>
        <row r="9267">
          <cell r="A9267" t="str">
            <v>PG</v>
          </cell>
          <cell r="B9267">
            <v>202509</v>
          </cell>
          <cell r="D9267" t="str">
            <v>Líneas Financieras</v>
          </cell>
          <cell r="G9267" t="str">
            <v>Presupuesto</v>
          </cell>
        </row>
        <row r="9268">
          <cell r="A9268" t="str">
            <v>PG</v>
          </cell>
          <cell r="B9268">
            <v>202509</v>
          </cell>
          <cell r="D9268" t="str">
            <v>Líneas Financieras</v>
          </cell>
          <cell r="G9268" t="str">
            <v>Real</v>
          </cell>
        </row>
        <row r="9269">
          <cell r="A9269" t="str">
            <v>PG</v>
          </cell>
          <cell r="B9269">
            <v>202509</v>
          </cell>
          <cell r="D9269" t="str">
            <v>Náutica</v>
          </cell>
          <cell r="G9269" t="str">
            <v>Presupuesto</v>
          </cell>
        </row>
        <row r="9270">
          <cell r="A9270" t="str">
            <v>PG</v>
          </cell>
          <cell r="B9270">
            <v>202509</v>
          </cell>
          <cell r="D9270" t="str">
            <v>Náutica</v>
          </cell>
          <cell r="G9270" t="str">
            <v>Real</v>
          </cell>
        </row>
        <row r="9271">
          <cell r="A9271" t="str">
            <v>PG</v>
          </cell>
          <cell r="B9271">
            <v>202509</v>
          </cell>
          <cell r="D9271" t="str">
            <v>Particulares Resto</v>
          </cell>
          <cell r="G9271" t="str">
            <v>Presupuesto</v>
          </cell>
        </row>
        <row r="9272">
          <cell r="A9272" t="str">
            <v>PG</v>
          </cell>
          <cell r="B9272">
            <v>202509</v>
          </cell>
          <cell r="D9272" t="str">
            <v>Particulares Resto</v>
          </cell>
          <cell r="G9272" t="str">
            <v>Real</v>
          </cell>
        </row>
        <row r="9273">
          <cell r="A9273" t="str">
            <v>PG</v>
          </cell>
          <cell r="B9273">
            <v>202509</v>
          </cell>
          <cell r="D9273" t="str">
            <v>Property</v>
          </cell>
          <cell r="G9273" t="str">
            <v>Presupuesto</v>
          </cell>
        </row>
        <row r="9274">
          <cell r="A9274" t="str">
            <v>PG</v>
          </cell>
          <cell r="B9274">
            <v>202509</v>
          </cell>
          <cell r="D9274" t="str">
            <v>Property</v>
          </cell>
          <cell r="G9274" t="str">
            <v>Real</v>
          </cell>
        </row>
        <row r="9275">
          <cell r="A9275" t="str">
            <v>PG</v>
          </cell>
          <cell r="B9275">
            <v>202509</v>
          </cell>
          <cell r="D9275" t="str">
            <v>RC</v>
          </cell>
          <cell r="G9275" t="str">
            <v>Presupuesto</v>
          </cell>
        </row>
        <row r="9276">
          <cell r="A9276" t="str">
            <v>PG</v>
          </cell>
          <cell r="B9276">
            <v>202509</v>
          </cell>
          <cell r="D9276" t="str">
            <v>RC</v>
          </cell>
          <cell r="G9276" t="str">
            <v>Real</v>
          </cell>
        </row>
        <row r="9277">
          <cell r="A9277" t="str">
            <v>PG</v>
          </cell>
          <cell r="B9277">
            <v>202509</v>
          </cell>
          <cell r="D9277" t="str">
            <v>Resto de lineas</v>
          </cell>
          <cell r="G9277" t="str">
            <v>Presupuesto</v>
          </cell>
        </row>
        <row r="9278">
          <cell r="A9278" t="str">
            <v>PG</v>
          </cell>
          <cell r="B9278">
            <v>202509</v>
          </cell>
          <cell r="D9278" t="str">
            <v>Retirada</v>
          </cell>
          <cell r="G9278" t="str">
            <v>Presupuesto</v>
          </cell>
        </row>
        <row r="9279">
          <cell r="A9279" t="str">
            <v>PG</v>
          </cell>
          <cell r="B9279">
            <v>202509</v>
          </cell>
          <cell r="D9279" t="str">
            <v>Seguros Personales (No Vida) Colectivos</v>
          </cell>
          <cell r="G9279" t="str">
            <v>Presupuesto</v>
          </cell>
        </row>
        <row r="9280">
          <cell r="A9280" t="str">
            <v>PG</v>
          </cell>
          <cell r="B9280">
            <v>202509</v>
          </cell>
          <cell r="D9280" t="str">
            <v>Seguros Personales (No Vida) Colectivos</v>
          </cell>
          <cell r="G9280" t="str">
            <v>Real</v>
          </cell>
        </row>
        <row r="9281">
          <cell r="A9281" t="str">
            <v>PG</v>
          </cell>
          <cell r="B9281">
            <v>202509</v>
          </cell>
          <cell r="D9281" t="str">
            <v>Seguros Personales (No Vida) Particular</v>
          </cell>
          <cell r="G9281" t="str">
            <v>Presupuesto</v>
          </cell>
        </row>
        <row r="9282">
          <cell r="A9282" t="str">
            <v>PG</v>
          </cell>
          <cell r="B9282">
            <v>202509</v>
          </cell>
          <cell r="D9282" t="str">
            <v>Seguros Personales (No Vida) Particular</v>
          </cell>
          <cell r="G9282" t="str">
            <v>Real</v>
          </cell>
        </row>
        <row r="9283">
          <cell r="A9283" t="str">
            <v>PG</v>
          </cell>
          <cell r="B9283">
            <v>202509</v>
          </cell>
          <cell r="D9283" t="str">
            <v>Transporte</v>
          </cell>
          <cell r="G9283" t="str">
            <v>Presupuesto</v>
          </cell>
        </row>
        <row r="9284">
          <cell r="A9284" t="str">
            <v>PG</v>
          </cell>
          <cell r="B9284">
            <v>202509</v>
          </cell>
          <cell r="D9284" t="str">
            <v>Transporte</v>
          </cell>
          <cell r="G9284" t="str">
            <v>Real</v>
          </cell>
        </row>
        <row r="9285">
          <cell r="A9285" t="str">
            <v>PG</v>
          </cell>
          <cell r="B9285">
            <v>202509</v>
          </cell>
          <cell r="D9285" t="str">
            <v>Venta Cruzada</v>
          </cell>
          <cell r="G9285" t="str">
            <v>Presupuesto</v>
          </cell>
        </row>
        <row r="9286">
          <cell r="A9286" t="str">
            <v>PG</v>
          </cell>
          <cell r="B9286">
            <v>202509</v>
          </cell>
          <cell r="D9286" t="str">
            <v>Vida Ahorro Colectivo</v>
          </cell>
          <cell r="G9286" t="str">
            <v>Presupuesto</v>
          </cell>
        </row>
        <row r="9287">
          <cell r="A9287" t="str">
            <v>PG</v>
          </cell>
          <cell r="B9287">
            <v>202509</v>
          </cell>
          <cell r="D9287" t="str">
            <v>Vida Ahorro Particular</v>
          </cell>
          <cell r="G9287" t="str">
            <v>Presupuesto</v>
          </cell>
        </row>
        <row r="9288">
          <cell r="A9288" t="str">
            <v>PG</v>
          </cell>
          <cell r="B9288">
            <v>202509</v>
          </cell>
          <cell r="D9288" t="str">
            <v>Vida Ahorro Particular</v>
          </cell>
          <cell r="G9288" t="str">
            <v>Real</v>
          </cell>
        </row>
        <row r="9289">
          <cell r="A9289" t="str">
            <v>PG</v>
          </cell>
          <cell r="B9289">
            <v>202509</v>
          </cell>
          <cell r="D9289" t="str">
            <v>Vida Ganado</v>
          </cell>
          <cell r="G9289" t="str">
            <v>Presupuesto</v>
          </cell>
        </row>
        <row r="9290">
          <cell r="A9290" t="str">
            <v>PG</v>
          </cell>
          <cell r="B9290">
            <v>202509</v>
          </cell>
          <cell r="D9290" t="str">
            <v>Vida Riesgo Colectivo</v>
          </cell>
          <cell r="G9290" t="str">
            <v>Presupuesto</v>
          </cell>
        </row>
        <row r="9291">
          <cell r="A9291" t="str">
            <v>PG</v>
          </cell>
          <cell r="B9291">
            <v>202509</v>
          </cell>
          <cell r="D9291" t="str">
            <v>Vida Riesgo Colectivo</v>
          </cell>
          <cell r="G9291" t="str">
            <v>Real</v>
          </cell>
        </row>
        <row r="9292">
          <cell r="A9292" t="str">
            <v>PG</v>
          </cell>
          <cell r="B9292">
            <v>202509</v>
          </cell>
          <cell r="D9292" t="str">
            <v>Vida Riesgo Particular</v>
          </cell>
          <cell r="G9292" t="str">
            <v>Presupuesto</v>
          </cell>
        </row>
        <row r="9293">
          <cell r="A9293" t="str">
            <v>PG</v>
          </cell>
          <cell r="B9293">
            <v>202509</v>
          </cell>
          <cell r="D9293" t="str">
            <v>Vida Riesgo Particular</v>
          </cell>
          <cell r="G9293" t="str">
            <v>Real</v>
          </cell>
        </row>
        <row r="9294">
          <cell r="A9294" t="str">
            <v>PG</v>
          </cell>
          <cell r="B9294">
            <v>202510</v>
          </cell>
          <cell r="D9294" t="str">
            <v>--</v>
          </cell>
          <cell r="G9294" t="str">
            <v>Presupuesto</v>
          </cell>
        </row>
        <row r="9295">
          <cell r="A9295" t="str">
            <v>PG</v>
          </cell>
          <cell r="B9295">
            <v>202510</v>
          </cell>
          <cell r="D9295" t="str">
            <v>--</v>
          </cell>
          <cell r="G9295" t="str">
            <v>Real</v>
          </cell>
        </row>
        <row r="9296">
          <cell r="A9296" t="str">
            <v>PG</v>
          </cell>
          <cell r="B9296">
            <v>202510</v>
          </cell>
          <cell r="D9296" t="str">
            <v>Resto de Lineas</v>
          </cell>
          <cell r="G9296" t="str">
            <v>Real</v>
          </cell>
        </row>
        <row r="9297">
          <cell r="A9297" t="str">
            <v>PG</v>
          </cell>
          <cell r="B9297">
            <v>202510</v>
          </cell>
          <cell r="D9297" t="str">
            <v>Arte</v>
          </cell>
          <cell r="G9297" t="str">
            <v>Presupuesto</v>
          </cell>
        </row>
        <row r="9298">
          <cell r="A9298" t="str">
            <v>PG</v>
          </cell>
          <cell r="B9298">
            <v>202510</v>
          </cell>
          <cell r="D9298" t="str">
            <v>Autos</v>
          </cell>
          <cell r="G9298" t="str">
            <v>Presupuesto</v>
          </cell>
        </row>
        <row r="9299">
          <cell r="A9299" t="str">
            <v>PG</v>
          </cell>
          <cell r="B9299">
            <v>202510</v>
          </cell>
          <cell r="D9299" t="str">
            <v>Autos</v>
          </cell>
          <cell r="G9299" t="str">
            <v>Real</v>
          </cell>
        </row>
        <row r="9300">
          <cell r="A9300" t="str">
            <v>PG</v>
          </cell>
          <cell r="B9300">
            <v>202510</v>
          </cell>
          <cell r="D9300" t="str">
            <v>B2B2C</v>
          </cell>
          <cell r="G9300" t="str">
            <v>Presupuesto</v>
          </cell>
        </row>
        <row r="9301">
          <cell r="A9301" t="str">
            <v>PG</v>
          </cell>
          <cell r="B9301">
            <v>202510</v>
          </cell>
          <cell r="D9301" t="str">
            <v>Caución</v>
          </cell>
          <cell r="G9301" t="str">
            <v>Presupuesto</v>
          </cell>
        </row>
        <row r="9302">
          <cell r="A9302" t="str">
            <v>PG</v>
          </cell>
          <cell r="B9302">
            <v>202510</v>
          </cell>
          <cell r="D9302" t="str">
            <v>Crédito Nacional</v>
          </cell>
          <cell r="G9302" t="str">
            <v>Real</v>
          </cell>
        </row>
        <row r="9303">
          <cell r="A9303" t="str">
            <v>PG</v>
          </cell>
          <cell r="B9303">
            <v>202510</v>
          </cell>
          <cell r="D9303" t="str">
            <v>Crédito Internacional</v>
          </cell>
          <cell r="G9303" t="str">
            <v>Presupuesto</v>
          </cell>
        </row>
        <row r="9304">
          <cell r="A9304" t="str">
            <v>PG</v>
          </cell>
          <cell r="B9304">
            <v>202510</v>
          </cell>
          <cell r="D9304" t="str">
            <v>Crédito Nacional</v>
          </cell>
          <cell r="G9304" t="str">
            <v>Presupuesto</v>
          </cell>
        </row>
        <row r="9305">
          <cell r="A9305" t="str">
            <v>PG</v>
          </cell>
          <cell r="B9305">
            <v>202510</v>
          </cell>
          <cell r="D9305" t="str">
            <v>Eventos</v>
          </cell>
          <cell r="G9305" t="str">
            <v>Presupuesto</v>
          </cell>
        </row>
        <row r="9306">
          <cell r="A9306" t="str">
            <v>PG</v>
          </cell>
          <cell r="B9306">
            <v>202510</v>
          </cell>
          <cell r="D9306" t="str">
            <v>Flotas</v>
          </cell>
          <cell r="G9306" t="str">
            <v>Presupuesto</v>
          </cell>
        </row>
        <row r="9307">
          <cell r="A9307" t="str">
            <v>PG</v>
          </cell>
          <cell r="B9307">
            <v>202510</v>
          </cell>
          <cell r="D9307" t="str">
            <v>Flotas</v>
          </cell>
          <cell r="G9307" t="str">
            <v>Real</v>
          </cell>
        </row>
        <row r="9308">
          <cell r="A9308" t="str">
            <v>PG</v>
          </cell>
          <cell r="B9308">
            <v>202510</v>
          </cell>
          <cell r="D9308" t="str">
            <v>Hogar</v>
          </cell>
          <cell r="G9308" t="str">
            <v>Presupuesto</v>
          </cell>
        </row>
        <row r="9309">
          <cell r="A9309" t="str">
            <v>PG</v>
          </cell>
          <cell r="B9309">
            <v>202510</v>
          </cell>
          <cell r="D9309" t="str">
            <v>Hogar</v>
          </cell>
          <cell r="G9309" t="str">
            <v>Real</v>
          </cell>
        </row>
        <row r="9310">
          <cell r="A9310" t="str">
            <v>PG</v>
          </cell>
          <cell r="B9310">
            <v>202510</v>
          </cell>
          <cell r="D9310" t="str">
            <v>Ingeniería</v>
          </cell>
          <cell r="G9310" t="str">
            <v>Presupuesto</v>
          </cell>
        </row>
        <row r="9311">
          <cell r="A9311" t="str">
            <v>PG</v>
          </cell>
          <cell r="B9311">
            <v>202510</v>
          </cell>
          <cell r="D9311" t="str">
            <v>Ingeniería</v>
          </cell>
          <cell r="G9311" t="str">
            <v>Real</v>
          </cell>
        </row>
        <row r="9312">
          <cell r="A9312" t="str">
            <v>PG</v>
          </cell>
          <cell r="B9312">
            <v>202510</v>
          </cell>
          <cell r="D9312" t="str">
            <v>Inmobiliario</v>
          </cell>
          <cell r="G9312" t="str">
            <v>Presupuesto</v>
          </cell>
        </row>
        <row r="9313">
          <cell r="A9313" t="str">
            <v>PG</v>
          </cell>
          <cell r="B9313">
            <v>202510</v>
          </cell>
          <cell r="D9313" t="str">
            <v>Inmobiliario</v>
          </cell>
          <cell r="G9313" t="str">
            <v>Real</v>
          </cell>
        </row>
        <row r="9314">
          <cell r="A9314" t="str">
            <v>PG</v>
          </cell>
          <cell r="B9314">
            <v>202510</v>
          </cell>
          <cell r="D9314" t="str">
            <v>Líneas Financieras</v>
          </cell>
          <cell r="G9314" t="str">
            <v>Presupuesto</v>
          </cell>
        </row>
        <row r="9315">
          <cell r="A9315" t="str">
            <v>PG</v>
          </cell>
          <cell r="B9315">
            <v>202510</v>
          </cell>
          <cell r="D9315" t="str">
            <v>Líneas Financieras</v>
          </cell>
          <cell r="G9315" t="str">
            <v>Real</v>
          </cell>
        </row>
        <row r="9316">
          <cell r="A9316" t="str">
            <v>PG</v>
          </cell>
          <cell r="B9316">
            <v>202510</v>
          </cell>
          <cell r="D9316" t="str">
            <v>Náutica</v>
          </cell>
          <cell r="G9316" t="str">
            <v>Presupuesto</v>
          </cell>
        </row>
        <row r="9317">
          <cell r="A9317" t="str">
            <v>PG</v>
          </cell>
          <cell r="B9317">
            <v>202510</v>
          </cell>
          <cell r="D9317" t="str">
            <v>Náutica</v>
          </cell>
          <cell r="G9317" t="str">
            <v>Real</v>
          </cell>
        </row>
        <row r="9318">
          <cell r="A9318" t="str">
            <v>PG</v>
          </cell>
          <cell r="B9318">
            <v>202510</v>
          </cell>
          <cell r="D9318" t="str">
            <v>Particulares Resto</v>
          </cell>
          <cell r="G9318" t="str">
            <v>Presupuesto</v>
          </cell>
        </row>
        <row r="9319">
          <cell r="A9319" t="str">
            <v>PG</v>
          </cell>
          <cell r="B9319">
            <v>202510</v>
          </cell>
          <cell r="D9319" t="str">
            <v>Particulares Resto</v>
          </cell>
          <cell r="G9319" t="str">
            <v>Real</v>
          </cell>
        </row>
        <row r="9320">
          <cell r="A9320" t="str">
            <v>PG</v>
          </cell>
          <cell r="B9320">
            <v>202510</v>
          </cell>
          <cell r="D9320" t="str">
            <v>Property</v>
          </cell>
          <cell r="G9320" t="str">
            <v>Presupuesto</v>
          </cell>
        </row>
        <row r="9321">
          <cell r="A9321" t="str">
            <v>PG</v>
          </cell>
          <cell r="B9321">
            <v>202510</v>
          </cell>
          <cell r="D9321" t="str">
            <v>Property</v>
          </cell>
          <cell r="G9321" t="str">
            <v>Real</v>
          </cell>
        </row>
        <row r="9322">
          <cell r="A9322" t="str">
            <v>PG</v>
          </cell>
          <cell r="B9322">
            <v>202510</v>
          </cell>
          <cell r="D9322" t="str">
            <v>RC</v>
          </cell>
          <cell r="G9322" t="str">
            <v>Presupuesto</v>
          </cell>
        </row>
        <row r="9323">
          <cell r="A9323" t="str">
            <v>PG</v>
          </cell>
          <cell r="B9323">
            <v>202510</v>
          </cell>
          <cell r="D9323" t="str">
            <v>RC</v>
          </cell>
          <cell r="G9323" t="str">
            <v>Real</v>
          </cell>
        </row>
        <row r="9324">
          <cell r="A9324" t="str">
            <v>PG</v>
          </cell>
          <cell r="B9324">
            <v>202510</v>
          </cell>
          <cell r="D9324" t="str">
            <v>Resto de lineas</v>
          </cell>
          <cell r="G9324" t="str">
            <v>Presupuesto</v>
          </cell>
        </row>
        <row r="9325">
          <cell r="A9325" t="str">
            <v>PG</v>
          </cell>
          <cell r="B9325">
            <v>202510</v>
          </cell>
          <cell r="D9325" t="str">
            <v>Retirada</v>
          </cell>
          <cell r="G9325" t="str">
            <v>Presupuesto</v>
          </cell>
        </row>
        <row r="9326">
          <cell r="A9326" t="str">
            <v>PG</v>
          </cell>
          <cell r="B9326">
            <v>202510</v>
          </cell>
          <cell r="D9326" t="str">
            <v>Seguros Personales (No Vida) Colectivos</v>
          </cell>
          <cell r="G9326" t="str">
            <v>Presupuesto</v>
          </cell>
        </row>
        <row r="9327">
          <cell r="A9327" t="str">
            <v>PG</v>
          </cell>
          <cell r="B9327">
            <v>202510</v>
          </cell>
          <cell r="D9327" t="str">
            <v>Seguros Personales (No Vida) Colectivos</v>
          </cell>
          <cell r="G9327" t="str">
            <v>Real</v>
          </cell>
        </row>
        <row r="9328">
          <cell r="A9328" t="str">
            <v>PG</v>
          </cell>
          <cell r="B9328">
            <v>202510</v>
          </cell>
          <cell r="D9328" t="str">
            <v>Seguros Personales (No Vida) Particular</v>
          </cell>
          <cell r="G9328" t="str">
            <v>Presupuesto</v>
          </cell>
        </row>
        <row r="9329">
          <cell r="A9329" t="str">
            <v>PG</v>
          </cell>
          <cell r="B9329">
            <v>202510</v>
          </cell>
          <cell r="D9329" t="str">
            <v>Seguros Personales (No Vida) Particular</v>
          </cell>
          <cell r="G9329" t="str">
            <v>Real</v>
          </cell>
        </row>
        <row r="9330">
          <cell r="A9330" t="str">
            <v>PG</v>
          </cell>
          <cell r="B9330">
            <v>202510</v>
          </cell>
          <cell r="D9330" t="str">
            <v>Transporte</v>
          </cell>
          <cell r="G9330" t="str">
            <v>Presupuesto</v>
          </cell>
        </row>
        <row r="9331">
          <cell r="A9331" t="str">
            <v>PG</v>
          </cell>
          <cell r="B9331">
            <v>202510</v>
          </cell>
          <cell r="D9331" t="str">
            <v>Transporte</v>
          </cell>
          <cell r="G9331" t="str">
            <v>Real</v>
          </cell>
        </row>
        <row r="9332">
          <cell r="A9332" t="str">
            <v>PG</v>
          </cell>
          <cell r="B9332">
            <v>202510</v>
          </cell>
          <cell r="D9332" t="str">
            <v>Venta Cruzada</v>
          </cell>
          <cell r="G9332" t="str">
            <v>Presupuesto</v>
          </cell>
        </row>
        <row r="9333">
          <cell r="A9333" t="str">
            <v>PG</v>
          </cell>
          <cell r="B9333">
            <v>202510</v>
          </cell>
          <cell r="D9333" t="str">
            <v>Vida Ahorro Colectivo</v>
          </cell>
          <cell r="G9333" t="str">
            <v>Presupuesto</v>
          </cell>
        </row>
        <row r="9334">
          <cell r="A9334" t="str">
            <v>PG</v>
          </cell>
          <cell r="B9334">
            <v>202510</v>
          </cell>
          <cell r="D9334" t="str">
            <v>Vida Ahorro Particular</v>
          </cell>
          <cell r="G9334" t="str">
            <v>Presupuesto</v>
          </cell>
        </row>
        <row r="9335">
          <cell r="A9335" t="str">
            <v>PG</v>
          </cell>
          <cell r="B9335">
            <v>202510</v>
          </cell>
          <cell r="D9335" t="str">
            <v>Vida Ahorro Particular</v>
          </cell>
          <cell r="G9335" t="str">
            <v>Real</v>
          </cell>
        </row>
        <row r="9336">
          <cell r="A9336" t="str">
            <v>PG</v>
          </cell>
          <cell r="B9336">
            <v>202510</v>
          </cell>
          <cell r="D9336" t="str">
            <v>Vida Ganado</v>
          </cell>
          <cell r="G9336" t="str">
            <v>Presupuesto</v>
          </cell>
        </row>
        <row r="9337">
          <cell r="A9337" t="str">
            <v>PG</v>
          </cell>
          <cell r="B9337">
            <v>202510</v>
          </cell>
          <cell r="D9337" t="str">
            <v>Vida Riesgo Colectivo</v>
          </cell>
          <cell r="G9337" t="str">
            <v>Presupuesto</v>
          </cell>
        </row>
        <row r="9338">
          <cell r="A9338" t="str">
            <v>PG</v>
          </cell>
          <cell r="B9338">
            <v>202510</v>
          </cell>
          <cell r="D9338" t="str">
            <v>Vida Riesgo Colectivo</v>
          </cell>
          <cell r="G9338" t="str">
            <v>Real</v>
          </cell>
        </row>
        <row r="9339">
          <cell r="A9339" t="str">
            <v>PG</v>
          </cell>
          <cell r="B9339">
            <v>202510</v>
          </cell>
          <cell r="D9339" t="str">
            <v>Vida Riesgo Particular</v>
          </cell>
          <cell r="G9339" t="str">
            <v>Presupuesto</v>
          </cell>
        </row>
        <row r="9340">
          <cell r="A9340" t="str">
            <v>PG</v>
          </cell>
          <cell r="B9340">
            <v>202510</v>
          </cell>
          <cell r="D9340" t="str">
            <v>Vida Riesgo Particular</v>
          </cell>
          <cell r="G9340" t="str">
            <v>Real</v>
          </cell>
        </row>
        <row r="9341">
          <cell r="A9341" t="str">
            <v>PG</v>
          </cell>
          <cell r="B9341">
            <v>202511</v>
          </cell>
          <cell r="D9341" t="str">
            <v>--</v>
          </cell>
          <cell r="G9341" t="str">
            <v>Presupuesto</v>
          </cell>
        </row>
        <row r="9342">
          <cell r="A9342" t="str">
            <v>PG</v>
          </cell>
          <cell r="B9342">
            <v>202511</v>
          </cell>
          <cell r="D9342" t="str">
            <v>--</v>
          </cell>
          <cell r="G9342" t="str">
            <v>Real</v>
          </cell>
        </row>
        <row r="9343">
          <cell r="A9343" t="str">
            <v>PG</v>
          </cell>
          <cell r="B9343">
            <v>202511</v>
          </cell>
          <cell r="D9343" t="str">
            <v>Resto de Lineas</v>
          </cell>
          <cell r="G9343" t="str">
            <v>Real</v>
          </cell>
        </row>
        <row r="9344">
          <cell r="A9344" t="str">
            <v>PG</v>
          </cell>
          <cell r="B9344">
            <v>202511</v>
          </cell>
          <cell r="D9344" t="str">
            <v>Arte</v>
          </cell>
          <cell r="G9344" t="str">
            <v>Presupuesto</v>
          </cell>
        </row>
        <row r="9345">
          <cell r="A9345" t="str">
            <v>PG</v>
          </cell>
          <cell r="B9345">
            <v>202511</v>
          </cell>
          <cell r="D9345" t="str">
            <v>Autos</v>
          </cell>
          <cell r="G9345" t="str">
            <v>Presupuesto</v>
          </cell>
        </row>
        <row r="9346">
          <cell r="A9346" t="str">
            <v>PG</v>
          </cell>
          <cell r="B9346">
            <v>202511</v>
          </cell>
          <cell r="D9346" t="str">
            <v>Autos</v>
          </cell>
          <cell r="G9346" t="str">
            <v>Real</v>
          </cell>
        </row>
        <row r="9347">
          <cell r="A9347" t="str">
            <v>PG</v>
          </cell>
          <cell r="B9347">
            <v>202511</v>
          </cell>
          <cell r="D9347" t="str">
            <v>B2B2C</v>
          </cell>
          <cell r="G9347" t="str">
            <v>Presupuesto</v>
          </cell>
        </row>
        <row r="9348">
          <cell r="A9348" t="str">
            <v>PG</v>
          </cell>
          <cell r="B9348">
            <v>202511</v>
          </cell>
          <cell r="D9348" t="str">
            <v>Caución</v>
          </cell>
          <cell r="G9348" t="str">
            <v>Presupuesto</v>
          </cell>
        </row>
        <row r="9349">
          <cell r="A9349" t="str">
            <v>PG</v>
          </cell>
          <cell r="B9349">
            <v>202511</v>
          </cell>
          <cell r="D9349" t="str">
            <v>Crédito Nacional</v>
          </cell>
          <cell r="G9349" t="str">
            <v>Real</v>
          </cell>
        </row>
        <row r="9350">
          <cell r="A9350" t="str">
            <v>PG</v>
          </cell>
          <cell r="B9350">
            <v>202511</v>
          </cell>
          <cell r="D9350" t="str">
            <v>Crédito Internacional</v>
          </cell>
          <cell r="G9350" t="str">
            <v>Presupuesto</v>
          </cell>
        </row>
        <row r="9351">
          <cell r="A9351" t="str">
            <v>PG</v>
          </cell>
          <cell r="B9351">
            <v>202511</v>
          </cell>
          <cell r="D9351" t="str">
            <v>Crédito Nacional</v>
          </cell>
          <cell r="G9351" t="str">
            <v>Presupuesto</v>
          </cell>
        </row>
        <row r="9352">
          <cell r="A9352" t="str">
            <v>PG</v>
          </cell>
          <cell r="B9352">
            <v>202511</v>
          </cell>
          <cell r="D9352" t="str">
            <v>Eventos</v>
          </cell>
          <cell r="G9352" t="str">
            <v>Presupuesto</v>
          </cell>
        </row>
        <row r="9353">
          <cell r="A9353" t="str">
            <v>PG</v>
          </cell>
          <cell r="B9353">
            <v>202511</v>
          </cell>
          <cell r="D9353" t="str">
            <v>Flotas</v>
          </cell>
          <cell r="G9353" t="str">
            <v>Presupuesto</v>
          </cell>
        </row>
        <row r="9354">
          <cell r="A9354" t="str">
            <v>PG</v>
          </cell>
          <cell r="B9354">
            <v>202511</v>
          </cell>
          <cell r="D9354" t="str">
            <v>Flotas</v>
          </cell>
          <cell r="G9354" t="str">
            <v>Real</v>
          </cell>
        </row>
        <row r="9355">
          <cell r="A9355" t="str">
            <v>PG</v>
          </cell>
          <cell r="B9355">
            <v>202511</v>
          </cell>
          <cell r="D9355" t="str">
            <v>Hogar</v>
          </cell>
          <cell r="G9355" t="str">
            <v>Presupuesto</v>
          </cell>
        </row>
        <row r="9356">
          <cell r="A9356" t="str">
            <v>PG</v>
          </cell>
          <cell r="B9356">
            <v>202511</v>
          </cell>
          <cell r="D9356" t="str">
            <v>Hogar</v>
          </cell>
          <cell r="G9356" t="str">
            <v>Real</v>
          </cell>
        </row>
        <row r="9357">
          <cell r="A9357" t="str">
            <v>PG</v>
          </cell>
          <cell r="B9357">
            <v>202511</v>
          </cell>
          <cell r="D9357" t="str">
            <v>Ingeniería</v>
          </cell>
          <cell r="G9357" t="str">
            <v>Presupuesto</v>
          </cell>
        </row>
        <row r="9358">
          <cell r="A9358" t="str">
            <v>PG</v>
          </cell>
          <cell r="B9358">
            <v>202511</v>
          </cell>
          <cell r="D9358" t="str">
            <v>Ingeniería</v>
          </cell>
          <cell r="G9358" t="str">
            <v>Real</v>
          </cell>
        </row>
        <row r="9359">
          <cell r="A9359" t="str">
            <v>PG</v>
          </cell>
          <cell r="B9359">
            <v>202511</v>
          </cell>
          <cell r="D9359" t="str">
            <v>Inmobiliario</v>
          </cell>
          <cell r="G9359" t="str">
            <v>Presupuesto</v>
          </cell>
        </row>
        <row r="9360">
          <cell r="A9360" t="str">
            <v>PG</v>
          </cell>
          <cell r="B9360">
            <v>202511</v>
          </cell>
          <cell r="D9360" t="str">
            <v>Inmobiliario</v>
          </cell>
          <cell r="G9360" t="str">
            <v>Real</v>
          </cell>
        </row>
        <row r="9361">
          <cell r="A9361" t="str">
            <v>PG</v>
          </cell>
          <cell r="B9361">
            <v>202511</v>
          </cell>
          <cell r="D9361" t="str">
            <v>Líneas Financieras</v>
          </cell>
          <cell r="G9361" t="str">
            <v>Presupuesto</v>
          </cell>
        </row>
        <row r="9362">
          <cell r="A9362" t="str">
            <v>PG</v>
          </cell>
          <cell r="B9362">
            <v>202511</v>
          </cell>
          <cell r="D9362" t="str">
            <v>Líneas Financieras</v>
          </cell>
          <cell r="G9362" t="str">
            <v>Real</v>
          </cell>
        </row>
        <row r="9363">
          <cell r="A9363" t="str">
            <v>PG</v>
          </cell>
          <cell r="B9363">
            <v>202511</v>
          </cell>
          <cell r="D9363" t="str">
            <v>Náutica</v>
          </cell>
          <cell r="G9363" t="str">
            <v>Presupuesto</v>
          </cell>
        </row>
        <row r="9364">
          <cell r="A9364" t="str">
            <v>PG</v>
          </cell>
          <cell r="B9364">
            <v>202511</v>
          </cell>
          <cell r="D9364" t="str">
            <v>Náutica</v>
          </cell>
          <cell r="G9364" t="str">
            <v>Real</v>
          </cell>
        </row>
        <row r="9365">
          <cell r="A9365" t="str">
            <v>PG</v>
          </cell>
          <cell r="B9365">
            <v>202511</v>
          </cell>
          <cell r="D9365" t="str">
            <v>Particulares Resto</v>
          </cell>
          <cell r="G9365" t="str">
            <v>Presupuesto</v>
          </cell>
        </row>
        <row r="9366">
          <cell r="A9366" t="str">
            <v>PG</v>
          </cell>
          <cell r="B9366">
            <v>202511</v>
          </cell>
          <cell r="D9366" t="str">
            <v>Particulares Resto</v>
          </cell>
          <cell r="G9366" t="str">
            <v>Real</v>
          </cell>
        </row>
        <row r="9367">
          <cell r="A9367" t="str">
            <v>PG</v>
          </cell>
          <cell r="B9367">
            <v>202511</v>
          </cell>
          <cell r="D9367" t="str">
            <v>Property</v>
          </cell>
          <cell r="G9367" t="str">
            <v>Presupuesto</v>
          </cell>
        </row>
        <row r="9368">
          <cell r="A9368" t="str">
            <v>PG</v>
          </cell>
          <cell r="B9368">
            <v>202511</v>
          </cell>
          <cell r="D9368" t="str">
            <v>Property</v>
          </cell>
          <cell r="G9368" t="str">
            <v>Real</v>
          </cell>
        </row>
        <row r="9369">
          <cell r="A9369" t="str">
            <v>PG</v>
          </cell>
          <cell r="B9369">
            <v>202511</v>
          </cell>
          <cell r="D9369" t="str">
            <v>RC</v>
          </cell>
          <cell r="G9369" t="str">
            <v>Presupuesto</v>
          </cell>
        </row>
        <row r="9370">
          <cell r="A9370" t="str">
            <v>PG</v>
          </cell>
          <cell r="B9370">
            <v>202511</v>
          </cell>
          <cell r="D9370" t="str">
            <v>RC</v>
          </cell>
          <cell r="G9370" t="str">
            <v>Real</v>
          </cell>
        </row>
        <row r="9371">
          <cell r="A9371" t="str">
            <v>PG</v>
          </cell>
          <cell r="B9371">
            <v>202511</v>
          </cell>
          <cell r="D9371" t="str">
            <v>Resto de lineas</v>
          </cell>
          <cell r="G9371" t="str">
            <v>Presupuesto</v>
          </cell>
        </row>
        <row r="9372">
          <cell r="A9372" t="str">
            <v>PG</v>
          </cell>
          <cell r="B9372">
            <v>202511</v>
          </cell>
          <cell r="D9372" t="str">
            <v>Retirada</v>
          </cell>
          <cell r="G9372" t="str">
            <v>Presupuesto</v>
          </cell>
        </row>
        <row r="9373">
          <cell r="A9373" t="str">
            <v>PG</v>
          </cell>
          <cell r="B9373">
            <v>202511</v>
          </cell>
          <cell r="D9373" t="str">
            <v>Seguros Personales (No Vida) Colectivos</v>
          </cell>
          <cell r="G9373" t="str">
            <v>Presupuesto</v>
          </cell>
        </row>
        <row r="9374">
          <cell r="A9374" t="str">
            <v>PG</v>
          </cell>
          <cell r="B9374">
            <v>202511</v>
          </cell>
          <cell r="D9374" t="str">
            <v>Seguros Personales (No Vida) Colectivos</v>
          </cell>
          <cell r="G9374" t="str">
            <v>Real</v>
          </cell>
        </row>
        <row r="9375">
          <cell r="A9375" t="str">
            <v>PG</v>
          </cell>
          <cell r="B9375">
            <v>202511</v>
          </cell>
          <cell r="D9375" t="str">
            <v>Seguros Personales (No Vida) Particular</v>
          </cell>
          <cell r="G9375" t="str">
            <v>Presupuesto</v>
          </cell>
        </row>
        <row r="9376">
          <cell r="A9376" t="str">
            <v>PG</v>
          </cell>
          <cell r="B9376">
            <v>202511</v>
          </cell>
          <cell r="D9376" t="str">
            <v>Seguros Personales (No Vida) Particular</v>
          </cell>
          <cell r="G9376" t="str">
            <v>Real</v>
          </cell>
        </row>
        <row r="9377">
          <cell r="A9377" t="str">
            <v>PG</v>
          </cell>
          <cell r="B9377">
            <v>202511</v>
          </cell>
          <cell r="D9377" t="str">
            <v>Transporte</v>
          </cell>
          <cell r="G9377" t="str">
            <v>Presupuesto</v>
          </cell>
        </row>
        <row r="9378">
          <cell r="A9378" t="str">
            <v>PG</v>
          </cell>
          <cell r="B9378">
            <v>202511</v>
          </cell>
          <cell r="D9378" t="str">
            <v>Transporte</v>
          </cell>
          <cell r="G9378" t="str">
            <v>Real</v>
          </cell>
        </row>
        <row r="9379">
          <cell r="A9379" t="str">
            <v>PG</v>
          </cell>
          <cell r="B9379">
            <v>202511</v>
          </cell>
          <cell r="D9379" t="str">
            <v>Venta Cruzada</v>
          </cell>
          <cell r="G9379" t="str">
            <v>Presupuesto</v>
          </cell>
        </row>
        <row r="9380">
          <cell r="A9380" t="str">
            <v>PG</v>
          </cell>
          <cell r="B9380">
            <v>202511</v>
          </cell>
          <cell r="D9380" t="str">
            <v>Vida Ahorro Colectivo</v>
          </cell>
          <cell r="G9380" t="str">
            <v>Presupuesto</v>
          </cell>
        </row>
        <row r="9381">
          <cell r="A9381" t="str">
            <v>PG</v>
          </cell>
          <cell r="B9381">
            <v>202511</v>
          </cell>
          <cell r="D9381" t="str">
            <v>Vida Ahorro Particular</v>
          </cell>
          <cell r="G9381" t="str">
            <v>Presupuesto</v>
          </cell>
        </row>
        <row r="9382">
          <cell r="A9382" t="str">
            <v>PG</v>
          </cell>
          <cell r="B9382">
            <v>202511</v>
          </cell>
          <cell r="D9382" t="str">
            <v>Vida Ahorro Particular</v>
          </cell>
          <cell r="G9382" t="str">
            <v>Real</v>
          </cell>
        </row>
        <row r="9383">
          <cell r="A9383" t="str">
            <v>PG</v>
          </cell>
          <cell r="B9383">
            <v>202511</v>
          </cell>
          <cell r="D9383" t="str">
            <v>Vida Ganado</v>
          </cell>
          <cell r="G9383" t="str">
            <v>Presupuesto</v>
          </cell>
        </row>
        <row r="9384">
          <cell r="A9384" t="str">
            <v>PG</v>
          </cell>
          <cell r="B9384">
            <v>202511</v>
          </cell>
          <cell r="D9384" t="str">
            <v>Vida Riesgo Colectivo</v>
          </cell>
          <cell r="G9384" t="str">
            <v>Presupuesto</v>
          </cell>
        </row>
        <row r="9385">
          <cell r="A9385" t="str">
            <v>PG</v>
          </cell>
          <cell r="B9385">
            <v>202511</v>
          </cell>
          <cell r="D9385" t="str">
            <v>Vida Riesgo Colectivo</v>
          </cell>
          <cell r="G9385" t="str">
            <v>Real</v>
          </cell>
        </row>
        <row r="9386">
          <cell r="A9386" t="str">
            <v>PG</v>
          </cell>
          <cell r="B9386">
            <v>202511</v>
          </cell>
          <cell r="D9386" t="str">
            <v>Vida Riesgo Particular</v>
          </cell>
          <cell r="G9386" t="str">
            <v>Presupuesto</v>
          </cell>
        </row>
        <row r="9387">
          <cell r="A9387" t="str">
            <v>PG</v>
          </cell>
          <cell r="B9387">
            <v>202511</v>
          </cell>
          <cell r="D9387" t="str">
            <v>Vida Riesgo Particular</v>
          </cell>
          <cell r="G9387" t="str">
            <v>Real</v>
          </cell>
        </row>
        <row r="9388">
          <cell r="A9388" t="str">
            <v>PG</v>
          </cell>
          <cell r="B9388">
            <v>202512</v>
          </cell>
          <cell r="D9388" t="str">
            <v>--</v>
          </cell>
          <cell r="G9388" t="str">
            <v>Presupuesto</v>
          </cell>
        </row>
        <row r="9389">
          <cell r="A9389" t="str">
            <v>PG</v>
          </cell>
          <cell r="B9389">
            <v>202512</v>
          </cell>
          <cell r="D9389" t="str">
            <v>--</v>
          </cell>
          <cell r="G9389" t="str">
            <v>Real</v>
          </cell>
        </row>
        <row r="9390">
          <cell r="A9390" t="str">
            <v>PG</v>
          </cell>
          <cell r="B9390">
            <v>202512</v>
          </cell>
          <cell r="D9390" t="str">
            <v>Resto de Lineas</v>
          </cell>
          <cell r="G9390" t="str">
            <v>Real</v>
          </cell>
        </row>
        <row r="9391">
          <cell r="A9391" t="str">
            <v>PG</v>
          </cell>
          <cell r="B9391">
            <v>202512</v>
          </cell>
          <cell r="D9391" t="str">
            <v>Arte</v>
          </cell>
          <cell r="G9391" t="str">
            <v>Presupuesto</v>
          </cell>
        </row>
        <row r="9392">
          <cell r="A9392" t="str">
            <v>PG</v>
          </cell>
          <cell r="B9392">
            <v>202512</v>
          </cell>
          <cell r="D9392" t="str">
            <v>Autos</v>
          </cell>
          <cell r="G9392" t="str">
            <v>Presupuesto</v>
          </cell>
        </row>
        <row r="9393">
          <cell r="A9393" t="str">
            <v>PG</v>
          </cell>
          <cell r="B9393">
            <v>202512</v>
          </cell>
          <cell r="D9393" t="str">
            <v>Autos</v>
          </cell>
          <cell r="G9393" t="str">
            <v>Real</v>
          </cell>
        </row>
        <row r="9394">
          <cell r="A9394" t="str">
            <v>PG</v>
          </cell>
          <cell r="B9394">
            <v>202512</v>
          </cell>
          <cell r="D9394" t="str">
            <v>B2B2C</v>
          </cell>
          <cell r="G9394" t="str">
            <v>Presupuesto</v>
          </cell>
        </row>
        <row r="9395">
          <cell r="A9395" t="str">
            <v>PG</v>
          </cell>
          <cell r="B9395">
            <v>202512</v>
          </cell>
          <cell r="D9395" t="str">
            <v>Caución</v>
          </cell>
          <cell r="G9395" t="str">
            <v>Presupuesto</v>
          </cell>
        </row>
        <row r="9396">
          <cell r="A9396" t="str">
            <v>PG</v>
          </cell>
          <cell r="B9396">
            <v>202512</v>
          </cell>
          <cell r="D9396" t="str">
            <v>Crédito Nacional</v>
          </cell>
          <cell r="G9396" t="str">
            <v>Real</v>
          </cell>
        </row>
        <row r="9397">
          <cell r="A9397" t="str">
            <v>PG</v>
          </cell>
          <cell r="B9397">
            <v>202512</v>
          </cell>
          <cell r="D9397" t="str">
            <v>Crédito Internacional</v>
          </cell>
          <cell r="G9397" t="str">
            <v>Presupuesto</v>
          </cell>
        </row>
        <row r="9398">
          <cell r="A9398" t="str">
            <v>PG</v>
          </cell>
          <cell r="B9398">
            <v>202512</v>
          </cell>
          <cell r="D9398" t="str">
            <v>Crédito Nacional</v>
          </cell>
          <cell r="G9398" t="str">
            <v>Presupuesto</v>
          </cell>
        </row>
        <row r="9399">
          <cell r="A9399" t="str">
            <v>PG</v>
          </cell>
          <cell r="B9399">
            <v>202512</v>
          </cell>
          <cell r="D9399" t="str">
            <v>Eventos</v>
          </cell>
          <cell r="G9399" t="str">
            <v>Presupuesto</v>
          </cell>
        </row>
        <row r="9400">
          <cell r="A9400" t="str">
            <v>PG</v>
          </cell>
          <cell r="B9400">
            <v>202512</v>
          </cell>
          <cell r="D9400" t="str">
            <v>Flotas</v>
          </cell>
          <cell r="G9400" t="str">
            <v>Presupuesto</v>
          </cell>
        </row>
        <row r="9401">
          <cell r="A9401" t="str">
            <v>PG</v>
          </cell>
          <cell r="B9401">
            <v>202512</v>
          </cell>
          <cell r="D9401" t="str">
            <v>Flotas</v>
          </cell>
          <cell r="G9401" t="str">
            <v>Real</v>
          </cell>
        </row>
        <row r="9402">
          <cell r="A9402" t="str">
            <v>PG</v>
          </cell>
          <cell r="B9402">
            <v>202512</v>
          </cell>
          <cell r="D9402" t="str">
            <v>Hogar</v>
          </cell>
          <cell r="G9402" t="str">
            <v>Presupuesto</v>
          </cell>
        </row>
        <row r="9403">
          <cell r="A9403" t="str">
            <v>PG</v>
          </cell>
          <cell r="B9403">
            <v>202512</v>
          </cell>
          <cell r="D9403" t="str">
            <v>Hogar</v>
          </cell>
          <cell r="G9403" t="str">
            <v>Real</v>
          </cell>
        </row>
        <row r="9404">
          <cell r="A9404" t="str">
            <v>PG</v>
          </cell>
          <cell r="B9404">
            <v>202512</v>
          </cell>
          <cell r="D9404" t="str">
            <v>Ingeniería</v>
          </cell>
          <cell r="G9404" t="str">
            <v>Presupuesto</v>
          </cell>
        </row>
        <row r="9405">
          <cell r="A9405" t="str">
            <v>PG</v>
          </cell>
          <cell r="B9405">
            <v>202512</v>
          </cell>
          <cell r="D9405" t="str">
            <v>Ingeniería</v>
          </cell>
          <cell r="G9405" t="str">
            <v>Real</v>
          </cell>
        </row>
        <row r="9406">
          <cell r="A9406" t="str">
            <v>PG</v>
          </cell>
          <cell r="B9406">
            <v>202512</v>
          </cell>
          <cell r="D9406" t="str">
            <v>Inmobiliario</v>
          </cell>
          <cell r="G9406" t="str">
            <v>Presupuesto</v>
          </cell>
        </row>
        <row r="9407">
          <cell r="A9407" t="str">
            <v>PG</v>
          </cell>
          <cell r="B9407">
            <v>202512</v>
          </cell>
          <cell r="D9407" t="str">
            <v>Líneas Financieras</v>
          </cell>
          <cell r="G9407" t="str">
            <v>Presupuesto</v>
          </cell>
        </row>
        <row r="9408">
          <cell r="A9408" t="str">
            <v>PG</v>
          </cell>
          <cell r="B9408">
            <v>202512</v>
          </cell>
          <cell r="D9408" t="str">
            <v>Líneas Financieras</v>
          </cell>
          <cell r="G9408" t="str">
            <v>Real</v>
          </cell>
        </row>
        <row r="9409">
          <cell r="A9409" t="str">
            <v>PG</v>
          </cell>
          <cell r="B9409">
            <v>202512</v>
          </cell>
          <cell r="D9409" t="str">
            <v>Náutica</v>
          </cell>
          <cell r="G9409" t="str">
            <v>Presupuesto</v>
          </cell>
        </row>
        <row r="9410">
          <cell r="A9410" t="str">
            <v>PG</v>
          </cell>
          <cell r="B9410">
            <v>202512</v>
          </cell>
          <cell r="D9410" t="str">
            <v>Náutica</v>
          </cell>
          <cell r="G9410" t="str">
            <v>Real</v>
          </cell>
        </row>
        <row r="9411">
          <cell r="A9411" t="str">
            <v>PG</v>
          </cell>
          <cell r="B9411">
            <v>202512</v>
          </cell>
          <cell r="D9411" t="str">
            <v>Particulares Resto</v>
          </cell>
          <cell r="G9411" t="str">
            <v>Presupuesto</v>
          </cell>
        </row>
        <row r="9412">
          <cell r="A9412" t="str">
            <v>PG</v>
          </cell>
          <cell r="B9412">
            <v>202512</v>
          </cell>
          <cell r="D9412" t="str">
            <v>Particulares Resto</v>
          </cell>
          <cell r="G9412" t="str">
            <v>Real</v>
          </cell>
        </row>
        <row r="9413">
          <cell r="A9413" t="str">
            <v>PG</v>
          </cell>
          <cell r="B9413">
            <v>202512</v>
          </cell>
          <cell r="D9413" t="str">
            <v>Property</v>
          </cell>
          <cell r="G9413" t="str">
            <v>Presupuesto</v>
          </cell>
        </row>
        <row r="9414">
          <cell r="A9414" t="str">
            <v>PG</v>
          </cell>
          <cell r="B9414">
            <v>202512</v>
          </cell>
          <cell r="D9414" t="str">
            <v>Property</v>
          </cell>
          <cell r="G9414" t="str">
            <v>Real</v>
          </cell>
        </row>
        <row r="9415">
          <cell r="A9415" t="str">
            <v>PG</v>
          </cell>
          <cell r="B9415">
            <v>202512</v>
          </cell>
          <cell r="D9415" t="str">
            <v>RC</v>
          </cell>
          <cell r="G9415" t="str">
            <v>Presupuesto</v>
          </cell>
        </row>
        <row r="9416">
          <cell r="A9416" t="str">
            <v>PG</v>
          </cell>
          <cell r="B9416">
            <v>202512</v>
          </cell>
          <cell r="D9416" t="str">
            <v>RC</v>
          </cell>
          <cell r="G9416" t="str">
            <v>Real</v>
          </cell>
        </row>
        <row r="9417">
          <cell r="A9417" t="str">
            <v>PG</v>
          </cell>
          <cell r="B9417">
            <v>202512</v>
          </cell>
          <cell r="D9417" t="str">
            <v>Resto de lineas</v>
          </cell>
          <cell r="G9417" t="str">
            <v>Presupuesto</v>
          </cell>
        </row>
        <row r="9418">
          <cell r="A9418" t="str">
            <v>PG</v>
          </cell>
          <cell r="B9418">
            <v>202512</v>
          </cell>
          <cell r="D9418" t="str">
            <v>Retirada</v>
          </cell>
          <cell r="G9418" t="str">
            <v>Presupuesto</v>
          </cell>
        </row>
        <row r="9419">
          <cell r="A9419" t="str">
            <v>PG</v>
          </cell>
          <cell r="B9419">
            <v>202512</v>
          </cell>
          <cell r="D9419" t="str">
            <v>Seguros Personales (No Vida) Colectivos</v>
          </cell>
          <cell r="G9419" t="str">
            <v>Presupuesto</v>
          </cell>
        </row>
        <row r="9420">
          <cell r="A9420" t="str">
            <v>PG</v>
          </cell>
          <cell r="B9420">
            <v>202512</v>
          </cell>
          <cell r="D9420" t="str">
            <v>Seguros Personales (No Vida) Colectivos</v>
          </cell>
          <cell r="G9420" t="str">
            <v>Real</v>
          </cell>
        </row>
        <row r="9421">
          <cell r="A9421" t="str">
            <v>PG</v>
          </cell>
          <cell r="B9421">
            <v>202512</v>
          </cell>
          <cell r="D9421" t="str">
            <v>Seguros Personales (No Vida) Particular</v>
          </cell>
          <cell r="G9421" t="str">
            <v>Presupuesto</v>
          </cell>
        </row>
        <row r="9422">
          <cell r="A9422" t="str">
            <v>PG</v>
          </cell>
          <cell r="B9422">
            <v>202512</v>
          </cell>
          <cell r="D9422" t="str">
            <v>Seguros Personales (No Vida) Particular</v>
          </cell>
          <cell r="G9422" t="str">
            <v>Real</v>
          </cell>
        </row>
        <row r="9423">
          <cell r="A9423" t="str">
            <v>PG</v>
          </cell>
          <cell r="B9423">
            <v>202512</v>
          </cell>
          <cell r="D9423" t="str">
            <v>Transporte</v>
          </cell>
          <cell r="G9423" t="str">
            <v>Presupuesto</v>
          </cell>
        </row>
        <row r="9424">
          <cell r="A9424" t="str">
            <v>PG</v>
          </cell>
          <cell r="B9424">
            <v>202512</v>
          </cell>
          <cell r="D9424" t="str">
            <v>Transporte</v>
          </cell>
          <cell r="G9424" t="str">
            <v>Real</v>
          </cell>
        </row>
        <row r="9425">
          <cell r="A9425" t="str">
            <v>PG</v>
          </cell>
          <cell r="B9425">
            <v>202512</v>
          </cell>
          <cell r="D9425" t="str">
            <v>Venta Cruzada</v>
          </cell>
          <cell r="G9425" t="str">
            <v>Presupuesto</v>
          </cell>
        </row>
        <row r="9426">
          <cell r="A9426" t="str">
            <v>PG</v>
          </cell>
          <cell r="B9426">
            <v>202512</v>
          </cell>
          <cell r="D9426" t="str">
            <v>Vida Ahorro Colectivo</v>
          </cell>
          <cell r="G9426" t="str">
            <v>Presupuesto</v>
          </cell>
        </row>
        <row r="9427">
          <cell r="A9427" t="str">
            <v>PG</v>
          </cell>
          <cell r="B9427">
            <v>202512</v>
          </cell>
          <cell r="D9427" t="str">
            <v>Vida Ahorro Particular</v>
          </cell>
          <cell r="G9427" t="str">
            <v>Presupuesto</v>
          </cell>
        </row>
        <row r="9428">
          <cell r="A9428" t="str">
            <v>PG</v>
          </cell>
          <cell r="B9428">
            <v>202512</v>
          </cell>
          <cell r="D9428" t="str">
            <v>Vida Ahorro Particular</v>
          </cell>
          <cell r="G9428" t="str">
            <v>Real</v>
          </cell>
        </row>
        <row r="9429">
          <cell r="A9429" t="str">
            <v>PG</v>
          </cell>
          <cell r="B9429">
            <v>202512</v>
          </cell>
          <cell r="D9429" t="str">
            <v>Vida Ganado</v>
          </cell>
          <cell r="G9429" t="str">
            <v>Presupuesto</v>
          </cell>
        </row>
        <row r="9430">
          <cell r="A9430" t="str">
            <v>PG</v>
          </cell>
          <cell r="B9430">
            <v>202512</v>
          </cell>
          <cell r="D9430" t="str">
            <v>Vida Riesgo Colectivo</v>
          </cell>
          <cell r="G9430" t="str">
            <v>Presupuesto</v>
          </cell>
        </row>
        <row r="9431">
          <cell r="A9431" t="str">
            <v>PG</v>
          </cell>
          <cell r="B9431">
            <v>202512</v>
          </cell>
          <cell r="D9431" t="str">
            <v>Vida Riesgo Colectivo</v>
          </cell>
          <cell r="G9431" t="str">
            <v>Real</v>
          </cell>
        </row>
        <row r="9432">
          <cell r="A9432" t="str">
            <v>PG</v>
          </cell>
          <cell r="B9432">
            <v>202512</v>
          </cell>
          <cell r="D9432" t="str">
            <v>Vida Riesgo Particular</v>
          </cell>
          <cell r="G9432" t="str">
            <v>Presupuesto</v>
          </cell>
        </row>
        <row r="9433">
          <cell r="A9433" t="str">
            <v>PG</v>
          </cell>
          <cell r="B9433">
            <v>202512</v>
          </cell>
          <cell r="D9433" t="str">
            <v>Vida Riesgo Particular</v>
          </cell>
          <cell r="G9433" t="str">
            <v>Real</v>
          </cell>
        </row>
        <row r="9434">
          <cell r="A9434" t="str">
            <v>POOLSEGUR</v>
          </cell>
          <cell r="B9434">
            <v>202301</v>
          </cell>
          <cell r="D9434" t="str">
            <v>--</v>
          </cell>
          <cell r="G9434" t="str">
            <v>Real</v>
          </cell>
        </row>
        <row r="9435">
          <cell r="A9435" t="str">
            <v>POOLSEGUR</v>
          </cell>
          <cell r="B9435">
            <v>202302</v>
          </cell>
          <cell r="D9435" t="str">
            <v>--</v>
          </cell>
          <cell r="G9435" t="str">
            <v>Real</v>
          </cell>
        </row>
        <row r="9436">
          <cell r="A9436" t="str">
            <v>POOLSEGUR</v>
          </cell>
          <cell r="B9436">
            <v>202303</v>
          </cell>
          <cell r="D9436" t="str">
            <v>--</v>
          </cell>
          <cell r="G9436" t="str">
            <v>Real</v>
          </cell>
        </row>
        <row r="9437">
          <cell r="A9437" t="str">
            <v>POOLSEGUR</v>
          </cell>
          <cell r="B9437">
            <v>202304</v>
          </cell>
          <cell r="D9437" t="str">
            <v>--</v>
          </cell>
          <cell r="G9437" t="str">
            <v>Real</v>
          </cell>
        </row>
        <row r="9438">
          <cell r="A9438" t="str">
            <v>POOLSEGUR</v>
          </cell>
          <cell r="B9438">
            <v>202305</v>
          </cell>
          <cell r="D9438" t="str">
            <v>--</v>
          </cell>
          <cell r="G9438" t="str">
            <v>Real</v>
          </cell>
        </row>
        <row r="9439">
          <cell r="A9439" t="str">
            <v>POOLSEGUR</v>
          </cell>
          <cell r="B9439">
            <v>202306</v>
          </cell>
          <cell r="D9439" t="str">
            <v>--</v>
          </cell>
          <cell r="G9439" t="str">
            <v>Real</v>
          </cell>
        </row>
        <row r="9440">
          <cell r="A9440" t="str">
            <v>POOLSEGUR</v>
          </cell>
          <cell r="B9440">
            <v>202307</v>
          </cell>
          <cell r="D9440" t="str">
            <v>--</v>
          </cell>
          <cell r="G9440" t="str">
            <v>Real</v>
          </cell>
        </row>
        <row r="9441">
          <cell r="A9441" t="str">
            <v>POOLSEGUR</v>
          </cell>
          <cell r="B9441">
            <v>202308</v>
          </cell>
          <cell r="D9441" t="str">
            <v>--</v>
          </cell>
          <cell r="G9441" t="str">
            <v>Real</v>
          </cell>
        </row>
        <row r="9442">
          <cell r="A9442" t="str">
            <v>POOLSEGUR</v>
          </cell>
          <cell r="B9442">
            <v>202309</v>
          </cell>
          <cell r="D9442" t="str">
            <v>--</v>
          </cell>
          <cell r="G9442" t="str">
            <v>Real</v>
          </cell>
        </row>
        <row r="9443">
          <cell r="A9443" t="str">
            <v>POOLSEGUR</v>
          </cell>
          <cell r="B9443">
            <v>202310</v>
          </cell>
          <cell r="D9443" t="str">
            <v>--</v>
          </cell>
          <cell r="G9443" t="str">
            <v>Real</v>
          </cell>
        </row>
        <row r="9444">
          <cell r="A9444" t="str">
            <v>POOLSEGUR</v>
          </cell>
          <cell r="B9444">
            <v>202311</v>
          </cell>
          <cell r="D9444" t="str">
            <v>--</v>
          </cell>
          <cell r="G9444" t="str">
            <v>Real</v>
          </cell>
        </row>
        <row r="9445">
          <cell r="A9445" t="str">
            <v>POOLSEGUR</v>
          </cell>
          <cell r="B9445">
            <v>202312</v>
          </cell>
          <cell r="D9445" t="str">
            <v>--</v>
          </cell>
          <cell r="G9445" t="str">
            <v>Real</v>
          </cell>
        </row>
        <row r="9446">
          <cell r="A9446" t="str">
            <v>POOLSEGUR</v>
          </cell>
          <cell r="B9446">
            <v>202401</v>
          </cell>
          <cell r="D9446" t="str">
            <v>--</v>
          </cell>
          <cell r="G9446" t="str">
            <v>Real</v>
          </cell>
        </row>
        <row r="9447">
          <cell r="A9447" t="str">
            <v>POOLSEGUR</v>
          </cell>
          <cell r="B9447">
            <v>202401</v>
          </cell>
          <cell r="D9447" t="str">
            <v>Arte</v>
          </cell>
          <cell r="G9447" t="str">
            <v>Real</v>
          </cell>
        </row>
        <row r="9448">
          <cell r="A9448" t="str">
            <v>POOLSEGUR</v>
          </cell>
          <cell r="B9448">
            <v>202401</v>
          </cell>
          <cell r="D9448" t="str">
            <v>Autos</v>
          </cell>
          <cell r="G9448" t="str">
            <v>Real</v>
          </cell>
        </row>
        <row r="9449">
          <cell r="A9449" t="str">
            <v>POOLSEGUR</v>
          </cell>
          <cell r="B9449">
            <v>202401</v>
          </cell>
          <cell r="D9449" t="str">
            <v>B2B2C</v>
          </cell>
          <cell r="G9449" t="str">
            <v>Real</v>
          </cell>
        </row>
        <row r="9450">
          <cell r="A9450" t="str">
            <v>POOLSEGUR</v>
          </cell>
          <cell r="B9450">
            <v>202401</v>
          </cell>
          <cell r="D9450" t="str">
            <v>Hogar</v>
          </cell>
          <cell r="G9450" t="str">
            <v>Real</v>
          </cell>
        </row>
        <row r="9451">
          <cell r="A9451" t="str">
            <v>POOLSEGUR</v>
          </cell>
          <cell r="B9451">
            <v>202401</v>
          </cell>
          <cell r="D9451" t="str">
            <v>Ingeniería</v>
          </cell>
          <cell r="G9451" t="str">
            <v>Real</v>
          </cell>
        </row>
        <row r="9452">
          <cell r="A9452" t="str">
            <v>POOLSEGUR</v>
          </cell>
          <cell r="B9452">
            <v>202401</v>
          </cell>
          <cell r="D9452" t="str">
            <v>Líneas Financieras</v>
          </cell>
          <cell r="G9452" t="str">
            <v>Real</v>
          </cell>
        </row>
        <row r="9453">
          <cell r="A9453" t="str">
            <v>POOLSEGUR</v>
          </cell>
          <cell r="B9453">
            <v>202401</v>
          </cell>
          <cell r="D9453" t="str">
            <v>Náutica</v>
          </cell>
          <cell r="G9453" t="str">
            <v>Real</v>
          </cell>
        </row>
        <row r="9454">
          <cell r="A9454" t="str">
            <v>POOLSEGUR</v>
          </cell>
          <cell r="B9454">
            <v>202401</v>
          </cell>
          <cell r="D9454" t="str">
            <v>Particulares Resto</v>
          </cell>
          <cell r="G9454" t="str">
            <v>Real</v>
          </cell>
        </row>
        <row r="9455">
          <cell r="A9455" t="str">
            <v>POOLSEGUR</v>
          </cell>
          <cell r="B9455">
            <v>202401</v>
          </cell>
          <cell r="D9455" t="str">
            <v>Property</v>
          </cell>
          <cell r="G9455" t="str">
            <v>Real</v>
          </cell>
        </row>
        <row r="9456">
          <cell r="A9456" t="str">
            <v>POOLSEGUR</v>
          </cell>
          <cell r="B9456">
            <v>202401</v>
          </cell>
          <cell r="D9456" t="str">
            <v>RC</v>
          </cell>
          <cell r="G9456" t="str">
            <v>Real</v>
          </cell>
        </row>
        <row r="9457">
          <cell r="A9457" t="str">
            <v>POOLSEGUR</v>
          </cell>
          <cell r="B9457">
            <v>202401</v>
          </cell>
          <cell r="D9457" t="str">
            <v>Seguros Personales (No Vida) Colectivos</v>
          </cell>
          <cell r="G9457" t="str">
            <v>Real</v>
          </cell>
        </row>
        <row r="9458">
          <cell r="A9458" t="str">
            <v>POOLSEGUR</v>
          </cell>
          <cell r="B9458">
            <v>202401</v>
          </cell>
          <cell r="D9458" t="str">
            <v>Seguros Personales (No Vida) Particular</v>
          </cell>
          <cell r="G9458" t="str">
            <v>Real</v>
          </cell>
        </row>
        <row r="9459">
          <cell r="A9459" t="str">
            <v>POOLSEGUR</v>
          </cell>
          <cell r="B9459">
            <v>202401</v>
          </cell>
          <cell r="D9459" t="str">
            <v>Venta Cruzada</v>
          </cell>
          <cell r="G9459" t="str">
            <v>Real</v>
          </cell>
        </row>
        <row r="9460">
          <cell r="A9460" t="str">
            <v>POOLSEGUR</v>
          </cell>
          <cell r="B9460">
            <v>202401</v>
          </cell>
          <cell r="D9460" t="str">
            <v>Vida Ahorro Particular</v>
          </cell>
          <cell r="G9460" t="str">
            <v>Real</v>
          </cell>
        </row>
        <row r="9461">
          <cell r="A9461" t="str">
            <v>POOLSEGUR</v>
          </cell>
          <cell r="B9461">
            <v>202401</v>
          </cell>
          <cell r="D9461" t="str">
            <v>Vida Riesgo Colectivo</v>
          </cell>
          <cell r="G9461" t="str">
            <v>Real</v>
          </cell>
        </row>
        <row r="9462">
          <cell r="A9462" t="str">
            <v>POOLSEGUR</v>
          </cell>
          <cell r="B9462">
            <v>202401</v>
          </cell>
          <cell r="D9462" t="str">
            <v>Vida Riesgo Particular</v>
          </cell>
          <cell r="G9462" t="str">
            <v>Real</v>
          </cell>
        </row>
        <row r="9463">
          <cell r="A9463" t="str">
            <v>POOLSEGUR</v>
          </cell>
          <cell r="B9463">
            <v>202402</v>
          </cell>
          <cell r="D9463" t="str">
            <v>--</v>
          </cell>
          <cell r="G9463" t="str">
            <v>Real</v>
          </cell>
        </row>
        <row r="9464">
          <cell r="A9464" t="str">
            <v>POOLSEGUR</v>
          </cell>
          <cell r="B9464">
            <v>202402</v>
          </cell>
          <cell r="D9464" t="str">
            <v>Arte</v>
          </cell>
          <cell r="G9464" t="str">
            <v>Real</v>
          </cell>
        </row>
        <row r="9465">
          <cell r="A9465" t="str">
            <v>POOLSEGUR</v>
          </cell>
          <cell r="B9465">
            <v>202402</v>
          </cell>
          <cell r="D9465" t="str">
            <v>Autos</v>
          </cell>
          <cell r="G9465" t="str">
            <v>Real</v>
          </cell>
        </row>
        <row r="9466">
          <cell r="A9466" t="str">
            <v>POOLSEGUR</v>
          </cell>
          <cell r="B9466">
            <v>202402</v>
          </cell>
          <cell r="D9466" t="str">
            <v>B2B2C</v>
          </cell>
          <cell r="G9466" t="str">
            <v>Real</v>
          </cell>
        </row>
        <row r="9467">
          <cell r="A9467" t="str">
            <v>POOLSEGUR</v>
          </cell>
          <cell r="B9467">
            <v>202402</v>
          </cell>
          <cell r="D9467" t="str">
            <v>Hogar</v>
          </cell>
          <cell r="G9467" t="str">
            <v>Real</v>
          </cell>
        </row>
        <row r="9468">
          <cell r="A9468" t="str">
            <v>POOLSEGUR</v>
          </cell>
          <cell r="B9468">
            <v>202402</v>
          </cell>
          <cell r="D9468" t="str">
            <v>Líneas Financieras</v>
          </cell>
          <cell r="G9468" t="str">
            <v>Real</v>
          </cell>
        </row>
        <row r="9469">
          <cell r="A9469" t="str">
            <v>POOLSEGUR</v>
          </cell>
          <cell r="B9469">
            <v>202402</v>
          </cell>
          <cell r="D9469" t="str">
            <v>Particulares Resto</v>
          </cell>
          <cell r="G9469" t="str">
            <v>Real</v>
          </cell>
        </row>
        <row r="9470">
          <cell r="A9470" t="str">
            <v>POOLSEGUR</v>
          </cell>
          <cell r="B9470">
            <v>202402</v>
          </cell>
          <cell r="D9470" t="str">
            <v>Property</v>
          </cell>
          <cell r="G9470" t="str">
            <v>Real</v>
          </cell>
        </row>
        <row r="9471">
          <cell r="A9471" t="str">
            <v>POOLSEGUR</v>
          </cell>
          <cell r="B9471">
            <v>202402</v>
          </cell>
          <cell r="D9471" t="str">
            <v>RC</v>
          </cell>
          <cell r="G9471" t="str">
            <v>Real</v>
          </cell>
        </row>
        <row r="9472">
          <cell r="A9472" t="str">
            <v>POOLSEGUR</v>
          </cell>
          <cell r="B9472">
            <v>202402</v>
          </cell>
          <cell r="D9472" t="str">
            <v>Seguros Personales (No Vida) Colectivos</v>
          </cell>
          <cell r="G9472" t="str">
            <v>Real</v>
          </cell>
        </row>
        <row r="9473">
          <cell r="A9473" t="str">
            <v>POOLSEGUR</v>
          </cell>
          <cell r="B9473">
            <v>202402</v>
          </cell>
          <cell r="D9473" t="str">
            <v>Seguros Personales (No Vida) Particular</v>
          </cell>
          <cell r="G9473" t="str">
            <v>Real</v>
          </cell>
        </row>
        <row r="9474">
          <cell r="A9474" t="str">
            <v>POOLSEGUR</v>
          </cell>
          <cell r="B9474">
            <v>202402</v>
          </cell>
          <cell r="D9474" t="str">
            <v>Venta Cruzada</v>
          </cell>
          <cell r="G9474" t="str">
            <v>Real</v>
          </cell>
        </row>
        <row r="9475">
          <cell r="A9475" t="str">
            <v>POOLSEGUR</v>
          </cell>
          <cell r="B9475">
            <v>202402</v>
          </cell>
          <cell r="D9475" t="str">
            <v>Vida Ahorro Particular</v>
          </cell>
          <cell r="G9475" t="str">
            <v>Real</v>
          </cell>
        </row>
        <row r="9476">
          <cell r="A9476" t="str">
            <v>POOLSEGUR</v>
          </cell>
          <cell r="B9476">
            <v>202402</v>
          </cell>
          <cell r="D9476" t="str">
            <v>Vida Riesgo Colectivo</v>
          </cell>
          <cell r="G9476" t="str">
            <v>Real</v>
          </cell>
        </row>
        <row r="9477">
          <cell r="A9477" t="str">
            <v>POOLSEGUR</v>
          </cell>
          <cell r="B9477">
            <v>202402</v>
          </cell>
          <cell r="D9477" t="str">
            <v>Vida Riesgo Particular</v>
          </cell>
          <cell r="G9477" t="str">
            <v>Real</v>
          </cell>
        </row>
        <row r="9478">
          <cell r="A9478" t="str">
            <v>POOLSEGUR</v>
          </cell>
          <cell r="B9478">
            <v>202403</v>
          </cell>
          <cell r="D9478" t="str">
            <v>--</v>
          </cell>
          <cell r="G9478" t="str">
            <v>Real</v>
          </cell>
        </row>
        <row r="9479">
          <cell r="A9479" t="str">
            <v>POOLSEGUR</v>
          </cell>
          <cell r="B9479">
            <v>202403</v>
          </cell>
          <cell r="D9479" t="str">
            <v>Arte</v>
          </cell>
          <cell r="G9479" t="str">
            <v>Real</v>
          </cell>
        </row>
        <row r="9480">
          <cell r="A9480" t="str">
            <v>POOLSEGUR</v>
          </cell>
          <cell r="B9480">
            <v>202403</v>
          </cell>
          <cell r="D9480" t="str">
            <v>Autos</v>
          </cell>
          <cell r="G9480" t="str">
            <v>Real</v>
          </cell>
        </row>
        <row r="9481">
          <cell r="A9481" t="str">
            <v>POOLSEGUR</v>
          </cell>
          <cell r="B9481">
            <v>202403</v>
          </cell>
          <cell r="D9481" t="str">
            <v>B2B2C</v>
          </cell>
          <cell r="G9481" t="str">
            <v>Real</v>
          </cell>
        </row>
        <row r="9482">
          <cell r="A9482" t="str">
            <v>POOLSEGUR</v>
          </cell>
          <cell r="B9482">
            <v>202403</v>
          </cell>
          <cell r="D9482" t="str">
            <v>Hogar</v>
          </cell>
          <cell r="G9482" t="str">
            <v>Real</v>
          </cell>
        </row>
        <row r="9483">
          <cell r="A9483" t="str">
            <v>POOLSEGUR</v>
          </cell>
          <cell r="B9483">
            <v>202403</v>
          </cell>
          <cell r="D9483" t="str">
            <v>Líneas Financieras</v>
          </cell>
          <cell r="G9483" t="str">
            <v>Real</v>
          </cell>
        </row>
        <row r="9484">
          <cell r="A9484" t="str">
            <v>POOLSEGUR</v>
          </cell>
          <cell r="B9484">
            <v>202403</v>
          </cell>
          <cell r="D9484" t="str">
            <v>Particulares Resto</v>
          </cell>
          <cell r="G9484" t="str">
            <v>Real</v>
          </cell>
        </row>
        <row r="9485">
          <cell r="A9485" t="str">
            <v>POOLSEGUR</v>
          </cell>
          <cell r="B9485">
            <v>202403</v>
          </cell>
          <cell r="D9485" t="str">
            <v>Property</v>
          </cell>
          <cell r="G9485" t="str">
            <v>Real</v>
          </cell>
        </row>
        <row r="9486">
          <cell r="A9486" t="str">
            <v>POOLSEGUR</v>
          </cell>
          <cell r="B9486">
            <v>202403</v>
          </cell>
          <cell r="D9486" t="str">
            <v>RC</v>
          </cell>
          <cell r="G9486" t="str">
            <v>Real</v>
          </cell>
        </row>
        <row r="9487">
          <cell r="A9487" t="str">
            <v>POOLSEGUR</v>
          </cell>
          <cell r="B9487">
            <v>202403</v>
          </cell>
          <cell r="D9487" t="str">
            <v>Seguros Personales (No Vida) Colectivos</v>
          </cell>
          <cell r="G9487" t="str">
            <v>Real</v>
          </cell>
        </row>
        <row r="9488">
          <cell r="A9488" t="str">
            <v>POOLSEGUR</v>
          </cell>
          <cell r="B9488">
            <v>202403</v>
          </cell>
          <cell r="D9488" t="str">
            <v>Seguros Personales (No Vida) Particular</v>
          </cell>
          <cell r="G9488" t="str">
            <v>Real</v>
          </cell>
        </row>
        <row r="9489">
          <cell r="A9489" t="str">
            <v>POOLSEGUR</v>
          </cell>
          <cell r="B9489">
            <v>202403</v>
          </cell>
          <cell r="D9489" t="str">
            <v>Venta Cruzada</v>
          </cell>
          <cell r="G9489" t="str">
            <v>Real</v>
          </cell>
        </row>
        <row r="9490">
          <cell r="A9490" t="str">
            <v>POOLSEGUR</v>
          </cell>
          <cell r="B9490">
            <v>202403</v>
          </cell>
          <cell r="D9490" t="str">
            <v>Vida Ahorro Particular</v>
          </cell>
          <cell r="G9490" t="str">
            <v>Real</v>
          </cell>
        </row>
        <row r="9491">
          <cell r="A9491" t="str">
            <v>POOLSEGUR</v>
          </cell>
          <cell r="B9491">
            <v>202403</v>
          </cell>
          <cell r="D9491" t="str">
            <v>Vida Riesgo Colectivo</v>
          </cell>
          <cell r="G9491" t="str">
            <v>Real</v>
          </cell>
        </row>
        <row r="9492">
          <cell r="A9492" t="str">
            <v>POOLSEGUR</v>
          </cell>
          <cell r="B9492">
            <v>202403</v>
          </cell>
          <cell r="D9492" t="str">
            <v>Vida Riesgo Particular</v>
          </cell>
          <cell r="G9492" t="str">
            <v>Real</v>
          </cell>
        </row>
        <row r="9493">
          <cell r="A9493" t="str">
            <v>POOLSEGUR</v>
          </cell>
          <cell r="B9493">
            <v>202404</v>
          </cell>
          <cell r="D9493" t="str">
            <v>--</v>
          </cell>
          <cell r="G9493" t="str">
            <v>Real</v>
          </cell>
        </row>
        <row r="9494">
          <cell r="A9494" t="str">
            <v>POOLSEGUR</v>
          </cell>
          <cell r="B9494">
            <v>202404</v>
          </cell>
          <cell r="D9494" t="str">
            <v>Arte</v>
          </cell>
          <cell r="G9494" t="str">
            <v>Real</v>
          </cell>
        </row>
        <row r="9495">
          <cell r="A9495" t="str">
            <v>POOLSEGUR</v>
          </cell>
          <cell r="B9495">
            <v>202404</v>
          </cell>
          <cell r="D9495" t="str">
            <v>Autos</v>
          </cell>
          <cell r="G9495" t="str">
            <v>Real</v>
          </cell>
        </row>
        <row r="9496">
          <cell r="A9496" t="str">
            <v>POOLSEGUR</v>
          </cell>
          <cell r="B9496">
            <v>202404</v>
          </cell>
          <cell r="D9496" t="str">
            <v>B2B2C</v>
          </cell>
          <cell r="G9496" t="str">
            <v>Real</v>
          </cell>
        </row>
        <row r="9497">
          <cell r="A9497" t="str">
            <v>POOLSEGUR</v>
          </cell>
          <cell r="B9497">
            <v>202404</v>
          </cell>
          <cell r="D9497" t="str">
            <v>Flotas</v>
          </cell>
          <cell r="G9497" t="str">
            <v>Real</v>
          </cell>
        </row>
        <row r="9498">
          <cell r="A9498" t="str">
            <v>POOLSEGUR</v>
          </cell>
          <cell r="B9498">
            <v>202404</v>
          </cell>
          <cell r="D9498" t="str">
            <v>Hogar</v>
          </cell>
          <cell r="G9498" t="str">
            <v>Real</v>
          </cell>
        </row>
        <row r="9499">
          <cell r="A9499" t="str">
            <v>POOLSEGUR</v>
          </cell>
          <cell r="B9499">
            <v>202404</v>
          </cell>
          <cell r="D9499" t="str">
            <v>Líneas Financieras</v>
          </cell>
          <cell r="G9499" t="str">
            <v>Real</v>
          </cell>
        </row>
        <row r="9500">
          <cell r="A9500" t="str">
            <v>POOLSEGUR</v>
          </cell>
          <cell r="B9500">
            <v>202404</v>
          </cell>
          <cell r="D9500" t="str">
            <v>Particulares Resto</v>
          </cell>
          <cell r="G9500" t="str">
            <v>Real</v>
          </cell>
        </row>
        <row r="9501">
          <cell r="A9501" t="str">
            <v>POOLSEGUR</v>
          </cell>
          <cell r="B9501">
            <v>202404</v>
          </cell>
          <cell r="D9501" t="str">
            <v>Property</v>
          </cell>
          <cell r="G9501" t="str">
            <v>Real</v>
          </cell>
        </row>
        <row r="9502">
          <cell r="A9502" t="str">
            <v>POOLSEGUR</v>
          </cell>
          <cell r="B9502">
            <v>202404</v>
          </cell>
          <cell r="D9502" t="str">
            <v>RC</v>
          </cell>
          <cell r="G9502" t="str">
            <v>Real</v>
          </cell>
        </row>
        <row r="9503">
          <cell r="A9503" t="str">
            <v>POOLSEGUR</v>
          </cell>
          <cell r="B9503">
            <v>202404</v>
          </cell>
          <cell r="D9503" t="str">
            <v>Seguros Personales (No Vida) Colectivos</v>
          </cell>
          <cell r="G9503" t="str">
            <v>Real</v>
          </cell>
        </row>
        <row r="9504">
          <cell r="A9504" t="str">
            <v>POOLSEGUR</v>
          </cell>
          <cell r="B9504">
            <v>202404</v>
          </cell>
          <cell r="D9504" t="str">
            <v>Seguros Personales (No Vida) Particular</v>
          </cell>
          <cell r="G9504" t="str">
            <v>Real</v>
          </cell>
        </row>
        <row r="9505">
          <cell r="A9505" t="str">
            <v>POOLSEGUR</v>
          </cell>
          <cell r="B9505">
            <v>202404</v>
          </cell>
          <cell r="D9505" t="str">
            <v>Venta Cruzada</v>
          </cell>
          <cell r="G9505" t="str">
            <v>Real</v>
          </cell>
        </row>
        <row r="9506">
          <cell r="A9506" t="str">
            <v>POOLSEGUR</v>
          </cell>
          <cell r="B9506">
            <v>202404</v>
          </cell>
          <cell r="D9506" t="str">
            <v>Vida Ahorro Particular</v>
          </cell>
          <cell r="G9506" t="str">
            <v>Real</v>
          </cell>
        </row>
        <row r="9507">
          <cell r="A9507" t="str">
            <v>POOLSEGUR</v>
          </cell>
          <cell r="B9507">
            <v>202404</v>
          </cell>
          <cell r="D9507" t="str">
            <v>Vida Riesgo Colectivo</v>
          </cell>
          <cell r="G9507" t="str">
            <v>Real</v>
          </cell>
        </row>
        <row r="9508">
          <cell r="A9508" t="str">
            <v>POOLSEGUR</v>
          </cell>
          <cell r="B9508">
            <v>202404</v>
          </cell>
          <cell r="D9508" t="str">
            <v>Vida Riesgo Particular</v>
          </cell>
          <cell r="G9508" t="str">
            <v>Real</v>
          </cell>
        </row>
        <row r="9509">
          <cell r="A9509" t="str">
            <v>POOLSEGUR</v>
          </cell>
          <cell r="B9509">
            <v>202405</v>
          </cell>
          <cell r="D9509" t="str">
            <v>--</v>
          </cell>
          <cell r="G9509" t="str">
            <v>Real</v>
          </cell>
        </row>
        <row r="9510">
          <cell r="A9510" t="str">
            <v>POOLSEGUR</v>
          </cell>
          <cell r="B9510">
            <v>202405</v>
          </cell>
          <cell r="D9510" t="str">
            <v>Arte</v>
          </cell>
          <cell r="G9510" t="str">
            <v>Real</v>
          </cell>
        </row>
        <row r="9511">
          <cell r="A9511" t="str">
            <v>POOLSEGUR</v>
          </cell>
          <cell r="B9511">
            <v>202405</v>
          </cell>
          <cell r="D9511" t="str">
            <v>Autos</v>
          </cell>
          <cell r="G9511" t="str">
            <v>Real</v>
          </cell>
        </row>
        <row r="9512">
          <cell r="A9512" t="str">
            <v>POOLSEGUR</v>
          </cell>
          <cell r="B9512">
            <v>202405</v>
          </cell>
          <cell r="D9512" t="str">
            <v>B2B2C</v>
          </cell>
          <cell r="G9512" t="str">
            <v>Real</v>
          </cell>
        </row>
        <row r="9513">
          <cell r="A9513" t="str">
            <v>POOLSEGUR</v>
          </cell>
          <cell r="B9513">
            <v>202405</v>
          </cell>
          <cell r="D9513" t="str">
            <v>Hogar</v>
          </cell>
          <cell r="G9513" t="str">
            <v>Real</v>
          </cell>
        </row>
        <row r="9514">
          <cell r="A9514" t="str">
            <v>POOLSEGUR</v>
          </cell>
          <cell r="B9514">
            <v>202405</v>
          </cell>
          <cell r="D9514" t="str">
            <v>Líneas Financieras</v>
          </cell>
          <cell r="G9514" t="str">
            <v>Real</v>
          </cell>
        </row>
        <row r="9515">
          <cell r="A9515" t="str">
            <v>POOLSEGUR</v>
          </cell>
          <cell r="B9515">
            <v>202405</v>
          </cell>
          <cell r="D9515" t="str">
            <v>Náutica</v>
          </cell>
          <cell r="G9515" t="str">
            <v>Real</v>
          </cell>
        </row>
        <row r="9516">
          <cell r="A9516" t="str">
            <v>POOLSEGUR</v>
          </cell>
          <cell r="B9516">
            <v>202405</v>
          </cell>
          <cell r="D9516" t="str">
            <v>Particulares Resto</v>
          </cell>
          <cell r="G9516" t="str">
            <v>Real</v>
          </cell>
        </row>
        <row r="9517">
          <cell r="A9517" t="str">
            <v>POOLSEGUR</v>
          </cell>
          <cell r="B9517">
            <v>202405</v>
          </cell>
          <cell r="D9517" t="str">
            <v>Property</v>
          </cell>
          <cell r="G9517" t="str">
            <v>Real</v>
          </cell>
        </row>
        <row r="9518">
          <cell r="A9518" t="str">
            <v>POOLSEGUR</v>
          </cell>
          <cell r="B9518">
            <v>202405</v>
          </cell>
          <cell r="D9518" t="str">
            <v>RC</v>
          </cell>
          <cell r="G9518" t="str">
            <v>Real</v>
          </cell>
        </row>
        <row r="9519">
          <cell r="A9519" t="str">
            <v>POOLSEGUR</v>
          </cell>
          <cell r="B9519">
            <v>202405</v>
          </cell>
          <cell r="D9519" t="str">
            <v>Seguros Personales (No Vida) Colectivos</v>
          </cell>
          <cell r="G9519" t="str">
            <v>Real</v>
          </cell>
        </row>
        <row r="9520">
          <cell r="A9520" t="str">
            <v>POOLSEGUR</v>
          </cell>
          <cell r="B9520">
            <v>202405</v>
          </cell>
          <cell r="D9520" t="str">
            <v>Seguros Personales (No Vida) Particular</v>
          </cell>
          <cell r="G9520" t="str">
            <v>Real</v>
          </cell>
        </row>
        <row r="9521">
          <cell r="A9521" t="str">
            <v>POOLSEGUR</v>
          </cell>
          <cell r="B9521">
            <v>202405</v>
          </cell>
          <cell r="D9521" t="str">
            <v>Venta Cruzada</v>
          </cell>
          <cell r="G9521" t="str">
            <v>Real</v>
          </cell>
        </row>
        <row r="9522">
          <cell r="A9522" t="str">
            <v>POOLSEGUR</v>
          </cell>
          <cell r="B9522">
            <v>202405</v>
          </cell>
          <cell r="D9522" t="str">
            <v>Vida Ahorro Particular</v>
          </cell>
          <cell r="G9522" t="str">
            <v>Real</v>
          </cell>
        </row>
        <row r="9523">
          <cell r="A9523" t="str">
            <v>POOLSEGUR</v>
          </cell>
          <cell r="B9523">
            <v>202405</v>
          </cell>
          <cell r="D9523" t="str">
            <v>Vida Riesgo Colectivo</v>
          </cell>
          <cell r="G9523" t="str">
            <v>Real</v>
          </cell>
        </row>
        <row r="9524">
          <cell r="A9524" t="str">
            <v>POOLSEGUR</v>
          </cell>
          <cell r="B9524">
            <v>202405</v>
          </cell>
          <cell r="D9524" t="str">
            <v>Vida Riesgo Particular</v>
          </cell>
          <cell r="G9524" t="str">
            <v>Real</v>
          </cell>
        </row>
        <row r="9525">
          <cell r="A9525" t="str">
            <v>POOLSEGUR</v>
          </cell>
          <cell r="B9525">
            <v>202406</v>
          </cell>
          <cell r="D9525" t="str">
            <v>--</v>
          </cell>
          <cell r="G9525" t="str">
            <v>Real</v>
          </cell>
        </row>
        <row r="9526">
          <cell r="A9526" t="str">
            <v>POOLSEGUR</v>
          </cell>
          <cell r="B9526">
            <v>202406</v>
          </cell>
          <cell r="D9526" t="str">
            <v>Arte</v>
          </cell>
          <cell r="G9526" t="str">
            <v>Real</v>
          </cell>
        </row>
        <row r="9527">
          <cell r="A9527" t="str">
            <v>POOLSEGUR</v>
          </cell>
          <cell r="B9527">
            <v>202406</v>
          </cell>
          <cell r="D9527" t="str">
            <v>Autos</v>
          </cell>
          <cell r="G9527" t="str">
            <v>Real</v>
          </cell>
        </row>
        <row r="9528">
          <cell r="A9528" t="str">
            <v>POOLSEGUR</v>
          </cell>
          <cell r="B9528">
            <v>202406</v>
          </cell>
          <cell r="D9528" t="str">
            <v>B2B2C</v>
          </cell>
          <cell r="G9528" t="str">
            <v>Real</v>
          </cell>
        </row>
        <row r="9529">
          <cell r="A9529" t="str">
            <v>POOLSEGUR</v>
          </cell>
          <cell r="B9529">
            <v>202406</v>
          </cell>
          <cell r="D9529" t="str">
            <v>Flotas</v>
          </cell>
          <cell r="G9529" t="str">
            <v>Real</v>
          </cell>
        </row>
        <row r="9530">
          <cell r="A9530" t="str">
            <v>POOLSEGUR</v>
          </cell>
          <cell r="B9530">
            <v>202406</v>
          </cell>
          <cell r="D9530" t="str">
            <v>Hogar</v>
          </cell>
          <cell r="G9530" t="str">
            <v>Real</v>
          </cell>
        </row>
        <row r="9531">
          <cell r="A9531" t="str">
            <v>POOLSEGUR</v>
          </cell>
          <cell r="B9531">
            <v>202406</v>
          </cell>
          <cell r="D9531" t="str">
            <v>Ingeniería</v>
          </cell>
          <cell r="G9531" t="str">
            <v>Real</v>
          </cell>
        </row>
        <row r="9532">
          <cell r="A9532" t="str">
            <v>POOLSEGUR</v>
          </cell>
          <cell r="B9532">
            <v>202406</v>
          </cell>
          <cell r="D9532" t="str">
            <v>Líneas Financieras</v>
          </cell>
          <cell r="G9532" t="str">
            <v>Real</v>
          </cell>
        </row>
        <row r="9533">
          <cell r="A9533" t="str">
            <v>POOLSEGUR</v>
          </cell>
          <cell r="B9533">
            <v>202406</v>
          </cell>
          <cell r="D9533" t="str">
            <v>Particulares Resto</v>
          </cell>
          <cell r="G9533" t="str">
            <v>Real</v>
          </cell>
        </row>
        <row r="9534">
          <cell r="A9534" t="str">
            <v>POOLSEGUR</v>
          </cell>
          <cell r="B9534">
            <v>202406</v>
          </cell>
          <cell r="D9534" t="str">
            <v>Property</v>
          </cell>
          <cell r="G9534" t="str">
            <v>Real</v>
          </cell>
        </row>
        <row r="9535">
          <cell r="A9535" t="str">
            <v>POOLSEGUR</v>
          </cell>
          <cell r="B9535">
            <v>202406</v>
          </cell>
          <cell r="D9535" t="str">
            <v>RC</v>
          </cell>
          <cell r="G9535" t="str">
            <v>Real</v>
          </cell>
        </row>
        <row r="9536">
          <cell r="A9536" t="str">
            <v>POOLSEGUR</v>
          </cell>
          <cell r="B9536">
            <v>202406</v>
          </cell>
          <cell r="D9536" t="str">
            <v>Seguros Personales (No Vida) Colectivos</v>
          </cell>
          <cell r="G9536" t="str">
            <v>Real</v>
          </cell>
        </row>
        <row r="9537">
          <cell r="A9537" t="str">
            <v>POOLSEGUR</v>
          </cell>
          <cell r="B9537">
            <v>202406</v>
          </cell>
          <cell r="D9537" t="str">
            <v>Seguros Personales (No Vida) Particular</v>
          </cell>
          <cell r="G9537" t="str">
            <v>Real</v>
          </cell>
        </row>
        <row r="9538">
          <cell r="A9538" t="str">
            <v>POOLSEGUR</v>
          </cell>
          <cell r="B9538">
            <v>202406</v>
          </cell>
          <cell r="D9538" t="str">
            <v>Venta Cruzada</v>
          </cell>
          <cell r="G9538" t="str">
            <v>Real</v>
          </cell>
        </row>
        <row r="9539">
          <cell r="A9539" t="str">
            <v>POOLSEGUR</v>
          </cell>
          <cell r="B9539">
            <v>202406</v>
          </cell>
          <cell r="D9539" t="str">
            <v>Vida Ahorro Particular</v>
          </cell>
          <cell r="G9539" t="str">
            <v>Real</v>
          </cell>
        </row>
        <row r="9540">
          <cell r="A9540" t="str">
            <v>POOLSEGUR</v>
          </cell>
          <cell r="B9540">
            <v>202406</v>
          </cell>
          <cell r="D9540" t="str">
            <v>Vida Riesgo Colectivo</v>
          </cell>
          <cell r="G9540" t="str">
            <v>Real</v>
          </cell>
        </row>
        <row r="9541">
          <cell r="A9541" t="str">
            <v>POOLSEGUR</v>
          </cell>
          <cell r="B9541">
            <v>202406</v>
          </cell>
          <cell r="D9541" t="str">
            <v>Vida Riesgo Particular</v>
          </cell>
          <cell r="G9541" t="str">
            <v>Real</v>
          </cell>
        </row>
        <row r="9542">
          <cell r="A9542" t="str">
            <v>POOLSEGUR</v>
          </cell>
          <cell r="B9542">
            <v>202407</v>
          </cell>
          <cell r="D9542" t="str">
            <v>--</v>
          </cell>
          <cell r="G9542" t="str">
            <v>Real</v>
          </cell>
        </row>
        <row r="9543">
          <cell r="A9543" t="str">
            <v>POOLSEGUR</v>
          </cell>
          <cell r="B9543">
            <v>202407</v>
          </cell>
          <cell r="D9543" t="str">
            <v>Arte</v>
          </cell>
          <cell r="G9543" t="str">
            <v>Real</v>
          </cell>
        </row>
        <row r="9544">
          <cell r="A9544" t="str">
            <v>POOLSEGUR</v>
          </cell>
          <cell r="B9544">
            <v>202407</v>
          </cell>
          <cell r="D9544" t="str">
            <v>Autos</v>
          </cell>
          <cell r="G9544" t="str">
            <v>Real</v>
          </cell>
        </row>
        <row r="9545">
          <cell r="A9545" t="str">
            <v>POOLSEGUR</v>
          </cell>
          <cell r="B9545">
            <v>202407</v>
          </cell>
          <cell r="D9545" t="str">
            <v>B2B2C</v>
          </cell>
          <cell r="G9545" t="str">
            <v>Real</v>
          </cell>
        </row>
        <row r="9546">
          <cell r="A9546" t="str">
            <v>POOLSEGUR</v>
          </cell>
          <cell r="B9546">
            <v>202407</v>
          </cell>
          <cell r="D9546" t="str">
            <v>Flotas</v>
          </cell>
          <cell r="G9546" t="str">
            <v>Real</v>
          </cell>
        </row>
        <row r="9547">
          <cell r="A9547" t="str">
            <v>POOLSEGUR</v>
          </cell>
          <cell r="B9547">
            <v>202407</v>
          </cell>
          <cell r="D9547" t="str">
            <v>Hogar</v>
          </cell>
          <cell r="G9547" t="str">
            <v>Real</v>
          </cell>
        </row>
        <row r="9548">
          <cell r="A9548" t="str">
            <v>POOLSEGUR</v>
          </cell>
          <cell r="B9548">
            <v>202407</v>
          </cell>
          <cell r="D9548" t="str">
            <v>Ingeniería</v>
          </cell>
          <cell r="G9548" t="str">
            <v>Real</v>
          </cell>
        </row>
        <row r="9549">
          <cell r="A9549" t="str">
            <v>POOLSEGUR</v>
          </cell>
          <cell r="B9549">
            <v>202407</v>
          </cell>
          <cell r="D9549" t="str">
            <v>Líneas Financieras</v>
          </cell>
          <cell r="G9549" t="str">
            <v>Real</v>
          </cell>
        </row>
        <row r="9550">
          <cell r="A9550" t="str">
            <v>POOLSEGUR</v>
          </cell>
          <cell r="B9550">
            <v>202407</v>
          </cell>
          <cell r="D9550" t="str">
            <v>Náutica</v>
          </cell>
          <cell r="G9550" t="str">
            <v>Real</v>
          </cell>
        </row>
        <row r="9551">
          <cell r="A9551" t="str">
            <v>POOLSEGUR</v>
          </cell>
          <cell r="B9551">
            <v>202407</v>
          </cell>
          <cell r="D9551" t="str">
            <v>Particulares Resto</v>
          </cell>
          <cell r="G9551" t="str">
            <v>Real</v>
          </cell>
        </row>
        <row r="9552">
          <cell r="A9552" t="str">
            <v>POOLSEGUR</v>
          </cell>
          <cell r="B9552">
            <v>202407</v>
          </cell>
          <cell r="D9552" t="str">
            <v>Property</v>
          </cell>
          <cell r="G9552" t="str">
            <v>Real</v>
          </cell>
        </row>
        <row r="9553">
          <cell r="A9553" t="str">
            <v>POOLSEGUR</v>
          </cell>
          <cell r="B9553">
            <v>202407</v>
          </cell>
          <cell r="D9553" t="str">
            <v>RC</v>
          </cell>
          <cell r="G9553" t="str">
            <v>Real</v>
          </cell>
        </row>
        <row r="9554">
          <cell r="A9554" t="str">
            <v>POOLSEGUR</v>
          </cell>
          <cell r="B9554">
            <v>202407</v>
          </cell>
          <cell r="D9554" t="str">
            <v>Seguros Personales (No Vida) Colectivos</v>
          </cell>
          <cell r="G9554" t="str">
            <v>Real</v>
          </cell>
        </row>
        <row r="9555">
          <cell r="A9555" t="str">
            <v>POOLSEGUR</v>
          </cell>
          <cell r="B9555">
            <v>202407</v>
          </cell>
          <cell r="D9555" t="str">
            <v>Seguros Personales (No Vida) Particular</v>
          </cell>
          <cell r="G9555" t="str">
            <v>Real</v>
          </cell>
        </row>
        <row r="9556">
          <cell r="A9556" t="str">
            <v>POOLSEGUR</v>
          </cell>
          <cell r="B9556">
            <v>202407</v>
          </cell>
          <cell r="D9556" t="str">
            <v>Venta Cruzada</v>
          </cell>
          <cell r="G9556" t="str">
            <v>Real</v>
          </cell>
        </row>
        <row r="9557">
          <cell r="A9557" t="str">
            <v>POOLSEGUR</v>
          </cell>
          <cell r="B9557">
            <v>202407</v>
          </cell>
          <cell r="D9557" t="str">
            <v>Vida Ahorro Particular</v>
          </cell>
          <cell r="G9557" t="str">
            <v>Real</v>
          </cell>
        </row>
        <row r="9558">
          <cell r="A9558" t="str">
            <v>POOLSEGUR</v>
          </cell>
          <cell r="B9558">
            <v>202407</v>
          </cell>
          <cell r="D9558" t="str">
            <v>Vida Riesgo Colectivo</v>
          </cell>
          <cell r="G9558" t="str">
            <v>Real</v>
          </cell>
        </row>
        <row r="9559">
          <cell r="A9559" t="str">
            <v>POOLSEGUR</v>
          </cell>
          <cell r="B9559">
            <v>202407</v>
          </cell>
          <cell r="D9559" t="str">
            <v>Vida Riesgo Particular</v>
          </cell>
          <cell r="G9559" t="str">
            <v>Real</v>
          </cell>
        </row>
        <row r="9560">
          <cell r="A9560" t="str">
            <v>POOLSEGUR</v>
          </cell>
          <cell r="B9560">
            <v>202408</v>
          </cell>
          <cell r="D9560" t="str">
            <v>--</v>
          </cell>
          <cell r="G9560" t="str">
            <v>Real</v>
          </cell>
        </row>
        <row r="9561">
          <cell r="A9561" t="str">
            <v>POOLSEGUR</v>
          </cell>
          <cell r="B9561">
            <v>202408</v>
          </cell>
          <cell r="D9561" t="str">
            <v>Arte</v>
          </cell>
          <cell r="G9561" t="str">
            <v>Real</v>
          </cell>
        </row>
        <row r="9562">
          <cell r="A9562" t="str">
            <v>POOLSEGUR</v>
          </cell>
          <cell r="B9562">
            <v>202408</v>
          </cell>
          <cell r="D9562" t="str">
            <v>Autos</v>
          </cell>
          <cell r="G9562" t="str">
            <v>Real</v>
          </cell>
        </row>
        <row r="9563">
          <cell r="A9563" t="str">
            <v>POOLSEGUR</v>
          </cell>
          <cell r="B9563">
            <v>202408</v>
          </cell>
          <cell r="D9563" t="str">
            <v>B2B2C</v>
          </cell>
          <cell r="G9563" t="str">
            <v>Real</v>
          </cell>
        </row>
        <row r="9564">
          <cell r="A9564" t="str">
            <v>POOLSEGUR</v>
          </cell>
          <cell r="B9564">
            <v>202408</v>
          </cell>
          <cell r="D9564" t="str">
            <v>Hogar</v>
          </cell>
          <cell r="G9564" t="str">
            <v>Real</v>
          </cell>
        </row>
        <row r="9565">
          <cell r="A9565" t="str">
            <v>POOLSEGUR</v>
          </cell>
          <cell r="B9565">
            <v>202408</v>
          </cell>
          <cell r="D9565" t="str">
            <v>Líneas Financieras</v>
          </cell>
          <cell r="G9565" t="str">
            <v>Real</v>
          </cell>
        </row>
        <row r="9566">
          <cell r="A9566" t="str">
            <v>POOLSEGUR</v>
          </cell>
          <cell r="B9566">
            <v>202408</v>
          </cell>
          <cell r="D9566" t="str">
            <v>Particulares Resto</v>
          </cell>
          <cell r="G9566" t="str">
            <v>Real</v>
          </cell>
        </row>
        <row r="9567">
          <cell r="A9567" t="str">
            <v>POOLSEGUR</v>
          </cell>
          <cell r="B9567">
            <v>202408</v>
          </cell>
          <cell r="D9567" t="str">
            <v>Property</v>
          </cell>
          <cell r="G9567" t="str">
            <v>Real</v>
          </cell>
        </row>
        <row r="9568">
          <cell r="A9568" t="str">
            <v>POOLSEGUR</v>
          </cell>
          <cell r="B9568">
            <v>202408</v>
          </cell>
          <cell r="D9568" t="str">
            <v>RC</v>
          </cell>
          <cell r="G9568" t="str">
            <v>Real</v>
          </cell>
        </row>
        <row r="9569">
          <cell r="A9569" t="str">
            <v>POOLSEGUR</v>
          </cell>
          <cell r="B9569">
            <v>202408</v>
          </cell>
          <cell r="D9569" t="str">
            <v>Seguros Personales (No Vida) Colectivos</v>
          </cell>
          <cell r="G9569" t="str">
            <v>Real</v>
          </cell>
        </row>
        <row r="9570">
          <cell r="A9570" t="str">
            <v>POOLSEGUR</v>
          </cell>
          <cell r="B9570">
            <v>202408</v>
          </cell>
          <cell r="D9570" t="str">
            <v>Seguros Personales (No Vida) Particular</v>
          </cell>
          <cell r="G9570" t="str">
            <v>Real</v>
          </cell>
        </row>
        <row r="9571">
          <cell r="A9571" t="str">
            <v>POOLSEGUR</v>
          </cell>
          <cell r="B9571">
            <v>202408</v>
          </cell>
          <cell r="D9571" t="str">
            <v>Venta Cruzada</v>
          </cell>
          <cell r="G9571" t="str">
            <v>Real</v>
          </cell>
        </row>
        <row r="9572">
          <cell r="A9572" t="str">
            <v>POOLSEGUR</v>
          </cell>
          <cell r="B9572">
            <v>202408</v>
          </cell>
          <cell r="D9572" t="str">
            <v>Vida Ahorro Particular</v>
          </cell>
          <cell r="G9572" t="str">
            <v>Real</v>
          </cell>
        </row>
        <row r="9573">
          <cell r="A9573" t="str">
            <v>POOLSEGUR</v>
          </cell>
          <cell r="B9573">
            <v>202408</v>
          </cell>
          <cell r="D9573" t="str">
            <v>Vida Riesgo Colectivo</v>
          </cell>
          <cell r="G9573" t="str">
            <v>Real</v>
          </cell>
        </row>
        <row r="9574">
          <cell r="A9574" t="str">
            <v>POOLSEGUR</v>
          </cell>
          <cell r="B9574">
            <v>202408</v>
          </cell>
          <cell r="D9574" t="str">
            <v>Vida Riesgo Particular</v>
          </cell>
          <cell r="G9574" t="str">
            <v>Real</v>
          </cell>
        </row>
        <row r="9575">
          <cell r="A9575" t="str">
            <v>POOLSEGUR</v>
          </cell>
          <cell r="B9575">
            <v>202409</v>
          </cell>
          <cell r="D9575" t="str">
            <v>--</v>
          </cell>
          <cell r="G9575" t="str">
            <v>Real</v>
          </cell>
        </row>
        <row r="9576">
          <cell r="A9576" t="str">
            <v>POOLSEGUR</v>
          </cell>
          <cell r="B9576">
            <v>202409</v>
          </cell>
          <cell r="D9576" t="str">
            <v>Arte</v>
          </cell>
          <cell r="G9576" t="str">
            <v>Real</v>
          </cell>
        </row>
        <row r="9577">
          <cell r="A9577" t="str">
            <v>POOLSEGUR</v>
          </cell>
          <cell r="B9577">
            <v>202409</v>
          </cell>
          <cell r="D9577" t="str">
            <v>Autos</v>
          </cell>
          <cell r="G9577" t="str">
            <v>Real</v>
          </cell>
        </row>
        <row r="9578">
          <cell r="A9578" t="str">
            <v>POOLSEGUR</v>
          </cell>
          <cell r="B9578">
            <v>202409</v>
          </cell>
          <cell r="D9578" t="str">
            <v>B2B2C</v>
          </cell>
          <cell r="G9578" t="str">
            <v>Real</v>
          </cell>
        </row>
        <row r="9579">
          <cell r="A9579" t="str">
            <v>POOLSEGUR</v>
          </cell>
          <cell r="B9579">
            <v>202409</v>
          </cell>
          <cell r="D9579" t="str">
            <v>Hogar</v>
          </cell>
          <cell r="G9579" t="str">
            <v>Real</v>
          </cell>
        </row>
        <row r="9580">
          <cell r="A9580" t="str">
            <v>POOLSEGUR</v>
          </cell>
          <cell r="B9580">
            <v>202409</v>
          </cell>
          <cell r="D9580" t="str">
            <v>Líneas Financieras</v>
          </cell>
          <cell r="G9580" t="str">
            <v>Real</v>
          </cell>
        </row>
        <row r="9581">
          <cell r="A9581" t="str">
            <v>POOLSEGUR</v>
          </cell>
          <cell r="B9581">
            <v>202409</v>
          </cell>
          <cell r="D9581" t="str">
            <v>Particulares Resto</v>
          </cell>
          <cell r="G9581" t="str">
            <v>Real</v>
          </cell>
        </row>
        <row r="9582">
          <cell r="A9582" t="str">
            <v>POOLSEGUR</v>
          </cell>
          <cell r="B9582">
            <v>202409</v>
          </cell>
          <cell r="D9582" t="str">
            <v>Property</v>
          </cell>
          <cell r="G9582" t="str">
            <v>Real</v>
          </cell>
        </row>
        <row r="9583">
          <cell r="A9583" t="str">
            <v>POOLSEGUR</v>
          </cell>
          <cell r="B9583">
            <v>202409</v>
          </cell>
          <cell r="D9583" t="str">
            <v>RC</v>
          </cell>
          <cell r="G9583" t="str">
            <v>Real</v>
          </cell>
        </row>
        <row r="9584">
          <cell r="A9584" t="str">
            <v>POOLSEGUR</v>
          </cell>
          <cell r="B9584">
            <v>202409</v>
          </cell>
          <cell r="D9584" t="str">
            <v>Seguros Personales (No Vida) Colectivos</v>
          </cell>
          <cell r="G9584" t="str">
            <v>Real</v>
          </cell>
        </row>
        <row r="9585">
          <cell r="A9585" t="str">
            <v>POOLSEGUR</v>
          </cell>
          <cell r="B9585">
            <v>202409</v>
          </cell>
          <cell r="D9585" t="str">
            <v>Seguros Personales (No Vida) Particular</v>
          </cell>
          <cell r="G9585" t="str">
            <v>Real</v>
          </cell>
        </row>
        <row r="9586">
          <cell r="A9586" t="str">
            <v>POOLSEGUR</v>
          </cell>
          <cell r="B9586">
            <v>202409</v>
          </cell>
          <cell r="D9586" t="str">
            <v>Venta Cruzada</v>
          </cell>
          <cell r="G9586" t="str">
            <v>Real</v>
          </cell>
        </row>
        <row r="9587">
          <cell r="A9587" t="str">
            <v>POOLSEGUR</v>
          </cell>
          <cell r="B9587">
            <v>202409</v>
          </cell>
          <cell r="D9587" t="str">
            <v>Vida Ahorro Particular</v>
          </cell>
          <cell r="G9587" t="str">
            <v>Real</v>
          </cell>
        </row>
        <row r="9588">
          <cell r="A9588" t="str">
            <v>POOLSEGUR</v>
          </cell>
          <cell r="B9588">
            <v>202409</v>
          </cell>
          <cell r="D9588" t="str">
            <v>Vida Riesgo Colectivo</v>
          </cell>
          <cell r="G9588" t="str">
            <v>Real</v>
          </cell>
        </row>
        <row r="9589">
          <cell r="A9589" t="str">
            <v>POOLSEGUR</v>
          </cell>
          <cell r="B9589">
            <v>202409</v>
          </cell>
          <cell r="D9589" t="str">
            <v>Vida Riesgo Particular</v>
          </cell>
          <cell r="G9589" t="str">
            <v>Real</v>
          </cell>
        </row>
        <row r="9590">
          <cell r="A9590" t="str">
            <v>POOLSEGUR</v>
          </cell>
          <cell r="B9590">
            <v>202410</v>
          </cell>
          <cell r="D9590" t="str">
            <v>--</v>
          </cell>
          <cell r="G9590" t="str">
            <v>Real</v>
          </cell>
        </row>
        <row r="9591">
          <cell r="A9591" t="str">
            <v>POOLSEGUR</v>
          </cell>
          <cell r="B9591">
            <v>202410</v>
          </cell>
          <cell r="D9591" t="str">
            <v>Arte</v>
          </cell>
          <cell r="G9591" t="str">
            <v>Real</v>
          </cell>
        </row>
        <row r="9592">
          <cell r="A9592" t="str">
            <v>POOLSEGUR</v>
          </cell>
          <cell r="B9592">
            <v>202410</v>
          </cell>
          <cell r="D9592" t="str">
            <v>Autos</v>
          </cell>
          <cell r="G9592" t="str">
            <v>Real</v>
          </cell>
        </row>
        <row r="9593">
          <cell r="A9593" t="str">
            <v>POOLSEGUR</v>
          </cell>
          <cell r="B9593">
            <v>202410</v>
          </cell>
          <cell r="D9593" t="str">
            <v>B2B2C</v>
          </cell>
          <cell r="G9593" t="str">
            <v>Real</v>
          </cell>
        </row>
        <row r="9594">
          <cell r="A9594" t="str">
            <v>POOLSEGUR</v>
          </cell>
          <cell r="B9594">
            <v>202410</v>
          </cell>
          <cell r="D9594" t="str">
            <v>Hogar</v>
          </cell>
          <cell r="G9594" t="str">
            <v>Real</v>
          </cell>
        </row>
        <row r="9595">
          <cell r="A9595" t="str">
            <v>POOLSEGUR</v>
          </cell>
          <cell r="B9595">
            <v>202410</v>
          </cell>
          <cell r="D9595" t="str">
            <v>Ingeniería</v>
          </cell>
          <cell r="G9595" t="str">
            <v>Real</v>
          </cell>
        </row>
        <row r="9596">
          <cell r="A9596" t="str">
            <v>POOLSEGUR</v>
          </cell>
          <cell r="B9596">
            <v>202410</v>
          </cell>
          <cell r="D9596" t="str">
            <v>Líneas Financieras</v>
          </cell>
          <cell r="G9596" t="str">
            <v>Real</v>
          </cell>
        </row>
        <row r="9597">
          <cell r="A9597" t="str">
            <v>POOLSEGUR</v>
          </cell>
          <cell r="B9597">
            <v>202410</v>
          </cell>
          <cell r="D9597" t="str">
            <v>Particulares Resto</v>
          </cell>
          <cell r="G9597" t="str">
            <v>Real</v>
          </cell>
        </row>
        <row r="9598">
          <cell r="A9598" t="str">
            <v>POOLSEGUR</v>
          </cell>
          <cell r="B9598">
            <v>202410</v>
          </cell>
          <cell r="D9598" t="str">
            <v>Property</v>
          </cell>
          <cell r="G9598" t="str">
            <v>Real</v>
          </cell>
        </row>
        <row r="9599">
          <cell r="A9599" t="str">
            <v>POOLSEGUR</v>
          </cell>
          <cell r="B9599">
            <v>202410</v>
          </cell>
          <cell r="D9599" t="str">
            <v>RC</v>
          </cell>
          <cell r="G9599" t="str">
            <v>Real</v>
          </cell>
        </row>
        <row r="9600">
          <cell r="A9600" t="str">
            <v>POOLSEGUR</v>
          </cell>
          <cell r="B9600">
            <v>202410</v>
          </cell>
          <cell r="D9600" t="str">
            <v>Seguros Personales (No Vida) Colectivos</v>
          </cell>
          <cell r="G9600" t="str">
            <v>Real</v>
          </cell>
        </row>
        <row r="9601">
          <cell r="A9601" t="str">
            <v>POOLSEGUR</v>
          </cell>
          <cell r="B9601">
            <v>202410</v>
          </cell>
          <cell r="D9601" t="str">
            <v>Seguros Personales (No Vida) Particular</v>
          </cell>
          <cell r="G9601" t="str">
            <v>Real</v>
          </cell>
        </row>
        <row r="9602">
          <cell r="A9602" t="str">
            <v>POOLSEGUR</v>
          </cell>
          <cell r="B9602">
            <v>202410</v>
          </cell>
          <cell r="D9602" t="str">
            <v>Transporte</v>
          </cell>
          <cell r="G9602" t="str">
            <v>Real</v>
          </cell>
        </row>
        <row r="9603">
          <cell r="A9603" t="str">
            <v>POOLSEGUR</v>
          </cell>
          <cell r="B9603">
            <v>202410</v>
          </cell>
          <cell r="D9603" t="str">
            <v>Venta Cruzada</v>
          </cell>
          <cell r="G9603" t="str">
            <v>Real</v>
          </cell>
        </row>
        <row r="9604">
          <cell r="A9604" t="str">
            <v>POOLSEGUR</v>
          </cell>
          <cell r="B9604">
            <v>202410</v>
          </cell>
          <cell r="D9604" t="str">
            <v>Vida Ahorro Particular</v>
          </cell>
          <cell r="G9604" t="str">
            <v>Real</v>
          </cell>
        </row>
        <row r="9605">
          <cell r="A9605" t="str">
            <v>POOLSEGUR</v>
          </cell>
          <cell r="B9605">
            <v>202410</v>
          </cell>
          <cell r="D9605" t="str">
            <v>Vida Riesgo Colectivo</v>
          </cell>
          <cell r="G9605" t="str">
            <v>Real</v>
          </cell>
        </row>
        <row r="9606">
          <cell r="A9606" t="str">
            <v>POOLSEGUR</v>
          </cell>
          <cell r="B9606">
            <v>202410</v>
          </cell>
          <cell r="D9606" t="str">
            <v>Vida Riesgo Particular</v>
          </cell>
          <cell r="G9606" t="str">
            <v>Real</v>
          </cell>
        </row>
        <row r="9607">
          <cell r="A9607" t="str">
            <v>POOLSEGUR</v>
          </cell>
          <cell r="B9607">
            <v>202411</v>
          </cell>
          <cell r="D9607" t="str">
            <v>--</v>
          </cell>
          <cell r="G9607" t="str">
            <v>Real</v>
          </cell>
        </row>
        <row r="9608">
          <cell r="A9608" t="str">
            <v>POOLSEGUR</v>
          </cell>
          <cell r="B9608">
            <v>202411</v>
          </cell>
          <cell r="D9608" t="str">
            <v>Arte</v>
          </cell>
          <cell r="G9608" t="str">
            <v>Real</v>
          </cell>
        </row>
        <row r="9609">
          <cell r="A9609" t="str">
            <v>POOLSEGUR</v>
          </cell>
          <cell r="B9609">
            <v>202411</v>
          </cell>
          <cell r="D9609" t="str">
            <v>Autos</v>
          </cell>
          <cell r="G9609" t="str">
            <v>Real</v>
          </cell>
        </row>
        <row r="9610">
          <cell r="A9610" t="str">
            <v>POOLSEGUR</v>
          </cell>
          <cell r="B9610">
            <v>202411</v>
          </cell>
          <cell r="D9610" t="str">
            <v>B2B2C</v>
          </cell>
          <cell r="G9610" t="str">
            <v>Real</v>
          </cell>
        </row>
        <row r="9611">
          <cell r="A9611" t="str">
            <v>POOLSEGUR</v>
          </cell>
          <cell r="B9611">
            <v>202411</v>
          </cell>
          <cell r="D9611" t="str">
            <v>Flotas</v>
          </cell>
          <cell r="G9611" t="str">
            <v>Real</v>
          </cell>
        </row>
        <row r="9612">
          <cell r="A9612" t="str">
            <v>POOLSEGUR</v>
          </cell>
          <cell r="B9612">
            <v>202411</v>
          </cell>
          <cell r="D9612" t="str">
            <v>Hogar</v>
          </cell>
          <cell r="G9612" t="str">
            <v>Real</v>
          </cell>
        </row>
        <row r="9613">
          <cell r="A9613" t="str">
            <v>POOLSEGUR</v>
          </cell>
          <cell r="B9613">
            <v>202411</v>
          </cell>
          <cell r="D9613" t="str">
            <v>Ingeniería</v>
          </cell>
          <cell r="G9613" t="str">
            <v>Real</v>
          </cell>
        </row>
        <row r="9614">
          <cell r="A9614" t="str">
            <v>POOLSEGUR</v>
          </cell>
          <cell r="B9614">
            <v>202411</v>
          </cell>
          <cell r="D9614" t="str">
            <v>Líneas Financieras</v>
          </cell>
          <cell r="G9614" t="str">
            <v>Real</v>
          </cell>
        </row>
        <row r="9615">
          <cell r="A9615" t="str">
            <v>POOLSEGUR</v>
          </cell>
          <cell r="B9615">
            <v>202411</v>
          </cell>
          <cell r="D9615" t="str">
            <v>Particulares Resto</v>
          </cell>
          <cell r="G9615" t="str">
            <v>Real</v>
          </cell>
        </row>
        <row r="9616">
          <cell r="A9616" t="str">
            <v>POOLSEGUR</v>
          </cell>
          <cell r="B9616">
            <v>202411</v>
          </cell>
          <cell r="D9616" t="str">
            <v>Property</v>
          </cell>
          <cell r="G9616" t="str">
            <v>Real</v>
          </cell>
        </row>
        <row r="9617">
          <cell r="A9617" t="str">
            <v>POOLSEGUR</v>
          </cell>
          <cell r="B9617">
            <v>202411</v>
          </cell>
          <cell r="D9617" t="str">
            <v>RC</v>
          </cell>
          <cell r="G9617" t="str">
            <v>Real</v>
          </cell>
        </row>
        <row r="9618">
          <cell r="A9618" t="str">
            <v>POOLSEGUR</v>
          </cell>
          <cell r="B9618">
            <v>202411</v>
          </cell>
          <cell r="D9618" t="str">
            <v>Seguros Personales (No Vida) Colectivos</v>
          </cell>
          <cell r="G9618" t="str">
            <v>Real</v>
          </cell>
        </row>
        <row r="9619">
          <cell r="A9619" t="str">
            <v>POOLSEGUR</v>
          </cell>
          <cell r="B9619">
            <v>202411</v>
          </cell>
          <cell r="D9619" t="str">
            <v>Seguros Personales (No Vida) Particular</v>
          </cell>
          <cell r="G9619" t="str">
            <v>Real</v>
          </cell>
        </row>
        <row r="9620">
          <cell r="A9620" t="str">
            <v>POOLSEGUR</v>
          </cell>
          <cell r="B9620">
            <v>202411</v>
          </cell>
          <cell r="D9620" t="str">
            <v>Transporte</v>
          </cell>
          <cell r="G9620" t="str">
            <v>Real</v>
          </cell>
        </row>
        <row r="9621">
          <cell r="A9621" t="str">
            <v>POOLSEGUR</v>
          </cell>
          <cell r="B9621">
            <v>202411</v>
          </cell>
          <cell r="D9621" t="str">
            <v>Venta Cruzada</v>
          </cell>
          <cell r="G9621" t="str">
            <v>Real</v>
          </cell>
        </row>
        <row r="9622">
          <cell r="A9622" t="str">
            <v>POOLSEGUR</v>
          </cell>
          <cell r="B9622">
            <v>202411</v>
          </cell>
          <cell r="D9622" t="str">
            <v>Vida Ahorro Particular</v>
          </cell>
          <cell r="G9622" t="str">
            <v>Real</v>
          </cell>
        </row>
        <row r="9623">
          <cell r="A9623" t="str">
            <v>POOLSEGUR</v>
          </cell>
          <cell r="B9623">
            <v>202411</v>
          </cell>
          <cell r="D9623" t="str">
            <v>Vida Riesgo Colectivo</v>
          </cell>
          <cell r="G9623" t="str">
            <v>Real</v>
          </cell>
        </row>
        <row r="9624">
          <cell r="A9624" t="str">
            <v>POOLSEGUR</v>
          </cell>
          <cell r="B9624">
            <v>202411</v>
          </cell>
          <cell r="D9624" t="str">
            <v>Vida Riesgo Particular</v>
          </cell>
          <cell r="G9624" t="str">
            <v>Real</v>
          </cell>
        </row>
        <row r="9625">
          <cell r="A9625" t="str">
            <v>POOLSEGUR</v>
          </cell>
          <cell r="B9625">
            <v>202412</v>
          </cell>
          <cell r="D9625" t="str">
            <v>--</v>
          </cell>
          <cell r="G9625" t="str">
            <v>Real</v>
          </cell>
        </row>
        <row r="9626">
          <cell r="A9626" t="str">
            <v>POOLSEGUR</v>
          </cell>
          <cell r="B9626">
            <v>202412</v>
          </cell>
          <cell r="D9626" t="str">
            <v>Arte</v>
          </cell>
          <cell r="G9626" t="str">
            <v>Real</v>
          </cell>
        </row>
        <row r="9627">
          <cell r="A9627" t="str">
            <v>POOLSEGUR</v>
          </cell>
          <cell r="B9627">
            <v>202412</v>
          </cell>
          <cell r="D9627" t="str">
            <v>Autos</v>
          </cell>
          <cell r="G9627" t="str">
            <v>Real</v>
          </cell>
        </row>
        <row r="9628">
          <cell r="A9628" t="str">
            <v>POOLSEGUR</v>
          </cell>
          <cell r="B9628">
            <v>202412</v>
          </cell>
          <cell r="D9628" t="str">
            <v>B2B2C</v>
          </cell>
          <cell r="G9628" t="str">
            <v>Real</v>
          </cell>
        </row>
        <row r="9629">
          <cell r="A9629" t="str">
            <v>POOLSEGUR</v>
          </cell>
          <cell r="B9629">
            <v>202412</v>
          </cell>
          <cell r="D9629" t="str">
            <v>Hogar</v>
          </cell>
          <cell r="G9629" t="str">
            <v>Real</v>
          </cell>
        </row>
        <row r="9630">
          <cell r="A9630" t="str">
            <v>POOLSEGUR</v>
          </cell>
          <cell r="B9630">
            <v>202412</v>
          </cell>
          <cell r="D9630" t="str">
            <v>Líneas Financieras</v>
          </cell>
          <cell r="G9630" t="str">
            <v>Real</v>
          </cell>
        </row>
        <row r="9631">
          <cell r="A9631" t="str">
            <v>POOLSEGUR</v>
          </cell>
          <cell r="B9631">
            <v>202412</v>
          </cell>
          <cell r="D9631" t="str">
            <v>Particulares Resto</v>
          </cell>
          <cell r="G9631" t="str">
            <v>Real</v>
          </cell>
        </row>
        <row r="9632">
          <cell r="A9632" t="str">
            <v>POOLSEGUR</v>
          </cell>
          <cell r="B9632">
            <v>202412</v>
          </cell>
          <cell r="D9632" t="str">
            <v>Property</v>
          </cell>
          <cell r="G9632" t="str">
            <v>Real</v>
          </cell>
        </row>
        <row r="9633">
          <cell r="A9633" t="str">
            <v>POOLSEGUR</v>
          </cell>
          <cell r="B9633">
            <v>202412</v>
          </cell>
          <cell r="D9633" t="str">
            <v>RC</v>
          </cell>
          <cell r="G9633" t="str">
            <v>Real</v>
          </cell>
        </row>
        <row r="9634">
          <cell r="A9634" t="str">
            <v>POOLSEGUR</v>
          </cell>
          <cell r="B9634">
            <v>202412</v>
          </cell>
          <cell r="D9634" t="str">
            <v>Seguros Personales (No Vida) Colectivos</v>
          </cell>
          <cell r="G9634" t="str">
            <v>Real</v>
          </cell>
        </row>
        <row r="9635">
          <cell r="A9635" t="str">
            <v>POOLSEGUR</v>
          </cell>
          <cell r="B9635">
            <v>202412</v>
          </cell>
          <cell r="D9635" t="str">
            <v>Seguros Personales (No Vida) Particular</v>
          </cell>
          <cell r="G9635" t="str">
            <v>Real</v>
          </cell>
        </row>
        <row r="9636">
          <cell r="A9636" t="str">
            <v>POOLSEGUR</v>
          </cell>
          <cell r="B9636">
            <v>202412</v>
          </cell>
          <cell r="D9636" t="str">
            <v>Transporte</v>
          </cell>
          <cell r="G9636" t="str">
            <v>Real</v>
          </cell>
        </row>
        <row r="9637">
          <cell r="A9637" t="str">
            <v>POOLSEGUR</v>
          </cell>
          <cell r="B9637">
            <v>202412</v>
          </cell>
          <cell r="D9637" t="str">
            <v>Venta Cruzada</v>
          </cell>
          <cell r="G9637" t="str">
            <v>Real</v>
          </cell>
        </row>
        <row r="9638">
          <cell r="A9638" t="str">
            <v>POOLSEGUR</v>
          </cell>
          <cell r="B9638">
            <v>202412</v>
          </cell>
          <cell r="D9638" t="str">
            <v>Vida Ahorro Particular</v>
          </cell>
          <cell r="G9638" t="str">
            <v>Real</v>
          </cell>
        </row>
        <row r="9639">
          <cell r="A9639" t="str">
            <v>POOLSEGUR</v>
          </cell>
          <cell r="B9639">
            <v>202412</v>
          </cell>
          <cell r="D9639" t="str">
            <v>Vida Riesgo Colectivo</v>
          </cell>
          <cell r="G9639" t="str">
            <v>Real</v>
          </cell>
        </row>
        <row r="9640">
          <cell r="A9640" t="str">
            <v>POOLSEGUR</v>
          </cell>
          <cell r="B9640">
            <v>202412</v>
          </cell>
          <cell r="D9640" t="str">
            <v>Vida Riesgo Particular</v>
          </cell>
          <cell r="G9640" t="str">
            <v>Real</v>
          </cell>
        </row>
        <row r="9641">
          <cell r="A9641" t="str">
            <v>POOLSEGUR</v>
          </cell>
          <cell r="B9641">
            <v>202501</v>
          </cell>
          <cell r="D9641" t="str">
            <v>--</v>
          </cell>
          <cell r="G9641" t="str">
            <v>Presupuesto</v>
          </cell>
        </row>
        <row r="9642">
          <cell r="A9642" t="str">
            <v>POOLSEGUR</v>
          </cell>
          <cell r="B9642">
            <v>202501</v>
          </cell>
          <cell r="D9642" t="str">
            <v>--</v>
          </cell>
          <cell r="G9642" t="str">
            <v>Real</v>
          </cell>
        </row>
        <row r="9643">
          <cell r="A9643" t="str">
            <v>POOLSEGUR</v>
          </cell>
          <cell r="B9643">
            <v>202501</v>
          </cell>
          <cell r="D9643" t="str">
            <v>Arte</v>
          </cell>
          <cell r="G9643" t="str">
            <v>Presupuesto</v>
          </cell>
        </row>
        <row r="9644">
          <cell r="A9644" t="str">
            <v>POOLSEGUR</v>
          </cell>
          <cell r="B9644">
            <v>202501</v>
          </cell>
          <cell r="D9644" t="str">
            <v>Arte</v>
          </cell>
          <cell r="G9644" t="str">
            <v>Real</v>
          </cell>
        </row>
        <row r="9645">
          <cell r="A9645" t="str">
            <v>POOLSEGUR</v>
          </cell>
          <cell r="B9645">
            <v>202501</v>
          </cell>
          <cell r="D9645" t="str">
            <v>Autos</v>
          </cell>
          <cell r="G9645" t="str">
            <v>Presupuesto</v>
          </cell>
        </row>
        <row r="9646">
          <cell r="A9646" t="str">
            <v>POOLSEGUR</v>
          </cell>
          <cell r="B9646">
            <v>202501</v>
          </cell>
          <cell r="D9646" t="str">
            <v>Autos</v>
          </cell>
          <cell r="G9646" t="str">
            <v>Real</v>
          </cell>
        </row>
        <row r="9647">
          <cell r="A9647" t="str">
            <v>POOLSEGUR</v>
          </cell>
          <cell r="B9647">
            <v>202501</v>
          </cell>
          <cell r="D9647" t="str">
            <v>B2B2C</v>
          </cell>
          <cell r="G9647" t="str">
            <v>Presupuesto</v>
          </cell>
        </row>
        <row r="9648">
          <cell r="A9648" t="str">
            <v>POOLSEGUR</v>
          </cell>
          <cell r="B9648">
            <v>202501</v>
          </cell>
          <cell r="D9648" t="str">
            <v>B2B2C</v>
          </cell>
          <cell r="G9648" t="str">
            <v>Real</v>
          </cell>
        </row>
        <row r="9649">
          <cell r="A9649" t="str">
            <v>POOLSEGUR</v>
          </cell>
          <cell r="B9649">
            <v>202501</v>
          </cell>
          <cell r="D9649" t="str">
            <v>Caución</v>
          </cell>
          <cell r="G9649" t="str">
            <v>Presupuesto</v>
          </cell>
        </row>
        <row r="9650">
          <cell r="A9650" t="str">
            <v>POOLSEGUR</v>
          </cell>
          <cell r="B9650">
            <v>202501</v>
          </cell>
          <cell r="D9650" t="str">
            <v>Crédito Nacional</v>
          </cell>
          <cell r="G9650" t="str">
            <v>Real</v>
          </cell>
        </row>
        <row r="9651">
          <cell r="A9651" t="str">
            <v>POOLSEGUR</v>
          </cell>
          <cell r="B9651">
            <v>202501</v>
          </cell>
          <cell r="D9651" t="str">
            <v>Crédito Internacional</v>
          </cell>
          <cell r="G9651" t="str">
            <v>Presupuesto</v>
          </cell>
        </row>
        <row r="9652">
          <cell r="A9652" t="str">
            <v>POOLSEGUR</v>
          </cell>
          <cell r="B9652">
            <v>202501</v>
          </cell>
          <cell r="D9652" t="str">
            <v>Crédito Nacional</v>
          </cell>
          <cell r="G9652" t="str">
            <v>Presupuesto</v>
          </cell>
        </row>
        <row r="9653">
          <cell r="A9653" t="str">
            <v>POOLSEGUR</v>
          </cell>
          <cell r="B9653">
            <v>202501</v>
          </cell>
          <cell r="D9653" t="str">
            <v>Eventos</v>
          </cell>
          <cell r="G9653" t="str">
            <v>Presupuesto</v>
          </cell>
        </row>
        <row r="9654">
          <cell r="A9654" t="str">
            <v>POOLSEGUR</v>
          </cell>
          <cell r="B9654">
            <v>202501</v>
          </cell>
          <cell r="D9654" t="str">
            <v>Flotas</v>
          </cell>
          <cell r="G9654" t="str">
            <v>Presupuesto</v>
          </cell>
        </row>
        <row r="9655">
          <cell r="A9655" t="str">
            <v>POOLSEGUR</v>
          </cell>
          <cell r="B9655">
            <v>202501</v>
          </cell>
          <cell r="D9655" t="str">
            <v>Flotas</v>
          </cell>
          <cell r="G9655" t="str">
            <v>Real</v>
          </cell>
        </row>
        <row r="9656">
          <cell r="A9656" t="str">
            <v>POOLSEGUR</v>
          </cell>
          <cell r="B9656">
            <v>202501</v>
          </cell>
          <cell r="D9656" t="str">
            <v>Hogar</v>
          </cell>
          <cell r="G9656" t="str">
            <v>Presupuesto</v>
          </cell>
        </row>
        <row r="9657">
          <cell r="A9657" t="str">
            <v>POOLSEGUR</v>
          </cell>
          <cell r="B9657">
            <v>202501</v>
          </cell>
          <cell r="D9657" t="str">
            <v>Hogar</v>
          </cell>
          <cell r="G9657" t="str">
            <v>Real</v>
          </cell>
        </row>
        <row r="9658">
          <cell r="A9658" t="str">
            <v>POOLSEGUR</v>
          </cell>
          <cell r="B9658">
            <v>202501</v>
          </cell>
          <cell r="D9658" t="str">
            <v>Ingeniería</v>
          </cell>
          <cell r="G9658" t="str">
            <v>Presupuesto</v>
          </cell>
        </row>
        <row r="9659">
          <cell r="A9659" t="str">
            <v>POOLSEGUR</v>
          </cell>
          <cell r="B9659">
            <v>202501</v>
          </cell>
          <cell r="D9659" t="str">
            <v>Ingeniería</v>
          </cell>
          <cell r="G9659" t="str">
            <v>Real</v>
          </cell>
        </row>
        <row r="9660">
          <cell r="A9660" t="str">
            <v>POOLSEGUR</v>
          </cell>
          <cell r="B9660">
            <v>202501</v>
          </cell>
          <cell r="D9660" t="str">
            <v>Inmobiliario</v>
          </cell>
          <cell r="G9660" t="str">
            <v>Presupuesto</v>
          </cell>
        </row>
        <row r="9661">
          <cell r="A9661" t="str">
            <v>POOLSEGUR</v>
          </cell>
          <cell r="B9661">
            <v>202501</v>
          </cell>
          <cell r="D9661" t="str">
            <v>Líneas Financieras</v>
          </cell>
          <cell r="G9661" t="str">
            <v>Presupuesto</v>
          </cell>
        </row>
        <row r="9662">
          <cell r="A9662" t="str">
            <v>POOLSEGUR</v>
          </cell>
          <cell r="B9662">
            <v>202501</v>
          </cell>
          <cell r="D9662" t="str">
            <v>Líneas Financieras</v>
          </cell>
          <cell r="G9662" t="str">
            <v>Real</v>
          </cell>
        </row>
        <row r="9663">
          <cell r="A9663" t="str">
            <v>POOLSEGUR</v>
          </cell>
          <cell r="B9663">
            <v>202501</v>
          </cell>
          <cell r="D9663" t="str">
            <v>Náutica</v>
          </cell>
          <cell r="G9663" t="str">
            <v>Presupuesto</v>
          </cell>
        </row>
        <row r="9664">
          <cell r="A9664" t="str">
            <v>POOLSEGUR</v>
          </cell>
          <cell r="B9664">
            <v>202501</v>
          </cell>
          <cell r="D9664" t="str">
            <v>Náutica</v>
          </cell>
          <cell r="G9664" t="str">
            <v>Real</v>
          </cell>
        </row>
        <row r="9665">
          <cell r="A9665" t="str">
            <v>POOLSEGUR</v>
          </cell>
          <cell r="B9665">
            <v>202501</v>
          </cell>
          <cell r="D9665" t="str">
            <v>Particulares Resto</v>
          </cell>
          <cell r="G9665" t="str">
            <v>Presupuesto</v>
          </cell>
        </row>
        <row r="9666">
          <cell r="A9666" t="str">
            <v>POOLSEGUR</v>
          </cell>
          <cell r="B9666">
            <v>202501</v>
          </cell>
          <cell r="D9666" t="str">
            <v>Particulares Resto</v>
          </cell>
          <cell r="G9666" t="str">
            <v>Real</v>
          </cell>
        </row>
        <row r="9667">
          <cell r="A9667" t="str">
            <v>POOLSEGUR</v>
          </cell>
          <cell r="B9667">
            <v>202501</v>
          </cell>
          <cell r="D9667" t="str">
            <v>Property</v>
          </cell>
          <cell r="G9667" t="str">
            <v>Presupuesto</v>
          </cell>
        </row>
        <row r="9668">
          <cell r="A9668" t="str">
            <v>POOLSEGUR</v>
          </cell>
          <cell r="B9668">
            <v>202501</v>
          </cell>
          <cell r="D9668" t="str">
            <v>Property</v>
          </cell>
          <cell r="G9668" t="str">
            <v>Real</v>
          </cell>
        </row>
        <row r="9669">
          <cell r="A9669" t="str">
            <v>POOLSEGUR</v>
          </cell>
          <cell r="B9669">
            <v>202501</v>
          </cell>
          <cell r="D9669" t="str">
            <v>RC</v>
          </cell>
          <cell r="G9669" t="str">
            <v>Presupuesto</v>
          </cell>
        </row>
        <row r="9670">
          <cell r="A9670" t="str">
            <v>POOLSEGUR</v>
          </cell>
          <cell r="B9670">
            <v>202501</v>
          </cell>
          <cell r="D9670" t="str">
            <v>RC</v>
          </cell>
          <cell r="G9670" t="str">
            <v>Real</v>
          </cell>
        </row>
        <row r="9671">
          <cell r="A9671" t="str">
            <v>POOLSEGUR</v>
          </cell>
          <cell r="B9671">
            <v>202501</v>
          </cell>
          <cell r="D9671" t="str">
            <v>Resto de lineas</v>
          </cell>
          <cell r="G9671" t="str">
            <v>Presupuesto</v>
          </cell>
        </row>
        <row r="9672">
          <cell r="A9672" t="str">
            <v>POOLSEGUR</v>
          </cell>
          <cell r="B9672">
            <v>202501</v>
          </cell>
          <cell r="D9672" t="str">
            <v>Retirada</v>
          </cell>
          <cell r="G9672" t="str">
            <v>Presupuesto</v>
          </cell>
        </row>
        <row r="9673">
          <cell r="A9673" t="str">
            <v>POOLSEGUR</v>
          </cell>
          <cell r="B9673">
            <v>202501</v>
          </cell>
          <cell r="D9673" t="str">
            <v>Seguros Personales (No Vida) Colectivos</v>
          </cell>
          <cell r="G9673" t="str">
            <v>Presupuesto</v>
          </cell>
        </row>
        <row r="9674">
          <cell r="A9674" t="str">
            <v>POOLSEGUR</v>
          </cell>
          <cell r="B9674">
            <v>202501</v>
          </cell>
          <cell r="D9674" t="str">
            <v>Seguros Personales (No Vida) Colectivos</v>
          </cell>
          <cell r="G9674" t="str">
            <v>Real</v>
          </cell>
        </row>
        <row r="9675">
          <cell r="A9675" t="str">
            <v>POOLSEGUR</v>
          </cell>
          <cell r="B9675">
            <v>202501</v>
          </cell>
          <cell r="D9675" t="str">
            <v>Seguros Personales (No Vida) Particular</v>
          </cell>
          <cell r="G9675" t="str">
            <v>Presupuesto</v>
          </cell>
        </row>
        <row r="9676">
          <cell r="A9676" t="str">
            <v>POOLSEGUR</v>
          </cell>
          <cell r="B9676">
            <v>202501</v>
          </cell>
          <cell r="D9676" t="str">
            <v>Seguros Personales (No Vida) Particular</v>
          </cell>
          <cell r="G9676" t="str">
            <v>Real</v>
          </cell>
        </row>
        <row r="9677">
          <cell r="A9677" t="str">
            <v>POOLSEGUR</v>
          </cell>
          <cell r="B9677">
            <v>202501</v>
          </cell>
          <cell r="D9677" t="str">
            <v>Transporte</v>
          </cell>
          <cell r="G9677" t="str">
            <v>Presupuesto</v>
          </cell>
        </row>
        <row r="9678">
          <cell r="A9678" t="str">
            <v>POOLSEGUR</v>
          </cell>
          <cell r="B9678">
            <v>202501</v>
          </cell>
          <cell r="D9678" t="str">
            <v>Venta Cruzada</v>
          </cell>
          <cell r="G9678" t="str">
            <v>Presupuesto</v>
          </cell>
        </row>
        <row r="9679">
          <cell r="A9679" t="str">
            <v>POOLSEGUR</v>
          </cell>
          <cell r="B9679">
            <v>202501</v>
          </cell>
          <cell r="D9679" t="str">
            <v>Venta Cruzada</v>
          </cell>
          <cell r="G9679" t="str">
            <v>Real</v>
          </cell>
        </row>
        <row r="9680">
          <cell r="A9680" t="str">
            <v>POOLSEGUR</v>
          </cell>
          <cell r="B9680">
            <v>202501</v>
          </cell>
          <cell r="D9680" t="str">
            <v>Vida Ahorro Colectivo</v>
          </cell>
          <cell r="G9680" t="str">
            <v>Presupuesto</v>
          </cell>
        </row>
        <row r="9681">
          <cell r="A9681" t="str">
            <v>POOLSEGUR</v>
          </cell>
          <cell r="B9681">
            <v>202501</v>
          </cell>
          <cell r="D9681" t="str">
            <v>Vida Ahorro Particular</v>
          </cell>
          <cell r="G9681" t="str">
            <v>Presupuesto</v>
          </cell>
        </row>
        <row r="9682">
          <cell r="A9682" t="str">
            <v>POOLSEGUR</v>
          </cell>
          <cell r="B9682">
            <v>202501</v>
          </cell>
          <cell r="D9682" t="str">
            <v>Vida Ahorro Particular</v>
          </cell>
          <cell r="G9682" t="str">
            <v>Real</v>
          </cell>
        </row>
        <row r="9683">
          <cell r="A9683" t="str">
            <v>POOLSEGUR</v>
          </cell>
          <cell r="B9683">
            <v>202501</v>
          </cell>
          <cell r="D9683" t="str">
            <v>Vida Ganado</v>
          </cell>
          <cell r="G9683" t="str">
            <v>Presupuesto</v>
          </cell>
        </row>
        <row r="9684">
          <cell r="A9684" t="str">
            <v>POOLSEGUR</v>
          </cell>
          <cell r="B9684">
            <v>202501</v>
          </cell>
          <cell r="D9684" t="str">
            <v>Vida Riesgo Colectivo</v>
          </cell>
          <cell r="G9684" t="str">
            <v>Presupuesto</v>
          </cell>
        </row>
        <row r="9685">
          <cell r="A9685" t="str">
            <v>POOLSEGUR</v>
          </cell>
          <cell r="B9685">
            <v>202501</v>
          </cell>
          <cell r="D9685" t="str">
            <v>Vida Riesgo Colectivo</v>
          </cell>
          <cell r="G9685" t="str">
            <v>Real</v>
          </cell>
        </row>
        <row r="9686">
          <cell r="A9686" t="str">
            <v>POOLSEGUR</v>
          </cell>
          <cell r="B9686">
            <v>202501</v>
          </cell>
          <cell r="D9686" t="str">
            <v>Vida Riesgo Particular</v>
          </cell>
          <cell r="G9686" t="str">
            <v>Presupuesto</v>
          </cell>
        </row>
        <row r="9687">
          <cell r="A9687" t="str">
            <v>POOLSEGUR</v>
          </cell>
          <cell r="B9687">
            <v>202501</v>
          </cell>
          <cell r="D9687" t="str">
            <v>Vida Riesgo Particular</v>
          </cell>
          <cell r="G9687" t="str">
            <v>Real</v>
          </cell>
        </row>
        <row r="9688">
          <cell r="A9688" t="str">
            <v>POOLSEGUR</v>
          </cell>
          <cell r="B9688">
            <v>202502</v>
          </cell>
          <cell r="D9688" t="str">
            <v>--</v>
          </cell>
          <cell r="G9688" t="str">
            <v>Presupuesto</v>
          </cell>
        </row>
        <row r="9689">
          <cell r="A9689" t="str">
            <v>POOLSEGUR</v>
          </cell>
          <cell r="B9689">
            <v>202502</v>
          </cell>
          <cell r="D9689" t="str">
            <v>--</v>
          </cell>
          <cell r="G9689" t="str">
            <v>Real</v>
          </cell>
        </row>
        <row r="9690">
          <cell r="A9690" t="str">
            <v>POOLSEGUR</v>
          </cell>
          <cell r="B9690">
            <v>202502</v>
          </cell>
          <cell r="D9690" t="str">
            <v>Arte</v>
          </cell>
          <cell r="G9690" t="str">
            <v>Presupuesto</v>
          </cell>
        </row>
        <row r="9691">
          <cell r="A9691" t="str">
            <v>POOLSEGUR</v>
          </cell>
          <cell r="B9691">
            <v>202502</v>
          </cell>
          <cell r="D9691" t="str">
            <v>Arte</v>
          </cell>
          <cell r="G9691" t="str">
            <v>Real</v>
          </cell>
        </row>
        <row r="9692">
          <cell r="A9692" t="str">
            <v>POOLSEGUR</v>
          </cell>
          <cell r="B9692">
            <v>202502</v>
          </cell>
          <cell r="D9692" t="str">
            <v>Autos</v>
          </cell>
          <cell r="G9692" t="str">
            <v>Presupuesto</v>
          </cell>
        </row>
        <row r="9693">
          <cell r="A9693" t="str">
            <v>POOLSEGUR</v>
          </cell>
          <cell r="B9693">
            <v>202502</v>
          </cell>
          <cell r="D9693" t="str">
            <v>Autos</v>
          </cell>
          <cell r="G9693" t="str">
            <v>Real</v>
          </cell>
        </row>
        <row r="9694">
          <cell r="A9694" t="str">
            <v>POOLSEGUR</v>
          </cell>
          <cell r="B9694">
            <v>202502</v>
          </cell>
          <cell r="D9694" t="str">
            <v>B2B2C</v>
          </cell>
          <cell r="G9694" t="str">
            <v>Presupuesto</v>
          </cell>
        </row>
        <row r="9695">
          <cell r="A9695" t="str">
            <v>POOLSEGUR</v>
          </cell>
          <cell r="B9695">
            <v>202502</v>
          </cell>
          <cell r="D9695" t="str">
            <v>B2B2C</v>
          </cell>
          <cell r="G9695" t="str">
            <v>Real</v>
          </cell>
        </row>
        <row r="9696">
          <cell r="A9696" t="str">
            <v>POOLSEGUR</v>
          </cell>
          <cell r="B9696">
            <v>202502</v>
          </cell>
          <cell r="D9696" t="str">
            <v>Caución</v>
          </cell>
          <cell r="G9696" t="str">
            <v>Presupuesto</v>
          </cell>
        </row>
        <row r="9697">
          <cell r="A9697" t="str">
            <v>POOLSEGUR</v>
          </cell>
          <cell r="B9697">
            <v>202502</v>
          </cell>
          <cell r="D9697" t="str">
            <v>Crédito Nacional</v>
          </cell>
          <cell r="G9697" t="str">
            <v>Real</v>
          </cell>
        </row>
        <row r="9698">
          <cell r="A9698" t="str">
            <v>POOLSEGUR</v>
          </cell>
          <cell r="B9698">
            <v>202502</v>
          </cell>
          <cell r="D9698" t="str">
            <v>Crédito Internacional</v>
          </cell>
          <cell r="G9698" t="str">
            <v>Presupuesto</v>
          </cell>
        </row>
        <row r="9699">
          <cell r="A9699" t="str">
            <v>POOLSEGUR</v>
          </cell>
          <cell r="B9699">
            <v>202502</v>
          </cell>
          <cell r="D9699" t="str">
            <v>Crédito Nacional</v>
          </cell>
          <cell r="G9699" t="str">
            <v>Presupuesto</v>
          </cell>
        </row>
        <row r="9700">
          <cell r="A9700" t="str">
            <v>POOLSEGUR</v>
          </cell>
          <cell r="B9700">
            <v>202502</v>
          </cell>
          <cell r="D9700" t="str">
            <v>Eventos</v>
          </cell>
          <cell r="G9700" t="str">
            <v>Presupuesto</v>
          </cell>
        </row>
        <row r="9701">
          <cell r="A9701" t="str">
            <v>POOLSEGUR</v>
          </cell>
          <cell r="B9701">
            <v>202502</v>
          </cell>
          <cell r="D9701" t="str">
            <v>Flotas</v>
          </cell>
          <cell r="G9701" t="str">
            <v>Presupuesto</v>
          </cell>
        </row>
        <row r="9702">
          <cell r="A9702" t="str">
            <v>POOLSEGUR</v>
          </cell>
          <cell r="B9702">
            <v>202502</v>
          </cell>
          <cell r="D9702" t="str">
            <v>Flotas</v>
          </cell>
          <cell r="G9702" t="str">
            <v>Real</v>
          </cell>
        </row>
        <row r="9703">
          <cell r="A9703" t="str">
            <v>POOLSEGUR</v>
          </cell>
          <cell r="B9703">
            <v>202502</v>
          </cell>
          <cell r="D9703" t="str">
            <v>Hogar</v>
          </cell>
          <cell r="G9703" t="str">
            <v>Presupuesto</v>
          </cell>
        </row>
        <row r="9704">
          <cell r="A9704" t="str">
            <v>POOLSEGUR</v>
          </cell>
          <cell r="B9704">
            <v>202502</v>
          </cell>
          <cell r="D9704" t="str">
            <v>Hogar</v>
          </cell>
          <cell r="G9704" t="str">
            <v>Real</v>
          </cell>
        </row>
        <row r="9705">
          <cell r="A9705" t="str">
            <v>POOLSEGUR</v>
          </cell>
          <cell r="B9705">
            <v>202502</v>
          </cell>
          <cell r="D9705" t="str">
            <v>Ingeniería</v>
          </cell>
          <cell r="G9705" t="str">
            <v>Presupuesto</v>
          </cell>
        </row>
        <row r="9706">
          <cell r="A9706" t="str">
            <v>POOLSEGUR</v>
          </cell>
          <cell r="B9706">
            <v>202502</v>
          </cell>
          <cell r="D9706" t="str">
            <v>Ingeniería</v>
          </cell>
          <cell r="G9706" t="str">
            <v>Real</v>
          </cell>
        </row>
        <row r="9707">
          <cell r="A9707" t="str">
            <v>POOLSEGUR</v>
          </cell>
          <cell r="B9707">
            <v>202502</v>
          </cell>
          <cell r="D9707" t="str">
            <v>Inmobiliario</v>
          </cell>
          <cell r="G9707" t="str">
            <v>Presupuesto</v>
          </cell>
        </row>
        <row r="9708">
          <cell r="A9708" t="str">
            <v>POOLSEGUR</v>
          </cell>
          <cell r="B9708">
            <v>202502</v>
          </cell>
          <cell r="D9708" t="str">
            <v>Líneas Financieras</v>
          </cell>
          <cell r="G9708" t="str">
            <v>Presupuesto</v>
          </cell>
        </row>
        <row r="9709">
          <cell r="A9709" t="str">
            <v>POOLSEGUR</v>
          </cell>
          <cell r="B9709">
            <v>202502</v>
          </cell>
          <cell r="D9709" t="str">
            <v>Líneas Financieras</v>
          </cell>
          <cell r="G9709" t="str">
            <v>Real</v>
          </cell>
        </row>
        <row r="9710">
          <cell r="A9710" t="str">
            <v>POOLSEGUR</v>
          </cell>
          <cell r="B9710">
            <v>202502</v>
          </cell>
          <cell r="D9710" t="str">
            <v>Náutica</v>
          </cell>
          <cell r="G9710" t="str">
            <v>Presupuesto</v>
          </cell>
        </row>
        <row r="9711">
          <cell r="A9711" t="str">
            <v>POOLSEGUR</v>
          </cell>
          <cell r="B9711">
            <v>202502</v>
          </cell>
          <cell r="D9711" t="str">
            <v>Náutica</v>
          </cell>
          <cell r="G9711" t="str">
            <v>Real</v>
          </cell>
        </row>
        <row r="9712">
          <cell r="A9712" t="str">
            <v>POOLSEGUR</v>
          </cell>
          <cell r="B9712">
            <v>202502</v>
          </cell>
          <cell r="D9712" t="str">
            <v>Particulares Resto</v>
          </cell>
          <cell r="G9712" t="str">
            <v>Presupuesto</v>
          </cell>
        </row>
        <row r="9713">
          <cell r="A9713" t="str">
            <v>POOLSEGUR</v>
          </cell>
          <cell r="B9713">
            <v>202502</v>
          </cell>
          <cell r="D9713" t="str">
            <v>Particulares Resto</v>
          </cell>
          <cell r="G9713" t="str">
            <v>Real</v>
          </cell>
        </row>
        <row r="9714">
          <cell r="A9714" t="str">
            <v>POOLSEGUR</v>
          </cell>
          <cell r="B9714">
            <v>202502</v>
          </cell>
          <cell r="D9714" t="str">
            <v>Property</v>
          </cell>
          <cell r="G9714" t="str">
            <v>Presupuesto</v>
          </cell>
        </row>
        <row r="9715">
          <cell r="A9715" t="str">
            <v>POOLSEGUR</v>
          </cell>
          <cell r="B9715">
            <v>202502</v>
          </cell>
          <cell r="D9715" t="str">
            <v>Property</v>
          </cell>
          <cell r="G9715" t="str">
            <v>Real</v>
          </cell>
        </row>
        <row r="9716">
          <cell r="A9716" t="str">
            <v>POOLSEGUR</v>
          </cell>
          <cell r="B9716">
            <v>202502</v>
          </cell>
          <cell r="D9716" t="str">
            <v>RC</v>
          </cell>
          <cell r="G9716" t="str">
            <v>Presupuesto</v>
          </cell>
        </row>
        <row r="9717">
          <cell r="A9717" t="str">
            <v>POOLSEGUR</v>
          </cell>
          <cell r="B9717">
            <v>202502</v>
          </cell>
          <cell r="D9717" t="str">
            <v>RC</v>
          </cell>
          <cell r="G9717" t="str">
            <v>Real</v>
          </cell>
        </row>
        <row r="9718">
          <cell r="A9718" t="str">
            <v>POOLSEGUR</v>
          </cell>
          <cell r="B9718">
            <v>202502</v>
          </cell>
          <cell r="D9718" t="str">
            <v>Resto de lineas</v>
          </cell>
          <cell r="G9718" t="str">
            <v>Presupuesto</v>
          </cell>
        </row>
        <row r="9719">
          <cell r="A9719" t="str">
            <v>POOLSEGUR</v>
          </cell>
          <cell r="B9719">
            <v>202502</v>
          </cell>
          <cell r="D9719" t="str">
            <v>Retirada</v>
          </cell>
          <cell r="G9719" t="str">
            <v>Presupuesto</v>
          </cell>
        </row>
        <row r="9720">
          <cell r="A9720" t="str">
            <v>POOLSEGUR</v>
          </cell>
          <cell r="B9720">
            <v>202502</v>
          </cell>
          <cell r="D9720" t="str">
            <v>Seguros Personales (No Vida) Colectivos</v>
          </cell>
          <cell r="G9720" t="str">
            <v>Presupuesto</v>
          </cell>
        </row>
        <row r="9721">
          <cell r="A9721" t="str">
            <v>POOLSEGUR</v>
          </cell>
          <cell r="B9721">
            <v>202502</v>
          </cell>
          <cell r="D9721" t="str">
            <v>Seguros Personales (No Vida) Colectivos</v>
          </cell>
          <cell r="G9721" t="str">
            <v>Real</v>
          </cell>
        </row>
        <row r="9722">
          <cell r="A9722" t="str">
            <v>POOLSEGUR</v>
          </cell>
          <cell r="B9722">
            <v>202502</v>
          </cell>
          <cell r="D9722" t="str">
            <v>Seguros Personales (No Vida) Particular</v>
          </cell>
          <cell r="G9722" t="str">
            <v>Presupuesto</v>
          </cell>
        </row>
        <row r="9723">
          <cell r="A9723" t="str">
            <v>POOLSEGUR</v>
          </cell>
          <cell r="B9723">
            <v>202502</v>
          </cell>
          <cell r="D9723" t="str">
            <v>Seguros Personales (No Vida) Particular</v>
          </cell>
          <cell r="G9723" t="str">
            <v>Real</v>
          </cell>
        </row>
        <row r="9724">
          <cell r="A9724" t="str">
            <v>POOLSEGUR</v>
          </cell>
          <cell r="B9724">
            <v>202502</v>
          </cell>
          <cell r="D9724" t="str">
            <v>Transporte</v>
          </cell>
          <cell r="G9724" t="str">
            <v>Presupuesto</v>
          </cell>
        </row>
        <row r="9725">
          <cell r="A9725" t="str">
            <v>POOLSEGUR</v>
          </cell>
          <cell r="B9725">
            <v>202502</v>
          </cell>
          <cell r="D9725" t="str">
            <v>Transporte</v>
          </cell>
          <cell r="G9725" t="str">
            <v>Real</v>
          </cell>
        </row>
        <row r="9726">
          <cell r="A9726" t="str">
            <v>POOLSEGUR</v>
          </cell>
          <cell r="B9726">
            <v>202502</v>
          </cell>
          <cell r="D9726" t="str">
            <v>Venta Cruzada</v>
          </cell>
          <cell r="G9726" t="str">
            <v>Presupuesto</v>
          </cell>
        </row>
        <row r="9727">
          <cell r="A9727" t="str">
            <v>POOLSEGUR</v>
          </cell>
          <cell r="B9727">
            <v>202502</v>
          </cell>
          <cell r="D9727" t="str">
            <v>Venta Cruzada</v>
          </cell>
          <cell r="G9727" t="str">
            <v>Real</v>
          </cell>
        </row>
        <row r="9728">
          <cell r="A9728" t="str">
            <v>POOLSEGUR</v>
          </cell>
          <cell r="B9728">
            <v>202502</v>
          </cell>
          <cell r="D9728" t="str">
            <v>Vida Ahorro Colectivo</v>
          </cell>
          <cell r="G9728" t="str">
            <v>Presupuesto</v>
          </cell>
        </row>
        <row r="9729">
          <cell r="A9729" t="str">
            <v>POOLSEGUR</v>
          </cell>
          <cell r="B9729">
            <v>202502</v>
          </cell>
          <cell r="D9729" t="str">
            <v>Vida Ahorro Particular</v>
          </cell>
          <cell r="G9729" t="str">
            <v>Presupuesto</v>
          </cell>
        </row>
        <row r="9730">
          <cell r="A9730" t="str">
            <v>POOLSEGUR</v>
          </cell>
          <cell r="B9730">
            <v>202502</v>
          </cell>
          <cell r="D9730" t="str">
            <v>Vida Ahorro Particular</v>
          </cell>
          <cell r="G9730" t="str">
            <v>Real</v>
          </cell>
        </row>
        <row r="9731">
          <cell r="A9731" t="str">
            <v>POOLSEGUR</v>
          </cell>
          <cell r="B9731">
            <v>202502</v>
          </cell>
          <cell r="D9731" t="str">
            <v>Vida Ganado</v>
          </cell>
          <cell r="G9731" t="str">
            <v>Presupuesto</v>
          </cell>
        </row>
        <row r="9732">
          <cell r="A9732" t="str">
            <v>POOLSEGUR</v>
          </cell>
          <cell r="B9732">
            <v>202502</v>
          </cell>
          <cell r="D9732" t="str">
            <v>Vida Riesgo Colectivo</v>
          </cell>
          <cell r="G9732" t="str">
            <v>Presupuesto</v>
          </cell>
        </row>
        <row r="9733">
          <cell r="A9733" t="str">
            <v>POOLSEGUR</v>
          </cell>
          <cell r="B9733">
            <v>202502</v>
          </cell>
          <cell r="D9733" t="str">
            <v>Vida Riesgo Colectivo</v>
          </cell>
          <cell r="G9733" t="str">
            <v>Real</v>
          </cell>
        </row>
        <row r="9734">
          <cell r="A9734" t="str">
            <v>POOLSEGUR</v>
          </cell>
          <cell r="B9734">
            <v>202502</v>
          </cell>
          <cell r="D9734" t="str">
            <v>Vida Riesgo Particular</v>
          </cell>
          <cell r="G9734" t="str">
            <v>Presupuesto</v>
          </cell>
        </row>
        <row r="9735">
          <cell r="A9735" t="str">
            <v>POOLSEGUR</v>
          </cell>
          <cell r="B9735">
            <v>202502</v>
          </cell>
          <cell r="D9735" t="str">
            <v>Vida Riesgo Particular</v>
          </cell>
          <cell r="G9735" t="str">
            <v>Real</v>
          </cell>
        </row>
        <row r="9736">
          <cell r="A9736" t="str">
            <v>POOLSEGUR</v>
          </cell>
          <cell r="B9736">
            <v>202503</v>
          </cell>
          <cell r="D9736" t="str">
            <v>--</v>
          </cell>
          <cell r="G9736" t="str">
            <v>Presupuesto</v>
          </cell>
        </row>
        <row r="9737">
          <cell r="A9737" t="str">
            <v>POOLSEGUR</v>
          </cell>
          <cell r="B9737">
            <v>202503</v>
          </cell>
          <cell r="D9737" t="str">
            <v>--</v>
          </cell>
          <cell r="G9737" t="str">
            <v>Real</v>
          </cell>
        </row>
        <row r="9738">
          <cell r="A9738" t="str">
            <v>POOLSEGUR</v>
          </cell>
          <cell r="B9738">
            <v>202503</v>
          </cell>
          <cell r="D9738" t="str">
            <v>Arte</v>
          </cell>
          <cell r="G9738" t="str">
            <v>Presupuesto</v>
          </cell>
        </row>
        <row r="9739">
          <cell r="A9739" t="str">
            <v>POOLSEGUR</v>
          </cell>
          <cell r="B9739">
            <v>202503</v>
          </cell>
          <cell r="D9739" t="str">
            <v>Arte</v>
          </cell>
          <cell r="G9739" t="str">
            <v>Real</v>
          </cell>
        </row>
        <row r="9740">
          <cell r="A9740" t="str">
            <v>POOLSEGUR</v>
          </cell>
          <cell r="B9740">
            <v>202503</v>
          </cell>
          <cell r="D9740" t="str">
            <v>Autos</v>
          </cell>
          <cell r="G9740" t="str">
            <v>Presupuesto</v>
          </cell>
        </row>
        <row r="9741">
          <cell r="A9741" t="str">
            <v>POOLSEGUR</v>
          </cell>
          <cell r="B9741">
            <v>202503</v>
          </cell>
          <cell r="D9741" t="str">
            <v>Autos</v>
          </cell>
          <cell r="G9741" t="str">
            <v>Real</v>
          </cell>
        </row>
        <row r="9742">
          <cell r="A9742" t="str">
            <v>POOLSEGUR</v>
          </cell>
          <cell r="B9742">
            <v>202503</v>
          </cell>
          <cell r="D9742" t="str">
            <v>B2B2C</v>
          </cell>
          <cell r="G9742" t="str">
            <v>Presupuesto</v>
          </cell>
        </row>
        <row r="9743">
          <cell r="A9743" t="str">
            <v>POOLSEGUR</v>
          </cell>
          <cell r="B9743">
            <v>202503</v>
          </cell>
          <cell r="D9743" t="str">
            <v>B2B2C</v>
          </cell>
          <cell r="G9743" t="str">
            <v>Real</v>
          </cell>
        </row>
        <row r="9744">
          <cell r="A9744" t="str">
            <v>POOLSEGUR</v>
          </cell>
          <cell r="B9744">
            <v>202503</v>
          </cell>
          <cell r="D9744" t="str">
            <v>Caución</v>
          </cell>
          <cell r="G9744" t="str">
            <v>Presupuesto</v>
          </cell>
        </row>
        <row r="9745">
          <cell r="A9745" t="str">
            <v>POOLSEGUR</v>
          </cell>
          <cell r="B9745">
            <v>202503</v>
          </cell>
          <cell r="D9745" t="str">
            <v>Crédito Nacional</v>
          </cell>
          <cell r="G9745" t="str">
            <v>Real</v>
          </cell>
        </row>
        <row r="9746">
          <cell r="A9746" t="str">
            <v>POOLSEGUR</v>
          </cell>
          <cell r="B9746">
            <v>202503</v>
          </cell>
          <cell r="D9746" t="str">
            <v>Crédito Internacional</v>
          </cell>
          <cell r="G9746" t="str">
            <v>Presupuesto</v>
          </cell>
        </row>
        <row r="9747">
          <cell r="A9747" t="str">
            <v>POOLSEGUR</v>
          </cell>
          <cell r="B9747">
            <v>202503</v>
          </cell>
          <cell r="D9747" t="str">
            <v>Crédito Nacional</v>
          </cell>
          <cell r="G9747" t="str">
            <v>Presupuesto</v>
          </cell>
        </row>
        <row r="9748">
          <cell r="A9748" t="str">
            <v>POOLSEGUR</v>
          </cell>
          <cell r="B9748">
            <v>202503</v>
          </cell>
          <cell r="D9748" t="str">
            <v>Eventos</v>
          </cell>
          <cell r="G9748" t="str">
            <v>Presupuesto</v>
          </cell>
        </row>
        <row r="9749">
          <cell r="A9749" t="str">
            <v>POOLSEGUR</v>
          </cell>
          <cell r="B9749">
            <v>202503</v>
          </cell>
          <cell r="D9749" t="str">
            <v>Flotas</v>
          </cell>
          <cell r="G9749" t="str">
            <v>Presupuesto</v>
          </cell>
        </row>
        <row r="9750">
          <cell r="A9750" t="str">
            <v>POOLSEGUR</v>
          </cell>
          <cell r="B9750">
            <v>202503</v>
          </cell>
          <cell r="D9750" t="str">
            <v>Flotas</v>
          </cell>
          <cell r="G9750" t="str">
            <v>Real</v>
          </cell>
        </row>
        <row r="9751">
          <cell r="A9751" t="str">
            <v>POOLSEGUR</v>
          </cell>
          <cell r="B9751">
            <v>202503</v>
          </cell>
          <cell r="D9751" t="str">
            <v>Hogar</v>
          </cell>
          <cell r="G9751" t="str">
            <v>Presupuesto</v>
          </cell>
        </row>
        <row r="9752">
          <cell r="A9752" t="str">
            <v>POOLSEGUR</v>
          </cell>
          <cell r="B9752">
            <v>202503</v>
          </cell>
          <cell r="D9752" t="str">
            <v>Hogar</v>
          </cell>
          <cell r="G9752" t="str">
            <v>Real</v>
          </cell>
        </row>
        <row r="9753">
          <cell r="A9753" t="str">
            <v>POOLSEGUR</v>
          </cell>
          <cell r="B9753">
            <v>202503</v>
          </cell>
          <cell r="D9753" t="str">
            <v>Ingeniería</v>
          </cell>
          <cell r="G9753" t="str">
            <v>Presupuesto</v>
          </cell>
        </row>
        <row r="9754">
          <cell r="A9754" t="str">
            <v>POOLSEGUR</v>
          </cell>
          <cell r="B9754">
            <v>202503</v>
          </cell>
          <cell r="D9754" t="str">
            <v>Ingeniería</v>
          </cell>
          <cell r="G9754" t="str">
            <v>Real</v>
          </cell>
        </row>
        <row r="9755">
          <cell r="A9755" t="str">
            <v>POOLSEGUR</v>
          </cell>
          <cell r="B9755">
            <v>202503</v>
          </cell>
          <cell r="D9755" t="str">
            <v>Inmobiliario</v>
          </cell>
          <cell r="G9755" t="str">
            <v>Presupuesto</v>
          </cell>
        </row>
        <row r="9756">
          <cell r="A9756" t="str">
            <v>POOLSEGUR</v>
          </cell>
          <cell r="B9756">
            <v>202503</v>
          </cell>
          <cell r="D9756" t="str">
            <v>Líneas Financieras</v>
          </cell>
          <cell r="G9756" t="str">
            <v>Presupuesto</v>
          </cell>
        </row>
        <row r="9757">
          <cell r="A9757" t="str">
            <v>POOLSEGUR</v>
          </cell>
          <cell r="B9757">
            <v>202503</v>
          </cell>
          <cell r="D9757" t="str">
            <v>Líneas Financieras</v>
          </cell>
          <cell r="G9757" t="str">
            <v>Real</v>
          </cell>
        </row>
        <row r="9758">
          <cell r="A9758" t="str">
            <v>POOLSEGUR</v>
          </cell>
          <cell r="B9758">
            <v>202503</v>
          </cell>
          <cell r="D9758" t="str">
            <v>Náutica</v>
          </cell>
          <cell r="G9758" t="str">
            <v>Presupuesto</v>
          </cell>
        </row>
        <row r="9759">
          <cell r="A9759" t="str">
            <v>POOLSEGUR</v>
          </cell>
          <cell r="B9759">
            <v>202503</v>
          </cell>
          <cell r="D9759" t="str">
            <v>Náutica</v>
          </cell>
          <cell r="G9759" t="str">
            <v>Real</v>
          </cell>
        </row>
        <row r="9760">
          <cell r="A9760" t="str">
            <v>POOLSEGUR</v>
          </cell>
          <cell r="B9760">
            <v>202503</v>
          </cell>
          <cell r="D9760" t="str">
            <v>Particulares Resto</v>
          </cell>
          <cell r="G9760" t="str">
            <v>Presupuesto</v>
          </cell>
        </row>
        <row r="9761">
          <cell r="A9761" t="str">
            <v>POOLSEGUR</v>
          </cell>
          <cell r="B9761">
            <v>202503</v>
          </cell>
          <cell r="D9761" t="str">
            <v>Particulares Resto</v>
          </cell>
          <cell r="G9761" t="str">
            <v>Real</v>
          </cell>
        </row>
        <row r="9762">
          <cell r="A9762" t="str">
            <v>POOLSEGUR</v>
          </cell>
          <cell r="B9762">
            <v>202503</v>
          </cell>
          <cell r="D9762" t="str">
            <v>Property</v>
          </cell>
          <cell r="G9762" t="str">
            <v>Presupuesto</v>
          </cell>
        </row>
        <row r="9763">
          <cell r="A9763" t="str">
            <v>POOLSEGUR</v>
          </cell>
          <cell r="B9763">
            <v>202503</v>
          </cell>
          <cell r="D9763" t="str">
            <v>Property</v>
          </cell>
          <cell r="G9763" t="str">
            <v>Real</v>
          </cell>
        </row>
        <row r="9764">
          <cell r="A9764" t="str">
            <v>POOLSEGUR</v>
          </cell>
          <cell r="B9764">
            <v>202503</v>
          </cell>
          <cell r="D9764" t="str">
            <v>RC</v>
          </cell>
          <cell r="G9764" t="str">
            <v>Presupuesto</v>
          </cell>
        </row>
        <row r="9765">
          <cell r="A9765" t="str">
            <v>POOLSEGUR</v>
          </cell>
          <cell r="B9765">
            <v>202503</v>
          </cell>
          <cell r="D9765" t="str">
            <v>RC</v>
          </cell>
          <cell r="G9765" t="str">
            <v>Real</v>
          </cell>
        </row>
        <row r="9766">
          <cell r="A9766" t="str">
            <v>POOLSEGUR</v>
          </cell>
          <cell r="B9766">
            <v>202503</v>
          </cell>
          <cell r="D9766" t="str">
            <v>Resto de lineas</v>
          </cell>
          <cell r="G9766" t="str">
            <v>Presupuesto</v>
          </cell>
        </row>
        <row r="9767">
          <cell r="A9767" t="str">
            <v>POOLSEGUR</v>
          </cell>
          <cell r="B9767">
            <v>202503</v>
          </cell>
          <cell r="D9767" t="str">
            <v>Retirada</v>
          </cell>
          <cell r="G9767" t="str">
            <v>Presupuesto</v>
          </cell>
        </row>
        <row r="9768">
          <cell r="A9768" t="str">
            <v>POOLSEGUR</v>
          </cell>
          <cell r="B9768">
            <v>202503</v>
          </cell>
          <cell r="D9768" t="str">
            <v>Seguros Personales (No Vida) Colectivos</v>
          </cell>
          <cell r="G9768" t="str">
            <v>Presupuesto</v>
          </cell>
        </row>
        <row r="9769">
          <cell r="A9769" t="str">
            <v>POOLSEGUR</v>
          </cell>
          <cell r="B9769">
            <v>202503</v>
          </cell>
          <cell r="D9769" t="str">
            <v>Seguros Personales (No Vida) Colectivos</v>
          </cell>
          <cell r="G9769" t="str">
            <v>Real</v>
          </cell>
        </row>
        <row r="9770">
          <cell r="A9770" t="str">
            <v>POOLSEGUR</v>
          </cell>
          <cell r="B9770">
            <v>202503</v>
          </cell>
          <cell r="D9770" t="str">
            <v>Seguros Personales (No Vida) Particular</v>
          </cell>
          <cell r="G9770" t="str">
            <v>Presupuesto</v>
          </cell>
        </row>
        <row r="9771">
          <cell r="A9771" t="str">
            <v>POOLSEGUR</v>
          </cell>
          <cell r="B9771">
            <v>202503</v>
          </cell>
          <cell r="D9771" t="str">
            <v>Seguros Personales (No Vida) Particular</v>
          </cell>
          <cell r="G9771" t="str">
            <v>Real</v>
          </cell>
        </row>
        <row r="9772">
          <cell r="A9772" t="str">
            <v>POOLSEGUR</v>
          </cell>
          <cell r="B9772">
            <v>202503</v>
          </cell>
          <cell r="D9772" t="str">
            <v>Transporte</v>
          </cell>
          <cell r="G9772" t="str">
            <v>Presupuesto</v>
          </cell>
        </row>
        <row r="9773">
          <cell r="A9773" t="str">
            <v>POOLSEGUR</v>
          </cell>
          <cell r="B9773">
            <v>202503</v>
          </cell>
          <cell r="D9773" t="str">
            <v>Transporte</v>
          </cell>
          <cell r="G9773" t="str">
            <v>Real</v>
          </cell>
        </row>
        <row r="9774">
          <cell r="A9774" t="str">
            <v>POOLSEGUR</v>
          </cell>
          <cell r="B9774">
            <v>202503</v>
          </cell>
          <cell r="D9774" t="str">
            <v>Venta Cruzada</v>
          </cell>
          <cell r="G9774" t="str">
            <v>Presupuesto</v>
          </cell>
        </row>
        <row r="9775">
          <cell r="A9775" t="str">
            <v>POOLSEGUR</v>
          </cell>
          <cell r="B9775">
            <v>202503</v>
          </cell>
          <cell r="D9775" t="str">
            <v>Venta Cruzada</v>
          </cell>
          <cell r="G9775" t="str">
            <v>Real</v>
          </cell>
        </row>
        <row r="9776">
          <cell r="A9776" t="str">
            <v>POOLSEGUR</v>
          </cell>
          <cell r="B9776">
            <v>202503</v>
          </cell>
          <cell r="D9776" t="str">
            <v>Vida Ahorro Colectivo</v>
          </cell>
          <cell r="G9776" t="str">
            <v>Presupuesto</v>
          </cell>
        </row>
        <row r="9777">
          <cell r="A9777" t="str">
            <v>POOLSEGUR</v>
          </cell>
          <cell r="B9777">
            <v>202503</v>
          </cell>
          <cell r="D9777" t="str">
            <v>Vida Ahorro Particular</v>
          </cell>
          <cell r="G9777" t="str">
            <v>Presupuesto</v>
          </cell>
        </row>
        <row r="9778">
          <cell r="A9778" t="str">
            <v>POOLSEGUR</v>
          </cell>
          <cell r="B9778">
            <v>202503</v>
          </cell>
          <cell r="D9778" t="str">
            <v>Vida Ahorro Particular</v>
          </cell>
          <cell r="G9778" t="str">
            <v>Real</v>
          </cell>
        </row>
        <row r="9779">
          <cell r="A9779" t="str">
            <v>POOLSEGUR</v>
          </cell>
          <cell r="B9779">
            <v>202503</v>
          </cell>
          <cell r="D9779" t="str">
            <v>Vida Ganado</v>
          </cell>
          <cell r="G9779" t="str">
            <v>Presupuesto</v>
          </cell>
        </row>
        <row r="9780">
          <cell r="A9780" t="str">
            <v>POOLSEGUR</v>
          </cell>
          <cell r="B9780">
            <v>202503</v>
          </cell>
          <cell r="D9780" t="str">
            <v>Vida Riesgo Colectivo</v>
          </cell>
          <cell r="G9780" t="str">
            <v>Presupuesto</v>
          </cell>
        </row>
        <row r="9781">
          <cell r="A9781" t="str">
            <v>POOLSEGUR</v>
          </cell>
          <cell r="B9781">
            <v>202503</v>
          </cell>
          <cell r="D9781" t="str">
            <v>Vida Riesgo Colectivo</v>
          </cell>
          <cell r="G9781" t="str">
            <v>Real</v>
          </cell>
        </row>
        <row r="9782">
          <cell r="A9782" t="str">
            <v>POOLSEGUR</v>
          </cell>
          <cell r="B9782">
            <v>202503</v>
          </cell>
          <cell r="D9782" t="str">
            <v>Vida Riesgo Particular</v>
          </cell>
          <cell r="G9782" t="str">
            <v>Presupuesto</v>
          </cell>
        </row>
        <row r="9783">
          <cell r="A9783" t="str">
            <v>POOLSEGUR</v>
          </cell>
          <cell r="B9783">
            <v>202503</v>
          </cell>
          <cell r="D9783" t="str">
            <v>Vida Riesgo Particular</v>
          </cell>
          <cell r="G9783" t="str">
            <v>Real</v>
          </cell>
        </row>
        <row r="9784">
          <cell r="A9784" t="str">
            <v>POOLSEGUR</v>
          </cell>
          <cell r="B9784">
            <v>202504</v>
          </cell>
          <cell r="D9784" t="str">
            <v>--</v>
          </cell>
          <cell r="G9784" t="str">
            <v>Presupuesto</v>
          </cell>
        </row>
        <row r="9785">
          <cell r="A9785" t="str">
            <v>POOLSEGUR</v>
          </cell>
          <cell r="B9785">
            <v>202504</v>
          </cell>
          <cell r="D9785" t="str">
            <v>--</v>
          </cell>
          <cell r="G9785" t="str">
            <v>Real</v>
          </cell>
        </row>
        <row r="9786">
          <cell r="A9786" t="str">
            <v>POOLSEGUR</v>
          </cell>
          <cell r="B9786">
            <v>202504</v>
          </cell>
          <cell r="D9786" t="str">
            <v>Arte</v>
          </cell>
          <cell r="G9786" t="str">
            <v>Presupuesto</v>
          </cell>
        </row>
        <row r="9787">
          <cell r="A9787" t="str">
            <v>POOLSEGUR</v>
          </cell>
          <cell r="B9787">
            <v>202504</v>
          </cell>
          <cell r="D9787" t="str">
            <v>Arte</v>
          </cell>
          <cell r="G9787" t="str">
            <v>Real</v>
          </cell>
        </row>
        <row r="9788">
          <cell r="A9788" t="str">
            <v>POOLSEGUR</v>
          </cell>
          <cell r="B9788">
            <v>202504</v>
          </cell>
          <cell r="D9788" t="str">
            <v>Autos</v>
          </cell>
          <cell r="G9788" t="str">
            <v>Presupuesto</v>
          </cell>
        </row>
        <row r="9789">
          <cell r="A9789" t="str">
            <v>POOLSEGUR</v>
          </cell>
          <cell r="B9789">
            <v>202504</v>
          </cell>
          <cell r="D9789" t="str">
            <v>Autos</v>
          </cell>
          <cell r="G9789" t="str">
            <v>Real</v>
          </cell>
        </row>
        <row r="9790">
          <cell r="A9790" t="str">
            <v>POOLSEGUR</v>
          </cell>
          <cell r="B9790">
            <v>202504</v>
          </cell>
          <cell r="D9790" t="str">
            <v>B2B2C</v>
          </cell>
          <cell r="G9790" t="str">
            <v>Presupuesto</v>
          </cell>
        </row>
        <row r="9791">
          <cell r="A9791" t="str">
            <v>POOLSEGUR</v>
          </cell>
          <cell r="B9791">
            <v>202504</v>
          </cell>
          <cell r="D9791" t="str">
            <v>B2B2C</v>
          </cell>
          <cell r="G9791" t="str">
            <v>Real</v>
          </cell>
        </row>
        <row r="9792">
          <cell r="A9792" t="str">
            <v>POOLSEGUR</v>
          </cell>
          <cell r="B9792">
            <v>202504</v>
          </cell>
          <cell r="D9792" t="str">
            <v>Caución</v>
          </cell>
          <cell r="G9792" t="str">
            <v>Presupuesto</v>
          </cell>
        </row>
        <row r="9793">
          <cell r="A9793" t="str">
            <v>POOLSEGUR</v>
          </cell>
          <cell r="B9793">
            <v>202504</v>
          </cell>
          <cell r="D9793" t="str">
            <v>Crédito Nacional</v>
          </cell>
          <cell r="G9793" t="str">
            <v>Real</v>
          </cell>
        </row>
        <row r="9794">
          <cell r="A9794" t="str">
            <v>POOLSEGUR</v>
          </cell>
          <cell r="B9794">
            <v>202504</v>
          </cell>
          <cell r="D9794" t="str">
            <v>Crédito Internacional</v>
          </cell>
          <cell r="G9794" t="str">
            <v>Presupuesto</v>
          </cell>
        </row>
        <row r="9795">
          <cell r="A9795" t="str">
            <v>POOLSEGUR</v>
          </cell>
          <cell r="B9795">
            <v>202504</v>
          </cell>
          <cell r="D9795" t="str">
            <v>Crédito Nacional</v>
          </cell>
          <cell r="G9795" t="str">
            <v>Presupuesto</v>
          </cell>
        </row>
        <row r="9796">
          <cell r="A9796" t="str">
            <v>POOLSEGUR</v>
          </cell>
          <cell r="B9796">
            <v>202504</v>
          </cell>
          <cell r="D9796" t="str">
            <v>Eventos</v>
          </cell>
          <cell r="G9796" t="str">
            <v>Presupuesto</v>
          </cell>
        </row>
        <row r="9797">
          <cell r="A9797" t="str">
            <v>POOLSEGUR</v>
          </cell>
          <cell r="B9797">
            <v>202504</v>
          </cell>
          <cell r="D9797" t="str">
            <v>Flotas</v>
          </cell>
          <cell r="G9797" t="str">
            <v>Presupuesto</v>
          </cell>
        </row>
        <row r="9798">
          <cell r="A9798" t="str">
            <v>POOLSEGUR</v>
          </cell>
          <cell r="B9798">
            <v>202504</v>
          </cell>
          <cell r="D9798" t="str">
            <v>Flotas</v>
          </cell>
          <cell r="G9798" t="str">
            <v>Real</v>
          </cell>
        </row>
        <row r="9799">
          <cell r="A9799" t="str">
            <v>POOLSEGUR</v>
          </cell>
          <cell r="B9799">
            <v>202504</v>
          </cell>
          <cell r="D9799" t="str">
            <v>Hogar</v>
          </cell>
          <cell r="G9799" t="str">
            <v>Presupuesto</v>
          </cell>
        </row>
        <row r="9800">
          <cell r="A9800" t="str">
            <v>POOLSEGUR</v>
          </cell>
          <cell r="B9800">
            <v>202504</v>
          </cell>
          <cell r="D9800" t="str">
            <v>Hogar</v>
          </cell>
          <cell r="G9800" t="str">
            <v>Real</v>
          </cell>
        </row>
        <row r="9801">
          <cell r="A9801" t="str">
            <v>POOLSEGUR</v>
          </cell>
          <cell r="B9801">
            <v>202504</v>
          </cell>
          <cell r="D9801" t="str">
            <v>Ingeniería</v>
          </cell>
          <cell r="G9801" t="str">
            <v>Presupuesto</v>
          </cell>
        </row>
        <row r="9802">
          <cell r="A9802" t="str">
            <v>POOLSEGUR</v>
          </cell>
          <cell r="B9802">
            <v>202504</v>
          </cell>
          <cell r="D9802" t="str">
            <v>Ingeniería</v>
          </cell>
          <cell r="G9802" t="str">
            <v>Real</v>
          </cell>
        </row>
        <row r="9803">
          <cell r="A9803" t="str">
            <v>POOLSEGUR</v>
          </cell>
          <cell r="B9803">
            <v>202504</v>
          </cell>
          <cell r="D9803" t="str">
            <v>Inmobiliario</v>
          </cell>
          <cell r="G9803" t="str">
            <v>Presupuesto</v>
          </cell>
        </row>
        <row r="9804">
          <cell r="A9804" t="str">
            <v>POOLSEGUR</v>
          </cell>
          <cell r="B9804">
            <v>202504</v>
          </cell>
          <cell r="D9804" t="str">
            <v>Líneas Financieras</v>
          </cell>
          <cell r="G9804" t="str">
            <v>Presupuesto</v>
          </cell>
        </row>
        <row r="9805">
          <cell r="A9805" t="str">
            <v>POOLSEGUR</v>
          </cell>
          <cell r="B9805">
            <v>202504</v>
          </cell>
          <cell r="D9805" t="str">
            <v>Líneas Financieras</v>
          </cell>
          <cell r="G9805" t="str">
            <v>Real</v>
          </cell>
        </row>
        <row r="9806">
          <cell r="A9806" t="str">
            <v>POOLSEGUR</v>
          </cell>
          <cell r="B9806">
            <v>202504</v>
          </cell>
          <cell r="D9806" t="str">
            <v>Náutica</v>
          </cell>
          <cell r="G9806" t="str">
            <v>Presupuesto</v>
          </cell>
        </row>
        <row r="9807">
          <cell r="A9807" t="str">
            <v>POOLSEGUR</v>
          </cell>
          <cell r="B9807">
            <v>202504</v>
          </cell>
          <cell r="D9807" t="str">
            <v>Náutica</v>
          </cell>
          <cell r="G9807" t="str">
            <v>Real</v>
          </cell>
        </row>
        <row r="9808">
          <cell r="A9808" t="str">
            <v>POOLSEGUR</v>
          </cell>
          <cell r="B9808">
            <v>202504</v>
          </cell>
          <cell r="D9808" t="str">
            <v>Particulares Resto</v>
          </cell>
          <cell r="G9808" t="str">
            <v>Presupuesto</v>
          </cell>
        </row>
        <row r="9809">
          <cell r="A9809" t="str">
            <v>POOLSEGUR</v>
          </cell>
          <cell r="B9809">
            <v>202504</v>
          </cell>
          <cell r="D9809" t="str">
            <v>Particulares Resto</v>
          </cell>
          <cell r="G9809" t="str">
            <v>Real</v>
          </cell>
        </row>
        <row r="9810">
          <cell r="A9810" t="str">
            <v>POOLSEGUR</v>
          </cell>
          <cell r="B9810">
            <v>202504</v>
          </cell>
          <cell r="D9810" t="str">
            <v>Property</v>
          </cell>
          <cell r="G9810" t="str">
            <v>Presupuesto</v>
          </cell>
        </row>
        <row r="9811">
          <cell r="A9811" t="str">
            <v>POOLSEGUR</v>
          </cell>
          <cell r="B9811">
            <v>202504</v>
          </cell>
          <cell r="D9811" t="str">
            <v>Property</v>
          </cell>
          <cell r="G9811" t="str">
            <v>Real</v>
          </cell>
        </row>
        <row r="9812">
          <cell r="A9812" t="str">
            <v>POOLSEGUR</v>
          </cell>
          <cell r="B9812">
            <v>202504</v>
          </cell>
          <cell r="D9812" t="str">
            <v>RC</v>
          </cell>
          <cell r="G9812" t="str">
            <v>Presupuesto</v>
          </cell>
        </row>
        <row r="9813">
          <cell r="A9813" t="str">
            <v>POOLSEGUR</v>
          </cell>
          <cell r="B9813">
            <v>202504</v>
          </cell>
          <cell r="D9813" t="str">
            <v>RC</v>
          </cell>
          <cell r="G9813" t="str">
            <v>Real</v>
          </cell>
        </row>
        <row r="9814">
          <cell r="A9814" t="str">
            <v>POOLSEGUR</v>
          </cell>
          <cell r="B9814">
            <v>202504</v>
          </cell>
          <cell r="D9814" t="str">
            <v>Resto de lineas</v>
          </cell>
          <cell r="G9814" t="str">
            <v>Presupuesto</v>
          </cell>
        </row>
        <row r="9815">
          <cell r="A9815" t="str">
            <v>POOLSEGUR</v>
          </cell>
          <cell r="B9815">
            <v>202504</v>
          </cell>
          <cell r="D9815" t="str">
            <v>Retirada</v>
          </cell>
          <cell r="G9815" t="str">
            <v>Presupuesto</v>
          </cell>
        </row>
        <row r="9816">
          <cell r="A9816" t="str">
            <v>POOLSEGUR</v>
          </cell>
          <cell r="B9816">
            <v>202504</v>
          </cell>
          <cell r="D9816" t="str">
            <v>Seguros Personales (No Vida) Colectivos</v>
          </cell>
          <cell r="G9816" t="str">
            <v>Presupuesto</v>
          </cell>
        </row>
        <row r="9817">
          <cell r="A9817" t="str">
            <v>POOLSEGUR</v>
          </cell>
          <cell r="B9817">
            <v>202504</v>
          </cell>
          <cell r="D9817" t="str">
            <v>Seguros Personales (No Vida) Colectivos</v>
          </cell>
          <cell r="G9817" t="str">
            <v>Real</v>
          </cell>
        </row>
        <row r="9818">
          <cell r="A9818" t="str">
            <v>POOLSEGUR</v>
          </cell>
          <cell r="B9818">
            <v>202504</v>
          </cell>
          <cell r="D9818" t="str">
            <v>Seguros Personales (No Vida) Particular</v>
          </cell>
          <cell r="G9818" t="str">
            <v>Presupuesto</v>
          </cell>
        </row>
        <row r="9819">
          <cell r="A9819" t="str">
            <v>POOLSEGUR</v>
          </cell>
          <cell r="B9819">
            <v>202504</v>
          </cell>
          <cell r="D9819" t="str">
            <v>Seguros Personales (No Vida) Particular</v>
          </cell>
          <cell r="G9819" t="str">
            <v>Real</v>
          </cell>
        </row>
        <row r="9820">
          <cell r="A9820" t="str">
            <v>POOLSEGUR</v>
          </cell>
          <cell r="B9820">
            <v>202504</v>
          </cell>
          <cell r="D9820" t="str">
            <v>Transporte</v>
          </cell>
          <cell r="G9820" t="str">
            <v>Presupuesto</v>
          </cell>
        </row>
        <row r="9821">
          <cell r="A9821" t="str">
            <v>POOLSEGUR</v>
          </cell>
          <cell r="B9821">
            <v>202504</v>
          </cell>
          <cell r="D9821" t="str">
            <v>Transporte</v>
          </cell>
          <cell r="G9821" t="str">
            <v>Real</v>
          </cell>
        </row>
        <row r="9822">
          <cell r="A9822" t="str">
            <v>POOLSEGUR</v>
          </cell>
          <cell r="B9822">
            <v>202504</v>
          </cell>
          <cell r="D9822" t="str">
            <v>Venta Cruzada</v>
          </cell>
          <cell r="G9822" t="str">
            <v>Presupuesto</v>
          </cell>
        </row>
        <row r="9823">
          <cell r="A9823" t="str">
            <v>POOLSEGUR</v>
          </cell>
          <cell r="B9823">
            <v>202504</v>
          </cell>
          <cell r="D9823" t="str">
            <v>Venta Cruzada</v>
          </cell>
          <cell r="G9823" t="str">
            <v>Real</v>
          </cell>
        </row>
        <row r="9824">
          <cell r="A9824" t="str">
            <v>POOLSEGUR</v>
          </cell>
          <cell r="B9824">
            <v>202504</v>
          </cell>
          <cell r="D9824" t="str">
            <v>Vida Ahorro Colectivo</v>
          </cell>
          <cell r="G9824" t="str">
            <v>Presupuesto</v>
          </cell>
        </row>
        <row r="9825">
          <cell r="A9825" t="str">
            <v>POOLSEGUR</v>
          </cell>
          <cell r="B9825">
            <v>202504</v>
          </cell>
          <cell r="D9825" t="str">
            <v>Vida Ahorro Particular</v>
          </cell>
          <cell r="G9825" t="str">
            <v>Presupuesto</v>
          </cell>
        </row>
        <row r="9826">
          <cell r="A9826" t="str">
            <v>POOLSEGUR</v>
          </cell>
          <cell r="B9826">
            <v>202504</v>
          </cell>
          <cell r="D9826" t="str">
            <v>Vida Ahorro Particular</v>
          </cell>
          <cell r="G9826" t="str">
            <v>Real</v>
          </cell>
        </row>
        <row r="9827">
          <cell r="A9827" t="str">
            <v>POOLSEGUR</v>
          </cell>
          <cell r="B9827">
            <v>202504</v>
          </cell>
          <cell r="D9827" t="str">
            <v>Vida Ganado</v>
          </cell>
          <cell r="G9827" t="str">
            <v>Presupuesto</v>
          </cell>
        </row>
        <row r="9828">
          <cell r="A9828" t="str">
            <v>POOLSEGUR</v>
          </cell>
          <cell r="B9828">
            <v>202504</v>
          </cell>
          <cell r="D9828" t="str">
            <v>Vida Riesgo Colectivo</v>
          </cell>
          <cell r="G9828" t="str">
            <v>Presupuesto</v>
          </cell>
        </row>
        <row r="9829">
          <cell r="A9829" t="str">
            <v>POOLSEGUR</v>
          </cell>
          <cell r="B9829">
            <v>202504</v>
          </cell>
          <cell r="D9829" t="str">
            <v>Vida Riesgo Colectivo</v>
          </cell>
          <cell r="G9829" t="str">
            <v>Real</v>
          </cell>
        </row>
        <row r="9830">
          <cell r="A9830" t="str">
            <v>POOLSEGUR</v>
          </cell>
          <cell r="B9830">
            <v>202504</v>
          </cell>
          <cell r="D9830" t="str">
            <v>Vida Riesgo Particular</v>
          </cell>
          <cell r="G9830" t="str">
            <v>Presupuesto</v>
          </cell>
        </row>
        <row r="9831">
          <cell r="A9831" t="str">
            <v>POOLSEGUR</v>
          </cell>
          <cell r="B9831">
            <v>202504</v>
          </cell>
          <cell r="D9831" t="str">
            <v>Vida Riesgo Particular</v>
          </cell>
          <cell r="G9831" t="str">
            <v>Real</v>
          </cell>
        </row>
        <row r="9832">
          <cell r="A9832" t="str">
            <v>POOLSEGUR</v>
          </cell>
          <cell r="B9832">
            <v>202505</v>
          </cell>
          <cell r="D9832" t="str">
            <v>--</v>
          </cell>
          <cell r="G9832" t="str">
            <v>Presupuesto</v>
          </cell>
        </row>
        <row r="9833">
          <cell r="A9833" t="str">
            <v>POOLSEGUR</v>
          </cell>
          <cell r="B9833">
            <v>202505</v>
          </cell>
          <cell r="D9833" t="str">
            <v>--</v>
          </cell>
          <cell r="G9833" t="str">
            <v>Real</v>
          </cell>
        </row>
        <row r="9834">
          <cell r="A9834" t="str">
            <v>POOLSEGUR</v>
          </cell>
          <cell r="B9834">
            <v>202505</v>
          </cell>
          <cell r="D9834" t="str">
            <v>Arte</v>
          </cell>
          <cell r="G9834" t="str">
            <v>Presupuesto</v>
          </cell>
        </row>
        <row r="9835">
          <cell r="A9835" t="str">
            <v>POOLSEGUR</v>
          </cell>
          <cell r="B9835">
            <v>202505</v>
          </cell>
          <cell r="D9835" t="str">
            <v>Arte</v>
          </cell>
          <cell r="G9835" t="str">
            <v>Real</v>
          </cell>
        </row>
        <row r="9836">
          <cell r="A9836" t="str">
            <v>POOLSEGUR</v>
          </cell>
          <cell r="B9836">
            <v>202505</v>
          </cell>
          <cell r="D9836" t="str">
            <v>Autos</v>
          </cell>
          <cell r="G9836" t="str">
            <v>Presupuesto</v>
          </cell>
        </row>
        <row r="9837">
          <cell r="A9837" t="str">
            <v>POOLSEGUR</v>
          </cell>
          <cell r="B9837">
            <v>202505</v>
          </cell>
          <cell r="D9837" t="str">
            <v>Autos</v>
          </cell>
          <cell r="G9837" t="str">
            <v>Real</v>
          </cell>
        </row>
        <row r="9838">
          <cell r="A9838" t="str">
            <v>POOLSEGUR</v>
          </cell>
          <cell r="B9838">
            <v>202505</v>
          </cell>
          <cell r="D9838" t="str">
            <v>B2B2C</v>
          </cell>
          <cell r="G9838" t="str">
            <v>Presupuesto</v>
          </cell>
        </row>
        <row r="9839">
          <cell r="A9839" t="str">
            <v>POOLSEGUR</v>
          </cell>
          <cell r="B9839">
            <v>202505</v>
          </cell>
          <cell r="D9839" t="str">
            <v>B2B2C</v>
          </cell>
          <cell r="G9839" t="str">
            <v>Real</v>
          </cell>
        </row>
        <row r="9840">
          <cell r="A9840" t="str">
            <v>POOLSEGUR</v>
          </cell>
          <cell r="B9840">
            <v>202505</v>
          </cell>
          <cell r="D9840" t="str">
            <v>Caución</v>
          </cell>
          <cell r="G9840" t="str">
            <v>Presupuesto</v>
          </cell>
        </row>
        <row r="9841">
          <cell r="A9841" t="str">
            <v>POOLSEGUR</v>
          </cell>
          <cell r="B9841">
            <v>202505</v>
          </cell>
          <cell r="D9841" t="str">
            <v>Crédito Nacional</v>
          </cell>
          <cell r="G9841" t="str">
            <v>Real</v>
          </cell>
        </row>
        <row r="9842">
          <cell r="A9842" t="str">
            <v>POOLSEGUR</v>
          </cell>
          <cell r="B9842">
            <v>202505</v>
          </cell>
          <cell r="D9842" t="str">
            <v>Crédito Internacional</v>
          </cell>
          <cell r="G9842" t="str">
            <v>Presupuesto</v>
          </cell>
        </row>
        <row r="9843">
          <cell r="A9843" t="str">
            <v>POOLSEGUR</v>
          </cell>
          <cell r="B9843">
            <v>202505</v>
          </cell>
          <cell r="D9843" t="str">
            <v>Crédito Nacional</v>
          </cell>
          <cell r="G9843" t="str">
            <v>Presupuesto</v>
          </cell>
        </row>
        <row r="9844">
          <cell r="A9844" t="str">
            <v>POOLSEGUR</v>
          </cell>
          <cell r="B9844">
            <v>202505</v>
          </cell>
          <cell r="D9844" t="str">
            <v>Eventos</v>
          </cell>
          <cell r="G9844" t="str">
            <v>Presupuesto</v>
          </cell>
        </row>
        <row r="9845">
          <cell r="A9845" t="str">
            <v>POOLSEGUR</v>
          </cell>
          <cell r="B9845">
            <v>202505</v>
          </cell>
          <cell r="D9845" t="str">
            <v>Flotas</v>
          </cell>
          <cell r="G9845" t="str">
            <v>Presupuesto</v>
          </cell>
        </row>
        <row r="9846">
          <cell r="A9846" t="str">
            <v>POOLSEGUR</v>
          </cell>
          <cell r="B9846">
            <v>202505</v>
          </cell>
          <cell r="D9846" t="str">
            <v>Flotas</v>
          </cell>
          <cell r="G9846" t="str">
            <v>Real</v>
          </cell>
        </row>
        <row r="9847">
          <cell r="A9847" t="str">
            <v>POOLSEGUR</v>
          </cell>
          <cell r="B9847">
            <v>202505</v>
          </cell>
          <cell r="D9847" t="str">
            <v>Hogar</v>
          </cell>
          <cell r="G9847" t="str">
            <v>Presupuesto</v>
          </cell>
        </row>
        <row r="9848">
          <cell r="A9848" t="str">
            <v>POOLSEGUR</v>
          </cell>
          <cell r="B9848">
            <v>202505</v>
          </cell>
          <cell r="D9848" t="str">
            <v>Hogar</v>
          </cell>
          <cell r="G9848" t="str">
            <v>Real</v>
          </cell>
        </row>
        <row r="9849">
          <cell r="A9849" t="str">
            <v>POOLSEGUR</v>
          </cell>
          <cell r="B9849">
            <v>202505</v>
          </cell>
          <cell r="D9849" t="str">
            <v>Ingeniería</v>
          </cell>
          <cell r="G9849" t="str">
            <v>Presupuesto</v>
          </cell>
        </row>
        <row r="9850">
          <cell r="A9850" t="str">
            <v>POOLSEGUR</v>
          </cell>
          <cell r="B9850">
            <v>202505</v>
          </cell>
          <cell r="D9850" t="str">
            <v>Ingeniería</v>
          </cell>
          <cell r="G9850" t="str">
            <v>Real</v>
          </cell>
        </row>
        <row r="9851">
          <cell r="A9851" t="str">
            <v>POOLSEGUR</v>
          </cell>
          <cell r="B9851">
            <v>202505</v>
          </cell>
          <cell r="D9851" t="str">
            <v>Inmobiliario</v>
          </cell>
          <cell r="G9851" t="str">
            <v>Presupuesto</v>
          </cell>
        </row>
        <row r="9852">
          <cell r="A9852" t="str">
            <v>POOLSEGUR</v>
          </cell>
          <cell r="B9852">
            <v>202505</v>
          </cell>
          <cell r="D9852" t="str">
            <v>Líneas Financieras</v>
          </cell>
          <cell r="G9852" t="str">
            <v>Presupuesto</v>
          </cell>
        </row>
        <row r="9853">
          <cell r="A9853" t="str">
            <v>POOLSEGUR</v>
          </cell>
          <cell r="B9853">
            <v>202505</v>
          </cell>
          <cell r="D9853" t="str">
            <v>Líneas Financieras</v>
          </cell>
          <cell r="G9853" t="str">
            <v>Real</v>
          </cell>
        </row>
        <row r="9854">
          <cell r="A9854" t="str">
            <v>POOLSEGUR</v>
          </cell>
          <cell r="B9854">
            <v>202505</v>
          </cell>
          <cell r="D9854" t="str">
            <v>Náutica</v>
          </cell>
          <cell r="G9854" t="str">
            <v>Presupuesto</v>
          </cell>
        </row>
        <row r="9855">
          <cell r="A9855" t="str">
            <v>POOLSEGUR</v>
          </cell>
          <cell r="B9855">
            <v>202505</v>
          </cell>
          <cell r="D9855" t="str">
            <v>Náutica</v>
          </cell>
          <cell r="G9855" t="str">
            <v>Real</v>
          </cell>
        </row>
        <row r="9856">
          <cell r="A9856" t="str">
            <v>POOLSEGUR</v>
          </cell>
          <cell r="B9856">
            <v>202505</v>
          </cell>
          <cell r="D9856" t="str">
            <v>Particulares Resto</v>
          </cell>
          <cell r="G9856" t="str">
            <v>Presupuesto</v>
          </cell>
        </row>
        <row r="9857">
          <cell r="A9857" t="str">
            <v>POOLSEGUR</v>
          </cell>
          <cell r="B9857">
            <v>202505</v>
          </cell>
          <cell r="D9857" t="str">
            <v>Particulares Resto</v>
          </cell>
          <cell r="G9857" t="str">
            <v>Real</v>
          </cell>
        </row>
        <row r="9858">
          <cell r="A9858" t="str">
            <v>POOLSEGUR</v>
          </cell>
          <cell r="B9858">
            <v>202505</v>
          </cell>
          <cell r="D9858" t="str">
            <v>Property</v>
          </cell>
          <cell r="G9858" t="str">
            <v>Presupuesto</v>
          </cell>
        </row>
        <row r="9859">
          <cell r="A9859" t="str">
            <v>POOLSEGUR</v>
          </cell>
          <cell r="B9859">
            <v>202505</v>
          </cell>
          <cell r="D9859" t="str">
            <v>Property</v>
          </cell>
          <cell r="G9859" t="str">
            <v>Real</v>
          </cell>
        </row>
        <row r="9860">
          <cell r="A9860" t="str">
            <v>POOLSEGUR</v>
          </cell>
          <cell r="B9860">
            <v>202505</v>
          </cell>
          <cell r="D9860" t="str">
            <v>RC</v>
          </cell>
          <cell r="G9860" t="str">
            <v>Presupuesto</v>
          </cell>
        </row>
        <row r="9861">
          <cell r="A9861" t="str">
            <v>POOLSEGUR</v>
          </cell>
          <cell r="B9861">
            <v>202505</v>
          </cell>
          <cell r="D9861" t="str">
            <v>RC</v>
          </cell>
          <cell r="G9861" t="str">
            <v>Real</v>
          </cell>
        </row>
        <row r="9862">
          <cell r="A9862" t="str">
            <v>POOLSEGUR</v>
          </cell>
          <cell r="B9862">
            <v>202505</v>
          </cell>
          <cell r="D9862" t="str">
            <v>Resto de lineas</v>
          </cell>
          <cell r="G9862" t="str">
            <v>Presupuesto</v>
          </cell>
        </row>
        <row r="9863">
          <cell r="A9863" t="str">
            <v>POOLSEGUR</v>
          </cell>
          <cell r="B9863">
            <v>202505</v>
          </cell>
          <cell r="D9863" t="str">
            <v>Retirada</v>
          </cell>
          <cell r="G9863" t="str">
            <v>Presupuesto</v>
          </cell>
        </row>
        <row r="9864">
          <cell r="A9864" t="str">
            <v>POOLSEGUR</v>
          </cell>
          <cell r="B9864">
            <v>202505</v>
          </cell>
          <cell r="D9864" t="str">
            <v>Seguros Personales (No Vida) Colectivos</v>
          </cell>
          <cell r="G9864" t="str">
            <v>Presupuesto</v>
          </cell>
        </row>
        <row r="9865">
          <cell r="A9865" t="str">
            <v>POOLSEGUR</v>
          </cell>
          <cell r="B9865">
            <v>202505</v>
          </cell>
          <cell r="D9865" t="str">
            <v>Seguros Personales (No Vida) Colectivos</v>
          </cell>
          <cell r="G9865" t="str">
            <v>Real</v>
          </cell>
        </row>
        <row r="9866">
          <cell r="A9866" t="str">
            <v>POOLSEGUR</v>
          </cell>
          <cell r="B9866">
            <v>202505</v>
          </cell>
          <cell r="D9866" t="str">
            <v>Seguros Personales (No Vida) Particular</v>
          </cell>
          <cell r="G9866" t="str">
            <v>Presupuesto</v>
          </cell>
        </row>
        <row r="9867">
          <cell r="A9867" t="str">
            <v>POOLSEGUR</v>
          </cell>
          <cell r="B9867">
            <v>202505</v>
          </cell>
          <cell r="D9867" t="str">
            <v>Seguros Personales (No Vida) Particular</v>
          </cell>
          <cell r="G9867" t="str">
            <v>Real</v>
          </cell>
        </row>
        <row r="9868">
          <cell r="A9868" t="str">
            <v>POOLSEGUR</v>
          </cell>
          <cell r="B9868">
            <v>202505</v>
          </cell>
          <cell r="D9868" t="str">
            <v>Transporte</v>
          </cell>
          <cell r="G9868" t="str">
            <v>Presupuesto</v>
          </cell>
        </row>
        <row r="9869">
          <cell r="A9869" t="str">
            <v>POOLSEGUR</v>
          </cell>
          <cell r="B9869">
            <v>202505</v>
          </cell>
          <cell r="D9869" t="str">
            <v>Transporte</v>
          </cell>
          <cell r="G9869" t="str">
            <v>Real</v>
          </cell>
        </row>
        <row r="9870">
          <cell r="A9870" t="str">
            <v>POOLSEGUR</v>
          </cell>
          <cell r="B9870">
            <v>202505</v>
          </cell>
          <cell r="D9870" t="str">
            <v>Venta Cruzada</v>
          </cell>
          <cell r="G9870" t="str">
            <v>Presupuesto</v>
          </cell>
        </row>
        <row r="9871">
          <cell r="A9871" t="str">
            <v>POOLSEGUR</v>
          </cell>
          <cell r="B9871">
            <v>202505</v>
          </cell>
          <cell r="D9871" t="str">
            <v>Venta Cruzada</v>
          </cell>
          <cell r="G9871" t="str">
            <v>Real</v>
          </cell>
        </row>
        <row r="9872">
          <cell r="A9872" t="str">
            <v>POOLSEGUR</v>
          </cell>
          <cell r="B9872">
            <v>202505</v>
          </cell>
          <cell r="D9872" t="str">
            <v>Vida Ahorro Colectivo</v>
          </cell>
          <cell r="G9872" t="str">
            <v>Presupuesto</v>
          </cell>
        </row>
        <row r="9873">
          <cell r="A9873" t="str">
            <v>POOLSEGUR</v>
          </cell>
          <cell r="B9873">
            <v>202505</v>
          </cell>
          <cell r="D9873" t="str">
            <v>Vida Ahorro Particular</v>
          </cell>
          <cell r="G9873" t="str">
            <v>Presupuesto</v>
          </cell>
        </row>
        <row r="9874">
          <cell r="A9874" t="str">
            <v>POOLSEGUR</v>
          </cell>
          <cell r="B9874">
            <v>202505</v>
          </cell>
          <cell r="D9874" t="str">
            <v>Vida Ahorro Particular</v>
          </cell>
          <cell r="G9874" t="str">
            <v>Real</v>
          </cell>
        </row>
        <row r="9875">
          <cell r="A9875" t="str">
            <v>POOLSEGUR</v>
          </cell>
          <cell r="B9875">
            <v>202505</v>
          </cell>
          <cell r="D9875" t="str">
            <v>Vida Ganado</v>
          </cell>
          <cell r="G9875" t="str">
            <v>Presupuesto</v>
          </cell>
        </row>
        <row r="9876">
          <cell r="A9876" t="str">
            <v>POOLSEGUR</v>
          </cell>
          <cell r="B9876">
            <v>202505</v>
          </cell>
          <cell r="D9876" t="str">
            <v>Vida Riesgo Colectivo</v>
          </cell>
          <cell r="G9876" t="str">
            <v>Presupuesto</v>
          </cell>
        </row>
        <row r="9877">
          <cell r="A9877" t="str">
            <v>POOLSEGUR</v>
          </cell>
          <cell r="B9877">
            <v>202505</v>
          </cell>
          <cell r="D9877" t="str">
            <v>Vida Riesgo Colectivo</v>
          </cell>
          <cell r="G9877" t="str">
            <v>Real</v>
          </cell>
        </row>
        <row r="9878">
          <cell r="A9878" t="str">
            <v>POOLSEGUR</v>
          </cell>
          <cell r="B9878">
            <v>202505</v>
          </cell>
          <cell r="D9878" t="str">
            <v>Vida Riesgo Particular</v>
          </cell>
          <cell r="G9878" t="str">
            <v>Presupuesto</v>
          </cell>
        </row>
        <row r="9879">
          <cell r="A9879" t="str">
            <v>POOLSEGUR</v>
          </cell>
          <cell r="B9879">
            <v>202505</v>
          </cell>
          <cell r="D9879" t="str">
            <v>Vida Riesgo Particular</v>
          </cell>
          <cell r="G9879" t="str">
            <v>Real</v>
          </cell>
        </row>
        <row r="9880">
          <cell r="A9880" t="str">
            <v>POOLSEGUR</v>
          </cell>
          <cell r="B9880">
            <v>202506</v>
          </cell>
          <cell r="D9880" t="str">
            <v>--</v>
          </cell>
          <cell r="G9880" t="str">
            <v>Presupuesto</v>
          </cell>
        </row>
        <row r="9881">
          <cell r="A9881" t="str">
            <v>POOLSEGUR</v>
          </cell>
          <cell r="B9881">
            <v>202506</v>
          </cell>
          <cell r="D9881" t="str">
            <v>--</v>
          </cell>
          <cell r="G9881" t="str">
            <v>Real</v>
          </cell>
        </row>
        <row r="9882">
          <cell r="A9882" t="str">
            <v>POOLSEGUR</v>
          </cell>
          <cell r="B9882">
            <v>202506</v>
          </cell>
          <cell r="D9882" t="str">
            <v>Arte</v>
          </cell>
          <cell r="G9882" t="str">
            <v>Presupuesto</v>
          </cell>
        </row>
        <row r="9883">
          <cell r="A9883" t="str">
            <v>POOLSEGUR</v>
          </cell>
          <cell r="B9883">
            <v>202506</v>
          </cell>
          <cell r="D9883" t="str">
            <v>Arte</v>
          </cell>
          <cell r="G9883" t="str">
            <v>Real</v>
          </cell>
        </row>
        <row r="9884">
          <cell r="A9884" t="str">
            <v>POOLSEGUR</v>
          </cell>
          <cell r="B9884">
            <v>202506</v>
          </cell>
          <cell r="D9884" t="str">
            <v>Autos</v>
          </cell>
          <cell r="G9884" t="str">
            <v>Presupuesto</v>
          </cell>
        </row>
        <row r="9885">
          <cell r="A9885" t="str">
            <v>POOLSEGUR</v>
          </cell>
          <cell r="B9885">
            <v>202506</v>
          </cell>
          <cell r="D9885" t="str">
            <v>Autos</v>
          </cell>
          <cell r="G9885" t="str">
            <v>Real</v>
          </cell>
        </row>
        <row r="9886">
          <cell r="A9886" t="str">
            <v>POOLSEGUR</v>
          </cell>
          <cell r="B9886">
            <v>202506</v>
          </cell>
          <cell r="D9886" t="str">
            <v>B2B2C</v>
          </cell>
          <cell r="G9886" t="str">
            <v>Presupuesto</v>
          </cell>
        </row>
        <row r="9887">
          <cell r="A9887" t="str">
            <v>POOLSEGUR</v>
          </cell>
          <cell r="B9887">
            <v>202506</v>
          </cell>
          <cell r="D9887" t="str">
            <v>B2B2C</v>
          </cell>
          <cell r="G9887" t="str">
            <v>Real</v>
          </cell>
        </row>
        <row r="9888">
          <cell r="A9888" t="str">
            <v>POOLSEGUR</v>
          </cell>
          <cell r="B9888">
            <v>202506</v>
          </cell>
          <cell r="D9888" t="str">
            <v>Caución</v>
          </cell>
          <cell r="G9888" t="str">
            <v>Presupuesto</v>
          </cell>
        </row>
        <row r="9889">
          <cell r="A9889" t="str">
            <v>POOLSEGUR</v>
          </cell>
          <cell r="B9889">
            <v>202506</v>
          </cell>
          <cell r="D9889" t="str">
            <v>Crédito Nacional</v>
          </cell>
          <cell r="G9889" t="str">
            <v>Real</v>
          </cell>
        </row>
        <row r="9890">
          <cell r="A9890" t="str">
            <v>POOLSEGUR</v>
          </cell>
          <cell r="B9890">
            <v>202506</v>
          </cell>
          <cell r="D9890" t="str">
            <v>Crédito Internacional</v>
          </cell>
          <cell r="G9890" t="str">
            <v>Presupuesto</v>
          </cell>
        </row>
        <row r="9891">
          <cell r="A9891" t="str">
            <v>POOLSEGUR</v>
          </cell>
          <cell r="B9891">
            <v>202506</v>
          </cell>
          <cell r="D9891" t="str">
            <v>Crédito Nacional</v>
          </cell>
          <cell r="G9891" t="str">
            <v>Presupuesto</v>
          </cell>
        </row>
        <row r="9892">
          <cell r="A9892" t="str">
            <v>POOLSEGUR</v>
          </cell>
          <cell r="B9892">
            <v>202506</v>
          </cell>
          <cell r="D9892" t="str">
            <v>Eventos</v>
          </cell>
          <cell r="G9892" t="str">
            <v>Presupuesto</v>
          </cell>
        </row>
        <row r="9893">
          <cell r="A9893" t="str">
            <v>POOLSEGUR</v>
          </cell>
          <cell r="B9893">
            <v>202506</v>
          </cell>
          <cell r="D9893" t="str">
            <v>Flotas</v>
          </cell>
          <cell r="G9893" t="str">
            <v>Presupuesto</v>
          </cell>
        </row>
        <row r="9894">
          <cell r="A9894" t="str">
            <v>POOLSEGUR</v>
          </cell>
          <cell r="B9894">
            <v>202506</v>
          </cell>
          <cell r="D9894" t="str">
            <v>Flotas</v>
          </cell>
          <cell r="G9894" t="str">
            <v>Real</v>
          </cell>
        </row>
        <row r="9895">
          <cell r="A9895" t="str">
            <v>POOLSEGUR</v>
          </cell>
          <cell r="B9895">
            <v>202506</v>
          </cell>
          <cell r="D9895" t="str">
            <v>Hogar</v>
          </cell>
          <cell r="G9895" t="str">
            <v>Presupuesto</v>
          </cell>
        </row>
        <row r="9896">
          <cell r="A9896" t="str">
            <v>POOLSEGUR</v>
          </cell>
          <cell r="B9896">
            <v>202506</v>
          </cell>
          <cell r="D9896" t="str">
            <v>Hogar</v>
          </cell>
          <cell r="G9896" t="str">
            <v>Real</v>
          </cell>
        </row>
        <row r="9897">
          <cell r="A9897" t="str">
            <v>POOLSEGUR</v>
          </cell>
          <cell r="B9897">
            <v>202506</v>
          </cell>
          <cell r="D9897" t="str">
            <v>Ingeniería</v>
          </cell>
          <cell r="G9897" t="str">
            <v>Presupuesto</v>
          </cell>
        </row>
        <row r="9898">
          <cell r="A9898" t="str">
            <v>POOLSEGUR</v>
          </cell>
          <cell r="B9898">
            <v>202506</v>
          </cell>
          <cell r="D9898" t="str">
            <v>Ingeniería</v>
          </cell>
          <cell r="G9898" t="str">
            <v>Real</v>
          </cell>
        </row>
        <row r="9899">
          <cell r="A9899" t="str">
            <v>POOLSEGUR</v>
          </cell>
          <cell r="B9899">
            <v>202506</v>
          </cell>
          <cell r="D9899" t="str">
            <v>Inmobiliario</v>
          </cell>
          <cell r="G9899" t="str">
            <v>Presupuesto</v>
          </cell>
        </row>
        <row r="9900">
          <cell r="A9900" t="str">
            <v>POOLSEGUR</v>
          </cell>
          <cell r="B9900">
            <v>202506</v>
          </cell>
          <cell r="D9900" t="str">
            <v>Líneas Financieras</v>
          </cell>
          <cell r="G9900" t="str">
            <v>Presupuesto</v>
          </cell>
        </row>
        <row r="9901">
          <cell r="A9901" t="str">
            <v>POOLSEGUR</v>
          </cell>
          <cell r="B9901">
            <v>202506</v>
          </cell>
          <cell r="D9901" t="str">
            <v>Líneas Financieras</v>
          </cell>
          <cell r="G9901" t="str">
            <v>Real</v>
          </cell>
        </row>
        <row r="9902">
          <cell r="A9902" t="str">
            <v>POOLSEGUR</v>
          </cell>
          <cell r="B9902">
            <v>202506</v>
          </cell>
          <cell r="D9902" t="str">
            <v>Náutica</v>
          </cell>
          <cell r="G9902" t="str">
            <v>Presupuesto</v>
          </cell>
        </row>
        <row r="9903">
          <cell r="A9903" t="str">
            <v>POOLSEGUR</v>
          </cell>
          <cell r="B9903">
            <v>202506</v>
          </cell>
          <cell r="D9903" t="str">
            <v>Náutica</v>
          </cell>
          <cell r="G9903" t="str">
            <v>Real</v>
          </cell>
        </row>
        <row r="9904">
          <cell r="A9904" t="str">
            <v>POOLSEGUR</v>
          </cell>
          <cell r="B9904">
            <v>202506</v>
          </cell>
          <cell r="D9904" t="str">
            <v>Particulares Resto</v>
          </cell>
          <cell r="G9904" t="str">
            <v>Presupuesto</v>
          </cell>
        </row>
        <row r="9905">
          <cell r="A9905" t="str">
            <v>POOLSEGUR</v>
          </cell>
          <cell r="B9905">
            <v>202506</v>
          </cell>
          <cell r="D9905" t="str">
            <v>Particulares Resto</v>
          </cell>
          <cell r="G9905" t="str">
            <v>Real</v>
          </cell>
        </row>
        <row r="9906">
          <cell r="A9906" t="str">
            <v>POOLSEGUR</v>
          </cell>
          <cell r="B9906">
            <v>202506</v>
          </cell>
          <cell r="D9906" t="str">
            <v>Property</v>
          </cell>
          <cell r="G9906" t="str">
            <v>Presupuesto</v>
          </cell>
        </row>
        <row r="9907">
          <cell r="A9907" t="str">
            <v>POOLSEGUR</v>
          </cell>
          <cell r="B9907">
            <v>202506</v>
          </cell>
          <cell r="D9907" t="str">
            <v>Property</v>
          </cell>
          <cell r="G9907" t="str">
            <v>Real</v>
          </cell>
        </row>
        <row r="9908">
          <cell r="A9908" t="str">
            <v>POOLSEGUR</v>
          </cell>
          <cell r="B9908">
            <v>202506</v>
          </cell>
          <cell r="D9908" t="str">
            <v>RC</v>
          </cell>
          <cell r="G9908" t="str">
            <v>Presupuesto</v>
          </cell>
        </row>
        <row r="9909">
          <cell r="A9909" t="str">
            <v>POOLSEGUR</v>
          </cell>
          <cell r="B9909">
            <v>202506</v>
          </cell>
          <cell r="D9909" t="str">
            <v>RC</v>
          </cell>
          <cell r="G9909" t="str">
            <v>Real</v>
          </cell>
        </row>
        <row r="9910">
          <cell r="A9910" t="str">
            <v>POOLSEGUR</v>
          </cell>
          <cell r="B9910">
            <v>202506</v>
          </cell>
          <cell r="D9910" t="str">
            <v>Resto de lineas</v>
          </cell>
          <cell r="G9910" t="str">
            <v>Presupuesto</v>
          </cell>
        </row>
        <row r="9911">
          <cell r="A9911" t="str">
            <v>POOLSEGUR</v>
          </cell>
          <cell r="B9911">
            <v>202506</v>
          </cell>
          <cell r="D9911" t="str">
            <v>Retirada</v>
          </cell>
          <cell r="G9911" t="str">
            <v>Presupuesto</v>
          </cell>
        </row>
        <row r="9912">
          <cell r="A9912" t="str">
            <v>POOLSEGUR</v>
          </cell>
          <cell r="B9912">
            <v>202506</v>
          </cell>
          <cell r="D9912" t="str">
            <v>Seguros Personales (No Vida) Colectivos</v>
          </cell>
          <cell r="G9912" t="str">
            <v>Presupuesto</v>
          </cell>
        </row>
        <row r="9913">
          <cell r="A9913" t="str">
            <v>POOLSEGUR</v>
          </cell>
          <cell r="B9913">
            <v>202506</v>
          </cell>
          <cell r="D9913" t="str">
            <v>Seguros Personales (No Vida) Colectivos</v>
          </cell>
          <cell r="G9913" t="str">
            <v>Real</v>
          </cell>
        </row>
        <row r="9914">
          <cell r="A9914" t="str">
            <v>POOLSEGUR</v>
          </cell>
          <cell r="B9914">
            <v>202506</v>
          </cell>
          <cell r="D9914" t="str">
            <v>Seguros Personales (No Vida) Particular</v>
          </cell>
          <cell r="G9914" t="str">
            <v>Presupuesto</v>
          </cell>
        </row>
        <row r="9915">
          <cell r="A9915" t="str">
            <v>POOLSEGUR</v>
          </cell>
          <cell r="B9915">
            <v>202506</v>
          </cell>
          <cell r="D9915" t="str">
            <v>Seguros Personales (No Vida) Particular</v>
          </cell>
          <cell r="G9915" t="str">
            <v>Real</v>
          </cell>
        </row>
        <row r="9916">
          <cell r="A9916" t="str">
            <v>POOLSEGUR</v>
          </cell>
          <cell r="B9916">
            <v>202506</v>
          </cell>
          <cell r="D9916" t="str">
            <v>Transporte</v>
          </cell>
          <cell r="G9916" t="str">
            <v>Presupuesto</v>
          </cell>
        </row>
        <row r="9917">
          <cell r="A9917" t="str">
            <v>POOLSEGUR</v>
          </cell>
          <cell r="B9917">
            <v>202506</v>
          </cell>
          <cell r="D9917" t="str">
            <v>Transporte</v>
          </cell>
          <cell r="G9917" t="str">
            <v>Real</v>
          </cell>
        </row>
        <row r="9918">
          <cell r="A9918" t="str">
            <v>POOLSEGUR</v>
          </cell>
          <cell r="B9918">
            <v>202506</v>
          </cell>
          <cell r="D9918" t="str">
            <v>Venta Cruzada</v>
          </cell>
          <cell r="G9918" t="str">
            <v>Presupuesto</v>
          </cell>
        </row>
        <row r="9919">
          <cell r="A9919" t="str">
            <v>POOLSEGUR</v>
          </cell>
          <cell r="B9919">
            <v>202506</v>
          </cell>
          <cell r="D9919" t="str">
            <v>Venta Cruzada</v>
          </cell>
          <cell r="G9919" t="str">
            <v>Real</v>
          </cell>
        </row>
        <row r="9920">
          <cell r="A9920" t="str">
            <v>POOLSEGUR</v>
          </cell>
          <cell r="B9920">
            <v>202506</v>
          </cell>
          <cell r="D9920" t="str">
            <v>Vida Ahorro Colectivo</v>
          </cell>
          <cell r="G9920" t="str">
            <v>Presupuesto</v>
          </cell>
        </row>
        <row r="9921">
          <cell r="A9921" t="str">
            <v>POOLSEGUR</v>
          </cell>
          <cell r="B9921">
            <v>202506</v>
          </cell>
          <cell r="D9921" t="str">
            <v>Vida Ahorro Particular</v>
          </cell>
          <cell r="G9921" t="str">
            <v>Presupuesto</v>
          </cell>
        </row>
        <row r="9922">
          <cell r="A9922" t="str">
            <v>POOLSEGUR</v>
          </cell>
          <cell r="B9922">
            <v>202506</v>
          </cell>
          <cell r="D9922" t="str">
            <v>Vida Ahorro Particular</v>
          </cell>
          <cell r="G9922" t="str">
            <v>Real</v>
          </cell>
        </row>
        <row r="9923">
          <cell r="A9923" t="str">
            <v>POOLSEGUR</v>
          </cell>
          <cell r="B9923">
            <v>202506</v>
          </cell>
          <cell r="D9923" t="str">
            <v>Vida Ganado</v>
          </cell>
          <cell r="G9923" t="str">
            <v>Presupuesto</v>
          </cell>
        </row>
        <row r="9924">
          <cell r="A9924" t="str">
            <v>POOLSEGUR</v>
          </cell>
          <cell r="B9924">
            <v>202506</v>
          </cell>
          <cell r="D9924" t="str">
            <v>Vida Riesgo Colectivo</v>
          </cell>
          <cell r="G9924" t="str">
            <v>Presupuesto</v>
          </cell>
        </row>
        <row r="9925">
          <cell r="A9925" t="str">
            <v>POOLSEGUR</v>
          </cell>
          <cell r="B9925">
            <v>202506</v>
          </cell>
          <cell r="D9925" t="str">
            <v>Vida Riesgo Colectivo</v>
          </cell>
          <cell r="G9925" t="str">
            <v>Real</v>
          </cell>
        </row>
        <row r="9926">
          <cell r="A9926" t="str">
            <v>POOLSEGUR</v>
          </cell>
          <cell r="B9926">
            <v>202506</v>
          </cell>
          <cell r="D9926" t="str">
            <v>Vida Riesgo Particular</v>
          </cell>
          <cell r="G9926" t="str">
            <v>Presupuesto</v>
          </cell>
        </row>
        <row r="9927">
          <cell r="A9927" t="str">
            <v>POOLSEGUR</v>
          </cell>
          <cell r="B9927">
            <v>202506</v>
          </cell>
          <cell r="D9927" t="str">
            <v>Vida Riesgo Particular</v>
          </cell>
          <cell r="G9927" t="str">
            <v>Real</v>
          </cell>
        </row>
        <row r="9928">
          <cell r="A9928" t="str">
            <v>POOLSEGUR</v>
          </cell>
          <cell r="B9928">
            <v>202507</v>
          </cell>
          <cell r="D9928" t="str">
            <v>--</v>
          </cell>
          <cell r="G9928" t="str">
            <v>Presupuesto</v>
          </cell>
        </row>
        <row r="9929">
          <cell r="A9929" t="str">
            <v>POOLSEGUR</v>
          </cell>
          <cell r="B9929">
            <v>202507</v>
          </cell>
          <cell r="D9929" t="str">
            <v>--</v>
          </cell>
          <cell r="G9929" t="str">
            <v>Real</v>
          </cell>
        </row>
        <row r="9930">
          <cell r="A9930" t="str">
            <v>POOLSEGUR</v>
          </cell>
          <cell r="B9930">
            <v>202507</v>
          </cell>
          <cell r="D9930" t="str">
            <v>Arte</v>
          </cell>
          <cell r="G9930" t="str">
            <v>Presupuesto</v>
          </cell>
        </row>
        <row r="9931">
          <cell r="A9931" t="str">
            <v>POOLSEGUR</v>
          </cell>
          <cell r="B9931">
            <v>202507</v>
          </cell>
          <cell r="D9931" t="str">
            <v>Arte</v>
          </cell>
          <cell r="G9931" t="str">
            <v>Real</v>
          </cell>
        </row>
        <row r="9932">
          <cell r="A9932" t="str">
            <v>POOLSEGUR</v>
          </cell>
          <cell r="B9932">
            <v>202507</v>
          </cell>
          <cell r="D9932" t="str">
            <v>Autos</v>
          </cell>
          <cell r="G9932" t="str">
            <v>Presupuesto</v>
          </cell>
        </row>
        <row r="9933">
          <cell r="A9933" t="str">
            <v>POOLSEGUR</v>
          </cell>
          <cell r="B9933">
            <v>202507</v>
          </cell>
          <cell r="D9933" t="str">
            <v>Autos</v>
          </cell>
          <cell r="G9933" t="str">
            <v>Real</v>
          </cell>
        </row>
        <row r="9934">
          <cell r="A9934" t="str">
            <v>POOLSEGUR</v>
          </cell>
          <cell r="B9934">
            <v>202507</v>
          </cell>
          <cell r="D9934" t="str">
            <v>B2B2C</v>
          </cell>
          <cell r="G9934" t="str">
            <v>Presupuesto</v>
          </cell>
        </row>
        <row r="9935">
          <cell r="A9935" t="str">
            <v>POOLSEGUR</v>
          </cell>
          <cell r="B9935">
            <v>202507</v>
          </cell>
          <cell r="D9935" t="str">
            <v>B2B2C</v>
          </cell>
          <cell r="G9935" t="str">
            <v>Real</v>
          </cell>
        </row>
        <row r="9936">
          <cell r="A9936" t="str">
            <v>POOLSEGUR</v>
          </cell>
          <cell r="B9936">
            <v>202507</v>
          </cell>
          <cell r="D9936" t="str">
            <v>Caución</v>
          </cell>
          <cell r="G9936" t="str">
            <v>Presupuesto</v>
          </cell>
        </row>
        <row r="9937">
          <cell r="A9937" t="str">
            <v>POOLSEGUR</v>
          </cell>
          <cell r="B9937">
            <v>202507</v>
          </cell>
          <cell r="D9937" t="str">
            <v>Caución</v>
          </cell>
          <cell r="G9937" t="str">
            <v>Real</v>
          </cell>
        </row>
        <row r="9938">
          <cell r="A9938" t="str">
            <v>POOLSEGUR</v>
          </cell>
          <cell r="B9938">
            <v>202507</v>
          </cell>
          <cell r="D9938" t="str">
            <v>Crédito Nacional</v>
          </cell>
          <cell r="G9938" t="str">
            <v>Real</v>
          </cell>
        </row>
        <row r="9939">
          <cell r="A9939" t="str">
            <v>POOLSEGUR</v>
          </cell>
          <cell r="B9939">
            <v>202507</v>
          </cell>
          <cell r="D9939" t="str">
            <v>Crédito Internacional</v>
          </cell>
          <cell r="G9939" t="str">
            <v>Presupuesto</v>
          </cell>
        </row>
        <row r="9940">
          <cell r="A9940" t="str">
            <v>POOLSEGUR</v>
          </cell>
          <cell r="B9940">
            <v>202507</v>
          </cell>
          <cell r="D9940" t="str">
            <v>Crédito Nacional</v>
          </cell>
          <cell r="G9940" t="str">
            <v>Presupuesto</v>
          </cell>
        </row>
        <row r="9941">
          <cell r="A9941" t="str">
            <v>POOLSEGUR</v>
          </cell>
          <cell r="B9941">
            <v>202507</v>
          </cell>
          <cell r="D9941" t="str">
            <v>Eventos</v>
          </cell>
          <cell r="G9941" t="str">
            <v>Presupuesto</v>
          </cell>
        </row>
        <row r="9942">
          <cell r="A9942" t="str">
            <v>POOLSEGUR</v>
          </cell>
          <cell r="B9942">
            <v>202507</v>
          </cell>
          <cell r="D9942" t="str">
            <v>Eventos</v>
          </cell>
          <cell r="G9942" t="str">
            <v>Real</v>
          </cell>
        </row>
        <row r="9943">
          <cell r="A9943" t="str">
            <v>POOLSEGUR</v>
          </cell>
          <cell r="B9943">
            <v>202507</v>
          </cell>
          <cell r="D9943" t="str">
            <v>Flotas</v>
          </cell>
          <cell r="G9943" t="str">
            <v>Presupuesto</v>
          </cell>
        </row>
        <row r="9944">
          <cell r="A9944" t="str">
            <v>POOLSEGUR</v>
          </cell>
          <cell r="B9944">
            <v>202507</v>
          </cell>
          <cell r="D9944" t="str">
            <v>Flotas</v>
          </cell>
          <cell r="G9944" t="str">
            <v>Real</v>
          </cell>
        </row>
        <row r="9945">
          <cell r="A9945" t="str">
            <v>POOLSEGUR</v>
          </cell>
          <cell r="B9945">
            <v>202507</v>
          </cell>
          <cell r="D9945" t="str">
            <v>Hogar</v>
          </cell>
          <cell r="G9945" t="str">
            <v>Presupuesto</v>
          </cell>
        </row>
        <row r="9946">
          <cell r="A9946" t="str">
            <v>POOLSEGUR</v>
          </cell>
          <cell r="B9946">
            <v>202507</v>
          </cell>
          <cell r="D9946" t="str">
            <v>Hogar</v>
          </cell>
          <cell r="G9946" t="str">
            <v>Real</v>
          </cell>
        </row>
        <row r="9947">
          <cell r="A9947" t="str">
            <v>POOLSEGUR</v>
          </cell>
          <cell r="B9947">
            <v>202507</v>
          </cell>
          <cell r="D9947" t="str">
            <v>Ingeniería</v>
          </cell>
          <cell r="G9947" t="str">
            <v>Presupuesto</v>
          </cell>
        </row>
        <row r="9948">
          <cell r="A9948" t="str">
            <v>POOLSEGUR</v>
          </cell>
          <cell r="B9948">
            <v>202507</v>
          </cell>
          <cell r="D9948" t="str">
            <v>Ingeniería</v>
          </cell>
          <cell r="G9948" t="str">
            <v>Real</v>
          </cell>
        </row>
        <row r="9949">
          <cell r="A9949" t="str">
            <v>POOLSEGUR</v>
          </cell>
          <cell r="B9949">
            <v>202507</v>
          </cell>
          <cell r="D9949" t="str">
            <v>Inmobiliario</v>
          </cell>
          <cell r="G9949" t="str">
            <v>Presupuesto</v>
          </cell>
        </row>
        <row r="9950">
          <cell r="A9950" t="str">
            <v>POOLSEGUR</v>
          </cell>
          <cell r="B9950">
            <v>202507</v>
          </cell>
          <cell r="D9950" t="str">
            <v>Líneas Financieras</v>
          </cell>
          <cell r="G9950" t="str">
            <v>Presupuesto</v>
          </cell>
        </row>
        <row r="9951">
          <cell r="A9951" t="str">
            <v>POOLSEGUR</v>
          </cell>
          <cell r="B9951">
            <v>202507</v>
          </cell>
          <cell r="D9951" t="str">
            <v>Líneas Financieras</v>
          </cell>
          <cell r="G9951" t="str">
            <v>Real</v>
          </cell>
        </row>
        <row r="9952">
          <cell r="A9952" t="str">
            <v>POOLSEGUR</v>
          </cell>
          <cell r="B9952">
            <v>202507</v>
          </cell>
          <cell r="D9952" t="str">
            <v>Náutica</v>
          </cell>
          <cell r="G9952" t="str">
            <v>Presupuesto</v>
          </cell>
        </row>
        <row r="9953">
          <cell r="A9953" t="str">
            <v>POOLSEGUR</v>
          </cell>
          <cell r="B9953">
            <v>202507</v>
          </cell>
          <cell r="D9953" t="str">
            <v>Náutica</v>
          </cell>
          <cell r="G9953" t="str">
            <v>Real</v>
          </cell>
        </row>
        <row r="9954">
          <cell r="A9954" t="str">
            <v>POOLSEGUR</v>
          </cell>
          <cell r="B9954">
            <v>202507</v>
          </cell>
          <cell r="D9954" t="str">
            <v>Particulares Resto</v>
          </cell>
          <cell r="G9954" t="str">
            <v>Presupuesto</v>
          </cell>
        </row>
        <row r="9955">
          <cell r="A9955" t="str">
            <v>POOLSEGUR</v>
          </cell>
          <cell r="B9955">
            <v>202507</v>
          </cell>
          <cell r="D9955" t="str">
            <v>Particulares Resto</v>
          </cell>
          <cell r="G9955" t="str">
            <v>Real</v>
          </cell>
        </row>
        <row r="9956">
          <cell r="A9956" t="str">
            <v>POOLSEGUR</v>
          </cell>
          <cell r="B9956">
            <v>202507</v>
          </cell>
          <cell r="D9956" t="str">
            <v>Property</v>
          </cell>
          <cell r="G9956" t="str">
            <v>Presupuesto</v>
          </cell>
        </row>
        <row r="9957">
          <cell r="A9957" t="str">
            <v>POOLSEGUR</v>
          </cell>
          <cell r="B9957">
            <v>202507</v>
          </cell>
          <cell r="D9957" t="str">
            <v>Property</v>
          </cell>
          <cell r="G9957" t="str">
            <v>Real</v>
          </cell>
        </row>
        <row r="9958">
          <cell r="A9958" t="str">
            <v>POOLSEGUR</v>
          </cell>
          <cell r="B9958">
            <v>202507</v>
          </cell>
          <cell r="D9958" t="str">
            <v>RC</v>
          </cell>
          <cell r="G9958" t="str">
            <v>Presupuesto</v>
          </cell>
        </row>
        <row r="9959">
          <cell r="A9959" t="str">
            <v>POOLSEGUR</v>
          </cell>
          <cell r="B9959">
            <v>202507</v>
          </cell>
          <cell r="D9959" t="str">
            <v>RC</v>
          </cell>
          <cell r="G9959" t="str">
            <v>Real</v>
          </cell>
        </row>
        <row r="9960">
          <cell r="A9960" t="str">
            <v>POOLSEGUR</v>
          </cell>
          <cell r="B9960">
            <v>202507</v>
          </cell>
          <cell r="D9960" t="str">
            <v>Resto de lineas</v>
          </cell>
          <cell r="G9960" t="str">
            <v>Presupuesto</v>
          </cell>
        </row>
        <row r="9961">
          <cell r="A9961" t="str">
            <v>POOLSEGUR</v>
          </cell>
          <cell r="B9961">
            <v>202507</v>
          </cell>
          <cell r="D9961" t="str">
            <v>Retirada</v>
          </cell>
          <cell r="G9961" t="str">
            <v>Presupuesto</v>
          </cell>
        </row>
        <row r="9962">
          <cell r="A9962" t="str">
            <v>POOLSEGUR</v>
          </cell>
          <cell r="B9962">
            <v>202507</v>
          </cell>
          <cell r="D9962" t="str">
            <v>Seguros Personales (No Vida) Colectivos</v>
          </cell>
          <cell r="G9962" t="str">
            <v>Presupuesto</v>
          </cell>
        </row>
        <row r="9963">
          <cell r="A9963" t="str">
            <v>POOLSEGUR</v>
          </cell>
          <cell r="B9963">
            <v>202507</v>
          </cell>
          <cell r="D9963" t="str">
            <v>Seguros Personales (No Vida) Colectivos</v>
          </cell>
          <cell r="G9963" t="str">
            <v>Real</v>
          </cell>
        </row>
        <row r="9964">
          <cell r="A9964" t="str">
            <v>POOLSEGUR</v>
          </cell>
          <cell r="B9964">
            <v>202507</v>
          </cell>
          <cell r="D9964" t="str">
            <v>Seguros Personales (No Vida) Particular</v>
          </cell>
          <cell r="G9964" t="str">
            <v>Presupuesto</v>
          </cell>
        </row>
        <row r="9965">
          <cell r="A9965" t="str">
            <v>POOLSEGUR</v>
          </cell>
          <cell r="B9965">
            <v>202507</v>
          </cell>
          <cell r="D9965" t="str">
            <v>Seguros Personales (No Vida) Particular</v>
          </cell>
          <cell r="G9965" t="str">
            <v>Real</v>
          </cell>
        </row>
        <row r="9966">
          <cell r="A9966" t="str">
            <v>POOLSEGUR</v>
          </cell>
          <cell r="B9966">
            <v>202507</v>
          </cell>
          <cell r="D9966" t="str">
            <v>Transporte</v>
          </cell>
          <cell r="G9966" t="str">
            <v>Presupuesto</v>
          </cell>
        </row>
        <row r="9967">
          <cell r="A9967" t="str">
            <v>POOLSEGUR</v>
          </cell>
          <cell r="B9967">
            <v>202507</v>
          </cell>
          <cell r="D9967" t="str">
            <v>Transporte</v>
          </cell>
          <cell r="G9967" t="str">
            <v>Real</v>
          </cell>
        </row>
        <row r="9968">
          <cell r="A9968" t="str">
            <v>POOLSEGUR</v>
          </cell>
          <cell r="B9968">
            <v>202507</v>
          </cell>
          <cell r="D9968" t="str">
            <v>Venta Cruzada</v>
          </cell>
          <cell r="G9968" t="str">
            <v>Presupuesto</v>
          </cell>
        </row>
        <row r="9969">
          <cell r="A9969" t="str">
            <v>POOLSEGUR</v>
          </cell>
          <cell r="B9969">
            <v>202507</v>
          </cell>
          <cell r="D9969" t="str">
            <v>Venta Cruzada</v>
          </cell>
          <cell r="G9969" t="str">
            <v>Real</v>
          </cell>
        </row>
        <row r="9970">
          <cell r="A9970" t="str">
            <v>POOLSEGUR</v>
          </cell>
          <cell r="B9970">
            <v>202507</v>
          </cell>
          <cell r="D9970" t="str">
            <v>Vida Ahorro Colectivo</v>
          </cell>
          <cell r="G9970" t="str">
            <v>Presupuesto</v>
          </cell>
        </row>
        <row r="9971">
          <cell r="A9971" t="str">
            <v>POOLSEGUR</v>
          </cell>
          <cell r="B9971">
            <v>202507</v>
          </cell>
          <cell r="D9971" t="str">
            <v>Vida Ahorro Particular</v>
          </cell>
          <cell r="G9971" t="str">
            <v>Presupuesto</v>
          </cell>
        </row>
        <row r="9972">
          <cell r="A9972" t="str">
            <v>POOLSEGUR</v>
          </cell>
          <cell r="B9972">
            <v>202507</v>
          </cell>
          <cell r="D9972" t="str">
            <v>Vida Ahorro Particular</v>
          </cell>
          <cell r="G9972" t="str">
            <v>Real</v>
          </cell>
        </row>
        <row r="9973">
          <cell r="A9973" t="str">
            <v>POOLSEGUR</v>
          </cell>
          <cell r="B9973">
            <v>202507</v>
          </cell>
          <cell r="D9973" t="str">
            <v>Vida Ganado</v>
          </cell>
          <cell r="G9973" t="str">
            <v>Presupuesto</v>
          </cell>
        </row>
        <row r="9974">
          <cell r="A9974" t="str">
            <v>POOLSEGUR</v>
          </cell>
          <cell r="B9974">
            <v>202507</v>
          </cell>
          <cell r="D9974" t="str">
            <v>Vida Riesgo Colectivo</v>
          </cell>
          <cell r="G9974" t="str">
            <v>Presupuesto</v>
          </cell>
        </row>
        <row r="9975">
          <cell r="A9975" t="str">
            <v>POOLSEGUR</v>
          </cell>
          <cell r="B9975">
            <v>202507</v>
          </cell>
          <cell r="D9975" t="str">
            <v>Vida Riesgo Colectivo</v>
          </cell>
          <cell r="G9975" t="str">
            <v>Real</v>
          </cell>
        </row>
        <row r="9976">
          <cell r="A9976" t="str">
            <v>POOLSEGUR</v>
          </cell>
          <cell r="B9976">
            <v>202507</v>
          </cell>
          <cell r="D9976" t="str">
            <v>Vida Riesgo Particular</v>
          </cell>
          <cell r="G9976" t="str">
            <v>Presupuesto</v>
          </cell>
        </row>
        <row r="9977">
          <cell r="A9977" t="str">
            <v>POOLSEGUR</v>
          </cell>
          <cell r="B9977">
            <v>202507</v>
          </cell>
          <cell r="D9977" t="str">
            <v>Vida Riesgo Particular</v>
          </cell>
          <cell r="G9977" t="str">
            <v>Real</v>
          </cell>
        </row>
        <row r="9978">
          <cell r="A9978" t="str">
            <v>POOLSEGUR</v>
          </cell>
          <cell r="B9978">
            <v>202508</v>
          </cell>
          <cell r="D9978" t="str">
            <v>--</v>
          </cell>
          <cell r="G9978" t="str">
            <v>Presupuesto</v>
          </cell>
        </row>
        <row r="9979">
          <cell r="A9979" t="str">
            <v>POOLSEGUR</v>
          </cell>
          <cell r="B9979">
            <v>202508</v>
          </cell>
          <cell r="D9979" t="str">
            <v>--</v>
          </cell>
          <cell r="G9979" t="str">
            <v>Real</v>
          </cell>
        </row>
        <row r="9980">
          <cell r="A9980" t="str">
            <v>POOLSEGUR</v>
          </cell>
          <cell r="B9980">
            <v>202508</v>
          </cell>
          <cell r="D9980" t="str">
            <v>Arte</v>
          </cell>
          <cell r="G9980" t="str">
            <v>Presupuesto</v>
          </cell>
        </row>
        <row r="9981">
          <cell r="A9981" t="str">
            <v>POOLSEGUR</v>
          </cell>
          <cell r="B9981">
            <v>202508</v>
          </cell>
          <cell r="D9981" t="str">
            <v>Arte</v>
          </cell>
          <cell r="G9981" t="str">
            <v>Real</v>
          </cell>
        </row>
        <row r="9982">
          <cell r="A9982" t="str">
            <v>POOLSEGUR</v>
          </cell>
          <cell r="B9982">
            <v>202508</v>
          </cell>
          <cell r="D9982" t="str">
            <v>Autos</v>
          </cell>
          <cell r="G9982" t="str">
            <v>Presupuesto</v>
          </cell>
        </row>
        <row r="9983">
          <cell r="A9983" t="str">
            <v>POOLSEGUR</v>
          </cell>
          <cell r="B9983">
            <v>202508</v>
          </cell>
          <cell r="D9983" t="str">
            <v>Autos</v>
          </cell>
          <cell r="G9983" t="str">
            <v>Real</v>
          </cell>
        </row>
        <row r="9984">
          <cell r="A9984" t="str">
            <v>POOLSEGUR</v>
          </cell>
          <cell r="B9984">
            <v>202508</v>
          </cell>
          <cell r="D9984" t="str">
            <v>B2B2C</v>
          </cell>
          <cell r="G9984" t="str">
            <v>Presupuesto</v>
          </cell>
        </row>
        <row r="9985">
          <cell r="A9985" t="str">
            <v>POOLSEGUR</v>
          </cell>
          <cell r="B9985">
            <v>202508</v>
          </cell>
          <cell r="D9985" t="str">
            <v>B2B2C</v>
          </cell>
          <cell r="G9985" t="str">
            <v>Real</v>
          </cell>
        </row>
        <row r="9986">
          <cell r="A9986" t="str">
            <v>POOLSEGUR</v>
          </cell>
          <cell r="B9986">
            <v>202508</v>
          </cell>
          <cell r="D9986" t="str">
            <v>Caución</v>
          </cell>
          <cell r="G9986" t="str">
            <v>Presupuesto</v>
          </cell>
        </row>
        <row r="9987">
          <cell r="A9987" t="str">
            <v>POOLSEGUR</v>
          </cell>
          <cell r="B9987">
            <v>202508</v>
          </cell>
          <cell r="D9987" t="str">
            <v>Caución</v>
          </cell>
          <cell r="G9987" t="str">
            <v>Real</v>
          </cell>
        </row>
        <row r="9988">
          <cell r="A9988" t="str">
            <v>POOLSEGUR</v>
          </cell>
          <cell r="B9988">
            <v>202508</v>
          </cell>
          <cell r="D9988" t="str">
            <v>Crédito Nacional</v>
          </cell>
          <cell r="G9988" t="str">
            <v>Real</v>
          </cell>
        </row>
        <row r="9989">
          <cell r="A9989" t="str">
            <v>POOLSEGUR</v>
          </cell>
          <cell r="B9989">
            <v>202508</v>
          </cell>
          <cell r="D9989" t="str">
            <v>Crédito Internacional</v>
          </cell>
          <cell r="G9989" t="str">
            <v>Presupuesto</v>
          </cell>
        </row>
        <row r="9990">
          <cell r="A9990" t="str">
            <v>POOLSEGUR</v>
          </cell>
          <cell r="B9990">
            <v>202508</v>
          </cell>
          <cell r="D9990" t="str">
            <v>Crédito Nacional</v>
          </cell>
          <cell r="G9990" t="str">
            <v>Presupuesto</v>
          </cell>
        </row>
        <row r="9991">
          <cell r="A9991" t="str">
            <v>POOLSEGUR</v>
          </cell>
          <cell r="B9991">
            <v>202508</v>
          </cell>
          <cell r="D9991" t="str">
            <v>Eventos</v>
          </cell>
          <cell r="G9991" t="str">
            <v>Presupuesto</v>
          </cell>
        </row>
        <row r="9992">
          <cell r="A9992" t="str">
            <v>POOLSEGUR</v>
          </cell>
          <cell r="B9992">
            <v>202508</v>
          </cell>
          <cell r="D9992" t="str">
            <v>Eventos</v>
          </cell>
          <cell r="G9992" t="str">
            <v>Real</v>
          </cell>
        </row>
        <row r="9993">
          <cell r="A9993" t="str">
            <v>POOLSEGUR</v>
          </cell>
          <cell r="B9993">
            <v>202508</v>
          </cell>
          <cell r="D9993" t="str">
            <v>Flotas</v>
          </cell>
          <cell r="G9993" t="str">
            <v>Presupuesto</v>
          </cell>
        </row>
        <row r="9994">
          <cell r="A9994" t="str">
            <v>POOLSEGUR</v>
          </cell>
          <cell r="B9994">
            <v>202508</v>
          </cell>
          <cell r="D9994" t="str">
            <v>Flotas</v>
          </cell>
          <cell r="G9994" t="str">
            <v>Real</v>
          </cell>
        </row>
        <row r="9995">
          <cell r="A9995" t="str">
            <v>POOLSEGUR</v>
          </cell>
          <cell r="B9995">
            <v>202508</v>
          </cell>
          <cell r="D9995" t="str">
            <v>Hogar</v>
          </cell>
          <cell r="G9995" t="str">
            <v>Presupuesto</v>
          </cell>
        </row>
        <row r="9996">
          <cell r="A9996" t="str">
            <v>POOLSEGUR</v>
          </cell>
          <cell r="B9996">
            <v>202508</v>
          </cell>
          <cell r="D9996" t="str">
            <v>Hogar</v>
          </cell>
          <cell r="G9996" t="str">
            <v>Real</v>
          </cell>
        </row>
        <row r="9997">
          <cell r="A9997" t="str">
            <v>POOLSEGUR</v>
          </cell>
          <cell r="B9997">
            <v>202508</v>
          </cell>
          <cell r="D9997" t="str">
            <v>Ingeniería</v>
          </cell>
          <cell r="G9997" t="str">
            <v>Presupuesto</v>
          </cell>
        </row>
        <row r="9998">
          <cell r="A9998" t="str">
            <v>POOLSEGUR</v>
          </cell>
          <cell r="B9998">
            <v>202508</v>
          </cell>
          <cell r="D9998" t="str">
            <v>Ingeniería</v>
          </cell>
          <cell r="G9998" t="str">
            <v>Real</v>
          </cell>
        </row>
        <row r="9999">
          <cell r="A9999" t="str">
            <v>POOLSEGUR</v>
          </cell>
          <cell r="B9999">
            <v>202508</v>
          </cell>
          <cell r="D9999" t="str">
            <v>Inmobiliario</v>
          </cell>
          <cell r="G9999" t="str">
            <v>Presupuesto</v>
          </cell>
        </row>
        <row r="10000">
          <cell r="A10000" t="str">
            <v>POOLSEGUR</v>
          </cell>
          <cell r="B10000">
            <v>202508</v>
          </cell>
          <cell r="D10000" t="str">
            <v>Líneas Financieras</v>
          </cell>
          <cell r="G10000" t="str">
            <v>Presupuesto</v>
          </cell>
        </row>
        <row r="10001">
          <cell r="A10001" t="str">
            <v>POOLSEGUR</v>
          </cell>
          <cell r="B10001">
            <v>202508</v>
          </cell>
          <cell r="D10001" t="str">
            <v>Líneas Financieras</v>
          </cell>
          <cell r="G10001" t="str">
            <v>Real</v>
          </cell>
        </row>
        <row r="10002">
          <cell r="A10002" t="str">
            <v>POOLSEGUR</v>
          </cell>
          <cell r="B10002">
            <v>202508</v>
          </cell>
          <cell r="D10002" t="str">
            <v>Náutica</v>
          </cell>
          <cell r="G10002" t="str">
            <v>Presupuesto</v>
          </cell>
        </row>
        <row r="10003">
          <cell r="A10003" t="str">
            <v>POOLSEGUR</v>
          </cell>
          <cell r="B10003">
            <v>202508</v>
          </cell>
          <cell r="D10003" t="str">
            <v>Náutica</v>
          </cell>
          <cell r="G10003" t="str">
            <v>Real</v>
          </cell>
        </row>
        <row r="10004">
          <cell r="A10004" t="str">
            <v>POOLSEGUR</v>
          </cell>
          <cell r="B10004">
            <v>202508</v>
          </cell>
          <cell r="D10004" t="str">
            <v>Particulares Resto</v>
          </cell>
          <cell r="G10004" t="str">
            <v>Presupuesto</v>
          </cell>
        </row>
        <row r="10005">
          <cell r="A10005" t="str">
            <v>POOLSEGUR</v>
          </cell>
          <cell r="B10005">
            <v>202508</v>
          </cell>
          <cell r="D10005" t="str">
            <v>Particulares Resto</v>
          </cell>
          <cell r="G10005" t="str">
            <v>Real</v>
          </cell>
        </row>
        <row r="10006">
          <cell r="A10006" t="str">
            <v>POOLSEGUR</v>
          </cell>
          <cell r="B10006">
            <v>202508</v>
          </cell>
          <cell r="D10006" t="str">
            <v>Property</v>
          </cell>
          <cell r="G10006" t="str">
            <v>Presupuesto</v>
          </cell>
        </row>
        <row r="10007">
          <cell r="A10007" t="str">
            <v>POOLSEGUR</v>
          </cell>
          <cell r="B10007">
            <v>202508</v>
          </cell>
          <cell r="D10007" t="str">
            <v>Property</v>
          </cell>
          <cell r="G10007" t="str">
            <v>Real</v>
          </cell>
        </row>
        <row r="10008">
          <cell r="A10008" t="str">
            <v>POOLSEGUR</v>
          </cell>
          <cell r="B10008">
            <v>202508</v>
          </cell>
          <cell r="D10008" t="str">
            <v>RC</v>
          </cell>
          <cell r="G10008" t="str">
            <v>Presupuesto</v>
          </cell>
        </row>
        <row r="10009">
          <cell r="A10009" t="str">
            <v>POOLSEGUR</v>
          </cell>
          <cell r="B10009">
            <v>202508</v>
          </cell>
          <cell r="D10009" t="str">
            <v>RC</v>
          </cell>
          <cell r="G10009" t="str">
            <v>Real</v>
          </cell>
        </row>
        <row r="10010">
          <cell r="A10010" t="str">
            <v>POOLSEGUR</v>
          </cell>
          <cell r="B10010">
            <v>202508</v>
          </cell>
          <cell r="D10010" t="str">
            <v>Resto de lineas</v>
          </cell>
          <cell r="G10010" t="str">
            <v>Presupuesto</v>
          </cell>
        </row>
        <row r="10011">
          <cell r="A10011" t="str">
            <v>POOLSEGUR</v>
          </cell>
          <cell r="B10011">
            <v>202508</v>
          </cell>
          <cell r="D10011" t="str">
            <v>Retirada</v>
          </cell>
          <cell r="G10011" t="str">
            <v>Presupuesto</v>
          </cell>
        </row>
        <row r="10012">
          <cell r="A10012" t="str">
            <v>POOLSEGUR</v>
          </cell>
          <cell r="B10012">
            <v>202508</v>
          </cell>
          <cell r="D10012" t="str">
            <v>Seguros Personales (No Vida) Colectivos</v>
          </cell>
          <cell r="G10012" t="str">
            <v>Presupuesto</v>
          </cell>
        </row>
        <row r="10013">
          <cell r="A10013" t="str">
            <v>POOLSEGUR</v>
          </cell>
          <cell r="B10013">
            <v>202508</v>
          </cell>
          <cell r="D10013" t="str">
            <v>Seguros Personales (No Vida) Colectivos</v>
          </cell>
          <cell r="G10013" t="str">
            <v>Real</v>
          </cell>
        </row>
        <row r="10014">
          <cell r="A10014" t="str">
            <v>POOLSEGUR</v>
          </cell>
          <cell r="B10014">
            <v>202508</v>
          </cell>
          <cell r="D10014" t="str">
            <v>Seguros Personales (No Vida) Particular</v>
          </cell>
          <cell r="G10014" t="str">
            <v>Presupuesto</v>
          </cell>
        </row>
        <row r="10015">
          <cell r="A10015" t="str">
            <v>POOLSEGUR</v>
          </cell>
          <cell r="B10015">
            <v>202508</v>
          </cell>
          <cell r="D10015" t="str">
            <v>Seguros Personales (No Vida) Particular</v>
          </cell>
          <cell r="G10015" t="str">
            <v>Real</v>
          </cell>
        </row>
        <row r="10016">
          <cell r="A10016" t="str">
            <v>POOLSEGUR</v>
          </cell>
          <cell r="B10016">
            <v>202508</v>
          </cell>
          <cell r="D10016" t="str">
            <v>Transporte</v>
          </cell>
          <cell r="G10016" t="str">
            <v>Presupuesto</v>
          </cell>
        </row>
        <row r="10017">
          <cell r="A10017" t="str">
            <v>POOLSEGUR</v>
          </cell>
          <cell r="B10017">
            <v>202508</v>
          </cell>
          <cell r="D10017" t="str">
            <v>Transporte</v>
          </cell>
          <cell r="G10017" t="str">
            <v>Real</v>
          </cell>
        </row>
        <row r="10018">
          <cell r="A10018" t="str">
            <v>POOLSEGUR</v>
          </cell>
          <cell r="B10018">
            <v>202508</v>
          </cell>
          <cell r="D10018" t="str">
            <v>Venta Cruzada</v>
          </cell>
          <cell r="G10018" t="str">
            <v>Presupuesto</v>
          </cell>
        </row>
        <row r="10019">
          <cell r="A10019" t="str">
            <v>POOLSEGUR</v>
          </cell>
          <cell r="B10019">
            <v>202508</v>
          </cell>
          <cell r="D10019" t="str">
            <v>Venta Cruzada</v>
          </cell>
          <cell r="G10019" t="str">
            <v>Real</v>
          </cell>
        </row>
        <row r="10020">
          <cell r="A10020" t="str">
            <v>POOLSEGUR</v>
          </cell>
          <cell r="B10020">
            <v>202508</v>
          </cell>
          <cell r="D10020" t="str">
            <v>Vida Ahorro Colectivo</v>
          </cell>
          <cell r="G10020" t="str">
            <v>Presupuesto</v>
          </cell>
        </row>
        <row r="10021">
          <cell r="A10021" t="str">
            <v>POOLSEGUR</v>
          </cell>
          <cell r="B10021">
            <v>202508</v>
          </cell>
          <cell r="D10021" t="str">
            <v>Vida Ahorro Particular</v>
          </cell>
          <cell r="G10021" t="str">
            <v>Presupuesto</v>
          </cell>
        </row>
        <row r="10022">
          <cell r="A10022" t="str">
            <v>POOLSEGUR</v>
          </cell>
          <cell r="B10022">
            <v>202508</v>
          </cell>
          <cell r="D10022" t="str">
            <v>Vida Ahorro Particular</v>
          </cell>
          <cell r="G10022" t="str">
            <v>Real</v>
          </cell>
        </row>
        <row r="10023">
          <cell r="A10023" t="str">
            <v>POOLSEGUR</v>
          </cell>
          <cell r="B10023">
            <v>202508</v>
          </cell>
          <cell r="D10023" t="str">
            <v>Vida Ganado</v>
          </cell>
          <cell r="G10023" t="str">
            <v>Presupuesto</v>
          </cell>
        </row>
        <row r="10024">
          <cell r="A10024" t="str">
            <v>POOLSEGUR</v>
          </cell>
          <cell r="B10024">
            <v>202508</v>
          </cell>
          <cell r="D10024" t="str">
            <v>Vida Riesgo Colectivo</v>
          </cell>
          <cell r="G10024" t="str">
            <v>Presupuesto</v>
          </cell>
        </row>
        <row r="10025">
          <cell r="A10025" t="str">
            <v>POOLSEGUR</v>
          </cell>
          <cell r="B10025">
            <v>202508</v>
          </cell>
          <cell r="D10025" t="str">
            <v>Vida Riesgo Particular</v>
          </cell>
          <cell r="G10025" t="str">
            <v>Presupuesto</v>
          </cell>
        </row>
        <row r="10026">
          <cell r="A10026" t="str">
            <v>POOLSEGUR</v>
          </cell>
          <cell r="B10026">
            <v>202508</v>
          </cell>
          <cell r="D10026" t="str">
            <v>Vida Riesgo Particular</v>
          </cell>
          <cell r="G10026" t="str">
            <v>Real</v>
          </cell>
        </row>
        <row r="10027">
          <cell r="A10027" t="str">
            <v>POOLSEGUR</v>
          </cell>
          <cell r="B10027">
            <v>202509</v>
          </cell>
          <cell r="D10027" t="str">
            <v>--</v>
          </cell>
          <cell r="G10027" t="str">
            <v>Presupuesto</v>
          </cell>
        </row>
        <row r="10028">
          <cell r="A10028" t="str">
            <v>POOLSEGUR</v>
          </cell>
          <cell r="B10028">
            <v>202509</v>
          </cell>
          <cell r="D10028" t="str">
            <v>--</v>
          </cell>
          <cell r="G10028" t="str">
            <v>Real</v>
          </cell>
        </row>
        <row r="10029">
          <cell r="A10029" t="str">
            <v>POOLSEGUR</v>
          </cell>
          <cell r="B10029">
            <v>202509</v>
          </cell>
          <cell r="D10029" t="str">
            <v>Arte</v>
          </cell>
          <cell r="G10029" t="str">
            <v>Presupuesto</v>
          </cell>
        </row>
        <row r="10030">
          <cell r="A10030" t="str">
            <v>POOLSEGUR</v>
          </cell>
          <cell r="B10030">
            <v>202509</v>
          </cell>
          <cell r="D10030" t="str">
            <v>Arte</v>
          </cell>
          <cell r="G10030" t="str">
            <v>Real</v>
          </cell>
        </row>
        <row r="10031">
          <cell r="A10031" t="str">
            <v>POOLSEGUR</v>
          </cell>
          <cell r="B10031">
            <v>202509</v>
          </cell>
          <cell r="D10031" t="str">
            <v>Autos</v>
          </cell>
          <cell r="G10031" t="str">
            <v>Presupuesto</v>
          </cell>
        </row>
        <row r="10032">
          <cell r="A10032" t="str">
            <v>POOLSEGUR</v>
          </cell>
          <cell r="B10032">
            <v>202509</v>
          </cell>
          <cell r="D10032" t="str">
            <v>Autos</v>
          </cell>
          <cell r="G10032" t="str">
            <v>Real</v>
          </cell>
        </row>
        <row r="10033">
          <cell r="A10033" t="str">
            <v>POOLSEGUR</v>
          </cell>
          <cell r="B10033">
            <v>202509</v>
          </cell>
          <cell r="D10033" t="str">
            <v>B2B2C</v>
          </cell>
          <cell r="G10033" t="str">
            <v>Presupuesto</v>
          </cell>
        </row>
        <row r="10034">
          <cell r="A10034" t="str">
            <v>POOLSEGUR</v>
          </cell>
          <cell r="B10034">
            <v>202509</v>
          </cell>
          <cell r="D10034" t="str">
            <v>B2B2C</v>
          </cell>
          <cell r="G10034" t="str">
            <v>Real</v>
          </cell>
        </row>
        <row r="10035">
          <cell r="A10035" t="str">
            <v>POOLSEGUR</v>
          </cell>
          <cell r="B10035">
            <v>202509</v>
          </cell>
          <cell r="D10035" t="str">
            <v>Caución</v>
          </cell>
          <cell r="G10035" t="str">
            <v>Presupuesto</v>
          </cell>
        </row>
        <row r="10036">
          <cell r="A10036" t="str">
            <v>POOLSEGUR</v>
          </cell>
          <cell r="B10036">
            <v>202509</v>
          </cell>
          <cell r="D10036" t="str">
            <v>Crédito Nacional</v>
          </cell>
          <cell r="G10036" t="str">
            <v>Real</v>
          </cell>
        </row>
        <row r="10037">
          <cell r="A10037" t="str">
            <v>POOLSEGUR</v>
          </cell>
          <cell r="B10037">
            <v>202509</v>
          </cell>
          <cell r="D10037" t="str">
            <v>Crédito Internacional</v>
          </cell>
          <cell r="G10037" t="str">
            <v>Presupuesto</v>
          </cell>
        </row>
        <row r="10038">
          <cell r="A10038" t="str">
            <v>POOLSEGUR</v>
          </cell>
          <cell r="B10038">
            <v>202509</v>
          </cell>
          <cell r="D10038" t="str">
            <v>Crédito Nacional</v>
          </cell>
          <cell r="G10038" t="str">
            <v>Presupuesto</v>
          </cell>
        </row>
        <row r="10039">
          <cell r="A10039" t="str">
            <v>POOLSEGUR</v>
          </cell>
          <cell r="B10039">
            <v>202509</v>
          </cell>
          <cell r="D10039" t="str">
            <v>Eventos</v>
          </cell>
          <cell r="G10039" t="str">
            <v>Presupuesto</v>
          </cell>
        </row>
        <row r="10040">
          <cell r="A10040" t="str">
            <v>POOLSEGUR</v>
          </cell>
          <cell r="B10040">
            <v>202509</v>
          </cell>
          <cell r="D10040" t="str">
            <v>Eventos</v>
          </cell>
          <cell r="G10040" t="str">
            <v>Real</v>
          </cell>
        </row>
        <row r="10041">
          <cell r="A10041" t="str">
            <v>POOLSEGUR</v>
          </cell>
          <cell r="B10041">
            <v>202509</v>
          </cell>
          <cell r="D10041" t="str">
            <v>Flotas</v>
          </cell>
          <cell r="G10041" t="str">
            <v>Presupuesto</v>
          </cell>
        </row>
        <row r="10042">
          <cell r="A10042" t="str">
            <v>POOLSEGUR</v>
          </cell>
          <cell r="B10042">
            <v>202509</v>
          </cell>
          <cell r="D10042" t="str">
            <v>Flotas</v>
          </cell>
          <cell r="G10042" t="str">
            <v>Real</v>
          </cell>
        </row>
        <row r="10043">
          <cell r="A10043" t="str">
            <v>POOLSEGUR</v>
          </cell>
          <cell r="B10043">
            <v>202509</v>
          </cell>
          <cell r="D10043" t="str">
            <v>Hogar</v>
          </cell>
          <cell r="G10043" t="str">
            <v>Presupuesto</v>
          </cell>
        </row>
        <row r="10044">
          <cell r="A10044" t="str">
            <v>POOLSEGUR</v>
          </cell>
          <cell r="B10044">
            <v>202509</v>
          </cell>
          <cell r="D10044" t="str">
            <v>Hogar</v>
          </cell>
          <cell r="G10044" t="str">
            <v>Real</v>
          </cell>
        </row>
        <row r="10045">
          <cell r="A10045" t="str">
            <v>POOLSEGUR</v>
          </cell>
          <cell r="B10045">
            <v>202509</v>
          </cell>
          <cell r="D10045" t="str">
            <v>Ingeniería</v>
          </cell>
          <cell r="G10045" t="str">
            <v>Presupuesto</v>
          </cell>
        </row>
        <row r="10046">
          <cell r="A10046" t="str">
            <v>POOLSEGUR</v>
          </cell>
          <cell r="B10046">
            <v>202509</v>
          </cell>
          <cell r="D10046" t="str">
            <v>Ingeniería</v>
          </cell>
          <cell r="G10046" t="str">
            <v>Real</v>
          </cell>
        </row>
        <row r="10047">
          <cell r="A10047" t="str">
            <v>POOLSEGUR</v>
          </cell>
          <cell r="B10047">
            <v>202509</v>
          </cell>
          <cell r="D10047" t="str">
            <v>Inmobiliario</v>
          </cell>
          <cell r="G10047" t="str">
            <v>Presupuesto</v>
          </cell>
        </row>
        <row r="10048">
          <cell r="A10048" t="str">
            <v>POOLSEGUR</v>
          </cell>
          <cell r="B10048">
            <v>202509</v>
          </cell>
          <cell r="D10048" t="str">
            <v>Líneas Financieras</v>
          </cell>
          <cell r="G10048" t="str">
            <v>Presupuesto</v>
          </cell>
        </row>
        <row r="10049">
          <cell r="A10049" t="str">
            <v>POOLSEGUR</v>
          </cell>
          <cell r="B10049">
            <v>202509</v>
          </cell>
          <cell r="D10049" t="str">
            <v>Líneas Financieras</v>
          </cell>
          <cell r="G10049" t="str">
            <v>Real</v>
          </cell>
        </row>
        <row r="10050">
          <cell r="A10050" t="str">
            <v>POOLSEGUR</v>
          </cell>
          <cell r="B10050">
            <v>202509</v>
          </cell>
          <cell r="D10050" t="str">
            <v>Náutica</v>
          </cell>
          <cell r="G10050" t="str">
            <v>Presupuesto</v>
          </cell>
        </row>
        <row r="10051">
          <cell r="A10051" t="str">
            <v>POOLSEGUR</v>
          </cell>
          <cell r="B10051">
            <v>202509</v>
          </cell>
          <cell r="D10051" t="str">
            <v>Náutica</v>
          </cell>
          <cell r="G10051" t="str">
            <v>Real</v>
          </cell>
        </row>
        <row r="10052">
          <cell r="A10052" t="str">
            <v>POOLSEGUR</v>
          </cell>
          <cell r="B10052">
            <v>202509</v>
          </cell>
          <cell r="D10052" t="str">
            <v>Particulares Resto</v>
          </cell>
          <cell r="G10052" t="str">
            <v>Presupuesto</v>
          </cell>
        </row>
        <row r="10053">
          <cell r="A10053" t="str">
            <v>POOLSEGUR</v>
          </cell>
          <cell r="B10053">
            <v>202509</v>
          </cell>
          <cell r="D10053" t="str">
            <v>Particulares Resto</v>
          </cell>
          <cell r="G10053" t="str">
            <v>Real</v>
          </cell>
        </row>
        <row r="10054">
          <cell r="A10054" t="str">
            <v>POOLSEGUR</v>
          </cell>
          <cell r="B10054">
            <v>202509</v>
          </cell>
          <cell r="D10054" t="str">
            <v>Property</v>
          </cell>
          <cell r="G10054" t="str">
            <v>Presupuesto</v>
          </cell>
        </row>
        <row r="10055">
          <cell r="A10055" t="str">
            <v>POOLSEGUR</v>
          </cell>
          <cell r="B10055">
            <v>202509</v>
          </cell>
          <cell r="D10055" t="str">
            <v>Property</v>
          </cell>
          <cell r="G10055" t="str">
            <v>Real</v>
          </cell>
        </row>
        <row r="10056">
          <cell r="A10056" t="str">
            <v>POOLSEGUR</v>
          </cell>
          <cell r="B10056">
            <v>202509</v>
          </cell>
          <cell r="D10056" t="str">
            <v>RC</v>
          </cell>
          <cell r="G10056" t="str">
            <v>Presupuesto</v>
          </cell>
        </row>
        <row r="10057">
          <cell r="A10057" t="str">
            <v>POOLSEGUR</v>
          </cell>
          <cell r="B10057">
            <v>202509</v>
          </cell>
          <cell r="D10057" t="str">
            <v>RC</v>
          </cell>
          <cell r="G10057" t="str">
            <v>Real</v>
          </cell>
        </row>
        <row r="10058">
          <cell r="A10058" t="str">
            <v>POOLSEGUR</v>
          </cell>
          <cell r="B10058">
            <v>202509</v>
          </cell>
          <cell r="D10058" t="str">
            <v>Resto de lineas</v>
          </cell>
          <cell r="G10058" t="str">
            <v>Presupuesto</v>
          </cell>
        </row>
        <row r="10059">
          <cell r="A10059" t="str">
            <v>POOLSEGUR</v>
          </cell>
          <cell r="B10059">
            <v>202509</v>
          </cell>
          <cell r="D10059" t="str">
            <v>Retirada</v>
          </cell>
          <cell r="G10059" t="str">
            <v>Presupuesto</v>
          </cell>
        </row>
        <row r="10060">
          <cell r="A10060" t="str">
            <v>POOLSEGUR</v>
          </cell>
          <cell r="B10060">
            <v>202509</v>
          </cell>
          <cell r="D10060" t="str">
            <v>Seguros Personales (No Vida) Colectivos</v>
          </cell>
          <cell r="G10060" t="str">
            <v>Presupuesto</v>
          </cell>
        </row>
        <row r="10061">
          <cell r="A10061" t="str">
            <v>POOLSEGUR</v>
          </cell>
          <cell r="B10061">
            <v>202509</v>
          </cell>
          <cell r="D10061" t="str">
            <v>Seguros Personales (No Vida) Colectivos</v>
          </cell>
          <cell r="G10061" t="str">
            <v>Real</v>
          </cell>
        </row>
        <row r="10062">
          <cell r="A10062" t="str">
            <v>POOLSEGUR</v>
          </cell>
          <cell r="B10062">
            <v>202509</v>
          </cell>
          <cell r="D10062" t="str">
            <v>Seguros Personales (No Vida) Particular</v>
          </cell>
          <cell r="G10062" t="str">
            <v>Presupuesto</v>
          </cell>
        </row>
        <row r="10063">
          <cell r="A10063" t="str">
            <v>POOLSEGUR</v>
          </cell>
          <cell r="B10063">
            <v>202509</v>
          </cell>
          <cell r="D10063" t="str">
            <v>Seguros Personales (No Vida) Particular</v>
          </cell>
          <cell r="G10063" t="str">
            <v>Real</v>
          </cell>
        </row>
        <row r="10064">
          <cell r="A10064" t="str">
            <v>POOLSEGUR</v>
          </cell>
          <cell r="B10064">
            <v>202509</v>
          </cell>
          <cell r="D10064" t="str">
            <v>Transporte</v>
          </cell>
          <cell r="G10064" t="str">
            <v>Presupuesto</v>
          </cell>
        </row>
        <row r="10065">
          <cell r="A10065" t="str">
            <v>POOLSEGUR</v>
          </cell>
          <cell r="B10065">
            <v>202509</v>
          </cell>
          <cell r="D10065" t="str">
            <v>Transporte</v>
          </cell>
          <cell r="G10065" t="str">
            <v>Real</v>
          </cell>
        </row>
        <row r="10066">
          <cell r="A10066" t="str">
            <v>POOLSEGUR</v>
          </cell>
          <cell r="B10066">
            <v>202509</v>
          </cell>
          <cell r="D10066" t="str">
            <v>Venta Cruzada</v>
          </cell>
          <cell r="G10066" t="str">
            <v>Presupuesto</v>
          </cell>
        </row>
        <row r="10067">
          <cell r="A10067" t="str">
            <v>POOLSEGUR</v>
          </cell>
          <cell r="B10067">
            <v>202509</v>
          </cell>
          <cell r="D10067" t="str">
            <v>Venta Cruzada</v>
          </cell>
          <cell r="G10067" t="str">
            <v>Real</v>
          </cell>
        </row>
        <row r="10068">
          <cell r="A10068" t="str">
            <v>POOLSEGUR</v>
          </cell>
          <cell r="B10068">
            <v>202509</v>
          </cell>
          <cell r="D10068" t="str">
            <v>Vida Ahorro Colectivo</v>
          </cell>
          <cell r="G10068" t="str">
            <v>Presupuesto</v>
          </cell>
        </row>
        <row r="10069">
          <cell r="A10069" t="str">
            <v>POOLSEGUR</v>
          </cell>
          <cell r="B10069">
            <v>202509</v>
          </cell>
          <cell r="D10069" t="str">
            <v>Vida Ahorro Colectivo</v>
          </cell>
          <cell r="G10069" t="str">
            <v>Real</v>
          </cell>
        </row>
        <row r="10070">
          <cell r="A10070" t="str">
            <v>POOLSEGUR</v>
          </cell>
          <cell r="B10070">
            <v>202509</v>
          </cell>
          <cell r="D10070" t="str">
            <v>Vida Ahorro Particular</v>
          </cell>
          <cell r="G10070" t="str">
            <v>Presupuesto</v>
          </cell>
        </row>
        <row r="10071">
          <cell r="A10071" t="str">
            <v>POOLSEGUR</v>
          </cell>
          <cell r="B10071">
            <v>202509</v>
          </cell>
          <cell r="D10071" t="str">
            <v>Vida Ahorro Particular</v>
          </cell>
          <cell r="G10071" t="str">
            <v>Real</v>
          </cell>
        </row>
        <row r="10072">
          <cell r="A10072" t="str">
            <v>POOLSEGUR</v>
          </cell>
          <cell r="B10072">
            <v>202509</v>
          </cell>
          <cell r="D10072" t="str">
            <v>Vida Ganado</v>
          </cell>
          <cell r="G10072" t="str">
            <v>Presupuesto</v>
          </cell>
        </row>
        <row r="10073">
          <cell r="A10073" t="str">
            <v>POOLSEGUR</v>
          </cell>
          <cell r="B10073">
            <v>202509</v>
          </cell>
          <cell r="D10073" t="str">
            <v>Vida Riesgo Colectivo</v>
          </cell>
          <cell r="G10073" t="str">
            <v>Presupuesto</v>
          </cell>
        </row>
        <row r="10074">
          <cell r="A10074" t="str">
            <v>POOLSEGUR</v>
          </cell>
          <cell r="B10074">
            <v>202509</v>
          </cell>
          <cell r="D10074" t="str">
            <v>Vida Riesgo Colectivo</v>
          </cell>
          <cell r="G10074" t="str">
            <v>Real</v>
          </cell>
        </row>
        <row r="10075">
          <cell r="A10075" t="str">
            <v>POOLSEGUR</v>
          </cell>
          <cell r="B10075">
            <v>202509</v>
          </cell>
          <cell r="D10075" t="str">
            <v>Vida Riesgo Particular</v>
          </cell>
          <cell r="G10075" t="str">
            <v>Presupuesto</v>
          </cell>
        </row>
        <row r="10076">
          <cell r="A10076" t="str">
            <v>POOLSEGUR</v>
          </cell>
          <cell r="B10076">
            <v>202509</v>
          </cell>
          <cell r="D10076" t="str">
            <v>Vida Riesgo Particular</v>
          </cell>
          <cell r="G10076" t="str">
            <v>Real</v>
          </cell>
        </row>
        <row r="10077">
          <cell r="A10077" t="str">
            <v>POOLSEGUR</v>
          </cell>
          <cell r="B10077">
            <v>202510</v>
          </cell>
          <cell r="D10077" t="str">
            <v>--</v>
          </cell>
          <cell r="G10077" t="str">
            <v>Presupuesto</v>
          </cell>
        </row>
        <row r="10078">
          <cell r="A10078" t="str">
            <v>POOLSEGUR</v>
          </cell>
          <cell r="B10078">
            <v>202510</v>
          </cell>
          <cell r="D10078" t="str">
            <v>--</v>
          </cell>
          <cell r="G10078" t="str">
            <v>Real</v>
          </cell>
        </row>
        <row r="10079">
          <cell r="A10079" t="str">
            <v>POOLSEGUR</v>
          </cell>
          <cell r="B10079">
            <v>202510</v>
          </cell>
          <cell r="D10079" t="str">
            <v>Arte</v>
          </cell>
          <cell r="G10079" t="str">
            <v>Presupuesto</v>
          </cell>
        </row>
        <row r="10080">
          <cell r="A10080" t="str">
            <v>POOLSEGUR</v>
          </cell>
          <cell r="B10080">
            <v>202510</v>
          </cell>
          <cell r="D10080" t="str">
            <v>Arte</v>
          </cell>
          <cell r="G10080" t="str">
            <v>Real</v>
          </cell>
        </row>
        <row r="10081">
          <cell r="A10081" t="str">
            <v>POOLSEGUR</v>
          </cell>
          <cell r="B10081">
            <v>202510</v>
          </cell>
          <cell r="D10081" t="str">
            <v>Autos</v>
          </cell>
          <cell r="G10081" t="str">
            <v>Presupuesto</v>
          </cell>
        </row>
        <row r="10082">
          <cell r="A10082" t="str">
            <v>POOLSEGUR</v>
          </cell>
          <cell r="B10082">
            <v>202510</v>
          </cell>
          <cell r="D10082" t="str">
            <v>Autos</v>
          </cell>
          <cell r="G10082" t="str">
            <v>Real</v>
          </cell>
        </row>
        <row r="10083">
          <cell r="A10083" t="str">
            <v>POOLSEGUR</v>
          </cell>
          <cell r="B10083">
            <v>202510</v>
          </cell>
          <cell r="D10083" t="str">
            <v>B2B2C</v>
          </cell>
          <cell r="G10083" t="str">
            <v>Presupuesto</v>
          </cell>
        </row>
        <row r="10084">
          <cell r="A10084" t="str">
            <v>POOLSEGUR</v>
          </cell>
          <cell r="B10084">
            <v>202510</v>
          </cell>
          <cell r="D10084" t="str">
            <v>B2B2C</v>
          </cell>
          <cell r="G10084" t="str">
            <v>Real</v>
          </cell>
        </row>
        <row r="10085">
          <cell r="A10085" t="str">
            <v>POOLSEGUR</v>
          </cell>
          <cell r="B10085">
            <v>202510</v>
          </cell>
          <cell r="D10085" t="str">
            <v>Caución</v>
          </cell>
          <cell r="G10085" t="str">
            <v>Presupuesto</v>
          </cell>
        </row>
        <row r="10086">
          <cell r="A10086" t="str">
            <v>POOLSEGUR</v>
          </cell>
          <cell r="B10086">
            <v>202510</v>
          </cell>
          <cell r="D10086" t="str">
            <v>Crédito Nacional</v>
          </cell>
          <cell r="G10086" t="str">
            <v>Real</v>
          </cell>
        </row>
        <row r="10087">
          <cell r="A10087" t="str">
            <v>POOLSEGUR</v>
          </cell>
          <cell r="B10087">
            <v>202510</v>
          </cell>
          <cell r="D10087" t="str">
            <v>Crédito Internacional</v>
          </cell>
          <cell r="G10087" t="str">
            <v>Presupuesto</v>
          </cell>
        </row>
        <row r="10088">
          <cell r="A10088" t="str">
            <v>POOLSEGUR</v>
          </cell>
          <cell r="B10088">
            <v>202510</v>
          </cell>
          <cell r="D10088" t="str">
            <v>Crédito Nacional</v>
          </cell>
          <cell r="G10088" t="str">
            <v>Presupuesto</v>
          </cell>
        </row>
        <row r="10089">
          <cell r="A10089" t="str">
            <v>POOLSEGUR</v>
          </cell>
          <cell r="B10089">
            <v>202510</v>
          </cell>
          <cell r="D10089" t="str">
            <v>Eventos</v>
          </cell>
          <cell r="G10089" t="str">
            <v>Presupuesto</v>
          </cell>
        </row>
        <row r="10090">
          <cell r="A10090" t="str">
            <v>POOLSEGUR</v>
          </cell>
          <cell r="B10090">
            <v>202510</v>
          </cell>
          <cell r="D10090" t="str">
            <v>Eventos</v>
          </cell>
          <cell r="G10090" t="str">
            <v>Real</v>
          </cell>
        </row>
        <row r="10091">
          <cell r="A10091" t="str">
            <v>POOLSEGUR</v>
          </cell>
          <cell r="B10091">
            <v>202510</v>
          </cell>
          <cell r="D10091" t="str">
            <v>Flotas</v>
          </cell>
          <cell r="G10091" t="str">
            <v>Presupuesto</v>
          </cell>
        </row>
        <row r="10092">
          <cell r="A10092" t="str">
            <v>POOLSEGUR</v>
          </cell>
          <cell r="B10092">
            <v>202510</v>
          </cell>
          <cell r="D10092" t="str">
            <v>Flotas</v>
          </cell>
          <cell r="G10092" t="str">
            <v>Real</v>
          </cell>
        </row>
        <row r="10093">
          <cell r="A10093" t="str">
            <v>POOLSEGUR</v>
          </cell>
          <cell r="B10093">
            <v>202510</v>
          </cell>
          <cell r="D10093" t="str">
            <v>Hogar</v>
          </cell>
          <cell r="G10093" t="str">
            <v>Presupuesto</v>
          </cell>
        </row>
        <row r="10094">
          <cell r="A10094" t="str">
            <v>POOLSEGUR</v>
          </cell>
          <cell r="B10094">
            <v>202510</v>
          </cell>
          <cell r="D10094" t="str">
            <v>Hogar</v>
          </cell>
          <cell r="G10094" t="str">
            <v>Real</v>
          </cell>
        </row>
        <row r="10095">
          <cell r="A10095" t="str">
            <v>POOLSEGUR</v>
          </cell>
          <cell r="B10095">
            <v>202510</v>
          </cell>
          <cell r="D10095" t="str">
            <v>Ingeniería</v>
          </cell>
          <cell r="G10095" t="str">
            <v>Presupuesto</v>
          </cell>
        </row>
        <row r="10096">
          <cell r="A10096" t="str">
            <v>POOLSEGUR</v>
          </cell>
          <cell r="B10096">
            <v>202510</v>
          </cell>
          <cell r="D10096" t="str">
            <v>Ingeniería</v>
          </cell>
          <cell r="G10096" t="str">
            <v>Real</v>
          </cell>
        </row>
        <row r="10097">
          <cell r="A10097" t="str">
            <v>POOLSEGUR</v>
          </cell>
          <cell r="B10097">
            <v>202510</v>
          </cell>
          <cell r="D10097" t="str">
            <v>Inmobiliario</v>
          </cell>
          <cell r="G10097" t="str">
            <v>Presupuesto</v>
          </cell>
        </row>
        <row r="10098">
          <cell r="A10098" t="str">
            <v>POOLSEGUR</v>
          </cell>
          <cell r="B10098">
            <v>202510</v>
          </cell>
          <cell r="D10098" t="str">
            <v>Líneas Financieras</v>
          </cell>
          <cell r="G10098" t="str">
            <v>Presupuesto</v>
          </cell>
        </row>
        <row r="10099">
          <cell r="A10099" t="str">
            <v>POOLSEGUR</v>
          </cell>
          <cell r="B10099">
            <v>202510</v>
          </cell>
          <cell r="D10099" t="str">
            <v>Líneas Financieras</v>
          </cell>
          <cell r="G10099" t="str">
            <v>Real</v>
          </cell>
        </row>
        <row r="10100">
          <cell r="A10100" t="str">
            <v>POOLSEGUR</v>
          </cell>
          <cell r="B10100">
            <v>202510</v>
          </cell>
          <cell r="D10100" t="str">
            <v>Náutica</v>
          </cell>
          <cell r="G10100" t="str">
            <v>Presupuesto</v>
          </cell>
        </row>
        <row r="10101">
          <cell r="A10101" t="str">
            <v>POOLSEGUR</v>
          </cell>
          <cell r="B10101">
            <v>202510</v>
          </cell>
          <cell r="D10101" t="str">
            <v>Náutica</v>
          </cell>
          <cell r="G10101" t="str">
            <v>Real</v>
          </cell>
        </row>
        <row r="10102">
          <cell r="A10102" t="str">
            <v>POOLSEGUR</v>
          </cell>
          <cell r="B10102">
            <v>202510</v>
          </cell>
          <cell r="D10102" t="str">
            <v>Particulares Resto</v>
          </cell>
          <cell r="G10102" t="str">
            <v>Presupuesto</v>
          </cell>
        </row>
        <row r="10103">
          <cell r="A10103" t="str">
            <v>POOLSEGUR</v>
          </cell>
          <cell r="B10103">
            <v>202510</v>
          </cell>
          <cell r="D10103" t="str">
            <v>Particulares Resto</v>
          </cell>
          <cell r="G10103" t="str">
            <v>Real</v>
          </cell>
        </row>
        <row r="10104">
          <cell r="A10104" t="str">
            <v>POOLSEGUR</v>
          </cell>
          <cell r="B10104">
            <v>202510</v>
          </cell>
          <cell r="D10104" t="str">
            <v>Property</v>
          </cell>
          <cell r="G10104" t="str">
            <v>Presupuesto</v>
          </cell>
        </row>
        <row r="10105">
          <cell r="A10105" t="str">
            <v>POOLSEGUR</v>
          </cell>
          <cell r="B10105">
            <v>202510</v>
          </cell>
          <cell r="D10105" t="str">
            <v>Property</v>
          </cell>
          <cell r="G10105" t="str">
            <v>Real</v>
          </cell>
        </row>
        <row r="10106">
          <cell r="A10106" t="str">
            <v>POOLSEGUR</v>
          </cell>
          <cell r="B10106">
            <v>202510</v>
          </cell>
          <cell r="D10106" t="str">
            <v>RC</v>
          </cell>
          <cell r="G10106" t="str">
            <v>Presupuesto</v>
          </cell>
        </row>
        <row r="10107">
          <cell r="A10107" t="str">
            <v>POOLSEGUR</v>
          </cell>
          <cell r="B10107">
            <v>202510</v>
          </cell>
          <cell r="D10107" t="str">
            <v>RC</v>
          </cell>
          <cell r="G10107" t="str">
            <v>Real</v>
          </cell>
        </row>
        <row r="10108">
          <cell r="A10108" t="str">
            <v>POOLSEGUR</v>
          </cell>
          <cell r="B10108">
            <v>202510</v>
          </cell>
          <cell r="D10108" t="str">
            <v>Resto de lineas</v>
          </cell>
          <cell r="G10108" t="str">
            <v>Presupuesto</v>
          </cell>
        </row>
        <row r="10109">
          <cell r="A10109" t="str">
            <v>POOLSEGUR</v>
          </cell>
          <cell r="B10109">
            <v>202510</v>
          </cell>
          <cell r="D10109" t="str">
            <v>Retirada</v>
          </cell>
          <cell r="G10109" t="str">
            <v>Presupuesto</v>
          </cell>
        </row>
        <row r="10110">
          <cell r="A10110" t="str">
            <v>POOLSEGUR</v>
          </cell>
          <cell r="B10110">
            <v>202510</v>
          </cell>
          <cell r="D10110" t="str">
            <v>Seguros Personales (No Vida) Colectivos</v>
          </cell>
          <cell r="G10110" t="str">
            <v>Presupuesto</v>
          </cell>
        </row>
        <row r="10111">
          <cell r="A10111" t="str">
            <v>POOLSEGUR</v>
          </cell>
          <cell r="B10111">
            <v>202510</v>
          </cell>
          <cell r="D10111" t="str">
            <v>Seguros Personales (No Vida) Colectivos</v>
          </cell>
          <cell r="G10111" t="str">
            <v>Real</v>
          </cell>
        </row>
        <row r="10112">
          <cell r="A10112" t="str">
            <v>POOLSEGUR</v>
          </cell>
          <cell r="B10112">
            <v>202510</v>
          </cell>
          <cell r="D10112" t="str">
            <v>Seguros Personales (No Vida) Particular</v>
          </cell>
          <cell r="G10112" t="str">
            <v>Presupuesto</v>
          </cell>
        </row>
        <row r="10113">
          <cell r="A10113" t="str">
            <v>POOLSEGUR</v>
          </cell>
          <cell r="B10113">
            <v>202510</v>
          </cell>
          <cell r="D10113" t="str">
            <v>Seguros Personales (No Vida) Particular</v>
          </cell>
          <cell r="G10113" t="str">
            <v>Real</v>
          </cell>
        </row>
        <row r="10114">
          <cell r="A10114" t="str">
            <v>POOLSEGUR</v>
          </cell>
          <cell r="B10114">
            <v>202510</v>
          </cell>
          <cell r="D10114" t="str">
            <v>Transporte</v>
          </cell>
          <cell r="G10114" t="str">
            <v>Presupuesto</v>
          </cell>
        </row>
        <row r="10115">
          <cell r="A10115" t="str">
            <v>POOLSEGUR</v>
          </cell>
          <cell r="B10115">
            <v>202510</v>
          </cell>
          <cell r="D10115" t="str">
            <v>Transporte</v>
          </cell>
          <cell r="G10115" t="str">
            <v>Real</v>
          </cell>
        </row>
        <row r="10116">
          <cell r="A10116" t="str">
            <v>POOLSEGUR</v>
          </cell>
          <cell r="B10116">
            <v>202510</v>
          </cell>
          <cell r="D10116" t="str">
            <v>Venta Cruzada</v>
          </cell>
          <cell r="G10116" t="str">
            <v>Presupuesto</v>
          </cell>
        </row>
        <row r="10117">
          <cell r="A10117" t="str">
            <v>POOLSEGUR</v>
          </cell>
          <cell r="B10117">
            <v>202510</v>
          </cell>
          <cell r="D10117" t="str">
            <v>Venta Cruzada</v>
          </cell>
          <cell r="G10117" t="str">
            <v>Real</v>
          </cell>
        </row>
        <row r="10118">
          <cell r="A10118" t="str">
            <v>POOLSEGUR</v>
          </cell>
          <cell r="B10118">
            <v>202510</v>
          </cell>
          <cell r="D10118" t="str">
            <v>Vida Ahorro Colectivo</v>
          </cell>
          <cell r="G10118" t="str">
            <v>Presupuesto</v>
          </cell>
        </row>
        <row r="10119">
          <cell r="A10119" t="str">
            <v>POOLSEGUR</v>
          </cell>
          <cell r="B10119">
            <v>202510</v>
          </cell>
          <cell r="D10119" t="str">
            <v>Vida Ahorro Colectivo</v>
          </cell>
          <cell r="G10119" t="str">
            <v>Real</v>
          </cell>
        </row>
        <row r="10120">
          <cell r="A10120" t="str">
            <v>POOLSEGUR</v>
          </cell>
          <cell r="B10120">
            <v>202510</v>
          </cell>
          <cell r="D10120" t="str">
            <v>Vida Ahorro Particular</v>
          </cell>
          <cell r="G10120" t="str">
            <v>Presupuesto</v>
          </cell>
        </row>
        <row r="10121">
          <cell r="A10121" t="str">
            <v>POOLSEGUR</v>
          </cell>
          <cell r="B10121">
            <v>202510</v>
          </cell>
          <cell r="D10121" t="str">
            <v>Vida Ahorro Particular</v>
          </cell>
          <cell r="G10121" t="str">
            <v>Real</v>
          </cell>
        </row>
        <row r="10122">
          <cell r="A10122" t="str">
            <v>POOLSEGUR</v>
          </cell>
          <cell r="B10122">
            <v>202510</v>
          </cell>
          <cell r="D10122" t="str">
            <v>Vida Ganado</v>
          </cell>
          <cell r="G10122" t="str">
            <v>Presupuesto</v>
          </cell>
        </row>
        <row r="10123">
          <cell r="A10123" t="str">
            <v>POOLSEGUR</v>
          </cell>
          <cell r="B10123">
            <v>202510</v>
          </cell>
          <cell r="D10123" t="str">
            <v>Vida Riesgo Colectivo</v>
          </cell>
          <cell r="G10123" t="str">
            <v>Presupuesto</v>
          </cell>
        </row>
        <row r="10124">
          <cell r="A10124" t="str">
            <v>POOLSEGUR</v>
          </cell>
          <cell r="B10124">
            <v>202510</v>
          </cell>
          <cell r="D10124" t="str">
            <v>Vida Riesgo Colectivo</v>
          </cell>
          <cell r="G10124" t="str">
            <v>Real</v>
          </cell>
        </row>
        <row r="10125">
          <cell r="A10125" t="str">
            <v>POOLSEGUR</v>
          </cell>
          <cell r="B10125">
            <v>202510</v>
          </cell>
          <cell r="D10125" t="str">
            <v>Vida Riesgo Particular</v>
          </cell>
          <cell r="G10125" t="str">
            <v>Presupuesto</v>
          </cell>
        </row>
        <row r="10126">
          <cell r="A10126" t="str">
            <v>POOLSEGUR</v>
          </cell>
          <cell r="B10126">
            <v>202510</v>
          </cell>
          <cell r="D10126" t="str">
            <v>Vida Riesgo Particular</v>
          </cell>
          <cell r="G10126" t="str">
            <v>Real</v>
          </cell>
        </row>
        <row r="10127">
          <cell r="A10127" t="str">
            <v>POOLSEGUR</v>
          </cell>
          <cell r="B10127">
            <v>202511</v>
          </cell>
          <cell r="D10127" t="str">
            <v>--</v>
          </cell>
          <cell r="G10127" t="str">
            <v>Presupuesto</v>
          </cell>
        </row>
        <row r="10128">
          <cell r="A10128" t="str">
            <v>POOLSEGUR</v>
          </cell>
          <cell r="B10128">
            <v>202511</v>
          </cell>
          <cell r="D10128" t="str">
            <v>--</v>
          </cell>
          <cell r="G10128" t="str">
            <v>Real</v>
          </cell>
        </row>
        <row r="10129">
          <cell r="A10129" t="str">
            <v>POOLSEGUR</v>
          </cell>
          <cell r="B10129">
            <v>202511</v>
          </cell>
          <cell r="D10129" t="str">
            <v>Arte</v>
          </cell>
          <cell r="G10129" t="str">
            <v>Presupuesto</v>
          </cell>
        </row>
        <row r="10130">
          <cell r="A10130" t="str">
            <v>POOLSEGUR</v>
          </cell>
          <cell r="B10130">
            <v>202511</v>
          </cell>
          <cell r="D10130" t="str">
            <v>Arte</v>
          </cell>
          <cell r="G10130" t="str">
            <v>Real</v>
          </cell>
        </row>
        <row r="10131">
          <cell r="A10131" t="str">
            <v>POOLSEGUR</v>
          </cell>
          <cell r="B10131">
            <v>202511</v>
          </cell>
          <cell r="D10131" t="str">
            <v>Autos</v>
          </cell>
          <cell r="G10131" t="str">
            <v>Presupuesto</v>
          </cell>
        </row>
        <row r="10132">
          <cell r="A10132" t="str">
            <v>POOLSEGUR</v>
          </cell>
          <cell r="B10132">
            <v>202511</v>
          </cell>
          <cell r="D10132" t="str">
            <v>Autos</v>
          </cell>
          <cell r="G10132" t="str">
            <v>Real</v>
          </cell>
        </row>
        <row r="10133">
          <cell r="A10133" t="str">
            <v>POOLSEGUR</v>
          </cell>
          <cell r="B10133">
            <v>202511</v>
          </cell>
          <cell r="D10133" t="str">
            <v>B2B2C</v>
          </cell>
          <cell r="G10133" t="str">
            <v>Presupuesto</v>
          </cell>
        </row>
        <row r="10134">
          <cell r="A10134" t="str">
            <v>POOLSEGUR</v>
          </cell>
          <cell r="B10134">
            <v>202511</v>
          </cell>
          <cell r="D10134" t="str">
            <v>B2B2C</v>
          </cell>
          <cell r="G10134" t="str">
            <v>Real</v>
          </cell>
        </row>
        <row r="10135">
          <cell r="A10135" t="str">
            <v>POOLSEGUR</v>
          </cell>
          <cell r="B10135">
            <v>202511</v>
          </cell>
          <cell r="D10135" t="str">
            <v>Caución</v>
          </cell>
          <cell r="G10135" t="str">
            <v>Presupuesto</v>
          </cell>
        </row>
        <row r="10136">
          <cell r="A10136" t="str">
            <v>POOLSEGUR</v>
          </cell>
          <cell r="B10136">
            <v>202511</v>
          </cell>
          <cell r="D10136" t="str">
            <v>Crédito Nacional</v>
          </cell>
          <cell r="G10136" t="str">
            <v>Real</v>
          </cell>
        </row>
        <row r="10137">
          <cell r="A10137" t="str">
            <v>POOLSEGUR</v>
          </cell>
          <cell r="B10137">
            <v>202511</v>
          </cell>
          <cell r="D10137" t="str">
            <v>Crédito Internacional</v>
          </cell>
          <cell r="G10137" t="str">
            <v>Presupuesto</v>
          </cell>
        </row>
        <row r="10138">
          <cell r="A10138" t="str">
            <v>POOLSEGUR</v>
          </cell>
          <cell r="B10138">
            <v>202511</v>
          </cell>
          <cell r="D10138" t="str">
            <v>Crédito Nacional</v>
          </cell>
          <cell r="G10138" t="str">
            <v>Presupuesto</v>
          </cell>
        </row>
        <row r="10139">
          <cell r="A10139" t="str">
            <v>POOLSEGUR</v>
          </cell>
          <cell r="B10139">
            <v>202511</v>
          </cell>
          <cell r="D10139" t="str">
            <v>Eventos</v>
          </cell>
          <cell r="G10139" t="str">
            <v>Presupuesto</v>
          </cell>
        </row>
        <row r="10140">
          <cell r="A10140" t="str">
            <v>POOLSEGUR</v>
          </cell>
          <cell r="B10140">
            <v>202511</v>
          </cell>
          <cell r="D10140" t="str">
            <v>Eventos</v>
          </cell>
          <cell r="G10140" t="str">
            <v>Real</v>
          </cell>
        </row>
        <row r="10141">
          <cell r="A10141" t="str">
            <v>POOLSEGUR</v>
          </cell>
          <cell r="B10141">
            <v>202511</v>
          </cell>
          <cell r="D10141" t="str">
            <v>Flotas</v>
          </cell>
          <cell r="G10141" t="str">
            <v>Presupuesto</v>
          </cell>
        </row>
        <row r="10142">
          <cell r="A10142" t="str">
            <v>POOLSEGUR</v>
          </cell>
          <cell r="B10142">
            <v>202511</v>
          </cell>
          <cell r="D10142" t="str">
            <v>Flotas</v>
          </cell>
          <cell r="G10142" t="str">
            <v>Real</v>
          </cell>
        </row>
        <row r="10143">
          <cell r="A10143" t="str">
            <v>POOLSEGUR</v>
          </cell>
          <cell r="B10143">
            <v>202511</v>
          </cell>
          <cell r="D10143" t="str">
            <v>Hogar</v>
          </cell>
          <cell r="G10143" t="str">
            <v>Presupuesto</v>
          </cell>
        </row>
        <row r="10144">
          <cell r="A10144" t="str">
            <v>POOLSEGUR</v>
          </cell>
          <cell r="B10144">
            <v>202511</v>
          </cell>
          <cell r="D10144" t="str">
            <v>Hogar</v>
          </cell>
          <cell r="G10144" t="str">
            <v>Real</v>
          </cell>
        </row>
        <row r="10145">
          <cell r="A10145" t="str">
            <v>POOLSEGUR</v>
          </cell>
          <cell r="B10145">
            <v>202511</v>
          </cell>
          <cell r="D10145" t="str">
            <v>Ingeniería</v>
          </cell>
          <cell r="G10145" t="str">
            <v>Presupuesto</v>
          </cell>
        </row>
        <row r="10146">
          <cell r="A10146" t="str">
            <v>POOLSEGUR</v>
          </cell>
          <cell r="B10146">
            <v>202511</v>
          </cell>
          <cell r="D10146" t="str">
            <v>Ingeniería</v>
          </cell>
          <cell r="G10146" t="str">
            <v>Real</v>
          </cell>
        </row>
        <row r="10147">
          <cell r="A10147" t="str">
            <v>POOLSEGUR</v>
          </cell>
          <cell r="B10147">
            <v>202511</v>
          </cell>
          <cell r="D10147" t="str">
            <v>Inmobiliario</v>
          </cell>
          <cell r="G10147" t="str">
            <v>Presupuesto</v>
          </cell>
        </row>
        <row r="10148">
          <cell r="A10148" t="str">
            <v>POOLSEGUR</v>
          </cell>
          <cell r="B10148">
            <v>202511</v>
          </cell>
          <cell r="D10148" t="str">
            <v>Líneas Financieras</v>
          </cell>
          <cell r="G10148" t="str">
            <v>Presupuesto</v>
          </cell>
        </row>
        <row r="10149">
          <cell r="A10149" t="str">
            <v>POOLSEGUR</v>
          </cell>
          <cell r="B10149">
            <v>202511</v>
          </cell>
          <cell r="D10149" t="str">
            <v>Líneas Financieras</v>
          </cell>
          <cell r="G10149" t="str">
            <v>Real</v>
          </cell>
        </row>
        <row r="10150">
          <cell r="A10150" t="str">
            <v>POOLSEGUR</v>
          </cell>
          <cell r="B10150">
            <v>202511</v>
          </cell>
          <cell r="D10150" t="str">
            <v>Náutica</v>
          </cell>
          <cell r="G10150" t="str">
            <v>Presupuesto</v>
          </cell>
        </row>
        <row r="10151">
          <cell r="A10151" t="str">
            <v>POOLSEGUR</v>
          </cell>
          <cell r="B10151">
            <v>202511</v>
          </cell>
          <cell r="D10151" t="str">
            <v>Náutica</v>
          </cell>
          <cell r="G10151" t="str">
            <v>Real</v>
          </cell>
        </row>
        <row r="10152">
          <cell r="A10152" t="str">
            <v>POOLSEGUR</v>
          </cell>
          <cell r="B10152">
            <v>202511</v>
          </cell>
          <cell r="D10152" t="str">
            <v>Particulares Resto</v>
          </cell>
          <cell r="G10152" t="str">
            <v>Presupuesto</v>
          </cell>
        </row>
        <row r="10153">
          <cell r="A10153" t="str">
            <v>POOLSEGUR</v>
          </cell>
          <cell r="B10153">
            <v>202511</v>
          </cell>
          <cell r="D10153" t="str">
            <v>Particulares Resto</v>
          </cell>
          <cell r="G10153" t="str">
            <v>Real</v>
          </cell>
        </row>
        <row r="10154">
          <cell r="A10154" t="str">
            <v>POOLSEGUR</v>
          </cell>
          <cell r="B10154">
            <v>202511</v>
          </cell>
          <cell r="D10154" t="str">
            <v>Property</v>
          </cell>
          <cell r="G10154" t="str">
            <v>Presupuesto</v>
          </cell>
        </row>
        <row r="10155">
          <cell r="A10155" t="str">
            <v>POOLSEGUR</v>
          </cell>
          <cell r="B10155">
            <v>202511</v>
          </cell>
          <cell r="D10155" t="str">
            <v>Property</v>
          </cell>
          <cell r="G10155" t="str">
            <v>Real</v>
          </cell>
        </row>
        <row r="10156">
          <cell r="A10156" t="str">
            <v>POOLSEGUR</v>
          </cell>
          <cell r="B10156">
            <v>202511</v>
          </cell>
          <cell r="D10156" t="str">
            <v>RC</v>
          </cell>
          <cell r="G10156" t="str">
            <v>Presupuesto</v>
          </cell>
        </row>
        <row r="10157">
          <cell r="A10157" t="str">
            <v>POOLSEGUR</v>
          </cell>
          <cell r="B10157">
            <v>202511</v>
          </cell>
          <cell r="D10157" t="str">
            <v>RC</v>
          </cell>
          <cell r="G10157" t="str">
            <v>Real</v>
          </cell>
        </row>
        <row r="10158">
          <cell r="A10158" t="str">
            <v>POOLSEGUR</v>
          </cell>
          <cell r="B10158">
            <v>202511</v>
          </cell>
          <cell r="D10158" t="str">
            <v>Resto de lineas</v>
          </cell>
          <cell r="G10158" t="str">
            <v>Presupuesto</v>
          </cell>
        </row>
        <row r="10159">
          <cell r="A10159" t="str">
            <v>POOLSEGUR</v>
          </cell>
          <cell r="B10159">
            <v>202511</v>
          </cell>
          <cell r="D10159" t="str">
            <v>Retirada</v>
          </cell>
          <cell r="G10159" t="str">
            <v>Presupuesto</v>
          </cell>
        </row>
        <row r="10160">
          <cell r="A10160" t="str">
            <v>POOLSEGUR</v>
          </cell>
          <cell r="B10160">
            <v>202511</v>
          </cell>
          <cell r="D10160" t="str">
            <v>Seguros Personales (No Vida) Colectivos</v>
          </cell>
          <cell r="G10160" t="str">
            <v>Presupuesto</v>
          </cell>
        </row>
        <row r="10161">
          <cell r="A10161" t="str">
            <v>POOLSEGUR</v>
          </cell>
          <cell r="B10161">
            <v>202511</v>
          </cell>
          <cell r="D10161" t="str">
            <v>Seguros Personales (No Vida) Colectivos</v>
          </cell>
          <cell r="G10161" t="str">
            <v>Real</v>
          </cell>
        </row>
        <row r="10162">
          <cell r="A10162" t="str">
            <v>POOLSEGUR</v>
          </cell>
          <cell r="B10162">
            <v>202511</v>
          </cell>
          <cell r="D10162" t="str">
            <v>Seguros Personales (No Vida) Particular</v>
          </cell>
          <cell r="G10162" t="str">
            <v>Presupuesto</v>
          </cell>
        </row>
        <row r="10163">
          <cell r="A10163" t="str">
            <v>POOLSEGUR</v>
          </cell>
          <cell r="B10163">
            <v>202511</v>
          </cell>
          <cell r="D10163" t="str">
            <v>Seguros Personales (No Vida) Particular</v>
          </cell>
          <cell r="G10163" t="str">
            <v>Real</v>
          </cell>
        </row>
        <row r="10164">
          <cell r="A10164" t="str">
            <v>POOLSEGUR</v>
          </cell>
          <cell r="B10164">
            <v>202511</v>
          </cell>
          <cell r="D10164" t="str">
            <v>Transporte</v>
          </cell>
          <cell r="G10164" t="str">
            <v>Presupuesto</v>
          </cell>
        </row>
        <row r="10165">
          <cell r="A10165" t="str">
            <v>POOLSEGUR</v>
          </cell>
          <cell r="B10165">
            <v>202511</v>
          </cell>
          <cell r="D10165" t="str">
            <v>Transporte</v>
          </cell>
          <cell r="G10165" t="str">
            <v>Real</v>
          </cell>
        </row>
        <row r="10166">
          <cell r="A10166" t="str">
            <v>POOLSEGUR</v>
          </cell>
          <cell r="B10166">
            <v>202511</v>
          </cell>
          <cell r="D10166" t="str">
            <v>Venta Cruzada</v>
          </cell>
          <cell r="G10166" t="str">
            <v>Presupuesto</v>
          </cell>
        </row>
        <row r="10167">
          <cell r="A10167" t="str">
            <v>POOLSEGUR</v>
          </cell>
          <cell r="B10167">
            <v>202511</v>
          </cell>
          <cell r="D10167" t="str">
            <v>Venta Cruzada</v>
          </cell>
          <cell r="G10167" t="str">
            <v>Real</v>
          </cell>
        </row>
        <row r="10168">
          <cell r="A10168" t="str">
            <v>POOLSEGUR</v>
          </cell>
          <cell r="B10168">
            <v>202511</v>
          </cell>
          <cell r="D10168" t="str">
            <v>Vida Ahorro Colectivo</v>
          </cell>
          <cell r="G10168" t="str">
            <v>Presupuesto</v>
          </cell>
        </row>
        <row r="10169">
          <cell r="A10169" t="str">
            <v>POOLSEGUR</v>
          </cell>
          <cell r="B10169">
            <v>202511</v>
          </cell>
          <cell r="D10169" t="str">
            <v>Vida Ahorro Colectivo</v>
          </cell>
          <cell r="G10169" t="str">
            <v>Real</v>
          </cell>
        </row>
        <row r="10170">
          <cell r="A10170" t="str">
            <v>POOLSEGUR</v>
          </cell>
          <cell r="B10170">
            <v>202511</v>
          </cell>
          <cell r="D10170" t="str">
            <v>Vida Ahorro Particular</v>
          </cell>
          <cell r="G10170" t="str">
            <v>Presupuesto</v>
          </cell>
        </row>
        <row r="10171">
          <cell r="A10171" t="str">
            <v>POOLSEGUR</v>
          </cell>
          <cell r="B10171">
            <v>202511</v>
          </cell>
          <cell r="D10171" t="str">
            <v>Vida Ahorro Particular</v>
          </cell>
          <cell r="G10171" t="str">
            <v>Real</v>
          </cell>
        </row>
        <row r="10172">
          <cell r="A10172" t="str">
            <v>POOLSEGUR</v>
          </cell>
          <cell r="B10172">
            <v>202511</v>
          </cell>
          <cell r="D10172" t="str">
            <v>Vida Ganado</v>
          </cell>
          <cell r="G10172" t="str">
            <v>Presupuesto</v>
          </cell>
        </row>
        <row r="10173">
          <cell r="A10173" t="str">
            <v>POOLSEGUR</v>
          </cell>
          <cell r="B10173">
            <v>202511</v>
          </cell>
          <cell r="D10173" t="str">
            <v>Vida Riesgo Colectivo</v>
          </cell>
          <cell r="G10173" t="str">
            <v>Presupuesto</v>
          </cell>
        </row>
        <row r="10174">
          <cell r="A10174" t="str">
            <v>POOLSEGUR</v>
          </cell>
          <cell r="B10174">
            <v>202511</v>
          </cell>
          <cell r="D10174" t="str">
            <v>Vida Riesgo Colectivo</v>
          </cell>
          <cell r="G10174" t="str">
            <v>Real</v>
          </cell>
        </row>
        <row r="10175">
          <cell r="A10175" t="str">
            <v>POOLSEGUR</v>
          </cell>
          <cell r="B10175">
            <v>202511</v>
          </cell>
          <cell r="D10175" t="str">
            <v>Vida Riesgo Particular</v>
          </cell>
          <cell r="G10175" t="str">
            <v>Presupuesto</v>
          </cell>
        </row>
        <row r="10176">
          <cell r="A10176" t="str">
            <v>POOLSEGUR</v>
          </cell>
          <cell r="B10176">
            <v>202511</v>
          </cell>
          <cell r="D10176" t="str">
            <v>Vida Riesgo Particular</v>
          </cell>
          <cell r="G10176" t="str">
            <v>Real</v>
          </cell>
        </row>
        <row r="10177">
          <cell r="A10177" t="str">
            <v>POOLSEGUR</v>
          </cell>
          <cell r="B10177">
            <v>202512</v>
          </cell>
          <cell r="D10177" t="str">
            <v>--</v>
          </cell>
          <cell r="G10177" t="str">
            <v>Presupuesto</v>
          </cell>
        </row>
        <row r="10178">
          <cell r="A10178" t="str">
            <v>POOLSEGUR</v>
          </cell>
          <cell r="B10178">
            <v>202512</v>
          </cell>
          <cell r="D10178" t="str">
            <v>--</v>
          </cell>
          <cell r="G10178" t="str">
            <v>Real</v>
          </cell>
        </row>
        <row r="10179">
          <cell r="A10179" t="str">
            <v>POOLSEGUR</v>
          </cell>
          <cell r="B10179">
            <v>202512</v>
          </cell>
          <cell r="D10179" t="str">
            <v>Arte</v>
          </cell>
          <cell r="G10179" t="str">
            <v>Presupuesto</v>
          </cell>
        </row>
        <row r="10180">
          <cell r="A10180" t="str">
            <v>POOLSEGUR</v>
          </cell>
          <cell r="B10180">
            <v>202512</v>
          </cell>
          <cell r="D10180" t="str">
            <v>Arte</v>
          </cell>
          <cell r="G10180" t="str">
            <v>Real</v>
          </cell>
        </row>
        <row r="10181">
          <cell r="A10181" t="str">
            <v>POOLSEGUR</v>
          </cell>
          <cell r="B10181">
            <v>202512</v>
          </cell>
          <cell r="D10181" t="str">
            <v>Autos</v>
          </cell>
          <cell r="G10181" t="str">
            <v>Presupuesto</v>
          </cell>
        </row>
        <row r="10182">
          <cell r="A10182" t="str">
            <v>POOLSEGUR</v>
          </cell>
          <cell r="B10182">
            <v>202512</v>
          </cell>
          <cell r="D10182" t="str">
            <v>Autos</v>
          </cell>
          <cell r="G10182" t="str">
            <v>Real</v>
          </cell>
        </row>
        <row r="10183">
          <cell r="A10183" t="str">
            <v>POOLSEGUR</v>
          </cell>
          <cell r="B10183">
            <v>202512</v>
          </cell>
          <cell r="D10183" t="str">
            <v>B2B2C</v>
          </cell>
          <cell r="G10183" t="str">
            <v>Presupuesto</v>
          </cell>
        </row>
        <row r="10184">
          <cell r="A10184" t="str">
            <v>POOLSEGUR</v>
          </cell>
          <cell r="B10184">
            <v>202512</v>
          </cell>
          <cell r="D10184" t="str">
            <v>B2B2C</v>
          </cell>
          <cell r="G10184" t="str">
            <v>Real</v>
          </cell>
        </row>
        <row r="10185">
          <cell r="A10185" t="str">
            <v>POOLSEGUR</v>
          </cell>
          <cell r="B10185">
            <v>202512</v>
          </cell>
          <cell r="D10185" t="str">
            <v>Caución</v>
          </cell>
          <cell r="G10185" t="str">
            <v>Presupuesto</v>
          </cell>
        </row>
        <row r="10186">
          <cell r="A10186" t="str">
            <v>POOLSEGUR</v>
          </cell>
          <cell r="B10186">
            <v>202512</v>
          </cell>
          <cell r="D10186" t="str">
            <v>Crédito Nacional</v>
          </cell>
          <cell r="G10186" t="str">
            <v>Real</v>
          </cell>
        </row>
        <row r="10187">
          <cell r="A10187" t="str">
            <v>POOLSEGUR</v>
          </cell>
          <cell r="B10187">
            <v>202512</v>
          </cell>
          <cell r="D10187" t="str">
            <v>Crédito Internacional</v>
          </cell>
          <cell r="G10187" t="str">
            <v>Presupuesto</v>
          </cell>
        </row>
        <row r="10188">
          <cell r="A10188" t="str">
            <v>POOLSEGUR</v>
          </cell>
          <cell r="B10188">
            <v>202512</v>
          </cell>
          <cell r="D10188" t="str">
            <v>Crédito Nacional</v>
          </cell>
          <cell r="G10188" t="str">
            <v>Presupuesto</v>
          </cell>
        </row>
        <row r="10189">
          <cell r="A10189" t="str">
            <v>POOLSEGUR</v>
          </cell>
          <cell r="B10189">
            <v>202512</v>
          </cell>
          <cell r="D10189" t="str">
            <v>Eventos</v>
          </cell>
          <cell r="G10189" t="str">
            <v>Presupuesto</v>
          </cell>
        </row>
        <row r="10190">
          <cell r="A10190" t="str">
            <v>POOLSEGUR</v>
          </cell>
          <cell r="B10190">
            <v>202512</v>
          </cell>
          <cell r="D10190" t="str">
            <v>Eventos</v>
          </cell>
          <cell r="G10190" t="str">
            <v>Real</v>
          </cell>
        </row>
        <row r="10191">
          <cell r="A10191" t="str">
            <v>POOLSEGUR</v>
          </cell>
          <cell r="B10191">
            <v>202512</v>
          </cell>
          <cell r="D10191" t="str">
            <v>Flotas</v>
          </cell>
          <cell r="G10191" t="str">
            <v>Presupuesto</v>
          </cell>
        </row>
        <row r="10192">
          <cell r="A10192" t="str">
            <v>POOLSEGUR</v>
          </cell>
          <cell r="B10192">
            <v>202512</v>
          </cell>
          <cell r="D10192" t="str">
            <v>Flotas</v>
          </cell>
          <cell r="G10192" t="str">
            <v>Real</v>
          </cell>
        </row>
        <row r="10193">
          <cell r="A10193" t="str">
            <v>POOLSEGUR</v>
          </cell>
          <cell r="B10193">
            <v>202512</v>
          </cell>
          <cell r="D10193" t="str">
            <v>Hogar</v>
          </cell>
          <cell r="G10193" t="str">
            <v>Presupuesto</v>
          </cell>
        </row>
        <row r="10194">
          <cell r="A10194" t="str">
            <v>POOLSEGUR</v>
          </cell>
          <cell r="B10194">
            <v>202512</v>
          </cell>
          <cell r="D10194" t="str">
            <v>Hogar</v>
          </cell>
          <cell r="G10194" t="str">
            <v>Real</v>
          </cell>
        </row>
        <row r="10195">
          <cell r="A10195" t="str">
            <v>POOLSEGUR</v>
          </cell>
          <cell r="B10195">
            <v>202512</v>
          </cell>
          <cell r="D10195" t="str">
            <v>Ingeniería</v>
          </cell>
          <cell r="G10195" t="str">
            <v>Presupuesto</v>
          </cell>
        </row>
        <row r="10196">
          <cell r="A10196" t="str">
            <v>POOLSEGUR</v>
          </cell>
          <cell r="B10196">
            <v>202512</v>
          </cell>
          <cell r="D10196" t="str">
            <v>Ingeniería</v>
          </cell>
          <cell r="G10196" t="str">
            <v>Real</v>
          </cell>
        </row>
        <row r="10197">
          <cell r="A10197" t="str">
            <v>POOLSEGUR</v>
          </cell>
          <cell r="B10197">
            <v>202512</v>
          </cell>
          <cell r="D10197" t="str">
            <v>Inmobiliario</v>
          </cell>
          <cell r="G10197" t="str">
            <v>Presupuesto</v>
          </cell>
        </row>
        <row r="10198">
          <cell r="A10198" t="str">
            <v>POOLSEGUR</v>
          </cell>
          <cell r="B10198">
            <v>202512</v>
          </cell>
          <cell r="D10198" t="str">
            <v>Líneas Financieras</v>
          </cell>
          <cell r="G10198" t="str">
            <v>Presupuesto</v>
          </cell>
        </row>
        <row r="10199">
          <cell r="A10199" t="str">
            <v>POOLSEGUR</v>
          </cell>
          <cell r="B10199">
            <v>202512</v>
          </cell>
          <cell r="D10199" t="str">
            <v>Líneas Financieras</v>
          </cell>
          <cell r="G10199" t="str">
            <v>Real</v>
          </cell>
        </row>
        <row r="10200">
          <cell r="A10200" t="str">
            <v>POOLSEGUR</v>
          </cell>
          <cell r="B10200">
            <v>202512</v>
          </cell>
          <cell r="D10200" t="str">
            <v>Náutica</v>
          </cell>
          <cell r="G10200" t="str">
            <v>Presupuesto</v>
          </cell>
        </row>
        <row r="10201">
          <cell r="A10201" t="str">
            <v>POOLSEGUR</v>
          </cell>
          <cell r="B10201">
            <v>202512</v>
          </cell>
          <cell r="D10201" t="str">
            <v>Náutica</v>
          </cell>
          <cell r="G10201" t="str">
            <v>Real</v>
          </cell>
        </row>
        <row r="10202">
          <cell r="A10202" t="str">
            <v>POOLSEGUR</v>
          </cell>
          <cell r="B10202">
            <v>202512</v>
          </cell>
          <cell r="D10202" t="str">
            <v>Particulares Resto</v>
          </cell>
          <cell r="G10202" t="str">
            <v>Presupuesto</v>
          </cell>
        </row>
        <row r="10203">
          <cell r="A10203" t="str">
            <v>POOLSEGUR</v>
          </cell>
          <cell r="B10203">
            <v>202512</v>
          </cell>
          <cell r="D10203" t="str">
            <v>Particulares Resto</v>
          </cell>
          <cell r="G10203" t="str">
            <v>Real</v>
          </cell>
        </row>
        <row r="10204">
          <cell r="A10204" t="str">
            <v>POOLSEGUR</v>
          </cell>
          <cell r="B10204">
            <v>202512</v>
          </cell>
          <cell r="D10204" t="str">
            <v>Property</v>
          </cell>
          <cell r="G10204" t="str">
            <v>Presupuesto</v>
          </cell>
        </row>
        <row r="10205">
          <cell r="A10205" t="str">
            <v>POOLSEGUR</v>
          </cell>
          <cell r="B10205">
            <v>202512</v>
          </cell>
          <cell r="D10205" t="str">
            <v>Property</v>
          </cell>
          <cell r="G10205" t="str">
            <v>Real</v>
          </cell>
        </row>
        <row r="10206">
          <cell r="A10206" t="str">
            <v>POOLSEGUR</v>
          </cell>
          <cell r="B10206">
            <v>202512</v>
          </cell>
          <cell r="D10206" t="str">
            <v>RC</v>
          </cell>
          <cell r="G10206" t="str">
            <v>Presupuesto</v>
          </cell>
        </row>
        <row r="10207">
          <cell r="A10207" t="str">
            <v>POOLSEGUR</v>
          </cell>
          <cell r="B10207">
            <v>202512</v>
          </cell>
          <cell r="D10207" t="str">
            <v>RC</v>
          </cell>
          <cell r="G10207" t="str">
            <v>Real</v>
          </cell>
        </row>
        <row r="10208">
          <cell r="A10208" t="str">
            <v>POOLSEGUR</v>
          </cell>
          <cell r="B10208">
            <v>202512</v>
          </cell>
          <cell r="D10208" t="str">
            <v>Resto de lineas</v>
          </cell>
          <cell r="G10208" t="str">
            <v>Presupuesto</v>
          </cell>
        </row>
        <row r="10209">
          <cell r="A10209" t="str">
            <v>POOLSEGUR</v>
          </cell>
          <cell r="B10209">
            <v>202512</v>
          </cell>
          <cell r="D10209" t="str">
            <v>Retirada</v>
          </cell>
          <cell r="G10209" t="str">
            <v>Presupuesto</v>
          </cell>
        </row>
        <row r="10210">
          <cell r="A10210" t="str">
            <v>POOLSEGUR</v>
          </cell>
          <cell r="B10210">
            <v>202512</v>
          </cell>
          <cell r="D10210" t="str">
            <v>Seguros Personales (No Vida) Colectivos</v>
          </cell>
          <cell r="G10210" t="str">
            <v>Presupuesto</v>
          </cell>
        </row>
        <row r="10211">
          <cell r="A10211" t="str">
            <v>POOLSEGUR</v>
          </cell>
          <cell r="B10211">
            <v>202512</v>
          </cell>
          <cell r="D10211" t="str">
            <v>Seguros Personales (No Vida) Colectivos</v>
          </cell>
          <cell r="G10211" t="str">
            <v>Real</v>
          </cell>
        </row>
        <row r="10212">
          <cell r="A10212" t="str">
            <v>POOLSEGUR</v>
          </cell>
          <cell r="B10212">
            <v>202512</v>
          </cell>
          <cell r="D10212" t="str">
            <v>Seguros Personales (No Vida) Particular</v>
          </cell>
          <cell r="G10212" t="str">
            <v>Presupuesto</v>
          </cell>
        </row>
        <row r="10213">
          <cell r="A10213" t="str">
            <v>POOLSEGUR</v>
          </cell>
          <cell r="B10213">
            <v>202512</v>
          </cell>
          <cell r="D10213" t="str">
            <v>Seguros Personales (No Vida) Particular</v>
          </cell>
          <cell r="G10213" t="str">
            <v>Real</v>
          </cell>
        </row>
        <row r="10214">
          <cell r="A10214" t="str">
            <v>POOLSEGUR</v>
          </cell>
          <cell r="B10214">
            <v>202512</v>
          </cell>
          <cell r="D10214" t="str">
            <v>Transporte</v>
          </cell>
          <cell r="G10214" t="str">
            <v>Presupuesto</v>
          </cell>
        </row>
        <row r="10215">
          <cell r="A10215" t="str">
            <v>POOLSEGUR</v>
          </cell>
          <cell r="B10215">
            <v>202512</v>
          </cell>
          <cell r="D10215" t="str">
            <v>Transporte</v>
          </cell>
          <cell r="G10215" t="str">
            <v>Real</v>
          </cell>
        </row>
        <row r="10216">
          <cell r="A10216" t="str">
            <v>POOLSEGUR</v>
          </cell>
          <cell r="B10216">
            <v>202512</v>
          </cell>
          <cell r="D10216" t="str">
            <v>Venta Cruzada</v>
          </cell>
          <cell r="G10216" t="str">
            <v>Presupuesto</v>
          </cell>
        </row>
        <row r="10217">
          <cell r="A10217" t="str">
            <v>POOLSEGUR</v>
          </cell>
          <cell r="B10217">
            <v>202512</v>
          </cell>
          <cell r="D10217" t="str">
            <v>Venta Cruzada</v>
          </cell>
          <cell r="G10217" t="str">
            <v>Real</v>
          </cell>
        </row>
        <row r="10218">
          <cell r="A10218" t="str">
            <v>POOLSEGUR</v>
          </cell>
          <cell r="B10218">
            <v>202512</v>
          </cell>
          <cell r="D10218" t="str">
            <v>Vida Ahorro Colectivo</v>
          </cell>
          <cell r="G10218" t="str">
            <v>Presupuesto</v>
          </cell>
        </row>
        <row r="10219">
          <cell r="A10219" t="str">
            <v>POOLSEGUR</v>
          </cell>
          <cell r="B10219">
            <v>202512</v>
          </cell>
          <cell r="D10219" t="str">
            <v>Vida Ahorro Colectivo</v>
          </cell>
          <cell r="G10219" t="str">
            <v>Real</v>
          </cell>
        </row>
        <row r="10220">
          <cell r="A10220" t="str">
            <v>POOLSEGUR</v>
          </cell>
          <cell r="B10220">
            <v>202512</v>
          </cell>
          <cell r="D10220" t="str">
            <v>Vida Ahorro Particular</v>
          </cell>
          <cell r="G10220" t="str">
            <v>Presupuesto</v>
          </cell>
        </row>
        <row r="10221">
          <cell r="A10221" t="str">
            <v>POOLSEGUR</v>
          </cell>
          <cell r="B10221">
            <v>202512</v>
          </cell>
          <cell r="D10221" t="str">
            <v>Vida Ahorro Particular</v>
          </cell>
          <cell r="G10221" t="str">
            <v>Real</v>
          </cell>
        </row>
        <row r="10222">
          <cell r="A10222" t="str">
            <v>POOLSEGUR</v>
          </cell>
          <cell r="B10222">
            <v>202512</v>
          </cell>
          <cell r="D10222" t="str">
            <v>Vida Ganado</v>
          </cell>
          <cell r="G10222" t="str">
            <v>Presupuesto</v>
          </cell>
        </row>
        <row r="10223">
          <cell r="A10223" t="str">
            <v>POOLSEGUR</v>
          </cell>
          <cell r="B10223">
            <v>202512</v>
          </cell>
          <cell r="D10223" t="str">
            <v>Vida Riesgo Colectivo</v>
          </cell>
          <cell r="G10223" t="str">
            <v>Presupuesto</v>
          </cell>
        </row>
        <row r="10224">
          <cell r="A10224" t="str">
            <v>POOLSEGUR</v>
          </cell>
          <cell r="B10224">
            <v>202512</v>
          </cell>
          <cell r="D10224" t="str">
            <v>Vida Riesgo Colectivo</v>
          </cell>
          <cell r="G10224" t="str">
            <v>Real</v>
          </cell>
        </row>
        <row r="10225">
          <cell r="A10225" t="str">
            <v>POOLSEGUR</v>
          </cell>
          <cell r="B10225">
            <v>202512</v>
          </cell>
          <cell r="D10225" t="str">
            <v>Vida Riesgo Particular</v>
          </cell>
          <cell r="G10225" t="str">
            <v>Presupuesto</v>
          </cell>
        </row>
        <row r="10226">
          <cell r="A10226" t="str">
            <v>POOLSEGUR</v>
          </cell>
          <cell r="B10226">
            <v>202512</v>
          </cell>
          <cell r="D10226" t="str">
            <v>Vida Riesgo Particular</v>
          </cell>
          <cell r="G10226" t="str">
            <v>Real</v>
          </cell>
        </row>
        <row r="10227">
          <cell r="A10227" t="str">
            <v>PORTUGAL</v>
          </cell>
          <cell r="B10227">
            <v>202301</v>
          </cell>
          <cell r="D10227" t="str">
            <v>PORTUGAL</v>
          </cell>
          <cell r="G10227" t="str">
            <v>Real</v>
          </cell>
        </row>
        <row r="10228">
          <cell r="A10228" t="str">
            <v>PORTUGAL</v>
          </cell>
          <cell r="B10228">
            <v>202301</v>
          </cell>
          <cell r="D10228" t="str">
            <v>PORTUGAL</v>
          </cell>
          <cell r="G10228" t="str">
            <v>Real</v>
          </cell>
        </row>
        <row r="10229">
          <cell r="A10229" t="str">
            <v>PORTUGAL</v>
          </cell>
          <cell r="B10229">
            <v>202301</v>
          </cell>
          <cell r="D10229" t="str">
            <v>PORTUGAL</v>
          </cell>
          <cell r="G10229" t="str">
            <v>Real</v>
          </cell>
        </row>
        <row r="10230">
          <cell r="A10230" t="str">
            <v>PORTUGAL</v>
          </cell>
          <cell r="B10230">
            <v>202301</v>
          </cell>
          <cell r="D10230" t="str">
            <v>PORTUGAL</v>
          </cell>
          <cell r="G10230" t="str">
            <v>Real</v>
          </cell>
        </row>
        <row r="10231">
          <cell r="A10231" t="str">
            <v>PORTUGAL</v>
          </cell>
          <cell r="B10231">
            <v>202301</v>
          </cell>
          <cell r="D10231" t="str">
            <v>PORTUGAL</v>
          </cell>
          <cell r="G10231" t="str">
            <v>Real</v>
          </cell>
        </row>
        <row r="10232">
          <cell r="A10232" t="str">
            <v>PORTUGAL</v>
          </cell>
          <cell r="B10232">
            <v>202302</v>
          </cell>
          <cell r="D10232" t="str">
            <v>PORTUGAL</v>
          </cell>
          <cell r="G10232" t="str">
            <v>Real</v>
          </cell>
        </row>
        <row r="10233">
          <cell r="A10233" t="str">
            <v>PORTUGAL</v>
          </cell>
          <cell r="B10233">
            <v>202302</v>
          </cell>
          <cell r="D10233" t="str">
            <v>PORTUGAL</v>
          </cell>
          <cell r="G10233" t="str">
            <v>Real</v>
          </cell>
        </row>
        <row r="10234">
          <cell r="A10234" t="str">
            <v>PORTUGAL</v>
          </cell>
          <cell r="B10234">
            <v>202302</v>
          </cell>
          <cell r="D10234" t="str">
            <v>PORTUGAL</v>
          </cell>
          <cell r="G10234" t="str">
            <v>Real</v>
          </cell>
        </row>
        <row r="10235">
          <cell r="A10235" t="str">
            <v>PORTUGAL</v>
          </cell>
          <cell r="B10235">
            <v>202302</v>
          </cell>
          <cell r="D10235" t="str">
            <v>PORTUGAL</v>
          </cell>
          <cell r="G10235" t="str">
            <v>Real</v>
          </cell>
        </row>
        <row r="10236">
          <cell r="A10236" t="str">
            <v>PORTUGAL</v>
          </cell>
          <cell r="B10236">
            <v>202302</v>
          </cell>
          <cell r="D10236" t="str">
            <v>PORTUGAL</v>
          </cell>
          <cell r="G10236" t="str">
            <v>Real</v>
          </cell>
        </row>
        <row r="10237">
          <cell r="A10237" t="str">
            <v>PORTUGAL</v>
          </cell>
          <cell r="B10237">
            <v>202303</v>
          </cell>
          <cell r="D10237" t="str">
            <v>PORTUGAL</v>
          </cell>
          <cell r="G10237" t="str">
            <v>Real</v>
          </cell>
        </row>
        <row r="10238">
          <cell r="A10238" t="str">
            <v>PORTUGAL</v>
          </cell>
          <cell r="B10238">
            <v>202303</v>
          </cell>
          <cell r="D10238" t="str">
            <v>PORTUGAL</v>
          </cell>
          <cell r="G10238" t="str">
            <v>Real</v>
          </cell>
        </row>
        <row r="10239">
          <cell r="A10239" t="str">
            <v>PORTUGAL</v>
          </cell>
          <cell r="B10239">
            <v>202303</v>
          </cell>
          <cell r="D10239" t="str">
            <v>PORTUGAL</v>
          </cell>
          <cell r="G10239" t="str">
            <v>Real</v>
          </cell>
        </row>
        <row r="10240">
          <cell r="A10240" t="str">
            <v>PORTUGAL</v>
          </cell>
          <cell r="B10240">
            <v>202303</v>
          </cell>
          <cell r="D10240" t="str">
            <v>PORTUGAL</v>
          </cell>
          <cell r="G10240" t="str">
            <v>Real</v>
          </cell>
        </row>
        <row r="10241">
          <cell r="A10241" t="str">
            <v>PORTUGAL</v>
          </cell>
          <cell r="B10241">
            <v>202303</v>
          </cell>
          <cell r="D10241" t="str">
            <v>PORTUGAL</v>
          </cell>
          <cell r="G10241" t="str">
            <v>Real</v>
          </cell>
        </row>
        <row r="10242">
          <cell r="A10242" t="str">
            <v>PORTUGAL</v>
          </cell>
          <cell r="B10242">
            <v>202304</v>
          </cell>
          <cell r="D10242" t="str">
            <v>PORTUGAL</v>
          </cell>
          <cell r="G10242" t="str">
            <v>Real</v>
          </cell>
        </row>
        <row r="10243">
          <cell r="A10243" t="str">
            <v>PORTUGAL</v>
          </cell>
          <cell r="B10243">
            <v>202304</v>
          </cell>
          <cell r="D10243" t="str">
            <v>PORTUGAL</v>
          </cell>
          <cell r="G10243" t="str">
            <v>Real</v>
          </cell>
        </row>
        <row r="10244">
          <cell r="A10244" t="str">
            <v>PORTUGAL</v>
          </cell>
          <cell r="B10244">
            <v>202304</v>
          </cell>
          <cell r="D10244" t="str">
            <v>PORTUGAL</v>
          </cell>
          <cell r="G10244" t="str">
            <v>Real</v>
          </cell>
        </row>
        <row r="10245">
          <cell r="A10245" t="str">
            <v>PORTUGAL</v>
          </cell>
          <cell r="B10245">
            <v>202304</v>
          </cell>
          <cell r="D10245" t="str">
            <v>PORTUGAL</v>
          </cell>
          <cell r="G10245" t="str">
            <v>Real</v>
          </cell>
        </row>
        <row r="10246">
          <cell r="A10246" t="str">
            <v>PORTUGAL</v>
          </cell>
          <cell r="B10246">
            <v>202304</v>
          </cell>
          <cell r="D10246" t="str">
            <v>PORTUGAL</v>
          </cell>
          <cell r="G10246" t="str">
            <v>Real</v>
          </cell>
        </row>
        <row r="10247">
          <cell r="A10247" t="str">
            <v>PORTUGAL</v>
          </cell>
          <cell r="B10247">
            <v>202305</v>
          </cell>
          <cell r="D10247" t="str">
            <v>PORTUGAL</v>
          </cell>
          <cell r="G10247" t="str">
            <v>Real</v>
          </cell>
        </row>
        <row r="10248">
          <cell r="A10248" t="str">
            <v>PORTUGAL</v>
          </cell>
          <cell r="B10248">
            <v>202305</v>
          </cell>
          <cell r="D10248" t="str">
            <v>PORTUGAL</v>
          </cell>
          <cell r="G10248" t="str">
            <v>Real</v>
          </cell>
        </row>
        <row r="10249">
          <cell r="A10249" t="str">
            <v>PORTUGAL</v>
          </cell>
          <cell r="B10249">
            <v>202305</v>
          </cell>
          <cell r="D10249" t="str">
            <v>PORTUGAL</v>
          </cell>
          <cell r="G10249" t="str">
            <v>Real</v>
          </cell>
        </row>
        <row r="10250">
          <cell r="A10250" t="str">
            <v>PORTUGAL</v>
          </cell>
          <cell r="B10250">
            <v>202305</v>
          </cell>
          <cell r="D10250" t="str">
            <v>PORTUGAL</v>
          </cell>
          <cell r="G10250" t="str">
            <v>Real</v>
          </cell>
        </row>
        <row r="10251">
          <cell r="A10251" t="str">
            <v>PORTUGAL</v>
          </cell>
          <cell r="B10251">
            <v>202305</v>
          </cell>
          <cell r="D10251" t="str">
            <v>PORTUGAL</v>
          </cell>
          <cell r="G10251" t="str">
            <v>Real</v>
          </cell>
        </row>
        <row r="10252">
          <cell r="A10252" t="str">
            <v>PORTUGAL</v>
          </cell>
          <cell r="B10252">
            <v>202306</v>
          </cell>
          <cell r="D10252" t="str">
            <v>PORTUGAL</v>
          </cell>
          <cell r="G10252" t="str">
            <v>Real</v>
          </cell>
        </row>
        <row r="10253">
          <cell r="A10253" t="str">
            <v>PORTUGAL</v>
          </cell>
          <cell r="B10253">
            <v>202306</v>
          </cell>
          <cell r="D10253" t="str">
            <v>PORTUGAL</v>
          </cell>
          <cell r="G10253" t="str">
            <v>Real</v>
          </cell>
        </row>
        <row r="10254">
          <cell r="A10254" t="str">
            <v>PORTUGAL</v>
          </cell>
          <cell r="B10254">
            <v>202306</v>
          </cell>
          <cell r="D10254" t="str">
            <v>PORTUGAL</v>
          </cell>
          <cell r="G10254" t="str">
            <v>Real</v>
          </cell>
        </row>
        <row r="10255">
          <cell r="A10255" t="str">
            <v>PORTUGAL</v>
          </cell>
          <cell r="B10255">
            <v>202306</v>
          </cell>
          <cell r="D10255" t="str">
            <v>PORTUGAL</v>
          </cell>
          <cell r="G10255" t="str">
            <v>Real</v>
          </cell>
        </row>
        <row r="10256">
          <cell r="A10256" t="str">
            <v>PORTUGAL</v>
          </cell>
          <cell r="B10256">
            <v>202306</v>
          </cell>
          <cell r="D10256" t="str">
            <v>PORTUGAL</v>
          </cell>
          <cell r="G10256" t="str">
            <v>Real</v>
          </cell>
        </row>
        <row r="10257">
          <cell r="A10257" t="str">
            <v>PORTUGAL</v>
          </cell>
          <cell r="B10257">
            <v>202307</v>
          </cell>
          <cell r="D10257" t="str">
            <v>PORTUGAL</v>
          </cell>
          <cell r="G10257" t="str">
            <v>Real</v>
          </cell>
        </row>
        <row r="10258">
          <cell r="A10258" t="str">
            <v>PORTUGAL</v>
          </cell>
          <cell r="B10258">
            <v>202307</v>
          </cell>
          <cell r="D10258" t="str">
            <v>PORTUGAL</v>
          </cell>
          <cell r="G10258" t="str">
            <v>Real</v>
          </cell>
        </row>
        <row r="10259">
          <cell r="A10259" t="str">
            <v>PORTUGAL</v>
          </cell>
          <cell r="B10259">
            <v>202307</v>
          </cell>
          <cell r="D10259" t="str">
            <v>PORTUGAL</v>
          </cell>
          <cell r="G10259" t="str">
            <v>Real</v>
          </cell>
        </row>
        <row r="10260">
          <cell r="A10260" t="str">
            <v>PORTUGAL</v>
          </cell>
          <cell r="B10260">
            <v>202307</v>
          </cell>
          <cell r="D10260" t="str">
            <v>PORTUGAL</v>
          </cell>
          <cell r="G10260" t="str">
            <v>Real</v>
          </cell>
        </row>
        <row r="10261">
          <cell r="A10261" t="str">
            <v>PORTUGAL</v>
          </cell>
          <cell r="B10261">
            <v>202307</v>
          </cell>
          <cell r="D10261" t="str">
            <v>PORTUGAL</v>
          </cell>
          <cell r="G10261" t="str">
            <v>Real</v>
          </cell>
        </row>
        <row r="10262">
          <cell r="A10262" t="str">
            <v>PORTUGAL</v>
          </cell>
          <cell r="B10262">
            <v>202308</v>
          </cell>
          <cell r="D10262" t="str">
            <v>PORTUGAL</v>
          </cell>
          <cell r="G10262" t="str">
            <v>Real</v>
          </cell>
        </row>
        <row r="10263">
          <cell r="A10263" t="str">
            <v>PORTUGAL</v>
          </cell>
          <cell r="B10263">
            <v>202308</v>
          </cell>
          <cell r="D10263" t="str">
            <v>PORTUGAL</v>
          </cell>
          <cell r="G10263" t="str">
            <v>Real</v>
          </cell>
        </row>
        <row r="10264">
          <cell r="A10264" t="str">
            <v>PORTUGAL</v>
          </cell>
          <cell r="B10264">
            <v>202308</v>
          </cell>
          <cell r="D10264" t="str">
            <v>PORTUGAL</v>
          </cell>
          <cell r="G10264" t="str">
            <v>Real</v>
          </cell>
        </row>
        <row r="10265">
          <cell r="A10265" t="str">
            <v>PORTUGAL</v>
          </cell>
          <cell r="B10265">
            <v>202308</v>
          </cell>
          <cell r="D10265" t="str">
            <v>PORTUGAL</v>
          </cell>
          <cell r="G10265" t="str">
            <v>Real</v>
          </cell>
        </row>
        <row r="10266">
          <cell r="A10266" t="str">
            <v>PORTUGAL</v>
          </cell>
          <cell r="B10266">
            <v>202308</v>
          </cell>
          <cell r="D10266" t="str">
            <v>PORTUGAL</v>
          </cell>
          <cell r="G10266" t="str">
            <v>Real</v>
          </cell>
        </row>
        <row r="10267">
          <cell r="A10267" t="str">
            <v>PORTUGAL</v>
          </cell>
          <cell r="B10267">
            <v>202309</v>
          </cell>
          <cell r="D10267" t="str">
            <v>PORTUGAL</v>
          </cell>
          <cell r="G10267" t="str">
            <v>Real</v>
          </cell>
        </row>
        <row r="10268">
          <cell r="A10268" t="str">
            <v>PORTUGAL</v>
          </cell>
          <cell r="B10268">
            <v>202309</v>
          </cell>
          <cell r="D10268" t="str">
            <v>PORTUGAL</v>
          </cell>
          <cell r="G10268" t="str">
            <v>Real</v>
          </cell>
        </row>
        <row r="10269">
          <cell r="A10269" t="str">
            <v>PORTUGAL</v>
          </cell>
          <cell r="B10269">
            <v>202309</v>
          </cell>
          <cell r="D10269" t="str">
            <v>PORTUGAL</v>
          </cell>
          <cell r="G10269" t="str">
            <v>Real</v>
          </cell>
        </row>
        <row r="10270">
          <cell r="A10270" t="str">
            <v>PORTUGAL</v>
          </cell>
          <cell r="B10270">
            <v>202309</v>
          </cell>
          <cell r="D10270" t="str">
            <v>PORTUGAL</v>
          </cell>
          <cell r="G10270" t="str">
            <v>Real</v>
          </cell>
        </row>
        <row r="10271">
          <cell r="A10271" t="str">
            <v>PORTUGAL</v>
          </cell>
          <cell r="B10271">
            <v>202309</v>
          </cell>
          <cell r="D10271" t="str">
            <v>PORTUGAL</v>
          </cell>
          <cell r="G10271" t="str">
            <v>Real</v>
          </cell>
        </row>
        <row r="10272">
          <cell r="A10272" t="str">
            <v>PORTUGAL</v>
          </cell>
          <cell r="B10272">
            <v>202310</v>
          </cell>
          <cell r="D10272" t="str">
            <v>PORTUGAL</v>
          </cell>
          <cell r="G10272" t="str">
            <v>Real</v>
          </cell>
        </row>
        <row r="10273">
          <cell r="A10273" t="str">
            <v>PORTUGAL</v>
          </cell>
          <cell r="B10273">
            <v>202310</v>
          </cell>
          <cell r="D10273" t="str">
            <v>PORTUGAL</v>
          </cell>
          <cell r="G10273" t="str">
            <v>Real</v>
          </cell>
        </row>
        <row r="10274">
          <cell r="A10274" t="str">
            <v>PORTUGAL</v>
          </cell>
          <cell r="B10274">
            <v>202310</v>
          </cell>
          <cell r="D10274" t="str">
            <v>PORTUGAL</v>
          </cell>
          <cell r="G10274" t="str">
            <v>Real</v>
          </cell>
        </row>
        <row r="10275">
          <cell r="A10275" t="str">
            <v>PORTUGAL</v>
          </cell>
          <cell r="B10275">
            <v>202310</v>
          </cell>
          <cell r="D10275" t="str">
            <v>PORTUGAL</v>
          </cell>
          <cell r="G10275" t="str">
            <v>Real</v>
          </cell>
        </row>
        <row r="10276">
          <cell r="A10276" t="str">
            <v>PORTUGAL</v>
          </cell>
          <cell r="B10276">
            <v>202310</v>
          </cell>
          <cell r="D10276" t="str">
            <v>PORTUGAL</v>
          </cell>
          <cell r="G10276" t="str">
            <v>Real</v>
          </cell>
        </row>
        <row r="10277">
          <cell r="A10277" t="str">
            <v>PORTUGAL</v>
          </cell>
          <cell r="B10277">
            <v>202311</v>
          </cell>
          <cell r="D10277" t="str">
            <v>PORTUGAL</v>
          </cell>
          <cell r="G10277" t="str">
            <v>Real</v>
          </cell>
        </row>
        <row r="10278">
          <cell r="A10278" t="str">
            <v>PORTUGAL</v>
          </cell>
          <cell r="B10278">
            <v>202311</v>
          </cell>
          <cell r="D10278" t="str">
            <v>PORTUGAL</v>
          </cell>
          <cell r="G10278" t="str">
            <v>Real</v>
          </cell>
        </row>
        <row r="10279">
          <cell r="A10279" t="str">
            <v>PORTUGAL</v>
          </cell>
          <cell r="B10279">
            <v>202311</v>
          </cell>
          <cell r="D10279" t="str">
            <v>PORTUGAL</v>
          </cell>
          <cell r="G10279" t="str">
            <v>Real</v>
          </cell>
        </row>
        <row r="10280">
          <cell r="A10280" t="str">
            <v>PORTUGAL</v>
          </cell>
          <cell r="B10280">
            <v>202311</v>
          </cell>
          <cell r="D10280" t="str">
            <v>PORTUGAL</v>
          </cell>
          <cell r="G10280" t="str">
            <v>Real</v>
          </cell>
        </row>
        <row r="10281">
          <cell r="A10281" t="str">
            <v>PORTUGAL</v>
          </cell>
          <cell r="B10281">
            <v>202311</v>
          </cell>
          <cell r="D10281" t="str">
            <v>PORTUGAL</v>
          </cell>
          <cell r="G10281" t="str">
            <v>Real</v>
          </cell>
        </row>
        <row r="10282">
          <cell r="A10282" t="str">
            <v>PORTUGAL</v>
          </cell>
          <cell r="B10282">
            <v>202312</v>
          </cell>
          <cell r="D10282" t="str">
            <v>PORTUGAL</v>
          </cell>
          <cell r="G10282" t="str">
            <v>Real</v>
          </cell>
        </row>
        <row r="10283">
          <cell r="A10283" t="str">
            <v>PORTUGAL</v>
          </cell>
          <cell r="B10283">
            <v>202312</v>
          </cell>
          <cell r="D10283" t="str">
            <v>PORTUGAL</v>
          </cell>
          <cell r="G10283" t="str">
            <v>Real</v>
          </cell>
        </row>
        <row r="10284">
          <cell r="A10284" t="str">
            <v>PORTUGAL</v>
          </cell>
          <cell r="B10284">
            <v>202312</v>
          </cell>
          <cell r="D10284" t="str">
            <v>PORTUGAL</v>
          </cell>
          <cell r="G10284" t="str">
            <v>Real</v>
          </cell>
        </row>
        <row r="10285">
          <cell r="A10285" t="str">
            <v>PORTUGAL</v>
          </cell>
          <cell r="B10285">
            <v>202312</v>
          </cell>
          <cell r="D10285" t="str">
            <v>PORTUGAL</v>
          </cell>
          <cell r="G10285" t="str">
            <v>Real</v>
          </cell>
        </row>
        <row r="10286">
          <cell r="A10286" t="str">
            <v>PORTUGAL</v>
          </cell>
          <cell r="B10286">
            <v>202312</v>
          </cell>
          <cell r="D10286" t="str">
            <v>PORTUGAL</v>
          </cell>
          <cell r="G10286" t="str">
            <v>Real</v>
          </cell>
        </row>
        <row r="10287">
          <cell r="A10287" t="str">
            <v>PORTUGAL</v>
          </cell>
          <cell r="B10287">
            <v>202401</v>
          </cell>
          <cell r="D10287" t="str">
            <v>PORTUGAL</v>
          </cell>
          <cell r="G10287" t="str">
            <v>Presupuesto</v>
          </cell>
        </row>
        <row r="10288">
          <cell r="A10288" t="str">
            <v>PORTUGAL</v>
          </cell>
          <cell r="B10288">
            <v>202401</v>
          </cell>
          <cell r="D10288" t="str">
            <v>PORTUGAL</v>
          </cell>
          <cell r="G10288" t="str">
            <v>Real</v>
          </cell>
        </row>
        <row r="10289">
          <cell r="A10289" t="str">
            <v>PORTUGAL</v>
          </cell>
          <cell r="B10289">
            <v>202401</v>
          </cell>
          <cell r="D10289" t="str">
            <v>PORTUGAL</v>
          </cell>
          <cell r="G10289" t="str">
            <v>Presupuesto</v>
          </cell>
        </row>
        <row r="10290">
          <cell r="A10290" t="str">
            <v>PORTUGAL</v>
          </cell>
          <cell r="B10290">
            <v>202401</v>
          </cell>
          <cell r="D10290" t="str">
            <v>PORTUGAL</v>
          </cell>
          <cell r="G10290" t="str">
            <v>Real</v>
          </cell>
        </row>
        <row r="10291">
          <cell r="A10291" t="str">
            <v>PORTUGAL</v>
          </cell>
          <cell r="B10291">
            <v>202401</v>
          </cell>
          <cell r="D10291" t="str">
            <v>PORTUGAL</v>
          </cell>
          <cell r="G10291" t="str">
            <v>Real</v>
          </cell>
        </row>
        <row r="10292">
          <cell r="A10292" t="str">
            <v>PORTUGAL</v>
          </cell>
          <cell r="B10292">
            <v>202401</v>
          </cell>
          <cell r="D10292" t="str">
            <v>PORTUGAL</v>
          </cell>
          <cell r="G10292" t="str">
            <v>Presupuesto</v>
          </cell>
        </row>
        <row r="10293">
          <cell r="A10293" t="str">
            <v>PORTUGAL</v>
          </cell>
          <cell r="B10293">
            <v>202401</v>
          </cell>
          <cell r="D10293" t="str">
            <v>PORTUGAL</v>
          </cell>
          <cell r="G10293" t="str">
            <v>Real</v>
          </cell>
        </row>
        <row r="10294">
          <cell r="A10294" t="str">
            <v>PORTUGAL</v>
          </cell>
          <cell r="B10294">
            <v>202401</v>
          </cell>
          <cell r="D10294" t="str">
            <v>PORTUGAL</v>
          </cell>
          <cell r="G10294" t="str">
            <v>Presupuesto</v>
          </cell>
        </row>
        <row r="10295">
          <cell r="A10295" t="str">
            <v>PORTUGAL</v>
          </cell>
          <cell r="B10295">
            <v>202401</v>
          </cell>
          <cell r="D10295" t="str">
            <v>PORTUGAL</v>
          </cell>
          <cell r="G10295" t="str">
            <v>Real</v>
          </cell>
        </row>
        <row r="10296">
          <cell r="A10296" t="str">
            <v>PORTUGAL</v>
          </cell>
          <cell r="B10296">
            <v>202401</v>
          </cell>
          <cell r="D10296" t="str">
            <v>PORTUGAL</v>
          </cell>
          <cell r="G10296" t="str">
            <v>Presupuesto</v>
          </cell>
        </row>
        <row r="10297">
          <cell r="A10297" t="str">
            <v>PORTUGAL</v>
          </cell>
          <cell r="B10297">
            <v>202401</v>
          </cell>
          <cell r="D10297" t="str">
            <v>PORTUGAL</v>
          </cell>
          <cell r="G10297" t="str">
            <v>Real</v>
          </cell>
        </row>
        <row r="10298">
          <cell r="A10298" t="str">
            <v>PORTUGAL</v>
          </cell>
          <cell r="B10298">
            <v>202402</v>
          </cell>
          <cell r="D10298" t="str">
            <v>PORTUGAL</v>
          </cell>
          <cell r="G10298" t="str">
            <v>Presupuesto</v>
          </cell>
        </row>
        <row r="10299">
          <cell r="A10299" t="str">
            <v>PORTUGAL</v>
          </cell>
          <cell r="B10299">
            <v>202402</v>
          </cell>
          <cell r="D10299" t="str">
            <v>PORTUGAL</v>
          </cell>
          <cell r="G10299" t="str">
            <v>Real</v>
          </cell>
        </row>
        <row r="10300">
          <cell r="A10300" t="str">
            <v>PORTUGAL</v>
          </cell>
          <cell r="B10300">
            <v>202402</v>
          </cell>
          <cell r="D10300" t="str">
            <v>PORTUGAL</v>
          </cell>
          <cell r="G10300" t="str">
            <v>Presupuesto</v>
          </cell>
        </row>
        <row r="10301">
          <cell r="A10301" t="str">
            <v>PORTUGAL</v>
          </cell>
          <cell r="B10301">
            <v>202402</v>
          </cell>
          <cell r="D10301" t="str">
            <v>PORTUGAL</v>
          </cell>
          <cell r="G10301" t="str">
            <v>Real</v>
          </cell>
        </row>
        <row r="10302">
          <cell r="A10302" t="str">
            <v>PORTUGAL</v>
          </cell>
          <cell r="B10302">
            <v>202402</v>
          </cell>
          <cell r="D10302" t="str">
            <v>PORTUGAL</v>
          </cell>
          <cell r="G10302" t="str">
            <v>Real</v>
          </cell>
        </row>
        <row r="10303">
          <cell r="A10303" t="str">
            <v>PORTUGAL</v>
          </cell>
          <cell r="B10303">
            <v>202402</v>
          </cell>
          <cell r="D10303" t="str">
            <v>PORTUGAL</v>
          </cell>
          <cell r="G10303" t="str">
            <v>Presupuesto</v>
          </cell>
        </row>
        <row r="10304">
          <cell r="A10304" t="str">
            <v>PORTUGAL</v>
          </cell>
          <cell r="B10304">
            <v>202402</v>
          </cell>
          <cell r="D10304" t="str">
            <v>PORTUGAL</v>
          </cell>
          <cell r="G10304" t="str">
            <v>Real</v>
          </cell>
        </row>
        <row r="10305">
          <cell r="A10305" t="str">
            <v>PORTUGAL</v>
          </cell>
          <cell r="B10305">
            <v>202402</v>
          </cell>
          <cell r="D10305" t="str">
            <v>PORTUGAL</v>
          </cell>
          <cell r="G10305" t="str">
            <v>Presupuesto</v>
          </cell>
        </row>
        <row r="10306">
          <cell r="A10306" t="str">
            <v>PORTUGAL</v>
          </cell>
          <cell r="B10306">
            <v>202402</v>
          </cell>
          <cell r="D10306" t="str">
            <v>PORTUGAL</v>
          </cell>
          <cell r="G10306" t="str">
            <v>Real</v>
          </cell>
        </row>
        <row r="10307">
          <cell r="A10307" t="str">
            <v>PORTUGAL</v>
          </cell>
          <cell r="B10307">
            <v>202402</v>
          </cell>
          <cell r="D10307" t="str">
            <v>PORTUGAL</v>
          </cell>
          <cell r="G10307" t="str">
            <v>Presupuesto</v>
          </cell>
        </row>
        <row r="10308">
          <cell r="A10308" t="str">
            <v>PORTUGAL</v>
          </cell>
          <cell r="B10308">
            <v>202402</v>
          </cell>
          <cell r="D10308" t="str">
            <v>PORTUGAL</v>
          </cell>
          <cell r="G10308" t="str">
            <v>Real</v>
          </cell>
        </row>
        <row r="10309">
          <cell r="A10309" t="str">
            <v>PORTUGAL</v>
          </cell>
          <cell r="B10309">
            <v>202403</v>
          </cell>
          <cell r="D10309" t="str">
            <v>PORTUGAL</v>
          </cell>
          <cell r="G10309" t="str">
            <v>Presupuesto</v>
          </cell>
        </row>
        <row r="10310">
          <cell r="A10310" t="str">
            <v>PORTUGAL</v>
          </cell>
          <cell r="B10310">
            <v>202403</v>
          </cell>
          <cell r="D10310" t="str">
            <v>PORTUGAL</v>
          </cell>
          <cell r="G10310" t="str">
            <v>Real</v>
          </cell>
        </row>
        <row r="10311">
          <cell r="A10311" t="str">
            <v>PORTUGAL</v>
          </cell>
          <cell r="B10311">
            <v>202403</v>
          </cell>
          <cell r="D10311" t="str">
            <v>PORTUGAL</v>
          </cell>
          <cell r="G10311" t="str">
            <v>Presupuesto</v>
          </cell>
        </row>
        <row r="10312">
          <cell r="A10312" t="str">
            <v>PORTUGAL</v>
          </cell>
          <cell r="B10312">
            <v>202403</v>
          </cell>
          <cell r="D10312" t="str">
            <v>PORTUGAL</v>
          </cell>
          <cell r="G10312" t="str">
            <v>Real</v>
          </cell>
        </row>
        <row r="10313">
          <cell r="A10313" t="str">
            <v>PORTUGAL</v>
          </cell>
          <cell r="B10313">
            <v>202403</v>
          </cell>
          <cell r="D10313" t="str">
            <v>PORTUGAL</v>
          </cell>
          <cell r="G10313" t="str">
            <v>Real</v>
          </cell>
        </row>
        <row r="10314">
          <cell r="A10314" t="str">
            <v>PORTUGAL</v>
          </cell>
          <cell r="B10314">
            <v>202403</v>
          </cell>
          <cell r="D10314" t="str">
            <v>PORTUGAL</v>
          </cell>
          <cell r="G10314" t="str">
            <v>Presupuesto</v>
          </cell>
        </row>
        <row r="10315">
          <cell r="A10315" t="str">
            <v>PORTUGAL</v>
          </cell>
          <cell r="B10315">
            <v>202403</v>
          </cell>
          <cell r="D10315" t="str">
            <v>PORTUGAL</v>
          </cell>
          <cell r="G10315" t="str">
            <v>Real</v>
          </cell>
        </row>
        <row r="10316">
          <cell r="A10316" t="str">
            <v>PORTUGAL</v>
          </cell>
          <cell r="B10316">
            <v>202403</v>
          </cell>
          <cell r="D10316" t="str">
            <v>PORTUGAL</v>
          </cell>
          <cell r="G10316" t="str">
            <v>Presupuesto</v>
          </cell>
        </row>
        <row r="10317">
          <cell r="A10317" t="str">
            <v>PORTUGAL</v>
          </cell>
          <cell r="B10317">
            <v>202403</v>
          </cell>
          <cell r="D10317" t="str">
            <v>PORTUGAL</v>
          </cell>
          <cell r="G10317" t="str">
            <v>Real</v>
          </cell>
        </row>
        <row r="10318">
          <cell r="A10318" t="str">
            <v>PORTUGAL</v>
          </cell>
          <cell r="B10318">
            <v>202403</v>
          </cell>
          <cell r="D10318" t="str">
            <v>PORTUGAL</v>
          </cell>
          <cell r="G10318" t="str">
            <v>Presupuesto</v>
          </cell>
        </row>
        <row r="10319">
          <cell r="A10319" t="str">
            <v>PORTUGAL</v>
          </cell>
          <cell r="B10319">
            <v>202403</v>
          </cell>
          <cell r="D10319" t="str">
            <v>PORTUGAL</v>
          </cell>
          <cell r="G10319" t="str">
            <v>Real</v>
          </cell>
        </row>
        <row r="10320">
          <cell r="A10320" t="str">
            <v>PORTUGAL</v>
          </cell>
          <cell r="B10320">
            <v>202404</v>
          </cell>
          <cell r="D10320" t="str">
            <v>PORTUGAL</v>
          </cell>
          <cell r="G10320" t="str">
            <v>Presupuesto</v>
          </cell>
        </row>
        <row r="10321">
          <cell r="A10321" t="str">
            <v>PORTUGAL</v>
          </cell>
          <cell r="B10321">
            <v>202404</v>
          </cell>
          <cell r="D10321" t="str">
            <v>PORTUGAL</v>
          </cell>
          <cell r="G10321" t="str">
            <v>Real</v>
          </cell>
        </row>
        <row r="10322">
          <cell r="A10322" t="str">
            <v>PORTUGAL</v>
          </cell>
          <cell r="B10322">
            <v>202404</v>
          </cell>
          <cell r="D10322" t="str">
            <v>PORTUGAL</v>
          </cell>
          <cell r="G10322" t="str">
            <v>Presupuesto</v>
          </cell>
        </row>
        <row r="10323">
          <cell r="A10323" t="str">
            <v>PORTUGAL</v>
          </cell>
          <cell r="B10323">
            <v>202404</v>
          </cell>
          <cell r="D10323" t="str">
            <v>PORTUGAL</v>
          </cell>
          <cell r="G10323" t="str">
            <v>Real</v>
          </cell>
        </row>
        <row r="10324">
          <cell r="A10324" t="str">
            <v>PORTUGAL</v>
          </cell>
          <cell r="B10324">
            <v>202404</v>
          </cell>
          <cell r="D10324" t="str">
            <v>PORTUGAL</v>
          </cell>
          <cell r="G10324" t="str">
            <v>Real</v>
          </cell>
        </row>
        <row r="10325">
          <cell r="A10325" t="str">
            <v>PORTUGAL</v>
          </cell>
          <cell r="B10325">
            <v>202404</v>
          </cell>
          <cell r="D10325" t="str">
            <v>PORTUGAL</v>
          </cell>
          <cell r="G10325" t="str">
            <v>Presupuesto</v>
          </cell>
        </row>
        <row r="10326">
          <cell r="A10326" t="str">
            <v>PORTUGAL</v>
          </cell>
          <cell r="B10326">
            <v>202404</v>
          </cell>
          <cell r="D10326" t="str">
            <v>PORTUGAL</v>
          </cell>
          <cell r="G10326" t="str">
            <v>Real</v>
          </cell>
        </row>
        <row r="10327">
          <cell r="A10327" t="str">
            <v>PORTUGAL</v>
          </cell>
          <cell r="B10327">
            <v>202404</v>
          </cell>
          <cell r="D10327" t="str">
            <v>PORTUGAL</v>
          </cell>
          <cell r="G10327" t="str">
            <v>Presupuesto</v>
          </cell>
        </row>
        <row r="10328">
          <cell r="A10328" t="str">
            <v>PORTUGAL</v>
          </cell>
          <cell r="B10328">
            <v>202404</v>
          </cell>
          <cell r="D10328" t="str">
            <v>PORTUGAL</v>
          </cell>
          <cell r="G10328" t="str">
            <v>Real</v>
          </cell>
        </row>
        <row r="10329">
          <cell r="A10329" t="str">
            <v>PORTUGAL</v>
          </cell>
          <cell r="B10329">
            <v>202404</v>
          </cell>
          <cell r="D10329" t="str">
            <v>PORTUGAL</v>
          </cell>
          <cell r="G10329" t="str">
            <v>Presupuesto</v>
          </cell>
        </row>
        <row r="10330">
          <cell r="A10330" t="str">
            <v>PORTUGAL</v>
          </cell>
          <cell r="B10330">
            <v>202404</v>
          </cell>
          <cell r="D10330" t="str">
            <v>PORTUGAL</v>
          </cell>
          <cell r="G10330" t="str">
            <v>Real</v>
          </cell>
        </row>
        <row r="10331">
          <cell r="A10331" t="str">
            <v>PORTUGAL</v>
          </cell>
          <cell r="B10331">
            <v>202405</v>
          </cell>
          <cell r="D10331" t="str">
            <v>PORTUGAL</v>
          </cell>
          <cell r="G10331" t="str">
            <v>Presupuesto</v>
          </cell>
        </row>
        <row r="10332">
          <cell r="A10332" t="str">
            <v>PORTUGAL</v>
          </cell>
          <cell r="B10332">
            <v>202405</v>
          </cell>
          <cell r="D10332" t="str">
            <v>PORTUGAL</v>
          </cell>
          <cell r="G10332" t="str">
            <v>Real</v>
          </cell>
        </row>
        <row r="10333">
          <cell r="A10333" t="str">
            <v>PORTUGAL</v>
          </cell>
          <cell r="B10333">
            <v>202405</v>
          </cell>
          <cell r="D10333" t="str">
            <v>PORTUGAL</v>
          </cell>
          <cell r="G10333" t="str">
            <v>Presupuesto</v>
          </cell>
        </row>
        <row r="10334">
          <cell r="A10334" t="str">
            <v>PORTUGAL</v>
          </cell>
          <cell r="B10334">
            <v>202405</v>
          </cell>
          <cell r="D10334" t="str">
            <v>PORTUGAL</v>
          </cell>
          <cell r="G10334" t="str">
            <v>Real</v>
          </cell>
        </row>
        <row r="10335">
          <cell r="A10335" t="str">
            <v>PORTUGAL</v>
          </cell>
          <cell r="B10335">
            <v>202405</v>
          </cell>
          <cell r="D10335" t="str">
            <v>PORTUGAL</v>
          </cell>
          <cell r="G10335" t="str">
            <v>Real</v>
          </cell>
        </row>
        <row r="10336">
          <cell r="A10336" t="str">
            <v>PORTUGAL</v>
          </cell>
          <cell r="B10336">
            <v>202405</v>
          </cell>
          <cell r="D10336" t="str">
            <v>PORTUGAL</v>
          </cell>
          <cell r="G10336" t="str">
            <v>Presupuesto</v>
          </cell>
        </row>
        <row r="10337">
          <cell r="A10337" t="str">
            <v>PORTUGAL</v>
          </cell>
          <cell r="B10337">
            <v>202405</v>
          </cell>
          <cell r="D10337" t="str">
            <v>PORTUGAL</v>
          </cell>
          <cell r="G10337" t="str">
            <v>Real</v>
          </cell>
        </row>
        <row r="10338">
          <cell r="A10338" t="str">
            <v>PORTUGAL</v>
          </cell>
          <cell r="B10338">
            <v>202405</v>
          </cell>
          <cell r="D10338" t="str">
            <v>PORTUGAL</v>
          </cell>
          <cell r="G10338" t="str">
            <v>Presupuesto</v>
          </cell>
        </row>
        <row r="10339">
          <cell r="A10339" t="str">
            <v>PORTUGAL</v>
          </cell>
          <cell r="B10339">
            <v>202405</v>
          </cell>
          <cell r="D10339" t="str">
            <v>PORTUGAL</v>
          </cell>
          <cell r="G10339" t="str">
            <v>Real</v>
          </cell>
        </row>
        <row r="10340">
          <cell r="A10340" t="str">
            <v>PORTUGAL</v>
          </cell>
          <cell r="B10340">
            <v>202405</v>
          </cell>
          <cell r="D10340" t="str">
            <v>PORTUGAL</v>
          </cell>
          <cell r="G10340" t="str">
            <v>Presupuesto</v>
          </cell>
        </row>
        <row r="10341">
          <cell r="A10341" t="str">
            <v>PORTUGAL</v>
          </cell>
          <cell r="B10341">
            <v>202405</v>
          </cell>
          <cell r="D10341" t="str">
            <v>PORTUGAL</v>
          </cell>
          <cell r="G10341" t="str">
            <v>Real</v>
          </cell>
        </row>
        <row r="10342">
          <cell r="A10342" t="str">
            <v>PORTUGAL</v>
          </cell>
          <cell r="B10342">
            <v>202406</v>
          </cell>
          <cell r="D10342" t="str">
            <v>PORTUGAL</v>
          </cell>
          <cell r="G10342" t="str">
            <v>Presupuesto</v>
          </cell>
        </row>
        <row r="10343">
          <cell r="A10343" t="str">
            <v>PORTUGAL</v>
          </cell>
          <cell r="B10343">
            <v>202406</v>
          </cell>
          <cell r="D10343" t="str">
            <v>PORTUGAL</v>
          </cell>
          <cell r="G10343" t="str">
            <v>Real</v>
          </cell>
        </row>
        <row r="10344">
          <cell r="A10344" t="str">
            <v>PORTUGAL</v>
          </cell>
          <cell r="B10344">
            <v>202406</v>
          </cell>
          <cell r="D10344" t="str">
            <v>PORTUGAL</v>
          </cell>
          <cell r="G10344" t="str">
            <v>Presupuesto</v>
          </cell>
        </row>
        <row r="10345">
          <cell r="A10345" t="str">
            <v>PORTUGAL</v>
          </cell>
          <cell r="B10345">
            <v>202406</v>
          </cell>
          <cell r="D10345" t="str">
            <v>PORTUGAL</v>
          </cell>
          <cell r="G10345" t="str">
            <v>Real</v>
          </cell>
        </row>
        <row r="10346">
          <cell r="A10346" t="str">
            <v>PORTUGAL</v>
          </cell>
          <cell r="B10346">
            <v>202406</v>
          </cell>
          <cell r="D10346" t="str">
            <v>PORTUGAL</v>
          </cell>
          <cell r="G10346" t="str">
            <v>Real</v>
          </cell>
        </row>
        <row r="10347">
          <cell r="A10347" t="str">
            <v>PORTUGAL</v>
          </cell>
          <cell r="B10347">
            <v>202406</v>
          </cell>
          <cell r="D10347" t="str">
            <v>PORTUGAL</v>
          </cell>
          <cell r="G10347" t="str">
            <v>Presupuesto</v>
          </cell>
        </row>
        <row r="10348">
          <cell r="A10348" t="str">
            <v>PORTUGAL</v>
          </cell>
          <cell r="B10348">
            <v>202406</v>
          </cell>
          <cell r="D10348" t="str">
            <v>PORTUGAL</v>
          </cell>
          <cell r="G10348" t="str">
            <v>Real</v>
          </cell>
        </row>
        <row r="10349">
          <cell r="A10349" t="str">
            <v>PORTUGAL</v>
          </cell>
          <cell r="B10349">
            <v>202406</v>
          </cell>
          <cell r="D10349" t="str">
            <v>PORTUGAL</v>
          </cell>
          <cell r="G10349" t="str">
            <v>Presupuesto</v>
          </cell>
        </row>
        <row r="10350">
          <cell r="A10350" t="str">
            <v>PORTUGAL</v>
          </cell>
          <cell r="B10350">
            <v>202406</v>
          </cell>
          <cell r="D10350" t="str">
            <v>PORTUGAL</v>
          </cell>
          <cell r="G10350" t="str">
            <v>Real</v>
          </cell>
        </row>
        <row r="10351">
          <cell r="A10351" t="str">
            <v>PORTUGAL</v>
          </cell>
          <cell r="B10351">
            <v>202406</v>
          </cell>
          <cell r="D10351" t="str">
            <v>PORTUGAL</v>
          </cell>
          <cell r="G10351" t="str">
            <v>Presupuesto</v>
          </cell>
        </row>
        <row r="10352">
          <cell r="A10352" t="str">
            <v>PORTUGAL</v>
          </cell>
          <cell r="B10352">
            <v>202406</v>
          </cell>
          <cell r="D10352" t="str">
            <v>PORTUGAL</v>
          </cell>
          <cell r="G10352" t="str">
            <v>Real</v>
          </cell>
        </row>
        <row r="10353">
          <cell r="A10353" t="str">
            <v>PORTUGAL</v>
          </cell>
          <cell r="B10353">
            <v>202407</v>
          </cell>
          <cell r="D10353" t="str">
            <v>PORTUGAL</v>
          </cell>
          <cell r="G10353" t="str">
            <v>Presupuesto</v>
          </cell>
        </row>
        <row r="10354">
          <cell r="A10354" t="str">
            <v>PORTUGAL</v>
          </cell>
          <cell r="B10354">
            <v>202407</v>
          </cell>
          <cell r="D10354" t="str">
            <v>PORTUGAL</v>
          </cell>
          <cell r="G10354" t="str">
            <v>Real</v>
          </cell>
        </row>
        <row r="10355">
          <cell r="A10355" t="str">
            <v>PORTUGAL</v>
          </cell>
          <cell r="B10355">
            <v>202407</v>
          </cell>
          <cell r="D10355" t="str">
            <v>PORTUGAL</v>
          </cell>
          <cell r="G10355" t="str">
            <v>Presupuesto</v>
          </cell>
        </row>
        <row r="10356">
          <cell r="A10356" t="str">
            <v>PORTUGAL</v>
          </cell>
          <cell r="B10356">
            <v>202407</v>
          </cell>
          <cell r="D10356" t="str">
            <v>PORTUGAL</v>
          </cell>
          <cell r="G10356" t="str">
            <v>Real</v>
          </cell>
        </row>
        <row r="10357">
          <cell r="A10357" t="str">
            <v>PORTUGAL</v>
          </cell>
          <cell r="B10357">
            <v>202407</v>
          </cell>
          <cell r="D10357" t="str">
            <v>PORTUGAL</v>
          </cell>
          <cell r="G10357" t="str">
            <v>Real</v>
          </cell>
        </row>
        <row r="10358">
          <cell r="A10358" t="str">
            <v>PORTUGAL</v>
          </cell>
          <cell r="B10358">
            <v>202407</v>
          </cell>
          <cell r="D10358" t="str">
            <v>PORTUGAL</v>
          </cell>
          <cell r="G10358" t="str">
            <v>Presupuesto</v>
          </cell>
        </row>
        <row r="10359">
          <cell r="A10359" t="str">
            <v>PORTUGAL</v>
          </cell>
          <cell r="B10359">
            <v>202407</v>
          </cell>
          <cell r="D10359" t="str">
            <v>PORTUGAL</v>
          </cell>
          <cell r="G10359" t="str">
            <v>Real</v>
          </cell>
        </row>
        <row r="10360">
          <cell r="A10360" t="str">
            <v>PORTUGAL</v>
          </cell>
          <cell r="B10360">
            <v>202407</v>
          </cell>
          <cell r="D10360" t="str">
            <v>PORTUGAL</v>
          </cell>
          <cell r="G10360" t="str">
            <v>Presupuesto</v>
          </cell>
        </row>
        <row r="10361">
          <cell r="A10361" t="str">
            <v>PORTUGAL</v>
          </cell>
          <cell r="B10361">
            <v>202407</v>
          </cell>
          <cell r="D10361" t="str">
            <v>PORTUGAL</v>
          </cell>
          <cell r="G10361" t="str">
            <v>Real</v>
          </cell>
        </row>
        <row r="10362">
          <cell r="A10362" t="str">
            <v>PORTUGAL</v>
          </cell>
          <cell r="B10362">
            <v>202407</v>
          </cell>
          <cell r="D10362" t="str">
            <v>PORTUGAL</v>
          </cell>
          <cell r="G10362" t="str">
            <v>Presupuesto</v>
          </cell>
        </row>
        <row r="10363">
          <cell r="A10363" t="str">
            <v>PORTUGAL</v>
          </cell>
          <cell r="B10363">
            <v>202407</v>
          </cell>
          <cell r="D10363" t="str">
            <v>PORTUGAL</v>
          </cell>
          <cell r="G10363" t="str">
            <v>Real</v>
          </cell>
        </row>
        <row r="10364">
          <cell r="A10364" t="str">
            <v>PORTUGAL</v>
          </cell>
          <cell r="B10364">
            <v>202408</v>
          </cell>
          <cell r="D10364" t="str">
            <v>PORTUGAL</v>
          </cell>
          <cell r="G10364" t="str">
            <v>Presupuesto</v>
          </cell>
        </row>
        <row r="10365">
          <cell r="A10365" t="str">
            <v>PORTUGAL</v>
          </cell>
          <cell r="B10365">
            <v>202408</v>
          </cell>
          <cell r="D10365" t="str">
            <v>PORTUGAL</v>
          </cell>
          <cell r="G10365" t="str">
            <v>Real</v>
          </cell>
        </row>
        <row r="10366">
          <cell r="A10366" t="str">
            <v>PORTUGAL</v>
          </cell>
          <cell r="B10366">
            <v>202408</v>
          </cell>
          <cell r="D10366" t="str">
            <v>PORTUGAL</v>
          </cell>
          <cell r="G10366" t="str">
            <v>Presupuesto</v>
          </cell>
        </row>
        <row r="10367">
          <cell r="A10367" t="str">
            <v>PORTUGAL</v>
          </cell>
          <cell r="B10367">
            <v>202408</v>
          </cell>
          <cell r="D10367" t="str">
            <v>PORTUGAL</v>
          </cell>
          <cell r="G10367" t="str">
            <v>Real</v>
          </cell>
        </row>
        <row r="10368">
          <cell r="A10368" t="str">
            <v>PORTUGAL</v>
          </cell>
          <cell r="B10368">
            <v>202408</v>
          </cell>
          <cell r="D10368" t="str">
            <v>PORTUGAL</v>
          </cell>
          <cell r="G10368" t="str">
            <v>Real</v>
          </cell>
        </row>
        <row r="10369">
          <cell r="A10369" t="str">
            <v>PORTUGAL</v>
          </cell>
          <cell r="B10369">
            <v>202408</v>
          </cell>
          <cell r="D10369" t="str">
            <v>PORTUGAL</v>
          </cell>
          <cell r="G10369" t="str">
            <v>Presupuesto</v>
          </cell>
        </row>
        <row r="10370">
          <cell r="A10370" t="str">
            <v>PORTUGAL</v>
          </cell>
          <cell r="B10370">
            <v>202408</v>
          </cell>
          <cell r="D10370" t="str">
            <v>PORTUGAL</v>
          </cell>
          <cell r="G10370" t="str">
            <v>Real</v>
          </cell>
        </row>
        <row r="10371">
          <cell r="A10371" t="str">
            <v>PORTUGAL</v>
          </cell>
          <cell r="B10371">
            <v>202408</v>
          </cell>
          <cell r="D10371" t="str">
            <v>PORTUGAL</v>
          </cell>
          <cell r="G10371" t="str">
            <v>Presupuesto</v>
          </cell>
        </row>
        <row r="10372">
          <cell r="A10372" t="str">
            <v>PORTUGAL</v>
          </cell>
          <cell r="B10372">
            <v>202408</v>
          </cell>
          <cell r="D10372" t="str">
            <v>PORTUGAL</v>
          </cell>
          <cell r="G10372" t="str">
            <v>Real</v>
          </cell>
        </row>
        <row r="10373">
          <cell r="A10373" t="str">
            <v>PORTUGAL</v>
          </cell>
          <cell r="B10373">
            <v>202408</v>
          </cell>
          <cell r="D10373" t="str">
            <v>PORTUGAL</v>
          </cell>
          <cell r="G10373" t="str">
            <v>Presupuesto</v>
          </cell>
        </row>
        <row r="10374">
          <cell r="A10374" t="str">
            <v>PORTUGAL</v>
          </cell>
          <cell r="B10374">
            <v>202408</v>
          </cell>
          <cell r="D10374" t="str">
            <v>PORTUGAL</v>
          </cell>
          <cell r="G10374" t="str">
            <v>Real</v>
          </cell>
        </row>
        <row r="10375">
          <cell r="A10375" t="str">
            <v>PORTUGAL</v>
          </cell>
          <cell r="B10375">
            <v>202409</v>
          </cell>
          <cell r="D10375" t="str">
            <v>PORTUGAL</v>
          </cell>
          <cell r="G10375" t="str">
            <v>Presupuesto</v>
          </cell>
        </row>
        <row r="10376">
          <cell r="A10376" t="str">
            <v>PORTUGAL</v>
          </cell>
          <cell r="B10376">
            <v>202409</v>
          </cell>
          <cell r="D10376" t="str">
            <v>PORTUGAL</v>
          </cell>
          <cell r="G10376" t="str">
            <v>Real</v>
          </cell>
        </row>
        <row r="10377">
          <cell r="A10377" t="str">
            <v>PORTUGAL</v>
          </cell>
          <cell r="B10377">
            <v>202409</v>
          </cell>
          <cell r="D10377" t="str">
            <v>PORTUGAL</v>
          </cell>
          <cell r="G10377" t="str">
            <v>Presupuesto</v>
          </cell>
        </row>
        <row r="10378">
          <cell r="A10378" t="str">
            <v>PORTUGAL</v>
          </cell>
          <cell r="B10378">
            <v>202409</v>
          </cell>
          <cell r="D10378" t="str">
            <v>PORTUGAL</v>
          </cell>
          <cell r="G10378" t="str">
            <v>Real</v>
          </cell>
        </row>
        <row r="10379">
          <cell r="A10379" t="str">
            <v>PORTUGAL</v>
          </cell>
          <cell r="B10379">
            <v>202409</v>
          </cell>
          <cell r="D10379" t="str">
            <v>PORTUGAL</v>
          </cell>
          <cell r="G10379" t="str">
            <v>Real</v>
          </cell>
        </row>
        <row r="10380">
          <cell r="A10380" t="str">
            <v>PORTUGAL</v>
          </cell>
          <cell r="B10380">
            <v>202409</v>
          </cell>
          <cell r="D10380" t="str">
            <v>PORTUGAL</v>
          </cell>
          <cell r="G10380" t="str">
            <v>Presupuesto</v>
          </cell>
        </row>
        <row r="10381">
          <cell r="A10381" t="str">
            <v>PORTUGAL</v>
          </cell>
          <cell r="B10381">
            <v>202409</v>
          </cell>
          <cell r="D10381" t="str">
            <v>PORTUGAL</v>
          </cell>
          <cell r="G10381" t="str">
            <v>Real</v>
          </cell>
        </row>
        <row r="10382">
          <cell r="A10382" t="str">
            <v>PORTUGAL</v>
          </cell>
          <cell r="B10382">
            <v>202409</v>
          </cell>
          <cell r="D10382" t="str">
            <v>PORTUGAL</v>
          </cell>
          <cell r="G10382" t="str">
            <v>Presupuesto</v>
          </cell>
        </row>
        <row r="10383">
          <cell r="A10383" t="str">
            <v>PORTUGAL</v>
          </cell>
          <cell r="B10383">
            <v>202409</v>
          </cell>
          <cell r="D10383" t="str">
            <v>PORTUGAL</v>
          </cell>
          <cell r="G10383" t="str">
            <v>Real</v>
          </cell>
        </row>
        <row r="10384">
          <cell r="A10384" t="str">
            <v>PORTUGAL</v>
          </cell>
          <cell r="B10384">
            <v>202409</v>
          </cell>
          <cell r="D10384" t="str">
            <v>PORTUGAL</v>
          </cell>
          <cell r="G10384" t="str">
            <v>Presupuesto</v>
          </cell>
        </row>
        <row r="10385">
          <cell r="A10385" t="str">
            <v>PORTUGAL</v>
          </cell>
          <cell r="B10385">
            <v>202409</v>
          </cell>
          <cell r="D10385" t="str">
            <v>PORTUGAL</v>
          </cell>
          <cell r="G10385" t="str">
            <v>Real</v>
          </cell>
        </row>
        <row r="10386">
          <cell r="A10386" t="str">
            <v>PORTUGAL</v>
          </cell>
          <cell r="B10386">
            <v>202410</v>
          </cell>
          <cell r="D10386" t="str">
            <v>PORTUGAL</v>
          </cell>
          <cell r="G10386" t="str">
            <v>Presupuesto</v>
          </cell>
        </row>
        <row r="10387">
          <cell r="A10387" t="str">
            <v>PORTUGAL</v>
          </cell>
          <cell r="B10387">
            <v>202410</v>
          </cell>
          <cell r="D10387" t="str">
            <v>PORTUGAL</v>
          </cell>
          <cell r="G10387" t="str">
            <v>Real</v>
          </cell>
        </row>
        <row r="10388">
          <cell r="A10388" t="str">
            <v>PORTUGAL</v>
          </cell>
          <cell r="B10388">
            <v>202410</v>
          </cell>
          <cell r="D10388" t="str">
            <v>PORTUGAL</v>
          </cell>
          <cell r="G10388" t="str">
            <v>Presupuesto</v>
          </cell>
        </row>
        <row r="10389">
          <cell r="A10389" t="str">
            <v>PORTUGAL</v>
          </cell>
          <cell r="B10389">
            <v>202410</v>
          </cell>
          <cell r="D10389" t="str">
            <v>PORTUGAL</v>
          </cell>
          <cell r="G10389" t="str">
            <v>Real</v>
          </cell>
        </row>
        <row r="10390">
          <cell r="A10390" t="str">
            <v>PORTUGAL</v>
          </cell>
          <cell r="B10390">
            <v>202410</v>
          </cell>
          <cell r="D10390" t="str">
            <v>PORTUGAL</v>
          </cell>
          <cell r="G10390" t="str">
            <v>Real</v>
          </cell>
        </row>
        <row r="10391">
          <cell r="A10391" t="str">
            <v>PORTUGAL</v>
          </cell>
          <cell r="B10391">
            <v>202410</v>
          </cell>
          <cell r="D10391" t="str">
            <v>PORTUGAL</v>
          </cell>
          <cell r="G10391" t="str">
            <v>Presupuesto</v>
          </cell>
        </row>
        <row r="10392">
          <cell r="A10392" t="str">
            <v>PORTUGAL</v>
          </cell>
          <cell r="B10392">
            <v>202410</v>
          </cell>
          <cell r="D10392" t="str">
            <v>PORTUGAL</v>
          </cell>
          <cell r="G10392" t="str">
            <v>Real</v>
          </cell>
        </row>
        <row r="10393">
          <cell r="A10393" t="str">
            <v>PORTUGAL</v>
          </cell>
          <cell r="B10393">
            <v>202410</v>
          </cell>
          <cell r="D10393" t="str">
            <v>PORTUGAL</v>
          </cell>
          <cell r="G10393" t="str">
            <v>Presupuesto</v>
          </cell>
        </row>
        <row r="10394">
          <cell r="A10394" t="str">
            <v>PORTUGAL</v>
          </cell>
          <cell r="B10394">
            <v>202410</v>
          </cell>
          <cell r="D10394" t="str">
            <v>PORTUGAL</v>
          </cell>
          <cell r="G10394" t="str">
            <v>Real</v>
          </cell>
        </row>
        <row r="10395">
          <cell r="A10395" t="str">
            <v>PORTUGAL</v>
          </cell>
          <cell r="B10395">
            <v>202410</v>
          </cell>
          <cell r="D10395" t="str">
            <v>PORTUGAL</v>
          </cell>
          <cell r="G10395" t="str">
            <v>Presupuesto</v>
          </cell>
        </row>
        <row r="10396">
          <cell r="A10396" t="str">
            <v>PORTUGAL</v>
          </cell>
          <cell r="B10396">
            <v>202410</v>
          </cell>
          <cell r="D10396" t="str">
            <v>PORTUGAL</v>
          </cell>
          <cell r="G10396" t="str">
            <v>Real</v>
          </cell>
        </row>
        <row r="10397">
          <cell r="A10397" t="str">
            <v>PORTUGAL</v>
          </cell>
          <cell r="B10397">
            <v>202411</v>
          </cell>
          <cell r="D10397" t="str">
            <v>PORTUGAL</v>
          </cell>
          <cell r="G10397" t="str">
            <v>Presupuesto</v>
          </cell>
        </row>
        <row r="10398">
          <cell r="A10398" t="str">
            <v>PORTUGAL</v>
          </cell>
          <cell r="B10398">
            <v>202411</v>
          </cell>
          <cell r="D10398" t="str">
            <v>PORTUGAL</v>
          </cell>
          <cell r="G10398" t="str">
            <v>Real</v>
          </cell>
        </row>
        <row r="10399">
          <cell r="A10399" t="str">
            <v>PORTUGAL</v>
          </cell>
          <cell r="B10399">
            <v>202411</v>
          </cell>
          <cell r="D10399" t="str">
            <v>PORTUGAL</v>
          </cell>
          <cell r="G10399" t="str">
            <v>Presupuesto</v>
          </cell>
        </row>
        <row r="10400">
          <cell r="A10400" t="str">
            <v>PORTUGAL</v>
          </cell>
          <cell r="B10400">
            <v>202411</v>
          </cell>
          <cell r="D10400" t="str">
            <v>PORTUGAL</v>
          </cell>
          <cell r="G10400" t="str">
            <v>Real</v>
          </cell>
        </row>
        <row r="10401">
          <cell r="A10401" t="str">
            <v>PORTUGAL</v>
          </cell>
          <cell r="B10401">
            <v>202411</v>
          </cell>
          <cell r="D10401" t="str">
            <v>PORTUGAL</v>
          </cell>
          <cell r="G10401" t="str">
            <v>Real</v>
          </cell>
        </row>
        <row r="10402">
          <cell r="A10402" t="str">
            <v>PORTUGAL</v>
          </cell>
          <cell r="B10402">
            <v>202411</v>
          </cell>
          <cell r="D10402" t="str">
            <v>PORTUGAL</v>
          </cell>
          <cell r="G10402" t="str">
            <v>Presupuesto</v>
          </cell>
        </row>
        <row r="10403">
          <cell r="A10403" t="str">
            <v>PORTUGAL</v>
          </cell>
          <cell r="B10403">
            <v>202411</v>
          </cell>
          <cell r="D10403" t="str">
            <v>PORTUGAL</v>
          </cell>
          <cell r="G10403" t="str">
            <v>Real</v>
          </cell>
        </row>
        <row r="10404">
          <cell r="A10404" t="str">
            <v>PORTUGAL</v>
          </cell>
          <cell r="B10404">
            <v>202411</v>
          </cell>
          <cell r="D10404" t="str">
            <v>PORTUGAL</v>
          </cell>
          <cell r="G10404" t="str">
            <v>Presupuesto</v>
          </cell>
        </row>
        <row r="10405">
          <cell r="A10405" t="str">
            <v>PORTUGAL</v>
          </cell>
          <cell r="B10405">
            <v>202411</v>
          </cell>
          <cell r="D10405" t="str">
            <v>PORTUGAL</v>
          </cell>
          <cell r="G10405" t="str">
            <v>Real</v>
          </cell>
        </row>
        <row r="10406">
          <cell r="A10406" t="str">
            <v>PORTUGAL</v>
          </cell>
          <cell r="B10406">
            <v>202411</v>
          </cell>
          <cell r="D10406" t="str">
            <v>PORTUGAL</v>
          </cell>
          <cell r="G10406" t="str">
            <v>Presupuesto</v>
          </cell>
        </row>
        <row r="10407">
          <cell r="A10407" t="str">
            <v>PORTUGAL</v>
          </cell>
          <cell r="B10407">
            <v>202411</v>
          </cell>
          <cell r="D10407" t="str">
            <v>PORTUGAL</v>
          </cell>
          <cell r="G10407" t="str">
            <v>Real</v>
          </cell>
        </row>
        <row r="10408">
          <cell r="A10408" t="str">
            <v>PORTUGAL</v>
          </cell>
          <cell r="B10408">
            <v>202412</v>
          </cell>
          <cell r="D10408" t="str">
            <v>PORTUGAL</v>
          </cell>
          <cell r="G10408" t="str">
            <v>Presupuesto</v>
          </cell>
        </row>
        <row r="10409">
          <cell r="A10409" t="str">
            <v>PORTUGAL</v>
          </cell>
          <cell r="B10409">
            <v>202412</v>
          </cell>
          <cell r="D10409" t="str">
            <v>PORTUGAL</v>
          </cell>
          <cell r="G10409" t="str">
            <v>Real</v>
          </cell>
        </row>
        <row r="10410">
          <cell r="A10410" t="str">
            <v>PORTUGAL</v>
          </cell>
          <cell r="B10410">
            <v>202412</v>
          </cell>
          <cell r="D10410" t="str">
            <v>PORTUGAL</v>
          </cell>
          <cell r="G10410" t="str">
            <v>Presupuesto</v>
          </cell>
        </row>
        <row r="10411">
          <cell r="A10411" t="str">
            <v>PORTUGAL</v>
          </cell>
          <cell r="B10411">
            <v>202412</v>
          </cell>
          <cell r="D10411" t="str">
            <v>PORTUGAL</v>
          </cell>
          <cell r="G10411" t="str">
            <v>Real</v>
          </cell>
        </row>
        <row r="10412">
          <cell r="A10412" t="str">
            <v>PORTUGAL</v>
          </cell>
          <cell r="B10412">
            <v>202412</v>
          </cell>
          <cell r="D10412" t="str">
            <v>PORTUGAL</v>
          </cell>
          <cell r="G10412" t="str">
            <v>Real</v>
          </cell>
        </row>
        <row r="10413">
          <cell r="A10413" t="str">
            <v>PORTUGAL</v>
          </cell>
          <cell r="B10413">
            <v>202412</v>
          </cell>
          <cell r="D10413" t="str">
            <v>PORTUGAL</v>
          </cell>
          <cell r="G10413" t="str">
            <v>Presupuesto</v>
          </cell>
        </row>
        <row r="10414">
          <cell r="A10414" t="str">
            <v>PORTUGAL</v>
          </cell>
          <cell r="B10414">
            <v>202412</v>
          </cell>
          <cell r="D10414" t="str">
            <v>PORTUGAL</v>
          </cell>
          <cell r="G10414" t="str">
            <v>Real</v>
          </cell>
        </row>
        <row r="10415">
          <cell r="A10415" t="str">
            <v>PORTUGAL</v>
          </cell>
          <cell r="B10415">
            <v>202412</v>
          </cell>
          <cell r="D10415" t="str">
            <v>PORTUGAL</v>
          </cell>
          <cell r="G10415" t="str">
            <v>Presupuesto</v>
          </cell>
        </row>
        <row r="10416">
          <cell r="A10416" t="str">
            <v>PORTUGAL</v>
          </cell>
          <cell r="B10416">
            <v>202412</v>
          </cell>
          <cell r="D10416" t="str">
            <v>PORTUGAL</v>
          </cell>
          <cell r="G10416" t="str">
            <v>Real</v>
          </cell>
        </row>
        <row r="10417">
          <cell r="A10417" t="str">
            <v>PORTUGAL</v>
          </cell>
          <cell r="B10417">
            <v>202412</v>
          </cell>
          <cell r="D10417" t="str">
            <v>PORTUGAL</v>
          </cell>
          <cell r="G10417" t="str">
            <v>Presupuesto</v>
          </cell>
        </row>
        <row r="10418">
          <cell r="A10418" t="str">
            <v>PORTUGAL</v>
          </cell>
          <cell r="B10418">
            <v>202412</v>
          </cell>
          <cell r="D10418" t="str">
            <v>PORTUGAL</v>
          </cell>
          <cell r="G10418" t="str">
            <v>Real</v>
          </cell>
        </row>
        <row r="10419">
          <cell r="A10419" t="str">
            <v>PORTUGAL</v>
          </cell>
          <cell r="B10419">
            <v>202501</v>
          </cell>
          <cell r="D10419" t="str">
            <v>PORTUGAL</v>
          </cell>
          <cell r="G10419" t="str">
            <v>Presupuesto</v>
          </cell>
        </row>
        <row r="10420">
          <cell r="A10420" t="str">
            <v>PORTUGAL</v>
          </cell>
          <cell r="B10420">
            <v>202501</v>
          </cell>
          <cell r="D10420" t="str">
            <v>PORTUGAL</v>
          </cell>
          <cell r="G10420" t="str">
            <v>Real</v>
          </cell>
        </row>
        <row r="10421">
          <cell r="A10421" t="str">
            <v>PORTUGAL</v>
          </cell>
          <cell r="B10421">
            <v>202501</v>
          </cell>
          <cell r="D10421" t="str">
            <v>PORTUGAL</v>
          </cell>
          <cell r="G10421" t="str">
            <v>Presupuesto</v>
          </cell>
        </row>
        <row r="10422">
          <cell r="A10422" t="str">
            <v>PORTUGAL</v>
          </cell>
          <cell r="B10422">
            <v>202501</v>
          </cell>
          <cell r="D10422" t="str">
            <v>PORTUGAL</v>
          </cell>
          <cell r="G10422" t="str">
            <v>Real</v>
          </cell>
        </row>
        <row r="10423">
          <cell r="A10423" t="str">
            <v>PORTUGAL</v>
          </cell>
          <cell r="B10423">
            <v>202501</v>
          </cell>
          <cell r="D10423" t="str">
            <v>PORTUGAL</v>
          </cell>
          <cell r="G10423" t="str">
            <v>Presupuesto</v>
          </cell>
        </row>
        <row r="10424">
          <cell r="A10424" t="str">
            <v>PORTUGAL</v>
          </cell>
          <cell r="B10424">
            <v>202501</v>
          </cell>
          <cell r="D10424" t="str">
            <v>PORTUGAL</v>
          </cell>
          <cell r="G10424" t="str">
            <v>Real</v>
          </cell>
        </row>
        <row r="10425">
          <cell r="A10425" t="str">
            <v>PORTUGAL</v>
          </cell>
          <cell r="B10425">
            <v>202501</v>
          </cell>
          <cell r="D10425" t="str">
            <v>PORTUGAL</v>
          </cell>
          <cell r="G10425" t="str">
            <v>Presupuesto</v>
          </cell>
        </row>
        <row r="10426">
          <cell r="A10426" t="str">
            <v>PORTUGAL</v>
          </cell>
          <cell r="B10426">
            <v>202501</v>
          </cell>
          <cell r="D10426" t="str">
            <v>PORTUGAL</v>
          </cell>
          <cell r="G10426" t="str">
            <v>Real</v>
          </cell>
        </row>
        <row r="10427">
          <cell r="A10427" t="str">
            <v>PORTUGAL</v>
          </cell>
          <cell r="B10427">
            <v>202501</v>
          </cell>
          <cell r="D10427" t="str">
            <v>PORTUGAL</v>
          </cell>
          <cell r="G10427" t="str">
            <v>Presupuesto</v>
          </cell>
        </row>
        <row r="10428">
          <cell r="A10428" t="str">
            <v>PORTUGAL</v>
          </cell>
          <cell r="B10428">
            <v>202501</v>
          </cell>
          <cell r="D10428" t="str">
            <v>PORTUGAL</v>
          </cell>
          <cell r="G10428" t="str">
            <v>Real</v>
          </cell>
        </row>
        <row r="10429">
          <cell r="A10429" t="str">
            <v>PORTUGAL</v>
          </cell>
          <cell r="B10429">
            <v>202501</v>
          </cell>
          <cell r="D10429" t="str">
            <v>PORTUGAL</v>
          </cell>
          <cell r="G10429" t="str">
            <v>Presupuesto</v>
          </cell>
        </row>
        <row r="10430">
          <cell r="A10430" t="str">
            <v>PORTUGAL</v>
          </cell>
          <cell r="B10430">
            <v>202501</v>
          </cell>
          <cell r="D10430" t="str">
            <v>PORTUGAL</v>
          </cell>
          <cell r="G10430" t="str">
            <v>Real</v>
          </cell>
        </row>
        <row r="10431">
          <cell r="A10431" t="str">
            <v>PORTUGAL</v>
          </cell>
          <cell r="B10431">
            <v>202502</v>
          </cell>
          <cell r="D10431" t="str">
            <v>PORTUGAL</v>
          </cell>
          <cell r="G10431" t="str">
            <v>Presupuesto</v>
          </cell>
        </row>
        <row r="10432">
          <cell r="A10432" t="str">
            <v>PORTUGAL</v>
          </cell>
          <cell r="B10432">
            <v>202502</v>
          </cell>
          <cell r="D10432" t="str">
            <v>PORTUGAL</v>
          </cell>
          <cell r="G10432" t="str">
            <v>Real</v>
          </cell>
        </row>
        <row r="10433">
          <cell r="A10433" t="str">
            <v>PORTUGAL</v>
          </cell>
          <cell r="B10433">
            <v>202502</v>
          </cell>
          <cell r="D10433" t="str">
            <v>PORTUGAL</v>
          </cell>
          <cell r="G10433" t="str">
            <v>Presupuesto</v>
          </cell>
        </row>
        <row r="10434">
          <cell r="A10434" t="str">
            <v>PORTUGAL</v>
          </cell>
          <cell r="B10434">
            <v>202502</v>
          </cell>
          <cell r="D10434" t="str">
            <v>PORTUGAL</v>
          </cell>
          <cell r="G10434" t="str">
            <v>Real</v>
          </cell>
        </row>
        <row r="10435">
          <cell r="A10435" t="str">
            <v>PORTUGAL</v>
          </cell>
          <cell r="B10435">
            <v>202502</v>
          </cell>
          <cell r="D10435" t="str">
            <v>PORTUGAL</v>
          </cell>
          <cell r="G10435" t="str">
            <v>Presupuesto</v>
          </cell>
        </row>
        <row r="10436">
          <cell r="A10436" t="str">
            <v>PORTUGAL</v>
          </cell>
          <cell r="B10436">
            <v>202502</v>
          </cell>
          <cell r="D10436" t="str">
            <v>PORTUGAL</v>
          </cell>
          <cell r="G10436" t="str">
            <v>Real</v>
          </cell>
        </row>
        <row r="10437">
          <cell r="A10437" t="str">
            <v>PORTUGAL</v>
          </cell>
          <cell r="B10437">
            <v>202502</v>
          </cell>
          <cell r="D10437" t="str">
            <v>PORTUGAL</v>
          </cell>
          <cell r="G10437" t="str">
            <v>Presupuesto</v>
          </cell>
        </row>
        <row r="10438">
          <cell r="A10438" t="str">
            <v>PORTUGAL</v>
          </cell>
          <cell r="B10438">
            <v>202502</v>
          </cell>
          <cell r="D10438" t="str">
            <v>PORTUGAL</v>
          </cell>
          <cell r="G10438" t="str">
            <v>Real</v>
          </cell>
        </row>
        <row r="10439">
          <cell r="A10439" t="str">
            <v>PORTUGAL</v>
          </cell>
          <cell r="B10439">
            <v>202502</v>
          </cell>
          <cell r="D10439" t="str">
            <v>PORTUGAL</v>
          </cell>
          <cell r="G10439" t="str">
            <v>Presupuesto</v>
          </cell>
        </row>
        <row r="10440">
          <cell r="A10440" t="str">
            <v>PORTUGAL</v>
          </cell>
          <cell r="B10440">
            <v>202502</v>
          </cell>
          <cell r="D10440" t="str">
            <v>PORTUGAL</v>
          </cell>
          <cell r="G10440" t="str">
            <v>Real</v>
          </cell>
        </row>
        <row r="10441">
          <cell r="A10441" t="str">
            <v>PORTUGAL</v>
          </cell>
          <cell r="B10441">
            <v>202502</v>
          </cell>
          <cell r="D10441" t="str">
            <v>PORTUGAL</v>
          </cell>
          <cell r="G10441" t="str">
            <v>Presupuesto</v>
          </cell>
        </row>
        <row r="10442">
          <cell r="A10442" t="str">
            <v>PORTUGAL</v>
          </cell>
          <cell r="B10442">
            <v>202502</v>
          </cell>
          <cell r="D10442" t="str">
            <v>PORTUGAL</v>
          </cell>
          <cell r="G10442" t="str">
            <v>Real</v>
          </cell>
        </row>
        <row r="10443">
          <cell r="A10443" t="str">
            <v>PORTUGAL</v>
          </cell>
          <cell r="B10443">
            <v>202503</v>
          </cell>
          <cell r="D10443" t="str">
            <v>PORTUGAL</v>
          </cell>
          <cell r="G10443" t="str">
            <v>Presupuesto</v>
          </cell>
        </row>
        <row r="10444">
          <cell r="A10444" t="str">
            <v>PORTUGAL</v>
          </cell>
          <cell r="B10444">
            <v>202503</v>
          </cell>
          <cell r="D10444" t="str">
            <v>PORTUGAL</v>
          </cell>
          <cell r="G10444" t="str">
            <v>Real</v>
          </cell>
        </row>
        <row r="10445">
          <cell r="A10445" t="str">
            <v>PORTUGAL</v>
          </cell>
          <cell r="B10445">
            <v>202503</v>
          </cell>
          <cell r="D10445" t="str">
            <v>PORTUGAL</v>
          </cell>
          <cell r="G10445" t="str">
            <v>Presupuesto</v>
          </cell>
        </row>
        <row r="10446">
          <cell r="A10446" t="str">
            <v>PORTUGAL</v>
          </cell>
          <cell r="B10446">
            <v>202503</v>
          </cell>
          <cell r="D10446" t="str">
            <v>PORTUGAL</v>
          </cell>
          <cell r="G10446" t="str">
            <v>Real</v>
          </cell>
        </row>
        <row r="10447">
          <cell r="A10447" t="str">
            <v>PORTUGAL</v>
          </cell>
          <cell r="B10447">
            <v>202503</v>
          </cell>
          <cell r="D10447" t="str">
            <v>PORTUGAL</v>
          </cell>
          <cell r="G10447" t="str">
            <v>Presupuesto</v>
          </cell>
        </row>
        <row r="10448">
          <cell r="A10448" t="str">
            <v>PORTUGAL</v>
          </cell>
          <cell r="B10448">
            <v>202503</v>
          </cell>
          <cell r="D10448" t="str">
            <v>PORTUGAL</v>
          </cell>
          <cell r="G10448" t="str">
            <v>Real</v>
          </cell>
        </row>
        <row r="10449">
          <cell r="A10449" t="str">
            <v>PORTUGAL</v>
          </cell>
          <cell r="B10449">
            <v>202503</v>
          </cell>
          <cell r="D10449" t="str">
            <v>PORTUGAL</v>
          </cell>
          <cell r="G10449" t="str">
            <v>Presupuesto</v>
          </cell>
        </row>
        <row r="10450">
          <cell r="A10450" t="str">
            <v>PORTUGAL</v>
          </cell>
          <cell r="B10450">
            <v>202503</v>
          </cell>
          <cell r="D10450" t="str">
            <v>PORTUGAL</v>
          </cell>
          <cell r="G10450" t="str">
            <v>Real</v>
          </cell>
        </row>
        <row r="10451">
          <cell r="A10451" t="str">
            <v>PORTUGAL</v>
          </cell>
          <cell r="B10451">
            <v>202503</v>
          </cell>
          <cell r="D10451" t="str">
            <v>PORTUGAL</v>
          </cell>
          <cell r="G10451" t="str">
            <v>Presupuesto</v>
          </cell>
        </row>
        <row r="10452">
          <cell r="A10452" t="str">
            <v>PORTUGAL</v>
          </cell>
          <cell r="B10452">
            <v>202503</v>
          </cell>
          <cell r="D10452" t="str">
            <v>PORTUGAL</v>
          </cell>
          <cell r="G10452" t="str">
            <v>Real</v>
          </cell>
        </row>
        <row r="10453">
          <cell r="A10453" t="str">
            <v>PORTUGAL</v>
          </cell>
          <cell r="B10453">
            <v>202503</v>
          </cell>
          <cell r="D10453" t="str">
            <v>PORTUGAL</v>
          </cell>
          <cell r="G10453" t="str">
            <v>Presupuesto</v>
          </cell>
        </row>
        <row r="10454">
          <cell r="A10454" t="str">
            <v>PORTUGAL</v>
          </cell>
          <cell r="B10454">
            <v>202503</v>
          </cell>
          <cell r="D10454" t="str">
            <v>PORTUGAL</v>
          </cell>
          <cell r="G10454" t="str">
            <v>Real</v>
          </cell>
        </row>
        <row r="10455">
          <cell r="A10455" t="str">
            <v>PORTUGAL</v>
          </cell>
          <cell r="B10455">
            <v>202504</v>
          </cell>
          <cell r="D10455" t="str">
            <v>PORTUGAL</v>
          </cell>
          <cell r="G10455" t="str">
            <v>Presupuesto</v>
          </cell>
        </row>
        <row r="10456">
          <cell r="A10456" t="str">
            <v>PORTUGAL</v>
          </cell>
          <cell r="B10456">
            <v>202504</v>
          </cell>
          <cell r="D10456" t="str">
            <v>PORTUGAL</v>
          </cell>
          <cell r="G10456" t="str">
            <v>Real</v>
          </cell>
        </row>
        <row r="10457">
          <cell r="A10457" t="str">
            <v>PORTUGAL</v>
          </cell>
          <cell r="B10457">
            <v>202504</v>
          </cell>
          <cell r="D10457" t="str">
            <v>PORTUGAL</v>
          </cell>
          <cell r="G10457" t="str">
            <v>Presupuesto</v>
          </cell>
        </row>
        <row r="10458">
          <cell r="A10458" t="str">
            <v>PORTUGAL</v>
          </cell>
          <cell r="B10458">
            <v>202504</v>
          </cell>
          <cell r="D10458" t="str">
            <v>PORTUGAL</v>
          </cell>
          <cell r="G10458" t="str">
            <v>Real</v>
          </cell>
        </row>
        <row r="10459">
          <cell r="A10459" t="str">
            <v>PORTUGAL</v>
          </cell>
          <cell r="B10459">
            <v>202504</v>
          </cell>
          <cell r="D10459" t="str">
            <v>PORTUGAL</v>
          </cell>
          <cell r="G10459" t="str">
            <v>Presupuesto</v>
          </cell>
        </row>
        <row r="10460">
          <cell r="A10460" t="str">
            <v>PORTUGAL</v>
          </cell>
          <cell r="B10460">
            <v>202504</v>
          </cell>
          <cell r="D10460" t="str">
            <v>PORTUGAL</v>
          </cell>
          <cell r="G10460" t="str">
            <v>Real</v>
          </cell>
        </row>
        <row r="10461">
          <cell r="A10461" t="str">
            <v>PORTUGAL</v>
          </cell>
          <cell r="B10461">
            <v>202504</v>
          </cell>
          <cell r="D10461" t="str">
            <v>PORTUGAL</v>
          </cell>
          <cell r="G10461" t="str">
            <v>Presupuesto</v>
          </cell>
        </row>
        <row r="10462">
          <cell r="A10462" t="str">
            <v>PORTUGAL</v>
          </cell>
          <cell r="B10462">
            <v>202504</v>
          </cell>
          <cell r="D10462" t="str">
            <v>PORTUGAL</v>
          </cell>
          <cell r="G10462" t="str">
            <v>Real</v>
          </cell>
        </row>
        <row r="10463">
          <cell r="A10463" t="str">
            <v>PORTUGAL</v>
          </cell>
          <cell r="B10463">
            <v>202504</v>
          </cell>
          <cell r="D10463" t="str">
            <v>PORTUGAL</v>
          </cell>
          <cell r="G10463" t="str">
            <v>Presupuesto</v>
          </cell>
        </row>
        <row r="10464">
          <cell r="A10464" t="str">
            <v>PORTUGAL</v>
          </cell>
          <cell r="B10464">
            <v>202504</v>
          </cell>
          <cell r="D10464" t="str">
            <v>PORTUGAL</v>
          </cell>
          <cell r="G10464" t="str">
            <v>Real</v>
          </cell>
        </row>
        <row r="10465">
          <cell r="A10465" t="str">
            <v>PORTUGAL</v>
          </cell>
          <cell r="B10465">
            <v>202504</v>
          </cell>
          <cell r="D10465" t="str">
            <v>PORTUGAL</v>
          </cell>
          <cell r="G10465" t="str">
            <v>Presupuesto</v>
          </cell>
        </row>
        <row r="10466">
          <cell r="A10466" t="str">
            <v>PORTUGAL</v>
          </cell>
          <cell r="B10466">
            <v>202504</v>
          </cell>
          <cell r="D10466" t="str">
            <v>PORTUGAL</v>
          </cell>
          <cell r="G10466" t="str">
            <v>Real</v>
          </cell>
        </row>
        <row r="10467">
          <cell r="A10467" t="str">
            <v>PORTUGAL</v>
          </cell>
          <cell r="B10467">
            <v>202505</v>
          </cell>
          <cell r="D10467" t="str">
            <v>PORTUGAL</v>
          </cell>
          <cell r="G10467" t="str">
            <v>Presupuesto</v>
          </cell>
        </row>
        <row r="10468">
          <cell r="A10468" t="str">
            <v>PORTUGAL</v>
          </cell>
          <cell r="B10468">
            <v>202505</v>
          </cell>
          <cell r="D10468" t="str">
            <v>PORTUGAL</v>
          </cell>
          <cell r="G10468" t="str">
            <v>Real</v>
          </cell>
        </row>
        <row r="10469">
          <cell r="A10469" t="str">
            <v>PORTUGAL</v>
          </cell>
          <cell r="B10469">
            <v>202505</v>
          </cell>
          <cell r="D10469" t="str">
            <v>PORTUGAL</v>
          </cell>
          <cell r="G10469" t="str">
            <v>Presupuesto</v>
          </cell>
        </row>
        <row r="10470">
          <cell r="A10470" t="str">
            <v>PORTUGAL</v>
          </cell>
          <cell r="B10470">
            <v>202505</v>
          </cell>
          <cell r="D10470" t="str">
            <v>PORTUGAL</v>
          </cell>
          <cell r="G10470" t="str">
            <v>Real</v>
          </cell>
        </row>
        <row r="10471">
          <cell r="A10471" t="str">
            <v>PORTUGAL</v>
          </cell>
          <cell r="B10471">
            <v>202505</v>
          </cell>
          <cell r="D10471" t="str">
            <v>PORTUGAL</v>
          </cell>
          <cell r="G10471" t="str">
            <v>Presupuesto</v>
          </cell>
        </row>
        <row r="10472">
          <cell r="A10472" t="str">
            <v>PORTUGAL</v>
          </cell>
          <cell r="B10472">
            <v>202505</v>
          </cell>
          <cell r="D10472" t="str">
            <v>PORTUGAL</v>
          </cell>
          <cell r="G10472" t="str">
            <v>Real</v>
          </cell>
        </row>
        <row r="10473">
          <cell r="A10473" t="str">
            <v>PORTUGAL</v>
          </cell>
          <cell r="B10473">
            <v>202505</v>
          </cell>
          <cell r="D10473" t="str">
            <v>PORTUGAL</v>
          </cell>
          <cell r="G10473" t="str">
            <v>Presupuesto</v>
          </cell>
        </row>
        <row r="10474">
          <cell r="A10474" t="str">
            <v>PORTUGAL</v>
          </cell>
          <cell r="B10474">
            <v>202505</v>
          </cell>
          <cell r="D10474" t="str">
            <v>PORTUGAL</v>
          </cell>
          <cell r="G10474" t="str">
            <v>Real</v>
          </cell>
        </row>
        <row r="10475">
          <cell r="A10475" t="str">
            <v>PORTUGAL</v>
          </cell>
          <cell r="B10475">
            <v>202505</v>
          </cell>
          <cell r="D10475" t="str">
            <v>PORTUGAL</v>
          </cell>
          <cell r="G10475" t="str">
            <v>Presupuesto</v>
          </cell>
        </row>
        <row r="10476">
          <cell r="A10476" t="str">
            <v>PORTUGAL</v>
          </cell>
          <cell r="B10476">
            <v>202505</v>
          </cell>
          <cell r="D10476" t="str">
            <v>PORTUGAL</v>
          </cell>
          <cell r="G10476" t="str">
            <v>Real</v>
          </cell>
        </row>
        <row r="10477">
          <cell r="A10477" t="str">
            <v>PORTUGAL</v>
          </cell>
          <cell r="B10477">
            <v>202505</v>
          </cell>
          <cell r="D10477" t="str">
            <v>PORTUGAL</v>
          </cell>
          <cell r="G10477" t="str">
            <v>Presupuesto</v>
          </cell>
        </row>
        <row r="10478">
          <cell r="A10478" t="str">
            <v>PORTUGAL</v>
          </cell>
          <cell r="B10478">
            <v>202505</v>
          </cell>
          <cell r="D10478" t="str">
            <v>PORTUGAL</v>
          </cell>
          <cell r="G10478" t="str">
            <v>Real</v>
          </cell>
        </row>
        <row r="10479">
          <cell r="A10479" t="str">
            <v>PORTUGAL</v>
          </cell>
          <cell r="B10479">
            <v>202506</v>
          </cell>
          <cell r="D10479" t="str">
            <v>PORTUGAL</v>
          </cell>
          <cell r="G10479" t="str">
            <v>Presupuesto</v>
          </cell>
        </row>
        <row r="10480">
          <cell r="A10480" t="str">
            <v>PORTUGAL</v>
          </cell>
          <cell r="B10480">
            <v>202506</v>
          </cell>
          <cell r="D10480" t="str">
            <v>PORTUGAL</v>
          </cell>
          <cell r="G10480" t="str">
            <v>Real</v>
          </cell>
        </row>
        <row r="10481">
          <cell r="A10481" t="str">
            <v>PORTUGAL</v>
          </cell>
          <cell r="B10481">
            <v>202506</v>
          </cell>
          <cell r="D10481" t="str">
            <v>PORTUGAL</v>
          </cell>
          <cell r="G10481" t="str">
            <v>Presupuesto</v>
          </cell>
        </row>
        <row r="10482">
          <cell r="A10482" t="str">
            <v>PORTUGAL</v>
          </cell>
          <cell r="B10482">
            <v>202506</v>
          </cell>
          <cell r="D10482" t="str">
            <v>PORTUGAL</v>
          </cell>
          <cell r="G10482" t="str">
            <v>Real</v>
          </cell>
        </row>
        <row r="10483">
          <cell r="A10483" t="str">
            <v>PORTUGAL</v>
          </cell>
          <cell r="B10483">
            <v>202506</v>
          </cell>
          <cell r="D10483" t="str">
            <v>PORTUGAL</v>
          </cell>
          <cell r="G10483" t="str">
            <v>Presupuesto</v>
          </cell>
        </row>
        <row r="10484">
          <cell r="A10484" t="str">
            <v>PORTUGAL</v>
          </cell>
          <cell r="B10484">
            <v>202506</v>
          </cell>
          <cell r="D10484" t="str">
            <v>PORTUGAL</v>
          </cell>
          <cell r="G10484" t="str">
            <v>Real</v>
          </cell>
        </row>
        <row r="10485">
          <cell r="A10485" t="str">
            <v>PORTUGAL</v>
          </cell>
          <cell r="B10485">
            <v>202506</v>
          </cell>
          <cell r="D10485" t="str">
            <v>PORTUGAL</v>
          </cell>
          <cell r="G10485" t="str">
            <v>Presupuesto</v>
          </cell>
        </row>
        <row r="10486">
          <cell r="A10486" t="str">
            <v>PORTUGAL</v>
          </cell>
          <cell r="B10486">
            <v>202506</v>
          </cell>
          <cell r="D10486" t="str">
            <v>PORTUGAL</v>
          </cell>
          <cell r="G10486" t="str">
            <v>Real</v>
          </cell>
        </row>
        <row r="10487">
          <cell r="A10487" t="str">
            <v>PORTUGAL</v>
          </cell>
          <cell r="B10487">
            <v>202506</v>
          </cell>
          <cell r="D10487" t="str">
            <v>PORTUGAL</v>
          </cell>
          <cell r="G10487" t="str">
            <v>Presupuesto</v>
          </cell>
        </row>
        <row r="10488">
          <cell r="A10488" t="str">
            <v>PORTUGAL</v>
          </cell>
          <cell r="B10488">
            <v>202506</v>
          </cell>
          <cell r="D10488" t="str">
            <v>PORTUGAL</v>
          </cell>
          <cell r="G10488" t="str">
            <v>Real</v>
          </cell>
        </row>
        <row r="10489">
          <cell r="A10489" t="str">
            <v>PORTUGAL</v>
          </cell>
          <cell r="B10489">
            <v>202506</v>
          </cell>
          <cell r="D10489" t="str">
            <v>PORTUGAL</v>
          </cell>
          <cell r="G10489" t="str">
            <v>Presupuesto</v>
          </cell>
        </row>
        <row r="10490">
          <cell r="A10490" t="str">
            <v>PORTUGAL</v>
          </cell>
          <cell r="B10490">
            <v>202506</v>
          </cell>
          <cell r="D10490" t="str">
            <v>PORTUGAL</v>
          </cell>
          <cell r="G10490" t="str">
            <v>Real</v>
          </cell>
        </row>
        <row r="10491">
          <cell r="A10491" t="str">
            <v>PORTUGAL</v>
          </cell>
          <cell r="B10491">
            <v>202507</v>
          </cell>
          <cell r="D10491" t="str">
            <v>PORTUGAL</v>
          </cell>
          <cell r="G10491" t="str">
            <v>Presupuesto</v>
          </cell>
        </row>
        <row r="10492">
          <cell r="A10492" t="str">
            <v>PORTUGAL</v>
          </cell>
          <cell r="B10492">
            <v>202507</v>
          </cell>
          <cell r="D10492" t="str">
            <v>PORTUGAL</v>
          </cell>
          <cell r="G10492" t="str">
            <v>Real</v>
          </cell>
        </row>
        <row r="10493">
          <cell r="A10493" t="str">
            <v>PORTUGAL</v>
          </cell>
          <cell r="B10493">
            <v>202507</v>
          </cell>
          <cell r="D10493" t="str">
            <v>PORTUGAL</v>
          </cell>
          <cell r="G10493" t="str">
            <v>Presupuesto</v>
          </cell>
        </row>
        <row r="10494">
          <cell r="A10494" t="str">
            <v>PORTUGAL</v>
          </cell>
          <cell r="B10494">
            <v>202507</v>
          </cell>
          <cell r="D10494" t="str">
            <v>PORTUGAL</v>
          </cell>
          <cell r="G10494" t="str">
            <v>Real</v>
          </cell>
        </row>
        <row r="10495">
          <cell r="A10495" t="str">
            <v>PORTUGAL</v>
          </cell>
          <cell r="B10495">
            <v>202507</v>
          </cell>
          <cell r="D10495" t="str">
            <v>PORTUGAL</v>
          </cell>
          <cell r="G10495" t="str">
            <v>Presupuesto</v>
          </cell>
        </row>
        <row r="10496">
          <cell r="A10496" t="str">
            <v>PORTUGAL</v>
          </cell>
          <cell r="B10496">
            <v>202507</v>
          </cell>
          <cell r="D10496" t="str">
            <v>PORTUGAL</v>
          </cell>
          <cell r="G10496" t="str">
            <v>Real</v>
          </cell>
        </row>
        <row r="10497">
          <cell r="A10497" t="str">
            <v>PORTUGAL</v>
          </cell>
          <cell r="B10497">
            <v>202507</v>
          </cell>
          <cell r="D10497" t="str">
            <v>PORTUGAL</v>
          </cell>
          <cell r="G10497" t="str">
            <v>Presupuesto</v>
          </cell>
        </row>
        <row r="10498">
          <cell r="A10498" t="str">
            <v>PORTUGAL</v>
          </cell>
          <cell r="B10498">
            <v>202507</v>
          </cell>
          <cell r="D10498" t="str">
            <v>PORTUGAL</v>
          </cell>
          <cell r="G10498" t="str">
            <v>Real</v>
          </cell>
        </row>
        <row r="10499">
          <cell r="A10499" t="str">
            <v>PORTUGAL</v>
          </cell>
          <cell r="B10499">
            <v>202507</v>
          </cell>
          <cell r="D10499" t="str">
            <v>PORTUGAL</v>
          </cell>
          <cell r="G10499" t="str">
            <v>Presupuesto</v>
          </cell>
        </row>
        <row r="10500">
          <cell r="A10500" t="str">
            <v>PORTUGAL</v>
          </cell>
          <cell r="B10500">
            <v>202507</v>
          </cell>
          <cell r="D10500" t="str">
            <v>PORTUGAL</v>
          </cell>
          <cell r="G10500" t="str">
            <v>Real</v>
          </cell>
        </row>
        <row r="10501">
          <cell r="A10501" t="str">
            <v>PORTUGAL</v>
          </cell>
          <cell r="B10501">
            <v>202507</v>
          </cell>
          <cell r="D10501" t="str">
            <v>PORTUGAL</v>
          </cell>
          <cell r="G10501" t="str">
            <v>Presupuesto</v>
          </cell>
        </row>
        <row r="10502">
          <cell r="A10502" t="str">
            <v>PORTUGAL</v>
          </cell>
          <cell r="B10502">
            <v>202507</v>
          </cell>
          <cell r="D10502" t="str">
            <v>PORTUGAL</v>
          </cell>
          <cell r="G10502" t="str">
            <v>Real</v>
          </cell>
        </row>
        <row r="10503">
          <cell r="A10503" t="str">
            <v>PORTUGAL</v>
          </cell>
          <cell r="B10503">
            <v>202508</v>
          </cell>
          <cell r="D10503" t="str">
            <v>PORTUGAL</v>
          </cell>
          <cell r="G10503" t="str">
            <v>Presupuesto</v>
          </cell>
        </row>
        <row r="10504">
          <cell r="A10504" t="str">
            <v>PORTUGAL</v>
          </cell>
          <cell r="B10504">
            <v>202508</v>
          </cell>
          <cell r="D10504" t="str">
            <v>PORTUGAL</v>
          </cell>
          <cell r="G10504" t="str">
            <v>Real</v>
          </cell>
        </row>
        <row r="10505">
          <cell r="A10505" t="str">
            <v>PORTUGAL</v>
          </cell>
          <cell r="B10505">
            <v>202508</v>
          </cell>
          <cell r="D10505" t="str">
            <v>PORTUGAL</v>
          </cell>
          <cell r="G10505" t="str">
            <v>Presupuesto</v>
          </cell>
        </row>
        <row r="10506">
          <cell r="A10506" t="str">
            <v>PORTUGAL</v>
          </cell>
          <cell r="B10506">
            <v>202508</v>
          </cell>
          <cell r="D10506" t="str">
            <v>PORTUGAL</v>
          </cell>
          <cell r="G10506" t="str">
            <v>Real</v>
          </cell>
        </row>
        <row r="10507">
          <cell r="A10507" t="str">
            <v>PORTUGAL</v>
          </cell>
          <cell r="B10507">
            <v>202508</v>
          </cell>
          <cell r="D10507" t="str">
            <v>PORTUGAL</v>
          </cell>
          <cell r="G10507" t="str">
            <v>Presupuesto</v>
          </cell>
        </row>
        <row r="10508">
          <cell r="A10508" t="str">
            <v>PORTUGAL</v>
          </cell>
          <cell r="B10508">
            <v>202508</v>
          </cell>
          <cell r="D10508" t="str">
            <v>PORTUGAL</v>
          </cell>
          <cell r="G10508" t="str">
            <v>Real</v>
          </cell>
        </row>
        <row r="10509">
          <cell r="A10509" t="str">
            <v>PORTUGAL</v>
          </cell>
          <cell r="B10509">
            <v>202508</v>
          </cell>
          <cell r="D10509" t="str">
            <v>PORTUGAL</v>
          </cell>
          <cell r="G10509" t="str">
            <v>Presupuesto</v>
          </cell>
        </row>
        <row r="10510">
          <cell r="A10510" t="str">
            <v>PORTUGAL</v>
          </cell>
          <cell r="B10510">
            <v>202508</v>
          </cell>
          <cell r="D10510" t="str">
            <v>PORTUGAL</v>
          </cell>
          <cell r="G10510" t="str">
            <v>Real</v>
          </cell>
        </row>
        <row r="10511">
          <cell r="A10511" t="str">
            <v>PORTUGAL</v>
          </cell>
          <cell r="B10511">
            <v>202508</v>
          </cell>
          <cell r="D10511" t="str">
            <v>PORTUGAL</v>
          </cell>
          <cell r="G10511" t="str">
            <v>Presupuesto</v>
          </cell>
        </row>
        <row r="10512">
          <cell r="A10512" t="str">
            <v>PORTUGAL</v>
          </cell>
          <cell r="B10512">
            <v>202508</v>
          </cell>
          <cell r="D10512" t="str">
            <v>PORTUGAL</v>
          </cell>
          <cell r="G10512" t="str">
            <v>Real</v>
          </cell>
        </row>
        <row r="10513">
          <cell r="A10513" t="str">
            <v>PORTUGAL</v>
          </cell>
          <cell r="B10513">
            <v>202508</v>
          </cell>
          <cell r="D10513" t="str">
            <v>PORTUGAL</v>
          </cell>
          <cell r="G10513" t="str">
            <v>Presupuesto</v>
          </cell>
        </row>
        <row r="10514">
          <cell r="A10514" t="str">
            <v>PORTUGAL</v>
          </cell>
          <cell r="B10514">
            <v>202508</v>
          </cell>
          <cell r="D10514" t="str">
            <v>PORTUGAL</v>
          </cell>
          <cell r="G10514" t="str">
            <v>Real</v>
          </cell>
        </row>
        <row r="10515">
          <cell r="A10515" t="str">
            <v>PORTUGAL</v>
          </cell>
          <cell r="B10515">
            <v>202509</v>
          </cell>
          <cell r="D10515" t="str">
            <v>PORTUGAL</v>
          </cell>
          <cell r="G10515" t="str">
            <v>Presupuesto</v>
          </cell>
        </row>
        <row r="10516">
          <cell r="A10516" t="str">
            <v>PORTUGAL</v>
          </cell>
          <cell r="B10516">
            <v>202509</v>
          </cell>
          <cell r="D10516" t="str">
            <v>PORTUGAL</v>
          </cell>
          <cell r="G10516" t="str">
            <v>Real</v>
          </cell>
        </row>
        <row r="10517">
          <cell r="A10517" t="str">
            <v>PORTUGAL</v>
          </cell>
          <cell r="B10517">
            <v>202509</v>
          </cell>
          <cell r="D10517" t="str">
            <v>PORTUGAL</v>
          </cell>
          <cell r="G10517" t="str">
            <v>Presupuesto</v>
          </cell>
        </row>
        <row r="10518">
          <cell r="A10518" t="str">
            <v>PORTUGAL</v>
          </cell>
          <cell r="B10518">
            <v>202509</v>
          </cell>
          <cell r="D10518" t="str">
            <v>PORTUGAL</v>
          </cell>
          <cell r="G10518" t="str">
            <v>Real</v>
          </cell>
        </row>
        <row r="10519">
          <cell r="A10519" t="str">
            <v>PORTUGAL</v>
          </cell>
          <cell r="B10519">
            <v>202509</v>
          </cell>
          <cell r="D10519" t="str">
            <v>PORTUGAL</v>
          </cell>
          <cell r="G10519" t="str">
            <v>Presupuesto</v>
          </cell>
        </row>
        <row r="10520">
          <cell r="A10520" t="str">
            <v>PORTUGAL</v>
          </cell>
          <cell r="B10520">
            <v>202509</v>
          </cell>
          <cell r="D10520" t="str">
            <v>PORTUGAL</v>
          </cell>
          <cell r="G10520" t="str">
            <v>Real</v>
          </cell>
        </row>
        <row r="10521">
          <cell r="A10521" t="str">
            <v>PORTUGAL</v>
          </cell>
          <cell r="B10521">
            <v>202509</v>
          </cell>
          <cell r="D10521" t="str">
            <v>PORTUGAL</v>
          </cell>
          <cell r="G10521" t="str">
            <v>Presupuesto</v>
          </cell>
        </row>
        <row r="10522">
          <cell r="A10522" t="str">
            <v>PORTUGAL</v>
          </cell>
          <cell r="B10522">
            <v>202509</v>
          </cell>
          <cell r="D10522" t="str">
            <v>PORTUGAL</v>
          </cell>
          <cell r="G10522" t="str">
            <v>Real</v>
          </cell>
        </row>
        <row r="10523">
          <cell r="A10523" t="str">
            <v>PORTUGAL</v>
          </cell>
          <cell r="B10523">
            <v>202509</v>
          </cell>
          <cell r="D10523" t="str">
            <v>PORTUGAL</v>
          </cell>
          <cell r="G10523" t="str">
            <v>Presupuesto</v>
          </cell>
        </row>
        <row r="10524">
          <cell r="A10524" t="str">
            <v>PORTUGAL</v>
          </cell>
          <cell r="B10524">
            <v>202509</v>
          </cell>
          <cell r="D10524" t="str">
            <v>PORTUGAL</v>
          </cell>
          <cell r="G10524" t="str">
            <v>Real</v>
          </cell>
        </row>
        <row r="10525">
          <cell r="A10525" t="str">
            <v>PORTUGAL</v>
          </cell>
          <cell r="B10525">
            <v>202509</v>
          </cell>
          <cell r="D10525" t="str">
            <v>PORTUGAL</v>
          </cell>
          <cell r="G10525" t="str">
            <v>Presupuesto</v>
          </cell>
        </row>
        <row r="10526">
          <cell r="A10526" t="str">
            <v>PORTUGAL</v>
          </cell>
          <cell r="B10526">
            <v>202509</v>
          </cell>
          <cell r="D10526" t="str">
            <v>PORTUGAL</v>
          </cell>
          <cell r="G10526" t="str">
            <v>Real</v>
          </cell>
        </row>
        <row r="10527">
          <cell r="A10527" t="str">
            <v>PORTUGAL</v>
          </cell>
          <cell r="B10527">
            <v>202510</v>
          </cell>
          <cell r="D10527" t="str">
            <v>PORTUGAL</v>
          </cell>
          <cell r="G10527" t="str">
            <v>Presupuesto</v>
          </cell>
        </row>
        <row r="10528">
          <cell r="A10528" t="str">
            <v>PORTUGAL</v>
          </cell>
          <cell r="B10528">
            <v>202510</v>
          </cell>
          <cell r="D10528" t="str">
            <v>PORTUGAL</v>
          </cell>
          <cell r="G10528" t="str">
            <v>Real</v>
          </cell>
        </row>
        <row r="10529">
          <cell r="A10529" t="str">
            <v>PORTUGAL</v>
          </cell>
          <cell r="B10529">
            <v>202510</v>
          </cell>
          <cell r="D10529" t="str">
            <v>PORTUGAL</v>
          </cell>
          <cell r="G10529" t="str">
            <v>Presupuesto</v>
          </cell>
        </row>
        <row r="10530">
          <cell r="A10530" t="str">
            <v>PORTUGAL</v>
          </cell>
          <cell r="B10530">
            <v>202510</v>
          </cell>
          <cell r="D10530" t="str">
            <v>PORTUGAL</v>
          </cell>
          <cell r="G10530" t="str">
            <v>Real</v>
          </cell>
        </row>
        <row r="10531">
          <cell r="A10531" t="str">
            <v>PORTUGAL</v>
          </cell>
          <cell r="B10531">
            <v>202510</v>
          </cell>
          <cell r="D10531" t="str">
            <v>PORTUGAL</v>
          </cell>
          <cell r="G10531" t="str">
            <v>Presupuesto</v>
          </cell>
        </row>
        <row r="10532">
          <cell r="A10532" t="str">
            <v>PORTUGAL</v>
          </cell>
          <cell r="B10532">
            <v>202510</v>
          </cell>
          <cell r="D10532" t="str">
            <v>PORTUGAL</v>
          </cell>
          <cell r="G10532" t="str">
            <v>Real</v>
          </cell>
        </row>
        <row r="10533">
          <cell r="A10533" t="str">
            <v>PORTUGAL</v>
          </cell>
          <cell r="B10533">
            <v>202510</v>
          </cell>
          <cell r="D10533" t="str">
            <v>PORTUGAL</v>
          </cell>
          <cell r="G10533" t="str">
            <v>Presupuesto</v>
          </cell>
        </row>
        <row r="10534">
          <cell r="A10534" t="str">
            <v>PORTUGAL</v>
          </cell>
          <cell r="B10534">
            <v>202510</v>
          </cell>
          <cell r="D10534" t="str">
            <v>PORTUGAL</v>
          </cell>
          <cell r="G10534" t="str">
            <v>Real</v>
          </cell>
        </row>
        <row r="10535">
          <cell r="A10535" t="str">
            <v>PORTUGAL</v>
          </cell>
          <cell r="B10535">
            <v>202510</v>
          </cell>
          <cell r="D10535" t="str">
            <v>PORTUGAL</v>
          </cell>
          <cell r="G10535" t="str">
            <v>Presupuesto</v>
          </cell>
        </row>
        <row r="10536">
          <cell r="A10536" t="str">
            <v>PORTUGAL</v>
          </cell>
          <cell r="B10536">
            <v>202510</v>
          </cell>
          <cell r="D10536" t="str">
            <v>PORTUGAL</v>
          </cell>
          <cell r="G10536" t="str">
            <v>Real</v>
          </cell>
        </row>
        <row r="10537">
          <cell r="A10537" t="str">
            <v>PORTUGAL</v>
          </cell>
          <cell r="B10537">
            <v>202510</v>
          </cell>
          <cell r="D10537" t="str">
            <v>PORTUGAL</v>
          </cell>
          <cell r="G10537" t="str">
            <v>Presupuesto</v>
          </cell>
        </row>
        <row r="10538">
          <cell r="A10538" t="str">
            <v>PORTUGAL</v>
          </cell>
          <cell r="B10538">
            <v>202510</v>
          </cell>
          <cell r="D10538" t="str">
            <v>PORTUGAL</v>
          </cell>
          <cell r="G10538" t="str">
            <v>Real</v>
          </cell>
        </row>
        <row r="10539">
          <cell r="A10539" t="str">
            <v>PORTUGAL</v>
          </cell>
          <cell r="B10539">
            <v>202511</v>
          </cell>
          <cell r="D10539" t="str">
            <v>PORTUGAL</v>
          </cell>
          <cell r="G10539" t="str">
            <v>Presupuesto</v>
          </cell>
        </row>
        <row r="10540">
          <cell r="A10540" t="str">
            <v>PORTUGAL</v>
          </cell>
          <cell r="B10540">
            <v>202511</v>
          </cell>
          <cell r="D10540" t="str">
            <v>PORTUGAL</v>
          </cell>
          <cell r="G10540" t="str">
            <v>Real</v>
          </cell>
        </row>
        <row r="10541">
          <cell r="A10541" t="str">
            <v>PORTUGAL</v>
          </cell>
          <cell r="B10541">
            <v>202511</v>
          </cell>
          <cell r="D10541" t="str">
            <v>PORTUGAL</v>
          </cell>
          <cell r="G10541" t="str">
            <v>Presupuesto</v>
          </cell>
        </row>
        <row r="10542">
          <cell r="A10542" t="str">
            <v>PORTUGAL</v>
          </cell>
          <cell r="B10542">
            <v>202511</v>
          </cell>
          <cell r="D10542" t="str">
            <v>PORTUGAL</v>
          </cell>
          <cell r="G10542" t="str">
            <v>Real</v>
          </cell>
        </row>
        <row r="10543">
          <cell r="A10543" t="str">
            <v>PORTUGAL</v>
          </cell>
          <cell r="B10543">
            <v>202511</v>
          </cell>
          <cell r="D10543" t="str">
            <v>PORTUGAL</v>
          </cell>
          <cell r="G10543" t="str">
            <v>Presupuesto</v>
          </cell>
        </row>
        <row r="10544">
          <cell r="A10544" t="str">
            <v>PORTUGAL</v>
          </cell>
          <cell r="B10544">
            <v>202511</v>
          </cell>
          <cell r="D10544" t="str">
            <v>PORTUGAL</v>
          </cell>
          <cell r="G10544" t="str">
            <v>Real</v>
          </cell>
        </row>
        <row r="10545">
          <cell r="A10545" t="str">
            <v>PORTUGAL</v>
          </cell>
          <cell r="B10545">
            <v>202511</v>
          </cell>
          <cell r="D10545" t="str">
            <v>PORTUGAL</v>
          </cell>
          <cell r="G10545" t="str">
            <v>Presupuesto</v>
          </cell>
        </row>
        <row r="10546">
          <cell r="A10546" t="str">
            <v>PORTUGAL</v>
          </cell>
          <cell r="B10546">
            <v>202511</v>
          </cell>
          <cell r="D10546" t="str">
            <v>PORTUGAL</v>
          </cell>
          <cell r="G10546" t="str">
            <v>Real</v>
          </cell>
        </row>
        <row r="10547">
          <cell r="A10547" t="str">
            <v>PORTUGAL</v>
          </cell>
          <cell r="B10547">
            <v>202511</v>
          </cell>
          <cell r="D10547" t="str">
            <v>PORTUGAL</v>
          </cell>
          <cell r="G10547" t="str">
            <v>Presupuesto</v>
          </cell>
        </row>
        <row r="10548">
          <cell r="A10548" t="str">
            <v>PORTUGAL</v>
          </cell>
          <cell r="B10548">
            <v>202511</v>
          </cell>
          <cell r="D10548" t="str">
            <v>PORTUGAL</v>
          </cell>
          <cell r="G10548" t="str">
            <v>Real</v>
          </cell>
        </row>
        <row r="10549">
          <cell r="A10549" t="str">
            <v>PORTUGAL</v>
          </cell>
          <cell r="B10549">
            <v>202511</v>
          </cell>
          <cell r="D10549" t="str">
            <v>PORTUGAL</v>
          </cell>
          <cell r="G10549" t="str">
            <v>Presupuesto</v>
          </cell>
        </row>
        <row r="10550">
          <cell r="A10550" t="str">
            <v>PORTUGAL</v>
          </cell>
          <cell r="B10550">
            <v>202511</v>
          </cell>
          <cell r="D10550" t="str">
            <v>PORTUGAL</v>
          </cell>
          <cell r="G10550" t="str">
            <v>Real</v>
          </cell>
        </row>
        <row r="10551">
          <cell r="A10551" t="str">
            <v>PORTUGAL</v>
          </cell>
          <cell r="B10551">
            <v>202512</v>
          </cell>
          <cell r="D10551" t="str">
            <v>PORTUGAL</v>
          </cell>
          <cell r="G10551" t="str">
            <v>Presupuesto</v>
          </cell>
        </row>
        <row r="10552">
          <cell r="A10552" t="str">
            <v>PORTUGAL</v>
          </cell>
          <cell r="B10552">
            <v>202512</v>
          </cell>
          <cell r="D10552" t="str">
            <v>PORTUGAL</v>
          </cell>
          <cell r="G10552" t="str">
            <v>Real</v>
          </cell>
        </row>
        <row r="10553">
          <cell r="A10553" t="str">
            <v>PORTUGAL</v>
          </cell>
          <cell r="B10553">
            <v>202512</v>
          </cell>
          <cell r="D10553" t="str">
            <v>PORTUGAL</v>
          </cell>
          <cell r="G10553" t="str">
            <v>Presupuesto</v>
          </cell>
        </row>
        <row r="10554">
          <cell r="A10554" t="str">
            <v>PORTUGAL</v>
          </cell>
          <cell r="B10554">
            <v>202512</v>
          </cell>
          <cell r="D10554" t="str">
            <v>PORTUGAL</v>
          </cell>
          <cell r="G10554" t="str">
            <v>Real</v>
          </cell>
        </row>
        <row r="10555">
          <cell r="A10555" t="str">
            <v>PORTUGAL</v>
          </cell>
          <cell r="B10555">
            <v>202512</v>
          </cell>
          <cell r="D10555" t="str">
            <v>PORTUGAL</v>
          </cell>
          <cell r="G10555" t="str">
            <v>Presupuesto</v>
          </cell>
        </row>
        <row r="10556">
          <cell r="A10556" t="str">
            <v>PORTUGAL</v>
          </cell>
          <cell r="B10556">
            <v>202512</v>
          </cell>
          <cell r="D10556" t="str">
            <v>PORTUGAL</v>
          </cell>
          <cell r="G10556" t="str">
            <v>Real</v>
          </cell>
        </row>
        <row r="10557">
          <cell r="A10557" t="str">
            <v>PORTUGAL</v>
          </cell>
          <cell r="B10557">
            <v>202512</v>
          </cell>
          <cell r="D10557" t="str">
            <v>PORTUGAL</v>
          </cell>
          <cell r="G10557" t="str">
            <v>Presupuesto</v>
          </cell>
        </row>
        <row r="10558">
          <cell r="A10558" t="str">
            <v>PORTUGAL</v>
          </cell>
          <cell r="B10558">
            <v>202512</v>
          </cell>
          <cell r="D10558" t="str">
            <v>PORTUGAL</v>
          </cell>
          <cell r="G10558" t="str">
            <v>Real</v>
          </cell>
        </row>
        <row r="10559">
          <cell r="A10559" t="str">
            <v>PORTUGAL</v>
          </cell>
          <cell r="B10559">
            <v>202512</v>
          </cell>
          <cell r="D10559" t="str">
            <v>PORTUGAL</v>
          </cell>
          <cell r="G10559" t="str">
            <v>Presupuesto</v>
          </cell>
        </row>
        <row r="10560">
          <cell r="A10560" t="str">
            <v>PORTUGAL</v>
          </cell>
          <cell r="B10560">
            <v>202512</v>
          </cell>
          <cell r="D10560" t="str">
            <v>PORTUGAL</v>
          </cell>
          <cell r="G10560" t="str">
            <v>Real</v>
          </cell>
        </row>
        <row r="10561">
          <cell r="A10561" t="str">
            <v>PORTUGAL</v>
          </cell>
          <cell r="B10561">
            <v>202512</v>
          </cell>
          <cell r="D10561" t="str">
            <v>PORTUGAL</v>
          </cell>
          <cell r="G10561" t="str">
            <v>Presupuesto</v>
          </cell>
        </row>
        <row r="10562">
          <cell r="A10562" t="str">
            <v>PORTUGAL</v>
          </cell>
          <cell r="B10562">
            <v>202512</v>
          </cell>
          <cell r="D10562" t="str">
            <v>PORTUGAL</v>
          </cell>
          <cell r="G10562" t="str">
            <v>Real</v>
          </cell>
        </row>
        <row r="10563">
          <cell r="A10563" t="str">
            <v>SEGURETXE</v>
          </cell>
          <cell r="B10563">
            <v>202401</v>
          </cell>
          <cell r="D10563" t="str">
            <v>--</v>
          </cell>
          <cell r="G10563" t="str">
            <v>Real</v>
          </cell>
        </row>
        <row r="10564">
          <cell r="A10564" t="str">
            <v>SEGURETXE</v>
          </cell>
          <cell r="B10564">
            <v>202401</v>
          </cell>
          <cell r="D10564" t="str">
            <v>Autos</v>
          </cell>
          <cell r="G10564" t="str">
            <v>Real</v>
          </cell>
        </row>
        <row r="10565">
          <cell r="A10565" t="str">
            <v>SEGURETXE</v>
          </cell>
          <cell r="B10565">
            <v>202401</v>
          </cell>
          <cell r="D10565" t="str">
            <v>Flotas</v>
          </cell>
          <cell r="G10565" t="str">
            <v>Real</v>
          </cell>
        </row>
        <row r="10566">
          <cell r="A10566" t="str">
            <v>SEGURETXE</v>
          </cell>
          <cell r="B10566">
            <v>202401</v>
          </cell>
          <cell r="D10566" t="str">
            <v>Hogar</v>
          </cell>
          <cell r="G10566" t="str">
            <v>Real</v>
          </cell>
        </row>
        <row r="10567">
          <cell r="A10567" t="str">
            <v>SEGURETXE</v>
          </cell>
          <cell r="B10567">
            <v>202401</v>
          </cell>
          <cell r="D10567" t="str">
            <v>Ingeniería</v>
          </cell>
          <cell r="G10567" t="str">
            <v>Real</v>
          </cell>
        </row>
        <row r="10568">
          <cell r="A10568" t="str">
            <v>SEGURETXE</v>
          </cell>
          <cell r="B10568">
            <v>202401</v>
          </cell>
          <cell r="D10568" t="str">
            <v>Náutica</v>
          </cell>
          <cell r="G10568" t="str">
            <v>Real</v>
          </cell>
        </row>
        <row r="10569">
          <cell r="A10569" t="str">
            <v>SEGURETXE</v>
          </cell>
          <cell r="B10569">
            <v>202401</v>
          </cell>
          <cell r="D10569" t="str">
            <v>Particulares Resto</v>
          </cell>
          <cell r="G10569" t="str">
            <v>Real</v>
          </cell>
        </row>
        <row r="10570">
          <cell r="A10570" t="str">
            <v>SEGURETXE</v>
          </cell>
          <cell r="B10570">
            <v>202401</v>
          </cell>
          <cell r="D10570" t="str">
            <v>Property</v>
          </cell>
          <cell r="G10570" t="str">
            <v>Real</v>
          </cell>
        </row>
        <row r="10571">
          <cell r="A10571" t="str">
            <v>SEGURETXE</v>
          </cell>
          <cell r="B10571">
            <v>202401</v>
          </cell>
          <cell r="D10571" t="str">
            <v>RC</v>
          </cell>
          <cell r="G10571" t="str">
            <v>Real</v>
          </cell>
        </row>
        <row r="10572">
          <cell r="A10572" t="str">
            <v>SEGURETXE</v>
          </cell>
          <cell r="B10572">
            <v>202401</v>
          </cell>
          <cell r="D10572" t="str">
            <v>Seguros Personales (No Vida) Colectivos</v>
          </cell>
          <cell r="G10572" t="str">
            <v>Real</v>
          </cell>
        </row>
        <row r="10573">
          <cell r="A10573" t="str">
            <v>SEGURETXE</v>
          </cell>
          <cell r="B10573">
            <v>202401</v>
          </cell>
          <cell r="D10573" t="str">
            <v>Seguros Personales (No Vida) Particular</v>
          </cell>
          <cell r="G10573" t="str">
            <v>Real</v>
          </cell>
        </row>
        <row r="10574">
          <cell r="A10574" t="str">
            <v>SEGURETXE</v>
          </cell>
          <cell r="B10574">
            <v>202401</v>
          </cell>
          <cell r="D10574" t="str">
            <v>Transporte</v>
          </cell>
          <cell r="G10574" t="str">
            <v>Real</v>
          </cell>
        </row>
        <row r="10575">
          <cell r="A10575" t="str">
            <v>SEGURETXE</v>
          </cell>
          <cell r="B10575">
            <v>202401</v>
          </cell>
          <cell r="D10575" t="str">
            <v>Vida Riesgo Particular</v>
          </cell>
          <cell r="G10575" t="str">
            <v>Real</v>
          </cell>
        </row>
        <row r="10576">
          <cell r="A10576" t="str">
            <v>SEGURETXE</v>
          </cell>
          <cell r="B10576">
            <v>202402</v>
          </cell>
          <cell r="D10576" t="str">
            <v>--</v>
          </cell>
          <cell r="G10576" t="str">
            <v>Real</v>
          </cell>
        </row>
        <row r="10577">
          <cell r="A10577" t="str">
            <v>SEGURETXE</v>
          </cell>
          <cell r="B10577">
            <v>202402</v>
          </cell>
          <cell r="D10577" t="str">
            <v>Autos</v>
          </cell>
          <cell r="G10577" t="str">
            <v>Real</v>
          </cell>
        </row>
        <row r="10578">
          <cell r="A10578" t="str">
            <v>SEGURETXE</v>
          </cell>
          <cell r="B10578">
            <v>202402</v>
          </cell>
          <cell r="D10578" t="str">
            <v>Flotas</v>
          </cell>
          <cell r="G10578" t="str">
            <v>Real</v>
          </cell>
        </row>
        <row r="10579">
          <cell r="A10579" t="str">
            <v>SEGURETXE</v>
          </cell>
          <cell r="B10579">
            <v>202402</v>
          </cell>
          <cell r="D10579" t="str">
            <v>Hogar</v>
          </cell>
          <cell r="G10579" t="str">
            <v>Real</v>
          </cell>
        </row>
        <row r="10580">
          <cell r="A10580" t="str">
            <v>SEGURETXE</v>
          </cell>
          <cell r="B10580">
            <v>202402</v>
          </cell>
          <cell r="D10580" t="str">
            <v>Ingeniería</v>
          </cell>
          <cell r="G10580" t="str">
            <v>Real</v>
          </cell>
        </row>
        <row r="10581">
          <cell r="A10581" t="str">
            <v>SEGURETXE</v>
          </cell>
          <cell r="B10581">
            <v>202402</v>
          </cell>
          <cell r="D10581" t="str">
            <v>Náutica</v>
          </cell>
          <cell r="G10581" t="str">
            <v>Real</v>
          </cell>
        </row>
        <row r="10582">
          <cell r="A10582" t="str">
            <v>SEGURETXE</v>
          </cell>
          <cell r="B10582">
            <v>202402</v>
          </cell>
          <cell r="D10582" t="str">
            <v>Property</v>
          </cell>
          <cell r="G10582" t="str">
            <v>Real</v>
          </cell>
        </row>
        <row r="10583">
          <cell r="A10583" t="str">
            <v>SEGURETXE</v>
          </cell>
          <cell r="B10583">
            <v>202402</v>
          </cell>
          <cell r="D10583" t="str">
            <v>RC</v>
          </cell>
          <cell r="G10583" t="str">
            <v>Real</v>
          </cell>
        </row>
        <row r="10584">
          <cell r="A10584" t="str">
            <v>SEGURETXE</v>
          </cell>
          <cell r="B10584">
            <v>202402</v>
          </cell>
          <cell r="D10584" t="str">
            <v>Seguros Personales (No Vida) Colectivos</v>
          </cell>
          <cell r="G10584" t="str">
            <v>Real</v>
          </cell>
        </row>
        <row r="10585">
          <cell r="A10585" t="str">
            <v>SEGURETXE</v>
          </cell>
          <cell r="B10585">
            <v>202402</v>
          </cell>
          <cell r="D10585" t="str">
            <v>Seguros Personales (No Vida) Particular</v>
          </cell>
          <cell r="G10585" t="str">
            <v>Real</v>
          </cell>
        </row>
        <row r="10586">
          <cell r="A10586" t="str">
            <v>SEGURETXE</v>
          </cell>
          <cell r="B10586">
            <v>202402</v>
          </cell>
          <cell r="D10586" t="str">
            <v>Transporte</v>
          </cell>
          <cell r="G10586" t="str">
            <v>Real</v>
          </cell>
        </row>
        <row r="10587">
          <cell r="A10587" t="str">
            <v>SEGURETXE</v>
          </cell>
          <cell r="B10587">
            <v>202402</v>
          </cell>
          <cell r="D10587" t="str">
            <v>Vida Riesgo Particular</v>
          </cell>
          <cell r="G10587" t="str">
            <v>Real</v>
          </cell>
        </row>
        <row r="10588">
          <cell r="A10588" t="str">
            <v>SEGURETXE</v>
          </cell>
          <cell r="B10588">
            <v>202403</v>
          </cell>
          <cell r="D10588" t="str">
            <v>--</v>
          </cell>
          <cell r="G10588" t="str">
            <v>Real</v>
          </cell>
        </row>
        <row r="10589">
          <cell r="A10589" t="str">
            <v>SEGURETXE</v>
          </cell>
          <cell r="B10589">
            <v>202403</v>
          </cell>
          <cell r="D10589" t="str">
            <v>Autos</v>
          </cell>
          <cell r="G10589" t="str">
            <v>Real</v>
          </cell>
        </row>
        <row r="10590">
          <cell r="A10590" t="str">
            <v>SEGURETXE</v>
          </cell>
          <cell r="B10590">
            <v>202403</v>
          </cell>
          <cell r="D10590" t="str">
            <v>Flotas</v>
          </cell>
          <cell r="G10590" t="str">
            <v>Real</v>
          </cell>
        </row>
        <row r="10591">
          <cell r="A10591" t="str">
            <v>SEGURETXE</v>
          </cell>
          <cell r="B10591">
            <v>202403</v>
          </cell>
          <cell r="D10591" t="str">
            <v>Hogar</v>
          </cell>
          <cell r="G10591" t="str">
            <v>Real</v>
          </cell>
        </row>
        <row r="10592">
          <cell r="A10592" t="str">
            <v>SEGURETXE</v>
          </cell>
          <cell r="B10592">
            <v>202403</v>
          </cell>
          <cell r="D10592" t="str">
            <v>Ingeniería</v>
          </cell>
          <cell r="G10592" t="str">
            <v>Real</v>
          </cell>
        </row>
        <row r="10593">
          <cell r="A10593" t="str">
            <v>SEGURETXE</v>
          </cell>
          <cell r="B10593">
            <v>202403</v>
          </cell>
          <cell r="D10593" t="str">
            <v>Náutica</v>
          </cell>
          <cell r="G10593" t="str">
            <v>Real</v>
          </cell>
        </row>
        <row r="10594">
          <cell r="A10594" t="str">
            <v>SEGURETXE</v>
          </cell>
          <cell r="B10594">
            <v>202403</v>
          </cell>
          <cell r="D10594" t="str">
            <v>Property</v>
          </cell>
          <cell r="G10594" t="str">
            <v>Real</v>
          </cell>
        </row>
        <row r="10595">
          <cell r="A10595" t="str">
            <v>SEGURETXE</v>
          </cell>
          <cell r="B10595">
            <v>202403</v>
          </cell>
          <cell r="D10595" t="str">
            <v>RC</v>
          </cell>
          <cell r="G10595" t="str">
            <v>Real</v>
          </cell>
        </row>
        <row r="10596">
          <cell r="A10596" t="str">
            <v>SEGURETXE</v>
          </cell>
          <cell r="B10596">
            <v>202403</v>
          </cell>
          <cell r="D10596" t="str">
            <v>Seguros Personales (No Vida) Colectivos</v>
          </cell>
          <cell r="G10596" t="str">
            <v>Real</v>
          </cell>
        </row>
        <row r="10597">
          <cell r="A10597" t="str">
            <v>SEGURETXE</v>
          </cell>
          <cell r="B10597">
            <v>202403</v>
          </cell>
          <cell r="D10597" t="str">
            <v>Seguros Personales (No Vida) Particular</v>
          </cell>
          <cell r="G10597" t="str">
            <v>Real</v>
          </cell>
        </row>
        <row r="10598">
          <cell r="A10598" t="str">
            <v>SEGURETXE</v>
          </cell>
          <cell r="B10598">
            <v>202403</v>
          </cell>
          <cell r="D10598" t="str">
            <v>Transporte</v>
          </cell>
          <cell r="G10598" t="str">
            <v>Real</v>
          </cell>
        </row>
        <row r="10599">
          <cell r="A10599" t="str">
            <v>SEGURETXE</v>
          </cell>
          <cell r="B10599">
            <v>202403</v>
          </cell>
          <cell r="D10599" t="str">
            <v>Vida Riesgo Particular</v>
          </cell>
          <cell r="G10599" t="str">
            <v>Real</v>
          </cell>
        </row>
        <row r="10600">
          <cell r="A10600" t="str">
            <v>SEGURETXE</v>
          </cell>
          <cell r="B10600">
            <v>202404</v>
          </cell>
          <cell r="D10600" t="str">
            <v>--</v>
          </cell>
          <cell r="G10600" t="str">
            <v>Real</v>
          </cell>
        </row>
        <row r="10601">
          <cell r="A10601" t="str">
            <v>SEGURETXE</v>
          </cell>
          <cell r="B10601">
            <v>202404</v>
          </cell>
          <cell r="D10601" t="str">
            <v>Autos</v>
          </cell>
          <cell r="G10601" t="str">
            <v>Real</v>
          </cell>
        </row>
        <row r="10602">
          <cell r="A10602" t="str">
            <v>SEGURETXE</v>
          </cell>
          <cell r="B10602">
            <v>202404</v>
          </cell>
          <cell r="D10602" t="str">
            <v>Flotas</v>
          </cell>
          <cell r="G10602" t="str">
            <v>Real</v>
          </cell>
        </row>
        <row r="10603">
          <cell r="A10603" t="str">
            <v>SEGURETXE</v>
          </cell>
          <cell r="B10603">
            <v>202404</v>
          </cell>
          <cell r="D10603" t="str">
            <v>Hogar</v>
          </cell>
          <cell r="G10603" t="str">
            <v>Real</v>
          </cell>
        </row>
        <row r="10604">
          <cell r="A10604" t="str">
            <v>SEGURETXE</v>
          </cell>
          <cell r="B10604">
            <v>202404</v>
          </cell>
          <cell r="D10604" t="str">
            <v>Ingeniería</v>
          </cell>
          <cell r="G10604" t="str">
            <v>Real</v>
          </cell>
        </row>
        <row r="10605">
          <cell r="A10605" t="str">
            <v>SEGURETXE</v>
          </cell>
          <cell r="B10605">
            <v>202404</v>
          </cell>
          <cell r="D10605" t="str">
            <v>Náutica</v>
          </cell>
          <cell r="G10605" t="str">
            <v>Real</v>
          </cell>
        </row>
        <row r="10606">
          <cell r="A10606" t="str">
            <v>SEGURETXE</v>
          </cell>
          <cell r="B10606">
            <v>202404</v>
          </cell>
          <cell r="D10606" t="str">
            <v>Property</v>
          </cell>
          <cell r="G10606" t="str">
            <v>Real</v>
          </cell>
        </row>
        <row r="10607">
          <cell r="A10607" t="str">
            <v>SEGURETXE</v>
          </cell>
          <cell r="B10607">
            <v>202404</v>
          </cell>
          <cell r="D10607" t="str">
            <v>RC</v>
          </cell>
          <cell r="G10607" t="str">
            <v>Real</v>
          </cell>
        </row>
        <row r="10608">
          <cell r="A10608" t="str">
            <v>SEGURETXE</v>
          </cell>
          <cell r="B10608">
            <v>202404</v>
          </cell>
          <cell r="D10608" t="str">
            <v>Seguros Personales (No Vida) Colectivos</v>
          </cell>
          <cell r="G10608" t="str">
            <v>Real</v>
          </cell>
        </row>
        <row r="10609">
          <cell r="A10609" t="str">
            <v>SEGURETXE</v>
          </cell>
          <cell r="B10609">
            <v>202404</v>
          </cell>
          <cell r="D10609" t="str">
            <v>Seguros Personales (No Vida) Particular</v>
          </cell>
          <cell r="G10609" t="str">
            <v>Real</v>
          </cell>
        </row>
        <row r="10610">
          <cell r="A10610" t="str">
            <v>SEGURETXE</v>
          </cell>
          <cell r="B10610">
            <v>202404</v>
          </cell>
          <cell r="D10610" t="str">
            <v>Transporte</v>
          </cell>
          <cell r="G10610" t="str">
            <v>Real</v>
          </cell>
        </row>
        <row r="10611">
          <cell r="A10611" t="str">
            <v>SEGURETXE</v>
          </cell>
          <cell r="B10611">
            <v>202404</v>
          </cell>
          <cell r="D10611" t="str">
            <v>Vida Riesgo Particular</v>
          </cell>
          <cell r="G10611" t="str">
            <v>Real</v>
          </cell>
        </row>
        <row r="10612">
          <cell r="A10612" t="str">
            <v>SEGURETXE</v>
          </cell>
          <cell r="B10612">
            <v>202405</v>
          </cell>
          <cell r="D10612" t="str">
            <v>--</v>
          </cell>
          <cell r="G10612" t="str">
            <v>Real</v>
          </cell>
        </row>
        <row r="10613">
          <cell r="A10613" t="str">
            <v>SEGURETXE</v>
          </cell>
          <cell r="B10613">
            <v>202405</v>
          </cell>
          <cell r="D10613" t="str">
            <v>Autos</v>
          </cell>
          <cell r="G10613" t="str">
            <v>Real</v>
          </cell>
        </row>
        <row r="10614">
          <cell r="A10614" t="str">
            <v>SEGURETXE</v>
          </cell>
          <cell r="B10614">
            <v>202405</v>
          </cell>
          <cell r="D10614" t="str">
            <v>Flotas</v>
          </cell>
          <cell r="G10614" t="str">
            <v>Real</v>
          </cell>
        </row>
        <row r="10615">
          <cell r="A10615" t="str">
            <v>SEGURETXE</v>
          </cell>
          <cell r="B10615">
            <v>202405</v>
          </cell>
          <cell r="D10615" t="str">
            <v>Hogar</v>
          </cell>
          <cell r="G10615" t="str">
            <v>Real</v>
          </cell>
        </row>
        <row r="10616">
          <cell r="A10616" t="str">
            <v>SEGURETXE</v>
          </cell>
          <cell r="B10616">
            <v>202405</v>
          </cell>
          <cell r="D10616" t="str">
            <v>Ingeniería</v>
          </cell>
          <cell r="G10616" t="str">
            <v>Real</v>
          </cell>
        </row>
        <row r="10617">
          <cell r="A10617" t="str">
            <v>SEGURETXE</v>
          </cell>
          <cell r="B10617">
            <v>202405</v>
          </cell>
          <cell r="D10617" t="str">
            <v>Náutica</v>
          </cell>
          <cell r="G10617" t="str">
            <v>Real</v>
          </cell>
        </row>
        <row r="10618">
          <cell r="A10618" t="str">
            <v>SEGURETXE</v>
          </cell>
          <cell r="B10618">
            <v>202405</v>
          </cell>
          <cell r="D10618" t="str">
            <v>Property</v>
          </cell>
          <cell r="G10618" t="str">
            <v>Real</v>
          </cell>
        </row>
        <row r="10619">
          <cell r="A10619" t="str">
            <v>SEGURETXE</v>
          </cell>
          <cell r="B10619">
            <v>202405</v>
          </cell>
          <cell r="D10619" t="str">
            <v>RC</v>
          </cell>
          <cell r="G10619" t="str">
            <v>Real</v>
          </cell>
        </row>
        <row r="10620">
          <cell r="A10620" t="str">
            <v>SEGURETXE</v>
          </cell>
          <cell r="B10620">
            <v>202405</v>
          </cell>
          <cell r="D10620" t="str">
            <v>Seguros Personales (No Vida) Colectivos</v>
          </cell>
          <cell r="G10620" t="str">
            <v>Real</v>
          </cell>
        </row>
        <row r="10621">
          <cell r="A10621" t="str">
            <v>SEGURETXE</v>
          </cell>
          <cell r="B10621">
            <v>202405</v>
          </cell>
          <cell r="D10621" t="str">
            <v>Seguros Personales (No Vida) Particular</v>
          </cell>
          <cell r="G10621" t="str">
            <v>Real</v>
          </cell>
        </row>
        <row r="10622">
          <cell r="A10622" t="str">
            <v>SEGURETXE</v>
          </cell>
          <cell r="B10622">
            <v>202405</v>
          </cell>
          <cell r="D10622" t="str">
            <v>Transporte</v>
          </cell>
          <cell r="G10622" t="str">
            <v>Real</v>
          </cell>
        </row>
        <row r="10623">
          <cell r="A10623" t="str">
            <v>SEGURETXE</v>
          </cell>
          <cell r="B10623">
            <v>202405</v>
          </cell>
          <cell r="D10623" t="str">
            <v>Vida Riesgo Particular</v>
          </cell>
          <cell r="G10623" t="str">
            <v>Real</v>
          </cell>
        </row>
        <row r="10624">
          <cell r="A10624" t="str">
            <v>SEGURETXE</v>
          </cell>
          <cell r="B10624">
            <v>202406</v>
          </cell>
          <cell r="D10624" t="str">
            <v>--</v>
          </cell>
          <cell r="G10624" t="str">
            <v>Real</v>
          </cell>
        </row>
        <row r="10625">
          <cell r="A10625" t="str">
            <v>SEGURETXE</v>
          </cell>
          <cell r="B10625">
            <v>202406</v>
          </cell>
          <cell r="D10625" t="str">
            <v>Autos</v>
          </cell>
          <cell r="G10625" t="str">
            <v>Real</v>
          </cell>
        </row>
        <row r="10626">
          <cell r="A10626" t="str">
            <v>SEGURETXE</v>
          </cell>
          <cell r="B10626">
            <v>202406</v>
          </cell>
          <cell r="D10626" t="str">
            <v>Flotas</v>
          </cell>
          <cell r="G10626" t="str">
            <v>Real</v>
          </cell>
        </row>
        <row r="10627">
          <cell r="A10627" t="str">
            <v>SEGURETXE</v>
          </cell>
          <cell r="B10627">
            <v>202406</v>
          </cell>
          <cell r="D10627" t="str">
            <v>Hogar</v>
          </cell>
          <cell r="G10627" t="str">
            <v>Real</v>
          </cell>
        </row>
        <row r="10628">
          <cell r="A10628" t="str">
            <v>SEGURETXE</v>
          </cell>
          <cell r="B10628">
            <v>202406</v>
          </cell>
          <cell r="D10628" t="str">
            <v>Ingeniería</v>
          </cell>
          <cell r="G10628" t="str">
            <v>Real</v>
          </cell>
        </row>
        <row r="10629">
          <cell r="A10629" t="str">
            <v>SEGURETXE</v>
          </cell>
          <cell r="B10629">
            <v>202406</v>
          </cell>
          <cell r="D10629" t="str">
            <v>Náutica</v>
          </cell>
          <cell r="G10629" t="str">
            <v>Real</v>
          </cell>
        </row>
        <row r="10630">
          <cell r="A10630" t="str">
            <v>SEGURETXE</v>
          </cell>
          <cell r="B10630">
            <v>202406</v>
          </cell>
          <cell r="D10630" t="str">
            <v>Property</v>
          </cell>
          <cell r="G10630" t="str">
            <v>Real</v>
          </cell>
        </row>
        <row r="10631">
          <cell r="A10631" t="str">
            <v>SEGURETXE</v>
          </cell>
          <cell r="B10631">
            <v>202406</v>
          </cell>
          <cell r="D10631" t="str">
            <v>RC</v>
          </cell>
          <cell r="G10631" t="str">
            <v>Real</v>
          </cell>
        </row>
        <row r="10632">
          <cell r="A10632" t="str">
            <v>SEGURETXE</v>
          </cell>
          <cell r="B10632">
            <v>202406</v>
          </cell>
          <cell r="D10632" t="str">
            <v>Seguros Personales (No Vida) Colectivos</v>
          </cell>
          <cell r="G10632" t="str">
            <v>Real</v>
          </cell>
        </row>
        <row r="10633">
          <cell r="A10633" t="str">
            <v>SEGURETXE</v>
          </cell>
          <cell r="B10633">
            <v>202406</v>
          </cell>
          <cell r="D10633" t="str">
            <v>Seguros Personales (No Vida) Particular</v>
          </cell>
          <cell r="G10633" t="str">
            <v>Real</v>
          </cell>
        </row>
        <row r="10634">
          <cell r="A10634" t="str">
            <v>SEGURETXE</v>
          </cell>
          <cell r="B10634">
            <v>202406</v>
          </cell>
          <cell r="D10634" t="str">
            <v>Transporte</v>
          </cell>
          <cell r="G10634" t="str">
            <v>Real</v>
          </cell>
        </row>
        <row r="10635">
          <cell r="A10635" t="str">
            <v>SEGURETXE</v>
          </cell>
          <cell r="B10635">
            <v>202406</v>
          </cell>
          <cell r="D10635" t="str">
            <v>Vida Riesgo Particular</v>
          </cell>
          <cell r="G10635" t="str">
            <v>Real</v>
          </cell>
        </row>
        <row r="10636">
          <cell r="A10636" t="str">
            <v>SEGURETXE</v>
          </cell>
          <cell r="B10636">
            <v>202407</v>
          </cell>
          <cell r="D10636" t="str">
            <v>--</v>
          </cell>
          <cell r="G10636" t="str">
            <v>Real</v>
          </cell>
        </row>
        <row r="10637">
          <cell r="A10637" t="str">
            <v>SEGURETXE</v>
          </cell>
          <cell r="B10637">
            <v>202407</v>
          </cell>
          <cell r="D10637" t="str">
            <v>Autos</v>
          </cell>
          <cell r="G10637" t="str">
            <v>Real</v>
          </cell>
        </row>
        <row r="10638">
          <cell r="A10638" t="str">
            <v>SEGURETXE</v>
          </cell>
          <cell r="B10638">
            <v>202407</v>
          </cell>
          <cell r="D10638" t="str">
            <v>Flotas</v>
          </cell>
          <cell r="G10638" t="str">
            <v>Real</v>
          </cell>
        </row>
        <row r="10639">
          <cell r="A10639" t="str">
            <v>SEGURETXE</v>
          </cell>
          <cell r="B10639">
            <v>202407</v>
          </cell>
          <cell r="D10639" t="str">
            <v>Hogar</v>
          </cell>
          <cell r="G10639" t="str">
            <v>Real</v>
          </cell>
        </row>
        <row r="10640">
          <cell r="A10640" t="str">
            <v>SEGURETXE</v>
          </cell>
          <cell r="B10640">
            <v>202407</v>
          </cell>
          <cell r="D10640" t="str">
            <v>Ingeniería</v>
          </cell>
          <cell r="G10640" t="str">
            <v>Real</v>
          </cell>
        </row>
        <row r="10641">
          <cell r="A10641" t="str">
            <v>SEGURETXE</v>
          </cell>
          <cell r="B10641">
            <v>202407</v>
          </cell>
          <cell r="D10641" t="str">
            <v>Náutica</v>
          </cell>
          <cell r="G10641" t="str">
            <v>Real</v>
          </cell>
        </row>
        <row r="10642">
          <cell r="A10642" t="str">
            <v>SEGURETXE</v>
          </cell>
          <cell r="B10642">
            <v>202407</v>
          </cell>
          <cell r="D10642" t="str">
            <v>Property</v>
          </cell>
          <cell r="G10642" t="str">
            <v>Real</v>
          </cell>
        </row>
        <row r="10643">
          <cell r="A10643" t="str">
            <v>SEGURETXE</v>
          </cell>
          <cell r="B10643">
            <v>202407</v>
          </cell>
          <cell r="D10643" t="str">
            <v>RC</v>
          </cell>
          <cell r="G10643" t="str">
            <v>Real</v>
          </cell>
        </row>
        <row r="10644">
          <cell r="A10644" t="str">
            <v>SEGURETXE</v>
          </cell>
          <cell r="B10644">
            <v>202407</v>
          </cell>
          <cell r="D10644" t="str">
            <v>Seguros Personales (No Vida) Colectivos</v>
          </cell>
          <cell r="G10644" t="str">
            <v>Real</v>
          </cell>
        </row>
        <row r="10645">
          <cell r="A10645" t="str">
            <v>SEGURETXE</v>
          </cell>
          <cell r="B10645">
            <v>202407</v>
          </cell>
          <cell r="D10645" t="str">
            <v>Seguros Personales (No Vida) Particular</v>
          </cell>
          <cell r="G10645" t="str">
            <v>Real</v>
          </cell>
        </row>
        <row r="10646">
          <cell r="A10646" t="str">
            <v>SEGURETXE</v>
          </cell>
          <cell r="B10646">
            <v>202407</v>
          </cell>
          <cell r="D10646" t="str">
            <v>Transporte</v>
          </cell>
          <cell r="G10646" t="str">
            <v>Real</v>
          </cell>
        </row>
        <row r="10647">
          <cell r="A10647" t="str">
            <v>SEGURETXE</v>
          </cell>
          <cell r="B10647">
            <v>202407</v>
          </cell>
          <cell r="D10647" t="str">
            <v>Vida Riesgo Particular</v>
          </cell>
          <cell r="G10647" t="str">
            <v>Real</v>
          </cell>
        </row>
        <row r="10648">
          <cell r="A10648" t="str">
            <v>SEGURETXE</v>
          </cell>
          <cell r="B10648">
            <v>202408</v>
          </cell>
          <cell r="D10648" t="str">
            <v>--</v>
          </cell>
          <cell r="G10648" t="str">
            <v>Real</v>
          </cell>
        </row>
        <row r="10649">
          <cell r="A10649" t="str">
            <v>SEGURETXE</v>
          </cell>
          <cell r="B10649">
            <v>202408</v>
          </cell>
          <cell r="D10649" t="str">
            <v>Autos</v>
          </cell>
          <cell r="G10649" t="str">
            <v>Real</v>
          </cell>
        </row>
        <row r="10650">
          <cell r="A10650" t="str">
            <v>SEGURETXE</v>
          </cell>
          <cell r="B10650">
            <v>202408</v>
          </cell>
          <cell r="D10650" t="str">
            <v>Flotas</v>
          </cell>
          <cell r="G10650" t="str">
            <v>Real</v>
          </cell>
        </row>
        <row r="10651">
          <cell r="A10651" t="str">
            <v>SEGURETXE</v>
          </cell>
          <cell r="B10651">
            <v>202408</v>
          </cell>
          <cell r="D10651" t="str">
            <v>Hogar</v>
          </cell>
          <cell r="G10651" t="str">
            <v>Real</v>
          </cell>
        </row>
        <row r="10652">
          <cell r="A10652" t="str">
            <v>SEGURETXE</v>
          </cell>
          <cell r="B10652">
            <v>202408</v>
          </cell>
          <cell r="D10652" t="str">
            <v>Náutica</v>
          </cell>
          <cell r="G10652" t="str">
            <v>Real</v>
          </cell>
        </row>
        <row r="10653">
          <cell r="A10653" t="str">
            <v>SEGURETXE</v>
          </cell>
          <cell r="B10653">
            <v>202408</v>
          </cell>
          <cell r="D10653" t="str">
            <v>Property</v>
          </cell>
          <cell r="G10653" t="str">
            <v>Real</v>
          </cell>
        </row>
        <row r="10654">
          <cell r="A10654" t="str">
            <v>SEGURETXE</v>
          </cell>
          <cell r="B10654">
            <v>202408</v>
          </cell>
          <cell r="D10654" t="str">
            <v>RC</v>
          </cell>
          <cell r="G10654" t="str">
            <v>Real</v>
          </cell>
        </row>
        <row r="10655">
          <cell r="A10655" t="str">
            <v>SEGURETXE</v>
          </cell>
          <cell r="B10655">
            <v>202408</v>
          </cell>
          <cell r="D10655" t="str">
            <v>Seguros Personales (No Vida) Colectivos</v>
          </cell>
          <cell r="G10655" t="str">
            <v>Real</v>
          </cell>
        </row>
        <row r="10656">
          <cell r="A10656" t="str">
            <v>SEGURETXE</v>
          </cell>
          <cell r="B10656">
            <v>202408</v>
          </cell>
          <cell r="D10656" t="str">
            <v>Seguros Personales (No Vida) Particular</v>
          </cell>
          <cell r="G10656" t="str">
            <v>Real</v>
          </cell>
        </row>
        <row r="10657">
          <cell r="A10657" t="str">
            <v>SEGURETXE</v>
          </cell>
          <cell r="B10657">
            <v>202408</v>
          </cell>
          <cell r="D10657" t="str">
            <v>Transporte</v>
          </cell>
          <cell r="G10657" t="str">
            <v>Real</v>
          </cell>
        </row>
        <row r="10658">
          <cell r="A10658" t="str">
            <v>SEGURETXE</v>
          </cell>
          <cell r="B10658">
            <v>202408</v>
          </cell>
          <cell r="D10658" t="str">
            <v>Vida Riesgo Particular</v>
          </cell>
          <cell r="G10658" t="str">
            <v>Real</v>
          </cell>
        </row>
        <row r="10659">
          <cell r="A10659" t="str">
            <v>SEGURETXE</v>
          </cell>
          <cell r="B10659">
            <v>202409</v>
          </cell>
          <cell r="D10659" t="str">
            <v>--</v>
          </cell>
          <cell r="G10659" t="str">
            <v>Real</v>
          </cell>
        </row>
        <row r="10660">
          <cell r="A10660" t="str">
            <v>SEGURETXE</v>
          </cell>
          <cell r="B10660">
            <v>202409</v>
          </cell>
          <cell r="D10660" t="str">
            <v>Autos</v>
          </cell>
          <cell r="G10660" t="str">
            <v>Real</v>
          </cell>
        </row>
        <row r="10661">
          <cell r="A10661" t="str">
            <v>SEGURETXE</v>
          </cell>
          <cell r="B10661">
            <v>202409</v>
          </cell>
          <cell r="D10661" t="str">
            <v>Flotas</v>
          </cell>
          <cell r="G10661" t="str">
            <v>Real</v>
          </cell>
        </row>
        <row r="10662">
          <cell r="A10662" t="str">
            <v>SEGURETXE</v>
          </cell>
          <cell r="B10662">
            <v>202409</v>
          </cell>
          <cell r="D10662" t="str">
            <v>Hogar</v>
          </cell>
          <cell r="G10662" t="str">
            <v>Real</v>
          </cell>
        </row>
        <row r="10663">
          <cell r="A10663" t="str">
            <v>SEGURETXE</v>
          </cell>
          <cell r="B10663">
            <v>202409</v>
          </cell>
          <cell r="D10663" t="str">
            <v>Ingeniería</v>
          </cell>
          <cell r="G10663" t="str">
            <v>Real</v>
          </cell>
        </row>
        <row r="10664">
          <cell r="A10664" t="str">
            <v>SEGURETXE</v>
          </cell>
          <cell r="B10664">
            <v>202409</v>
          </cell>
          <cell r="D10664" t="str">
            <v>Náutica</v>
          </cell>
          <cell r="G10664" t="str">
            <v>Real</v>
          </cell>
        </row>
        <row r="10665">
          <cell r="A10665" t="str">
            <v>SEGURETXE</v>
          </cell>
          <cell r="B10665">
            <v>202409</v>
          </cell>
          <cell r="D10665" t="str">
            <v>Property</v>
          </cell>
          <cell r="G10665" t="str">
            <v>Real</v>
          </cell>
        </row>
        <row r="10666">
          <cell r="A10666" t="str">
            <v>SEGURETXE</v>
          </cell>
          <cell r="B10666">
            <v>202409</v>
          </cell>
          <cell r="D10666" t="str">
            <v>RC</v>
          </cell>
          <cell r="G10666" t="str">
            <v>Real</v>
          </cell>
        </row>
        <row r="10667">
          <cell r="A10667" t="str">
            <v>SEGURETXE</v>
          </cell>
          <cell r="B10667">
            <v>202409</v>
          </cell>
          <cell r="D10667" t="str">
            <v>Seguros Personales (No Vida) Colectivos</v>
          </cell>
          <cell r="G10667" t="str">
            <v>Real</v>
          </cell>
        </row>
        <row r="10668">
          <cell r="A10668" t="str">
            <v>SEGURETXE</v>
          </cell>
          <cell r="B10668">
            <v>202409</v>
          </cell>
          <cell r="D10668" t="str">
            <v>Seguros Personales (No Vida) Particular</v>
          </cell>
          <cell r="G10668" t="str">
            <v>Real</v>
          </cell>
        </row>
        <row r="10669">
          <cell r="A10669" t="str">
            <v>SEGURETXE</v>
          </cell>
          <cell r="B10669">
            <v>202409</v>
          </cell>
          <cell r="D10669" t="str">
            <v>Transporte</v>
          </cell>
          <cell r="G10669" t="str">
            <v>Real</v>
          </cell>
        </row>
        <row r="10670">
          <cell r="A10670" t="str">
            <v>SEGURETXE</v>
          </cell>
          <cell r="B10670">
            <v>202409</v>
          </cell>
          <cell r="D10670" t="str">
            <v>Vida Riesgo Particular</v>
          </cell>
          <cell r="G10670" t="str">
            <v>Real</v>
          </cell>
        </row>
        <row r="10671">
          <cell r="A10671" t="str">
            <v>SEGURETXE</v>
          </cell>
          <cell r="B10671">
            <v>202410</v>
          </cell>
          <cell r="D10671" t="str">
            <v>--</v>
          </cell>
          <cell r="G10671" t="str">
            <v>Real</v>
          </cell>
        </row>
        <row r="10672">
          <cell r="A10672" t="str">
            <v>SEGURETXE</v>
          </cell>
          <cell r="B10672">
            <v>202410</v>
          </cell>
          <cell r="D10672" t="str">
            <v>Autos</v>
          </cell>
          <cell r="G10672" t="str">
            <v>Real</v>
          </cell>
        </row>
        <row r="10673">
          <cell r="A10673" t="str">
            <v>SEGURETXE</v>
          </cell>
          <cell r="B10673">
            <v>202410</v>
          </cell>
          <cell r="D10673" t="str">
            <v>Flotas</v>
          </cell>
          <cell r="G10673" t="str">
            <v>Real</v>
          </cell>
        </row>
        <row r="10674">
          <cell r="A10674" t="str">
            <v>SEGURETXE</v>
          </cell>
          <cell r="B10674">
            <v>202410</v>
          </cell>
          <cell r="D10674" t="str">
            <v>Hogar</v>
          </cell>
          <cell r="G10674" t="str">
            <v>Real</v>
          </cell>
        </row>
        <row r="10675">
          <cell r="A10675" t="str">
            <v>SEGURETXE</v>
          </cell>
          <cell r="B10675">
            <v>202410</v>
          </cell>
          <cell r="D10675" t="str">
            <v>Ingeniería</v>
          </cell>
          <cell r="G10675" t="str">
            <v>Real</v>
          </cell>
        </row>
        <row r="10676">
          <cell r="A10676" t="str">
            <v>SEGURETXE</v>
          </cell>
          <cell r="B10676">
            <v>202410</v>
          </cell>
          <cell r="D10676" t="str">
            <v>Náutica</v>
          </cell>
          <cell r="G10676" t="str">
            <v>Real</v>
          </cell>
        </row>
        <row r="10677">
          <cell r="A10677" t="str">
            <v>SEGURETXE</v>
          </cell>
          <cell r="B10677">
            <v>202410</v>
          </cell>
          <cell r="D10677" t="str">
            <v>Particulares Resto</v>
          </cell>
          <cell r="G10677" t="str">
            <v>Real</v>
          </cell>
        </row>
        <row r="10678">
          <cell r="A10678" t="str">
            <v>SEGURETXE</v>
          </cell>
          <cell r="B10678">
            <v>202410</v>
          </cell>
          <cell r="D10678" t="str">
            <v>Property</v>
          </cell>
          <cell r="G10678" t="str">
            <v>Real</v>
          </cell>
        </row>
        <row r="10679">
          <cell r="A10679" t="str">
            <v>SEGURETXE</v>
          </cell>
          <cell r="B10679">
            <v>202410</v>
          </cell>
          <cell r="D10679" t="str">
            <v>RC</v>
          </cell>
          <cell r="G10679" t="str">
            <v>Real</v>
          </cell>
        </row>
        <row r="10680">
          <cell r="A10680" t="str">
            <v>SEGURETXE</v>
          </cell>
          <cell r="B10680">
            <v>202410</v>
          </cell>
          <cell r="D10680" t="str">
            <v>Seguros Personales (No Vida) Colectivos</v>
          </cell>
          <cell r="G10680" t="str">
            <v>Real</v>
          </cell>
        </row>
        <row r="10681">
          <cell r="A10681" t="str">
            <v>SEGURETXE</v>
          </cell>
          <cell r="B10681">
            <v>202410</v>
          </cell>
          <cell r="D10681" t="str">
            <v>Seguros Personales (No Vida) Particular</v>
          </cell>
          <cell r="G10681" t="str">
            <v>Real</v>
          </cell>
        </row>
        <row r="10682">
          <cell r="A10682" t="str">
            <v>SEGURETXE</v>
          </cell>
          <cell r="B10682">
            <v>202410</v>
          </cell>
          <cell r="D10682" t="str">
            <v>Transporte</v>
          </cell>
          <cell r="G10682" t="str">
            <v>Real</v>
          </cell>
        </row>
        <row r="10683">
          <cell r="A10683" t="str">
            <v>SEGURETXE</v>
          </cell>
          <cell r="B10683">
            <v>202410</v>
          </cell>
          <cell r="D10683" t="str">
            <v>Vida Riesgo Particular</v>
          </cell>
          <cell r="G10683" t="str">
            <v>Real</v>
          </cell>
        </row>
        <row r="10684">
          <cell r="A10684" t="str">
            <v>SEGURETXE</v>
          </cell>
          <cell r="B10684">
            <v>202411</v>
          </cell>
          <cell r="D10684" t="str">
            <v>--</v>
          </cell>
          <cell r="G10684" t="str">
            <v>Real</v>
          </cell>
        </row>
        <row r="10685">
          <cell r="A10685" t="str">
            <v>SEGURETXE</v>
          </cell>
          <cell r="B10685">
            <v>202411</v>
          </cell>
          <cell r="D10685" t="str">
            <v>Autos</v>
          </cell>
          <cell r="G10685" t="str">
            <v>Real</v>
          </cell>
        </row>
        <row r="10686">
          <cell r="A10686" t="str">
            <v>SEGURETXE</v>
          </cell>
          <cell r="B10686">
            <v>202411</v>
          </cell>
          <cell r="D10686" t="str">
            <v>Flotas</v>
          </cell>
          <cell r="G10686" t="str">
            <v>Real</v>
          </cell>
        </row>
        <row r="10687">
          <cell r="A10687" t="str">
            <v>SEGURETXE</v>
          </cell>
          <cell r="B10687">
            <v>202411</v>
          </cell>
          <cell r="D10687" t="str">
            <v>Hogar</v>
          </cell>
          <cell r="G10687" t="str">
            <v>Real</v>
          </cell>
        </row>
        <row r="10688">
          <cell r="A10688" t="str">
            <v>SEGURETXE</v>
          </cell>
          <cell r="B10688">
            <v>202411</v>
          </cell>
          <cell r="D10688" t="str">
            <v>Ingeniería</v>
          </cell>
          <cell r="G10688" t="str">
            <v>Real</v>
          </cell>
        </row>
        <row r="10689">
          <cell r="A10689" t="str">
            <v>SEGURETXE</v>
          </cell>
          <cell r="B10689">
            <v>202411</v>
          </cell>
          <cell r="D10689" t="str">
            <v>Náutica</v>
          </cell>
          <cell r="G10689" t="str">
            <v>Real</v>
          </cell>
        </row>
        <row r="10690">
          <cell r="A10690" t="str">
            <v>SEGURETXE</v>
          </cell>
          <cell r="B10690">
            <v>202411</v>
          </cell>
          <cell r="D10690" t="str">
            <v>Property</v>
          </cell>
          <cell r="G10690" t="str">
            <v>Real</v>
          </cell>
        </row>
        <row r="10691">
          <cell r="A10691" t="str">
            <v>SEGURETXE</v>
          </cell>
          <cell r="B10691">
            <v>202411</v>
          </cell>
          <cell r="D10691" t="str">
            <v>RC</v>
          </cell>
          <cell r="G10691" t="str">
            <v>Real</v>
          </cell>
        </row>
        <row r="10692">
          <cell r="A10692" t="str">
            <v>SEGURETXE</v>
          </cell>
          <cell r="B10692">
            <v>202411</v>
          </cell>
          <cell r="D10692" t="str">
            <v>Seguros Personales (No Vida) Colectivos</v>
          </cell>
          <cell r="G10692" t="str">
            <v>Real</v>
          </cell>
        </row>
        <row r="10693">
          <cell r="A10693" t="str">
            <v>SEGURETXE</v>
          </cell>
          <cell r="B10693">
            <v>202411</v>
          </cell>
          <cell r="D10693" t="str">
            <v>Seguros Personales (No Vida) Particular</v>
          </cell>
          <cell r="G10693" t="str">
            <v>Real</v>
          </cell>
        </row>
        <row r="10694">
          <cell r="A10694" t="str">
            <v>SEGURETXE</v>
          </cell>
          <cell r="B10694">
            <v>202411</v>
          </cell>
          <cell r="D10694" t="str">
            <v>Transporte</v>
          </cell>
          <cell r="G10694" t="str">
            <v>Real</v>
          </cell>
        </row>
        <row r="10695">
          <cell r="A10695" t="str">
            <v>SEGURETXE</v>
          </cell>
          <cell r="B10695">
            <v>202411</v>
          </cell>
          <cell r="D10695" t="str">
            <v>Vida Riesgo Particular</v>
          </cell>
          <cell r="G10695" t="str">
            <v>Real</v>
          </cell>
        </row>
        <row r="10696">
          <cell r="A10696" t="str">
            <v>SEGURETXE</v>
          </cell>
          <cell r="B10696">
            <v>202412</v>
          </cell>
          <cell r="D10696" t="str">
            <v>--</v>
          </cell>
          <cell r="G10696" t="str">
            <v>Real</v>
          </cell>
        </row>
        <row r="10697">
          <cell r="A10697" t="str">
            <v>SEGURETXE</v>
          </cell>
          <cell r="B10697">
            <v>202412</v>
          </cell>
          <cell r="D10697" t="str">
            <v>Autos</v>
          </cell>
          <cell r="G10697" t="str">
            <v>Real</v>
          </cell>
        </row>
        <row r="10698">
          <cell r="A10698" t="str">
            <v>SEGURETXE</v>
          </cell>
          <cell r="B10698">
            <v>202412</v>
          </cell>
          <cell r="D10698" t="str">
            <v>Flotas</v>
          </cell>
          <cell r="G10698" t="str">
            <v>Real</v>
          </cell>
        </row>
        <row r="10699">
          <cell r="A10699" t="str">
            <v>SEGURETXE</v>
          </cell>
          <cell r="B10699">
            <v>202412</v>
          </cell>
          <cell r="D10699" t="str">
            <v>Hogar</v>
          </cell>
          <cell r="G10699" t="str">
            <v>Real</v>
          </cell>
        </row>
        <row r="10700">
          <cell r="A10700" t="str">
            <v>SEGURETXE</v>
          </cell>
          <cell r="B10700">
            <v>202412</v>
          </cell>
          <cell r="D10700" t="str">
            <v>Náutica</v>
          </cell>
          <cell r="G10700" t="str">
            <v>Real</v>
          </cell>
        </row>
        <row r="10701">
          <cell r="A10701" t="str">
            <v>SEGURETXE</v>
          </cell>
          <cell r="B10701">
            <v>202412</v>
          </cell>
          <cell r="D10701" t="str">
            <v>Property</v>
          </cell>
          <cell r="G10701" t="str">
            <v>Real</v>
          </cell>
        </row>
        <row r="10702">
          <cell r="A10702" t="str">
            <v>SEGURETXE</v>
          </cell>
          <cell r="B10702">
            <v>202412</v>
          </cell>
          <cell r="D10702" t="str">
            <v>RC</v>
          </cell>
          <cell r="G10702" t="str">
            <v>Real</v>
          </cell>
        </row>
        <row r="10703">
          <cell r="A10703" t="str">
            <v>SEGURETXE</v>
          </cell>
          <cell r="B10703">
            <v>202412</v>
          </cell>
          <cell r="D10703" t="str">
            <v>Seguros Personales (No Vida) Colectivos</v>
          </cell>
          <cell r="G10703" t="str">
            <v>Real</v>
          </cell>
        </row>
        <row r="10704">
          <cell r="A10704" t="str">
            <v>SEGURETXE</v>
          </cell>
          <cell r="B10704">
            <v>202412</v>
          </cell>
          <cell r="D10704" t="str">
            <v>Seguros Personales (No Vida) Particular</v>
          </cell>
          <cell r="G10704" t="str">
            <v>Real</v>
          </cell>
        </row>
        <row r="10705">
          <cell r="A10705" t="str">
            <v>SEGURETXE</v>
          </cell>
          <cell r="B10705">
            <v>202412</v>
          </cell>
          <cell r="D10705" t="str">
            <v>Transporte</v>
          </cell>
          <cell r="G10705" t="str">
            <v>Real</v>
          </cell>
        </row>
        <row r="10706">
          <cell r="A10706" t="str">
            <v>SEGURETXE</v>
          </cell>
          <cell r="B10706">
            <v>202412</v>
          </cell>
          <cell r="D10706" t="str">
            <v>Vida Riesgo Particular</v>
          </cell>
          <cell r="G10706" t="str">
            <v>Real</v>
          </cell>
        </row>
        <row r="10707">
          <cell r="A10707" t="str">
            <v>SEGURETXE</v>
          </cell>
          <cell r="B10707">
            <v>202501</v>
          </cell>
          <cell r="D10707" t="str">
            <v>--</v>
          </cell>
          <cell r="G10707" t="str">
            <v>Presupuesto</v>
          </cell>
        </row>
        <row r="10708">
          <cell r="A10708" t="str">
            <v>SEGURETXE</v>
          </cell>
          <cell r="B10708">
            <v>202501</v>
          </cell>
          <cell r="D10708" t="str">
            <v>--</v>
          </cell>
          <cell r="G10708" t="str">
            <v>Real</v>
          </cell>
        </row>
        <row r="10709">
          <cell r="A10709" t="str">
            <v>SEGURETXE</v>
          </cell>
          <cell r="B10709">
            <v>202501</v>
          </cell>
          <cell r="D10709" t="str">
            <v>Autos</v>
          </cell>
          <cell r="G10709" t="str">
            <v>Presupuesto</v>
          </cell>
        </row>
        <row r="10710">
          <cell r="A10710" t="str">
            <v>SEGURETXE</v>
          </cell>
          <cell r="B10710">
            <v>202501</v>
          </cell>
          <cell r="D10710" t="str">
            <v>Autos</v>
          </cell>
          <cell r="G10710" t="str">
            <v>Real</v>
          </cell>
        </row>
        <row r="10711">
          <cell r="A10711" t="str">
            <v>SEGURETXE</v>
          </cell>
          <cell r="B10711">
            <v>202501</v>
          </cell>
          <cell r="D10711" t="str">
            <v>Flotas</v>
          </cell>
          <cell r="G10711" t="str">
            <v>Presupuesto</v>
          </cell>
        </row>
        <row r="10712">
          <cell r="A10712" t="str">
            <v>SEGURETXE</v>
          </cell>
          <cell r="B10712">
            <v>202501</v>
          </cell>
          <cell r="D10712" t="str">
            <v>Flotas</v>
          </cell>
          <cell r="G10712" t="str">
            <v>Real</v>
          </cell>
        </row>
        <row r="10713">
          <cell r="A10713" t="str">
            <v>SEGURETXE</v>
          </cell>
          <cell r="B10713">
            <v>202501</v>
          </cell>
          <cell r="D10713" t="str">
            <v>Hogar</v>
          </cell>
          <cell r="G10713" t="str">
            <v>Presupuesto</v>
          </cell>
        </row>
        <row r="10714">
          <cell r="A10714" t="str">
            <v>SEGURETXE</v>
          </cell>
          <cell r="B10714">
            <v>202501</v>
          </cell>
          <cell r="D10714" t="str">
            <v>Hogar</v>
          </cell>
          <cell r="G10714" t="str">
            <v>Real</v>
          </cell>
        </row>
        <row r="10715">
          <cell r="A10715" t="str">
            <v>SEGURETXE</v>
          </cell>
          <cell r="B10715">
            <v>202501</v>
          </cell>
          <cell r="D10715" t="str">
            <v>Ingeniería</v>
          </cell>
          <cell r="G10715" t="str">
            <v>Presupuesto</v>
          </cell>
        </row>
        <row r="10716">
          <cell r="A10716" t="str">
            <v>SEGURETXE</v>
          </cell>
          <cell r="B10716">
            <v>202501</v>
          </cell>
          <cell r="D10716" t="str">
            <v>Náutica</v>
          </cell>
          <cell r="G10716" t="str">
            <v>Presupuesto</v>
          </cell>
        </row>
        <row r="10717">
          <cell r="A10717" t="str">
            <v>SEGURETXE</v>
          </cell>
          <cell r="B10717">
            <v>202501</v>
          </cell>
          <cell r="D10717" t="str">
            <v>Náutica</v>
          </cell>
          <cell r="G10717" t="str">
            <v>Real</v>
          </cell>
        </row>
        <row r="10718">
          <cell r="A10718" t="str">
            <v>SEGURETXE</v>
          </cell>
          <cell r="B10718">
            <v>202501</v>
          </cell>
          <cell r="D10718" t="str">
            <v>Property</v>
          </cell>
          <cell r="G10718" t="str">
            <v>Presupuesto</v>
          </cell>
        </row>
        <row r="10719">
          <cell r="A10719" t="str">
            <v>SEGURETXE</v>
          </cell>
          <cell r="B10719">
            <v>202501</v>
          </cell>
          <cell r="D10719" t="str">
            <v>Property</v>
          </cell>
          <cell r="G10719" t="str">
            <v>Real</v>
          </cell>
        </row>
        <row r="10720">
          <cell r="A10720" t="str">
            <v>SEGURETXE</v>
          </cell>
          <cell r="B10720">
            <v>202501</v>
          </cell>
          <cell r="D10720" t="str">
            <v>RC</v>
          </cell>
          <cell r="G10720" t="str">
            <v>Presupuesto</v>
          </cell>
        </row>
        <row r="10721">
          <cell r="A10721" t="str">
            <v>SEGURETXE</v>
          </cell>
          <cell r="B10721">
            <v>202501</v>
          </cell>
          <cell r="D10721" t="str">
            <v>RC</v>
          </cell>
          <cell r="G10721" t="str">
            <v>Real</v>
          </cell>
        </row>
        <row r="10722">
          <cell r="A10722" t="str">
            <v>SEGURETXE</v>
          </cell>
          <cell r="B10722">
            <v>202501</v>
          </cell>
          <cell r="D10722" t="str">
            <v>Seguros Personales (No Vida) Colectivos</v>
          </cell>
          <cell r="G10722" t="str">
            <v>Presupuesto</v>
          </cell>
        </row>
        <row r="10723">
          <cell r="A10723" t="str">
            <v>SEGURETXE</v>
          </cell>
          <cell r="B10723">
            <v>202501</v>
          </cell>
          <cell r="D10723" t="str">
            <v>Seguros Personales (No Vida) Colectivos</v>
          </cell>
          <cell r="G10723" t="str">
            <v>Real</v>
          </cell>
        </row>
        <row r="10724">
          <cell r="A10724" t="str">
            <v>SEGURETXE</v>
          </cell>
          <cell r="B10724">
            <v>202501</v>
          </cell>
          <cell r="D10724" t="str">
            <v>Seguros Personales (No Vida) Particular</v>
          </cell>
          <cell r="G10724" t="str">
            <v>Presupuesto</v>
          </cell>
        </row>
        <row r="10725">
          <cell r="A10725" t="str">
            <v>SEGURETXE</v>
          </cell>
          <cell r="B10725">
            <v>202501</v>
          </cell>
          <cell r="D10725" t="str">
            <v>Seguros Personales (No Vida) Particular</v>
          </cell>
          <cell r="G10725" t="str">
            <v>Real</v>
          </cell>
        </row>
        <row r="10726">
          <cell r="A10726" t="str">
            <v>SEGURETXE</v>
          </cell>
          <cell r="B10726">
            <v>202501</v>
          </cell>
          <cell r="D10726" t="str">
            <v>Transporte</v>
          </cell>
          <cell r="G10726" t="str">
            <v>Presupuesto</v>
          </cell>
        </row>
        <row r="10727">
          <cell r="A10727" t="str">
            <v>SEGURETXE</v>
          </cell>
          <cell r="B10727">
            <v>202501</v>
          </cell>
          <cell r="D10727" t="str">
            <v>Transporte</v>
          </cell>
          <cell r="G10727" t="str">
            <v>Real</v>
          </cell>
        </row>
        <row r="10728">
          <cell r="A10728" t="str">
            <v>SEGURETXE</v>
          </cell>
          <cell r="B10728">
            <v>202501</v>
          </cell>
          <cell r="D10728" t="str">
            <v>Vida Riesgo Particular</v>
          </cell>
          <cell r="G10728" t="str">
            <v>Presupuesto</v>
          </cell>
        </row>
        <row r="10729">
          <cell r="A10729" t="str">
            <v>SEGURETXE</v>
          </cell>
          <cell r="B10729">
            <v>202501</v>
          </cell>
          <cell r="D10729" t="str">
            <v>Vida Riesgo Particular</v>
          </cell>
          <cell r="G10729" t="str">
            <v>Real</v>
          </cell>
        </row>
        <row r="10730">
          <cell r="A10730" t="str">
            <v>SEGURETXE</v>
          </cell>
          <cell r="B10730">
            <v>202502</v>
          </cell>
          <cell r="D10730" t="str">
            <v>--</v>
          </cell>
          <cell r="G10730" t="str">
            <v>Presupuesto</v>
          </cell>
        </row>
        <row r="10731">
          <cell r="A10731" t="str">
            <v>SEGURETXE</v>
          </cell>
          <cell r="B10731">
            <v>202502</v>
          </cell>
          <cell r="D10731" t="str">
            <v>--</v>
          </cell>
          <cell r="G10731" t="str">
            <v>Real</v>
          </cell>
        </row>
        <row r="10732">
          <cell r="A10732" t="str">
            <v>SEGURETXE</v>
          </cell>
          <cell r="B10732">
            <v>202502</v>
          </cell>
          <cell r="D10732" t="str">
            <v>Autos</v>
          </cell>
          <cell r="G10732" t="str">
            <v>Presupuesto</v>
          </cell>
        </row>
        <row r="10733">
          <cell r="A10733" t="str">
            <v>SEGURETXE</v>
          </cell>
          <cell r="B10733">
            <v>202502</v>
          </cell>
          <cell r="D10733" t="str">
            <v>Autos</v>
          </cell>
          <cell r="G10733" t="str">
            <v>Real</v>
          </cell>
        </row>
        <row r="10734">
          <cell r="A10734" t="str">
            <v>SEGURETXE</v>
          </cell>
          <cell r="B10734">
            <v>202502</v>
          </cell>
          <cell r="D10734" t="str">
            <v>Flotas</v>
          </cell>
          <cell r="G10734" t="str">
            <v>Presupuesto</v>
          </cell>
        </row>
        <row r="10735">
          <cell r="A10735" t="str">
            <v>SEGURETXE</v>
          </cell>
          <cell r="B10735">
            <v>202502</v>
          </cell>
          <cell r="D10735" t="str">
            <v>Flotas</v>
          </cell>
          <cell r="G10735" t="str">
            <v>Real</v>
          </cell>
        </row>
        <row r="10736">
          <cell r="A10736" t="str">
            <v>SEGURETXE</v>
          </cell>
          <cell r="B10736">
            <v>202502</v>
          </cell>
          <cell r="D10736" t="str">
            <v>Hogar</v>
          </cell>
          <cell r="G10736" t="str">
            <v>Presupuesto</v>
          </cell>
        </row>
        <row r="10737">
          <cell r="A10737" t="str">
            <v>SEGURETXE</v>
          </cell>
          <cell r="B10737">
            <v>202502</v>
          </cell>
          <cell r="D10737" t="str">
            <v>Hogar</v>
          </cell>
          <cell r="G10737" t="str">
            <v>Real</v>
          </cell>
        </row>
        <row r="10738">
          <cell r="A10738" t="str">
            <v>SEGURETXE</v>
          </cell>
          <cell r="B10738">
            <v>202502</v>
          </cell>
          <cell r="D10738" t="str">
            <v>Ingeniería</v>
          </cell>
          <cell r="G10738" t="str">
            <v>Presupuesto</v>
          </cell>
        </row>
        <row r="10739">
          <cell r="A10739" t="str">
            <v>SEGURETXE</v>
          </cell>
          <cell r="B10739">
            <v>202502</v>
          </cell>
          <cell r="D10739" t="str">
            <v>Ingeniería</v>
          </cell>
          <cell r="G10739" t="str">
            <v>Real</v>
          </cell>
        </row>
        <row r="10740">
          <cell r="A10740" t="str">
            <v>SEGURETXE</v>
          </cell>
          <cell r="B10740">
            <v>202502</v>
          </cell>
          <cell r="D10740" t="str">
            <v>Náutica</v>
          </cell>
          <cell r="G10740" t="str">
            <v>Presupuesto</v>
          </cell>
        </row>
        <row r="10741">
          <cell r="A10741" t="str">
            <v>SEGURETXE</v>
          </cell>
          <cell r="B10741">
            <v>202502</v>
          </cell>
          <cell r="D10741" t="str">
            <v>Náutica</v>
          </cell>
          <cell r="G10741" t="str">
            <v>Real</v>
          </cell>
        </row>
        <row r="10742">
          <cell r="A10742" t="str">
            <v>SEGURETXE</v>
          </cell>
          <cell r="B10742">
            <v>202502</v>
          </cell>
          <cell r="D10742" t="str">
            <v>Property</v>
          </cell>
          <cell r="G10742" t="str">
            <v>Presupuesto</v>
          </cell>
        </row>
        <row r="10743">
          <cell r="A10743" t="str">
            <v>SEGURETXE</v>
          </cell>
          <cell r="B10743">
            <v>202502</v>
          </cell>
          <cell r="D10743" t="str">
            <v>Property</v>
          </cell>
          <cell r="G10743" t="str">
            <v>Real</v>
          </cell>
        </row>
        <row r="10744">
          <cell r="A10744" t="str">
            <v>SEGURETXE</v>
          </cell>
          <cell r="B10744">
            <v>202502</v>
          </cell>
          <cell r="D10744" t="str">
            <v>RC</v>
          </cell>
          <cell r="G10744" t="str">
            <v>Presupuesto</v>
          </cell>
        </row>
        <row r="10745">
          <cell r="A10745" t="str">
            <v>SEGURETXE</v>
          </cell>
          <cell r="B10745">
            <v>202502</v>
          </cell>
          <cell r="D10745" t="str">
            <v>RC</v>
          </cell>
          <cell r="G10745" t="str">
            <v>Real</v>
          </cell>
        </row>
        <row r="10746">
          <cell r="A10746" t="str">
            <v>SEGURETXE</v>
          </cell>
          <cell r="B10746">
            <v>202502</v>
          </cell>
          <cell r="D10746" t="str">
            <v>Seguros Personales (No Vida) Colectivos</v>
          </cell>
          <cell r="G10746" t="str">
            <v>Presupuesto</v>
          </cell>
        </row>
        <row r="10747">
          <cell r="A10747" t="str">
            <v>SEGURETXE</v>
          </cell>
          <cell r="B10747">
            <v>202502</v>
          </cell>
          <cell r="D10747" t="str">
            <v>Seguros Personales (No Vida) Colectivos</v>
          </cell>
          <cell r="G10747" t="str">
            <v>Real</v>
          </cell>
        </row>
        <row r="10748">
          <cell r="A10748" t="str">
            <v>SEGURETXE</v>
          </cell>
          <cell r="B10748">
            <v>202502</v>
          </cell>
          <cell r="D10748" t="str">
            <v>Seguros Personales (No Vida) Particular</v>
          </cell>
          <cell r="G10748" t="str">
            <v>Presupuesto</v>
          </cell>
        </row>
        <row r="10749">
          <cell r="A10749" t="str">
            <v>SEGURETXE</v>
          </cell>
          <cell r="B10749">
            <v>202502</v>
          </cell>
          <cell r="D10749" t="str">
            <v>Seguros Personales (No Vida) Particular</v>
          </cell>
          <cell r="G10749" t="str">
            <v>Real</v>
          </cell>
        </row>
        <row r="10750">
          <cell r="A10750" t="str">
            <v>SEGURETXE</v>
          </cell>
          <cell r="B10750">
            <v>202502</v>
          </cell>
          <cell r="D10750" t="str">
            <v>Transporte</v>
          </cell>
          <cell r="G10750" t="str">
            <v>Presupuesto</v>
          </cell>
        </row>
        <row r="10751">
          <cell r="A10751" t="str">
            <v>SEGURETXE</v>
          </cell>
          <cell r="B10751">
            <v>202502</v>
          </cell>
          <cell r="D10751" t="str">
            <v>Transporte</v>
          </cell>
          <cell r="G10751" t="str">
            <v>Real</v>
          </cell>
        </row>
        <row r="10752">
          <cell r="A10752" t="str">
            <v>SEGURETXE</v>
          </cell>
          <cell r="B10752">
            <v>202502</v>
          </cell>
          <cell r="D10752" t="str">
            <v>Vida Riesgo Particular</v>
          </cell>
          <cell r="G10752" t="str">
            <v>Presupuesto</v>
          </cell>
        </row>
        <row r="10753">
          <cell r="A10753" t="str">
            <v>SEGURETXE</v>
          </cell>
          <cell r="B10753">
            <v>202502</v>
          </cell>
          <cell r="D10753" t="str">
            <v>Vida Riesgo Particular</v>
          </cell>
          <cell r="G10753" t="str">
            <v>Real</v>
          </cell>
        </row>
        <row r="10754">
          <cell r="A10754" t="str">
            <v>SEGURETXE</v>
          </cell>
          <cell r="B10754">
            <v>202503</v>
          </cell>
          <cell r="D10754" t="str">
            <v>--</v>
          </cell>
          <cell r="G10754" t="str">
            <v>Presupuesto</v>
          </cell>
        </row>
        <row r="10755">
          <cell r="A10755" t="str">
            <v>SEGURETXE</v>
          </cell>
          <cell r="B10755">
            <v>202503</v>
          </cell>
          <cell r="D10755" t="str">
            <v>--</v>
          </cell>
          <cell r="G10755" t="str">
            <v>Real</v>
          </cell>
        </row>
        <row r="10756">
          <cell r="A10756" t="str">
            <v>SEGURETXE</v>
          </cell>
          <cell r="B10756">
            <v>202503</v>
          </cell>
          <cell r="D10756" t="str">
            <v>Autos</v>
          </cell>
          <cell r="G10756" t="str">
            <v>Real</v>
          </cell>
        </row>
        <row r="10757">
          <cell r="A10757" t="str">
            <v>SEGURETXE</v>
          </cell>
          <cell r="B10757">
            <v>202503</v>
          </cell>
          <cell r="D10757" t="str">
            <v>Flotas</v>
          </cell>
          <cell r="G10757" t="str">
            <v>Real</v>
          </cell>
        </row>
        <row r="10758">
          <cell r="A10758" t="str">
            <v>SEGURETXE</v>
          </cell>
          <cell r="B10758">
            <v>202503</v>
          </cell>
          <cell r="D10758" t="str">
            <v>Hogar</v>
          </cell>
          <cell r="G10758" t="str">
            <v>Real</v>
          </cell>
        </row>
        <row r="10759">
          <cell r="A10759" t="str">
            <v>SEGURETXE</v>
          </cell>
          <cell r="B10759">
            <v>202503</v>
          </cell>
          <cell r="D10759" t="str">
            <v>Ingeniería</v>
          </cell>
          <cell r="G10759" t="str">
            <v>Real</v>
          </cell>
        </row>
        <row r="10760">
          <cell r="A10760" t="str">
            <v>SEGURETXE</v>
          </cell>
          <cell r="B10760">
            <v>202503</v>
          </cell>
          <cell r="D10760" t="str">
            <v>Náutica</v>
          </cell>
          <cell r="G10760" t="str">
            <v>Real</v>
          </cell>
        </row>
        <row r="10761">
          <cell r="A10761" t="str">
            <v>SEGURETXE</v>
          </cell>
          <cell r="B10761">
            <v>202503</v>
          </cell>
          <cell r="D10761" t="str">
            <v>Property</v>
          </cell>
          <cell r="G10761" t="str">
            <v>Real</v>
          </cell>
        </row>
        <row r="10762">
          <cell r="A10762" t="str">
            <v>SEGURETXE</v>
          </cell>
          <cell r="B10762">
            <v>202503</v>
          </cell>
          <cell r="D10762" t="str">
            <v>RC</v>
          </cell>
          <cell r="G10762" t="str">
            <v>Real</v>
          </cell>
        </row>
        <row r="10763">
          <cell r="A10763" t="str">
            <v>SEGURETXE</v>
          </cell>
          <cell r="B10763">
            <v>202503</v>
          </cell>
          <cell r="D10763" t="str">
            <v>Seguros Personales (No Vida) Colectivos</v>
          </cell>
          <cell r="G10763" t="str">
            <v>Real</v>
          </cell>
        </row>
        <row r="10764">
          <cell r="A10764" t="str">
            <v>SEGURETXE</v>
          </cell>
          <cell r="B10764">
            <v>202503</v>
          </cell>
          <cell r="D10764" t="str">
            <v>Seguros Personales (No Vida) Particular</v>
          </cell>
          <cell r="G10764" t="str">
            <v>Real</v>
          </cell>
        </row>
        <row r="10765">
          <cell r="A10765" t="str">
            <v>SEGURETXE</v>
          </cell>
          <cell r="B10765">
            <v>202503</v>
          </cell>
          <cell r="D10765" t="str">
            <v>Transporte</v>
          </cell>
          <cell r="G10765" t="str">
            <v>Real</v>
          </cell>
        </row>
        <row r="10766">
          <cell r="A10766" t="str">
            <v>SEGURETXE</v>
          </cell>
          <cell r="B10766">
            <v>202503</v>
          </cell>
          <cell r="D10766" t="str">
            <v>Vida Riesgo Particular</v>
          </cell>
          <cell r="G10766" t="str">
            <v>Real</v>
          </cell>
        </row>
        <row r="10767">
          <cell r="A10767" t="str">
            <v>SEGURETXE</v>
          </cell>
          <cell r="B10767">
            <v>202504</v>
          </cell>
          <cell r="D10767" t="str">
            <v>--</v>
          </cell>
          <cell r="G10767" t="str">
            <v>Presupuesto</v>
          </cell>
        </row>
        <row r="10768">
          <cell r="A10768" t="str">
            <v>SEGURETXE</v>
          </cell>
          <cell r="B10768">
            <v>202504</v>
          </cell>
          <cell r="D10768" t="str">
            <v>--</v>
          </cell>
          <cell r="G10768" t="str">
            <v>Real</v>
          </cell>
        </row>
        <row r="10769">
          <cell r="A10769" t="str">
            <v>SEGURETXE</v>
          </cell>
          <cell r="B10769">
            <v>202504</v>
          </cell>
          <cell r="D10769" t="str">
            <v>Autos</v>
          </cell>
          <cell r="G10769" t="str">
            <v>Presupuesto</v>
          </cell>
        </row>
        <row r="10770">
          <cell r="A10770" t="str">
            <v>SEGURETXE</v>
          </cell>
          <cell r="B10770">
            <v>202504</v>
          </cell>
          <cell r="D10770" t="str">
            <v>Autos</v>
          </cell>
          <cell r="G10770" t="str">
            <v>Real</v>
          </cell>
        </row>
        <row r="10771">
          <cell r="A10771" t="str">
            <v>SEGURETXE</v>
          </cell>
          <cell r="B10771">
            <v>202504</v>
          </cell>
          <cell r="D10771" t="str">
            <v>Flotas</v>
          </cell>
          <cell r="G10771" t="str">
            <v>Presupuesto</v>
          </cell>
        </row>
        <row r="10772">
          <cell r="A10772" t="str">
            <v>SEGURETXE</v>
          </cell>
          <cell r="B10772">
            <v>202504</v>
          </cell>
          <cell r="D10772" t="str">
            <v>Flotas</v>
          </cell>
          <cell r="G10772" t="str">
            <v>Real</v>
          </cell>
        </row>
        <row r="10773">
          <cell r="A10773" t="str">
            <v>SEGURETXE</v>
          </cell>
          <cell r="B10773">
            <v>202504</v>
          </cell>
          <cell r="D10773" t="str">
            <v>Hogar</v>
          </cell>
          <cell r="G10773" t="str">
            <v>Presupuesto</v>
          </cell>
        </row>
        <row r="10774">
          <cell r="A10774" t="str">
            <v>SEGURETXE</v>
          </cell>
          <cell r="B10774">
            <v>202504</v>
          </cell>
          <cell r="D10774" t="str">
            <v>Hogar</v>
          </cell>
          <cell r="G10774" t="str">
            <v>Real</v>
          </cell>
        </row>
        <row r="10775">
          <cell r="A10775" t="str">
            <v>SEGURETXE</v>
          </cell>
          <cell r="B10775">
            <v>202504</v>
          </cell>
          <cell r="D10775" t="str">
            <v>Ingeniería</v>
          </cell>
          <cell r="G10775" t="str">
            <v>Presupuesto</v>
          </cell>
        </row>
        <row r="10776">
          <cell r="A10776" t="str">
            <v>SEGURETXE</v>
          </cell>
          <cell r="B10776">
            <v>202504</v>
          </cell>
          <cell r="D10776" t="str">
            <v>Ingeniería</v>
          </cell>
          <cell r="G10776" t="str">
            <v>Real</v>
          </cell>
        </row>
        <row r="10777">
          <cell r="A10777" t="str">
            <v>SEGURETXE</v>
          </cell>
          <cell r="B10777">
            <v>202504</v>
          </cell>
          <cell r="D10777" t="str">
            <v>Náutica</v>
          </cell>
          <cell r="G10777" t="str">
            <v>Presupuesto</v>
          </cell>
        </row>
        <row r="10778">
          <cell r="A10778" t="str">
            <v>SEGURETXE</v>
          </cell>
          <cell r="B10778">
            <v>202504</v>
          </cell>
          <cell r="D10778" t="str">
            <v>Náutica</v>
          </cell>
          <cell r="G10778" t="str">
            <v>Real</v>
          </cell>
        </row>
        <row r="10779">
          <cell r="A10779" t="str">
            <v>SEGURETXE</v>
          </cell>
          <cell r="B10779">
            <v>202504</v>
          </cell>
          <cell r="D10779" t="str">
            <v>Property</v>
          </cell>
          <cell r="G10779" t="str">
            <v>Presupuesto</v>
          </cell>
        </row>
        <row r="10780">
          <cell r="A10780" t="str">
            <v>SEGURETXE</v>
          </cell>
          <cell r="B10780">
            <v>202504</v>
          </cell>
          <cell r="D10780" t="str">
            <v>Property</v>
          </cell>
          <cell r="G10780" t="str">
            <v>Real</v>
          </cell>
        </row>
        <row r="10781">
          <cell r="A10781" t="str">
            <v>SEGURETXE</v>
          </cell>
          <cell r="B10781">
            <v>202504</v>
          </cell>
          <cell r="D10781" t="str">
            <v>RC</v>
          </cell>
          <cell r="G10781" t="str">
            <v>Presupuesto</v>
          </cell>
        </row>
        <row r="10782">
          <cell r="A10782" t="str">
            <v>SEGURETXE</v>
          </cell>
          <cell r="B10782">
            <v>202504</v>
          </cell>
          <cell r="D10782" t="str">
            <v>RC</v>
          </cell>
          <cell r="G10782" t="str">
            <v>Real</v>
          </cell>
        </row>
        <row r="10783">
          <cell r="A10783" t="str">
            <v>SEGURETXE</v>
          </cell>
          <cell r="B10783">
            <v>202504</v>
          </cell>
          <cell r="D10783" t="str">
            <v>Seguros Personales (No Vida) Colectivos</v>
          </cell>
          <cell r="G10783" t="str">
            <v>Presupuesto</v>
          </cell>
        </row>
        <row r="10784">
          <cell r="A10784" t="str">
            <v>SEGURETXE</v>
          </cell>
          <cell r="B10784">
            <v>202504</v>
          </cell>
          <cell r="D10784" t="str">
            <v>Seguros Personales (No Vida) Colectivos</v>
          </cell>
          <cell r="G10784" t="str">
            <v>Real</v>
          </cell>
        </row>
        <row r="10785">
          <cell r="A10785" t="str">
            <v>SEGURETXE</v>
          </cell>
          <cell r="B10785">
            <v>202504</v>
          </cell>
          <cell r="D10785" t="str">
            <v>Seguros Personales (No Vida) Particular</v>
          </cell>
          <cell r="G10785" t="str">
            <v>Presupuesto</v>
          </cell>
        </row>
        <row r="10786">
          <cell r="A10786" t="str">
            <v>SEGURETXE</v>
          </cell>
          <cell r="B10786">
            <v>202504</v>
          </cell>
          <cell r="D10786" t="str">
            <v>Seguros Personales (No Vida) Particular</v>
          </cell>
          <cell r="G10786" t="str">
            <v>Real</v>
          </cell>
        </row>
        <row r="10787">
          <cell r="A10787" t="str">
            <v>SEGURETXE</v>
          </cell>
          <cell r="B10787">
            <v>202504</v>
          </cell>
          <cell r="D10787" t="str">
            <v>Transporte</v>
          </cell>
          <cell r="G10787" t="str">
            <v>Presupuesto</v>
          </cell>
        </row>
        <row r="10788">
          <cell r="A10788" t="str">
            <v>SEGURETXE</v>
          </cell>
          <cell r="B10788">
            <v>202504</v>
          </cell>
          <cell r="D10788" t="str">
            <v>Transporte</v>
          </cell>
          <cell r="G10788" t="str">
            <v>Real</v>
          </cell>
        </row>
        <row r="10789">
          <cell r="A10789" t="str">
            <v>SEGURETXE</v>
          </cell>
          <cell r="B10789">
            <v>202504</v>
          </cell>
          <cell r="D10789" t="str">
            <v>Vida Riesgo Particular</v>
          </cell>
          <cell r="G10789" t="str">
            <v>Presupuesto</v>
          </cell>
        </row>
        <row r="10790">
          <cell r="A10790" t="str">
            <v>SEGURETXE</v>
          </cell>
          <cell r="B10790">
            <v>202504</v>
          </cell>
          <cell r="D10790" t="str">
            <v>Vida Riesgo Particular</v>
          </cell>
          <cell r="G10790" t="str">
            <v>Real</v>
          </cell>
        </row>
        <row r="10791">
          <cell r="A10791" t="str">
            <v>SEGURETXE</v>
          </cell>
          <cell r="B10791">
            <v>202505</v>
          </cell>
          <cell r="D10791" t="str">
            <v>--</v>
          </cell>
          <cell r="G10791" t="str">
            <v>Presupuesto</v>
          </cell>
        </row>
        <row r="10792">
          <cell r="A10792" t="str">
            <v>SEGURETXE</v>
          </cell>
          <cell r="B10792">
            <v>202505</v>
          </cell>
          <cell r="D10792" t="str">
            <v>--</v>
          </cell>
          <cell r="G10792" t="str">
            <v>Real</v>
          </cell>
        </row>
        <row r="10793">
          <cell r="A10793" t="str">
            <v>SEGURETXE</v>
          </cell>
          <cell r="B10793">
            <v>202505</v>
          </cell>
          <cell r="D10793" t="str">
            <v>Autos</v>
          </cell>
          <cell r="G10793" t="str">
            <v>Presupuesto</v>
          </cell>
        </row>
        <row r="10794">
          <cell r="A10794" t="str">
            <v>SEGURETXE</v>
          </cell>
          <cell r="B10794">
            <v>202505</v>
          </cell>
          <cell r="D10794" t="str">
            <v>Autos</v>
          </cell>
          <cell r="G10794" t="str">
            <v>Real</v>
          </cell>
        </row>
        <row r="10795">
          <cell r="A10795" t="str">
            <v>SEGURETXE</v>
          </cell>
          <cell r="B10795">
            <v>202505</v>
          </cell>
          <cell r="D10795" t="str">
            <v>Flotas</v>
          </cell>
          <cell r="G10795" t="str">
            <v>Presupuesto</v>
          </cell>
        </row>
        <row r="10796">
          <cell r="A10796" t="str">
            <v>SEGURETXE</v>
          </cell>
          <cell r="B10796">
            <v>202505</v>
          </cell>
          <cell r="D10796" t="str">
            <v>Flotas</v>
          </cell>
          <cell r="G10796" t="str">
            <v>Real</v>
          </cell>
        </row>
        <row r="10797">
          <cell r="A10797" t="str">
            <v>SEGURETXE</v>
          </cell>
          <cell r="B10797">
            <v>202505</v>
          </cell>
          <cell r="D10797" t="str">
            <v>Hogar</v>
          </cell>
          <cell r="G10797" t="str">
            <v>Presupuesto</v>
          </cell>
        </row>
        <row r="10798">
          <cell r="A10798" t="str">
            <v>SEGURETXE</v>
          </cell>
          <cell r="B10798">
            <v>202505</v>
          </cell>
          <cell r="D10798" t="str">
            <v>Hogar</v>
          </cell>
          <cell r="G10798" t="str">
            <v>Real</v>
          </cell>
        </row>
        <row r="10799">
          <cell r="A10799" t="str">
            <v>SEGURETXE</v>
          </cell>
          <cell r="B10799">
            <v>202505</v>
          </cell>
          <cell r="D10799" t="str">
            <v>Ingeniería</v>
          </cell>
          <cell r="G10799" t="str">
            <v>Presupuesto</v>
          </cell>
        </row>
        <row r="10800">
          <cell r="A10800" t="str">
            <v>SEGURETXE</v>
          </cell>
          <cell r="B10800">
            <v>202505</v>
          </cell>
          <cell r="D10800" t="str">
            <v>Ingeniería</v>
          </cell>
          <cell r="G10800" t="str">
            <v>Real</v>
          </cell>
        </row>
        <row r="10801">
          <cell r="A10801" t="str">
            <v>SEGURETXE</v>
          </cell>
          <cell r="B10801">
            <v>202505</v>
          </cell>
          <cell r="D10801" t="str">
            <v>Náutica</v>
          </cell>
          <cell r="G10801" t="str">
            <v>Presupuesto</v>
          </cell>
        </row>
        <row r="10802">
          <cell r="A10802" t="str">
            <v>SEGURETXE</v>
          </cell>
          <cell r="B10802">
            <v>202505</v>
          </cell>
          <cell r="D10802" t="str">
            <v>Náutica</v>
          </cell>
          <cell r="G10802" t="str">
            <v>Real</v>
          </cell>
        </row>
        <row r="10803">
          <cell r="A10803" t="str">
            <v>SEGURETXE</v>
          </cell>
          <cell r="B10803">
            <v>202505</v>
          </cell>
          <cell r="D10803" t="str">
            <v>Property</v>
          </cell>
          <cell r="G10803" t="str">
            <v>Presupuesto</v>
          </cell>
        </row>
        <row r="10804">
          <cell r="A10804" t="str">
            <v>SEGURETXE</v>
          </cell>
          <cell r="B10804">
            <v>202505</v>
          </cell>
          <cell r="D10804" t="str">
            <v>Property</v>
          </cell>
          <cell r="G10804" t="str">
            <v>Real</v>
          </cell>
        </row>
        <row r="10805">
          <cell r="A10805" t="str">
            <v>SEGURETXE</v>
          </cell>
          <cell r="B10805">
            <v>202505</v>
          </cell>
          <cell r="D10805" t="str">
            <v>RC</v>
          </cell>
          <cell r="G10805" t="str">
            <v>Presupuesto</v>
          </cell>
        </row>
        <row r="10806">
          <cell r="A10806" t="str">
            <v>SEGURETXE</v>
          </cell>
          <cell r="B10806">
            <v>202505</v>
          </cell>
          <cell r="D10806" t="str">
            <v>RC</v>
          </cell>
          <cell r="G10806" t="str">
            <v>Real</v>
          </cell>
        </row>
        <row r="10807">
          <cell r="A10807" t="str">
            <v>SEGURETXE</v>
          </cell>
          <cell r="B10807">
            <v>202505</v>
          </cell>
          <cell r="D10807" t="str">
            <v>Seguros Personales (No Vida) Colectivos</v>
          </cell>
          <cell r="G10807" t="str">
            <v>Presupuesto</v>
          </cell>
        </row>
        <row r="10808">
          <cell r="A10808" t="str">
            <v>SEGURETXE</v>
          </cell>
          <cell r="B10808">
            <v>202505</v>
          </cell>
          <cell r="D10808" t="str">
            <v>Seguros Personales (No Vida) Colectivos</v>
          </cell>
          <cell r="G10808" t="str">
            <v>Real</v>
          </cell>
        </row>
        <row r="10809">
          <cell r="A10809" t="str">
            <v>SEGURETXE</v>
          </cell>
          <cell r="B10809">
            <v>202505</v>
          </cell>
          <cell r="D10809" t="str">
            <v>Seguros Personales (No Vida) Particular</v>
          </cell>
          <cell r="G10809" t="str">
            <v>Presupuesto</v>
          </cell>
        </row>
        <row r="10810">
          <cell r="A10810" t="str">
            <v>SEGURETXE</v>
          </cell>
          <cell r="B10810">
            <v>202505</v>
          </cell>
          <cell r="D10810" t="str">
            <v>Seguros Personales (No Vida) Particular</v>
          </cell>
          <cell r="G10810" t="str">
            <v>Real</v>
          </cell>
        </row>
        <row r="10811">
          <cell r="A10811" t="str">
            <v>SEGURETXE</v>
          </cell>
          <cell r="B10811">
            <v>202505</v>
          </cell>
          <cell r="D10811" t="str">
            <v>Vida Riesgo Particular</v>
          </cell>
          <cell r="G10811" t="str">
            <v>Presupuesto</v>
          </cell>
        </row>
        <row r="10812">
          <cell r="A10812" t="str">
            <v>SEGURETXE</v>
          </cell>
          <cell r="B10812">
            <v>202505</v>
          </cell>
          <cell r="D10812" t="str">
            <v>Vida Riesgo Particular</v>
          </cell>
          <cell r="G10812" t="str">
            <v>Real</v>
          </cell>
        </row>
        <row r="10813">
          <cell r="A10813" t="str">
            <v>SEGURETXE</v>
          </cell>
          <cell r="B10813">
            <v>202506</v>
          </cell>
          <cell r="D10813" t="str">
            <v>--</v>
          </cell>
          <cell r="G10813" t="str">
            <v>Presupuesto</v>
          </cell>
        </row>
        <row r="10814">
          <cell r="A10814" t="str">
            <v>SEGURETXE</v>
          </cell>
          <cell r="B10814">
            <v>202506</v>
          </cell>
          <cell r="D10814" t="str">
            <v>--</v>
          </cell>
          <cell r="G10814" t="str">
            <v>Real</v>
          </cell>
        </row>
        <row r="10815">
          <cell r="A10815" t="str">
            <v>SEGURETXE</v>
          </cell>
          <cell r="B10815">
            <v>202506</v>
          </cell>
          <cell r="D10815" t="str">
            <v>Autos</v>
          </cell>
          <cell r="G10815" t="str">
            <v>Presupuesto</v>
          </cell>
        </row>
        <row r="10816">
          <cell r="A10816" t="str">
            <v>SEGURETXE</v>
          </cell>
          <cell r="B10816">
            <v>202506</v>
          </cell>
          <cell r="D10816" t="str">
            <v>Autos</v>
          </cell>
          <cell r="G10816" t="str">
            <v>Real</v>
          </cell>
        </row>
        <row r="10817">
          <cell r="A10817" t="str">
            <v>SEGURETXE</v>
          </cell>
          <cell r="B10817">
            <v>202506</v>
          </cell>
          <cell r="D10817" t="str">
            <v>Flotas</v>
          </cell>
          <cell r="G10817" t="str">
            <v>Presupuesto</v>
          </cell>
        </row>
        <row r="10818">
          <cell r="A10818" t="str">
            <v>SEGURETXE</v>
          </cell>
          <cell r="B10818">
            <v>202506</v>
          </cell>
          <cell r="D10818" t="str">
            <v>Flotas</v>
          </cell>
          <cell r="G10818" t="str">
            <v>Real</v>
          </cell>
        </row>
        <row r="10819">
          <cell r="A10819" t="str">
            <v>SEGURETXE</v>
          </cell>
          <cell r="B10819">
            <v>202506</v>
          </cell>
          <cell r="D10819" t="str">
            <v>Hogar</v>
          </cell>
          <cell r="G10819" t="str">
            <v>Presupuesto</v>
          </cell>
        </row>
        <row r="10820">
          <cell r="A10820" t="str">
            <v>SEGURETXE</v>
          </cell>
          <cell r="B10820">
            <v>202506</v>
          </cell>
          <cell r="D10820" t="str">
            <v>Hogar</v>
          </cell>
          <cell r="G10820" t="str">
            <v>Real</v>
          </cell>
        </row>
        <row r="10821">
          <cell r="A10821" t="str">
            <v>SEGURETXE</v>
          </cell>
          <cell r="B10821">
            <v>202506</v>
          </cell>
          <cell r="D10821" t="str">
            <v>Ingeniería</v>
          </cell>
          <cell r="G10821" t="str">
            <v>Presupuesto</v>
          </cell>
        </row>
        <row r="10822">
          <cell r="A10822" t="str">
            <v>SEGURETXE</v>
          </cell>
          <cell r="B10822">
            <v>202506</v>
          </cell>
          <cell r="D10822" t="str">
            <v>Ingeniería</v>
          </cell>
          <cell r="G10822" t="str">
            <v>Real</v>
          </cell>
        </row>
        <row r="10823">
          <cell r="A10823" t="str">
            <v>SEGURETXE</v>
          </cell>
          <cell r="B10823">
            <v>202506</v>
          </cell>
          <cell r="D10823" t="str">
            <v>Náutica</v>
          </cell>
          <cell r="G10823" t="str">
            <v>Presupuesto</v>
          </cell>
        </row>
        <row r="10824">
          <cell r="A10824" t="str">
            <v>SEGURETXE</v>
          </cell>
          <cell r="B10824">
            <v>202506</v>
          </cell>
          <cell r="D10824" t="str">
            <v>Náutica</v>
          </cell>
          <cell r="G10824" t="str">
            <v>Real</v>
          </cell>
        </row>
        <row r="10825">
          <cell r="A10825" t="str">
            <v>SEGURETXE</v>
          </cell>
          <cell r="B10825">
            <v>202506</v>
          </cell>
          <cell r="D10825" t="str">
            <v>Property</v>
          </cell>
          <cell r="G10825" t="str">
            <v>Presupuesto</v>
          </cell>
        </row>
        <row r="10826">
          <cell r="A10826" t="str">
            <v>SEGURETXE</v>
          </cell>
          <cell r="B10826">
            <v>202506</v>
          </cell>
          <cell r="D10826" t="str">
            <v>Property</v>
          </cell>
          <cell r="G10826" t="str">
            <v>Real</v>
          </cell>
        </row>
        <row r="10827">
          <cell r="A10827" t="str">
            <v>SEGURETXE</v>
          </cell>
          <cell r="B10827">
            <v>202506</v>
          </cell>
          <cell r="D10827" t="str">
            <v>RC</v>
          </cell>
          <cell r="G10827" t="str">
            <v>Presupuesto</v>
          </cell>
        </row>
        <row r="10828">
          <cell r="A10828" t="str">
            <v>SEGURETXE</v>
          </cell>
          <cell r="B10828">
            <v>202506</v>
          </cell>
          <cell r="D10828" t="str">
            <v>RC</v>
          </cell>
          <cell r="G10828" t="str">
            <v>Real</v>
          </cell>
        </row>
        <row r="10829">
          <cell r="A10829" t="str">
            <v>SEGURETXE</v>
          </cell>
          <cell r="B10829">
            <v>202506</v>
          </cell>
          <cell r="D10829" t="str">
            <v>Seguros Personales (No Vida) Colectivos</v>
          </cell>
          <cell r="G10829" t="str">
            <v>Presupuesto</v>
          </cell>
        </row>
        <row r="10830">
          <cell r="A10830" t="str">
            <v>SEGURETXE</v>
          </cell>
          <cell r="B10830">
            <v>202506</v>
          </cell>
          <cell r="D10830" t="str">
            <v>Seguros Personales (No Vida) Colectivos</v>
          </cell>
          <cell r="G10830" t="str">
            <v>Real</v>
          </cell>
        </row>
        <row r="10831">
          <cell r="A10831" t="str">
            <v>SEGURETXE</v>
          </cell>
          <cell r="B10831">
            <v>202506</v>
          </cell>
          <cell r="D10831" t="str">
            <v>Seguros Personales (No Vida) Particular</v>
          </cell>
          <cell r="G10831" t="str">
            <v>Presupuesto</v>
          </cell>
        </row>
        <row r="10832">
          <cell r="A10832" t="str">
            <v>SEGURETXE</v>
          </cell>
          <cell r="B10832">
            <v>202506</v>
          </cell>
          <cell r="D10832" t="str">
            <v>Seguros Personales (No Vida) Particular</v>
          </cell>
          <cell r="G10832" t="str">
            <v>Real</v>
          </cell>
        </row>
        <row r="10833">
          <cell r="A10833" t="str">
            <v>SEGURETXE</v>
          </cell>
          <cell r="B10833">
            <v>202506</v>
          </cell>
          <cell r="D10833" t="str">
            <v>Transporte</v>
          </cell>
          <cell r="G10833" t="str">
            <v>Presupuesto</v>
          </cell>
        </row>
        <row r="10834">
          <cell r="A10834" t="str">
            <v>SEGURETXE</v>
          </cell>
          <cell r="B10834">
            <v>202506</v>
          </cell>
          <cell r="D10834" t="str">
            <v>Transporte</v>
          </cell>
          <cell r="G10834" t="str">
            <v>Real</v>
          </cell>
        </row>
        <row r="10835">
          <cell r="A10835" t="str">
            <v>SEGURETXE</v>
          </cell>
          <cell r="B10835">
            <v>202506</v>
          </cell>
          <cell r="D10835" t="str">
            <v>Vida Riesgo Particular</v>
          </cell>
          <cell r="G10835" t="str">
            <v>Presupuesto</v>
          </cell>
        </row>
        <row r="10836">
          <cell r="A10836" t="str">
            <v>SEGURETXE</v>
          </cell>
          <cell r="B10836">
            <v>202506</v>
          </cell>
          <cell r="D10836" t="str">
            <v>Vida Riesgo Particular</v>
          </cell>
          <cell r="G10836" t="str">
            <v>Real</v>
          </cell>
        </row>
        <row r="10837">
          <cell r="A10837" t="str">
            <v>SEGURETXE</v>
          </cell>
          <cell r="B10837">
            <v>202507</v>
          </cell>
          <cell r="D10837" t="str">
            <v>--</v>
          </cell>
          <cell r="G10837" t="str">
            <v>Presupuesto</v>
          </cell>
        </row>
        <row r="10838">
          <cell r="A10838" t="str">
            <v>SEGURETXE</v>
          </cell>
          <cell r="B10838">
            <v>202507</v>
          </cell>
          <cell r="D10838" t="str">
            <v>--</v>
          </cell>
          <cell r="G10838" t="str">
            <v>Real</v>
          </cell>
        </row>
        <row r="10839">
          <cell r="A10839" t="str">
            <v>SEGURETXE</v>
          </cell>
          <cell r="B10839">
            <v>202507</v>
          </cell>
          <cell r="D10839" t="str">
            <v>Autos</v>
          </cell>
          <cell r="G10839" t="str">
            <v>Presupuesto</v>
          </cell>
        </row>
        <row r="10840">
          <cell r="A10840" t="str">
            <v>SEGURETXE</v>
          </cell>
          <cell r="B10840">
            <v>202507</v>
          </cell>
          <cell r="D10840" t="str">
            <v>Autos</v>
          </cell>
          <cell r="G10840" t="str">
            <v>Real</v>
          </cell>
        </row>
        <row r="10841">
          <cell r="A10841" t="str">
            <v>SEGURETXE</v>
          </cell>
          <cell r="B10841">
            <v>202507</v>
          </cell>
          <cell r="D10841" t="str">
            <v>Flotas</v>
          </cell>
          <cell r="G10841" t="str">
            <v>Presupuesto</v>
          </cell>
        </row>
        <row r="10842">
          <cell r="A10842" t="str">
            <v>SEGURETXE</v>
          </cell>
          <cell r="B10842">
            <v>202507</v>
          </cell>
          <cell r="D10842" t="str">
            <v>Flotas</v>
          </cell>
          <cell r="G10842" t="str">
            <v>Real</v>
          </cell>
        </row>
        <row r="10843">
          <cell r="A10843" t="str">
            <v>SEGURETXE</v>
          </cell>
          <cell r="B10843">
            <v>202507</v>
          </cell>
          <cell r="D10843" t="str">
            <v>Hogar</v>
          </cell>
          <cell r="G10843" t="str">
            <v>Presupuesto</v>
          </cell>
        </row>
        <row r="10844">
          <cell r="A10844" t="str">
            <v>SEGURETXE</v>
          </cell>
          <cell r="B10844">
            <v>202507</v>
          </cell>
          <cell r="D10844" t="str">
            <v>Hogar</v>
          </cell>
          <cell r="G10844" t="str">
            <v>Real</v>
          </cell>
        </row>
        <row r="10845">
          <cell r="A10845" t="str">
            <v>SEGURETXE</v>
          </cell>
          <cell r="B10845">
            <v>202507</v>
          </cell>
          <cell r="D10845" t="str">
            <v>Náutica</v>
          </cell>
          <cell r="G10845" t="str">
            <v>Presupuesto</v>
          </cell>
        </row>
        <row r="10846">
          <cell r="A10846" t="str">
            <v>SEGURETXE</v>
          </cell>
          <cell r="B10846">
            <v>202507</v>
          </cell>
          <cell r="D10846" t="str">
            <v>Náutica</v>
          </cell>
          <cell r="G10846" t="str">
            <v>Real</v>
          </cell>
        </row>
        <row r="10847">
          <cell r="A10847" t="str">
            <v>SEGURETXE</v>
          </cell>
          <cell r="B10847">
            <v>202507</v>
          </cell>
          <cell r="D10847" t="str">
            <v>Property</v>
          </cell>
          <cell r="G10847" t="str">
            <v>Presupuesto</v>
          </cell>
        </row>
        <row r="10848">
          <cell r="A10848" t="str">
            <v>SEGURETXE</v>
          </cell>
          <cell r="B10848">
            <v>202507</v>
          </cell>
          <cell r="D10848" t="str">
            <v>Property</v>
          </cell>
          <cell r="G10848" t="str">
            <v>Real</v>
          </cell>
        </row>
        <row r="10849">
          <cell r="A10849" t="str">
            <v>SEGURETXE</v>
          </cell>
          <cell r="B10849">
            <v>202507</v>
          </cell>
          <cell r="D10849" t="str">
            <v>RC</v>
          </cell>
          <cell r="G10849" t="str">
            <v>Presupuesto</v>
          </cell>
        </row>
        <row r="10850">
          <cell r="A10850" t="str">
            <v>SEGURETXE</v>
          </cell>
          <cell r="B10850">
            <v>202507</v>
          </cell>
          <cell r="D10850" t="str">
            <v>RC</v>
          </cell>
          <cell r="G10850" t="str">
            <v>Real</v>
          </cell>
        </row>
        <row r="10851">
          <cell r="A10851" t="str">
            <v>SEGURETXE</v>
          </cell>
          <cell r="B10851">
            <v>202507</v>
          </cell>
          <cell r="D10851" t="str">
            <v>Seguros Personales (No Vida) Colectivos</v>
          </cell>
          <cell r="G10851" t="str">
            <v>Presupuesto</v>
          </cell>
        </row>
        <row r="10852">
          <cell r="A10852" t="str">
            <v>SEGURETXE</v>
          </cell>
          <cell r="B10852">
            <v>202507</v>
          </cell>
          <cell r="D10852" t="str">
            <v>Seguros Personales (No Vida) Colectivos</v>
          </cell>
          <cell r="G10852" t="str">
            <v>Real</v>
          </cell>
        </row>
        <row r="10853">
          <cell r="A10853" t="str">
            <v>SEGURETXE</v>
          </cell>
          <cell r="B10853">
            <v>202507</v>
          </cell>
          <cell r="D10853" t="str">
            <v>Seguros Personales (No Vida) Particular</v>
          </cell>
          <cell r="G10853" t="str">
            <v>Presupuesto</v>
          </cell>
        </row>
        <row r="10854">
          <cell r="A10854" t="str">
            <v>SEGURETXE</v>
          </cell>
          <cell r="B10854">
            <v>202507</v>
          </cell>
          <cell r="D10854" t="str">
            <v>Seguros Personales (No Vida) Particular</v>
          </cell>
          <cell r="G10854" t="str">
            <v>Real</v>
          </cell>
        </row>
        <row r="10855">
          <cell r="A10855" t="str">
            <v>SEGURETXE</v>
          </cell>
          <cell r="B10855">
            <v>202507</v>
          </cell>
          <cell r="D10855" t="str">
            <v>Transporte</v>
          </cell>
          <cell r="G10855" t="str">
            <v>Presupuesto</v>
          </cell>
        </row>
        <row r="10856">
          <cell r="A10856" t="str">
            <v>SEGURETXE</v>
          </cell>
          <cell r="B10856">
            <v>202507</v>
          </cell>
          <cell r="D10856" t="str">
            <v>Transporte</v>
          </cell>
          <cell r="G10856" t="str">
            <v>Real</v>
          </cell>
        </row>
        <row r="10857">
          <cell r="A10857" t="str">
            <v>SEGURETXE</v>
          </cell>
          <cell r="B10857">
            <v>202507</v>
          </cell>
          <cell r="D10857" t="str">
            <v>Vida Riesgo Particular</v>
          </cell>
          <cell r="G10857" t="str">
            <v>Presupuesto</v>
          </cell>
        </row>
        <row r="10858">
          <cell r="A10858" t="str">
            <v>SEGURETXE</v>
          </cell>
          <cell r="B10858">
            <v>202507</v>
          </cell>
          <cell r="D10858" t="str">
            <v>Vida Riesgo Particular</v>
          </cell>
          <cell r="G10858" t="str">
            <v>Real</v>
          </cell>
        </row>
        <row r="10859">
          <cell r="A10859" t="str">
            <v>SEGURETXE</v>
          </cell>
          <cell r="B10859">
            <v>202508</v>
          </cell>
          <cell r="D10859" t="str">
            <v>--</v>
          </cell>
          <cell r="G10859" t="str">
            <v>Presupuesto</v>
          </cell>
        </row>
        <row r="10860">
          <cell r="A10860" t="str">
            <v>SEGURETXE</v>
          </cell>
          <cell r="B10860">
            <v>202508</v>
          </cell>
          <cell r="D10860" t="str">
            <v>--</v>
          </cell>
          <cell r="G10860" t="str">
            <v>Real</v>
          </cell>
        </row>
        <row r="10861">
          <cell r="A10861" t="str">
            <v>SEGURETXE</v>
          </cell>
          <cell r="B10861">
            <v>202508</v>
          </cell>
          <cell r="D10861" t="str">
            <v>Autos</v>
          </cell>
          <cell r="G10861" t="str">
            <v>Presupuesto</v>
          </cell>
        </row>
        <row r="10862">
          <cell r="A10862" t="str">
            <v>SEGURETXE</v>
          </cell>
          <cell r="B10862">
            <v>202508</v>
          </cell>
          <cell r="D10862" t="str">
            <v>Autos</v>
          </cell>
          <cell r="G10862" t="str">
            <v>Real</v>
          </cell>
        </row>
        <row r="10863">
          <cell r="A10863" t="str">
            <v>SEGURETXE</v>
          </cell>
          <cell r="B10863">
            <v>202508</v>
          </cell>
          <cell r="D10863" t="str">
            <v>Flotas</v>
          </cell>
          <cell r="G10863" t="str">
            <v>Presupuesto</v>
          </cell>
        </row>
        <row r="10864">
          <cell r="A10864" t="str">
            <v>SEGURETXE</v>
          </cell>
          <cell r="B10864">
            <v>202508</v>
          </cell>
          <cell r="D10864" t="str">
            <v>Flotas</v>
          </cell>
          <cell r="G10864" t="str">
            <v>Real</v>
          </cell>
        </row>
        <row r="10865">
          <cell r="A10865" t="str">
            <v>SEGURETXE</v>
          </cell>
          <cell r="B10865">
            <v>202508</v>
          </cell>
          <cell r="D10865" t="str">
            <v>Hogar</v>
          </cell>
          <cell r="G10865" t="str">
            <v>Presupuesto</v>
          </cell>
        </row>
        <row r="10866">
          <cell r="A10866" t="str">
            <v>SEGURETXE</v>
          </cell>
          <cell r="B10866">
            <v>202508</v>
          </cell>
          <cell r="D10866" t="str">
            <v>Hogar</v>
          </cell>
          <cell r="G10866" t="str">
            <v>Real</v>
          </cell>
        </row>
        <row r="10867">
          <cell r="A10867" t="str">
            <v>SEGURETXE</v>
          </cell>
          <cell r="B10867">
            <v>202508</v>
          </cell>
          <cell r="D10867" t="str">
            <v>Náutica</v>
          </cell>
          <cell r="G10867" t="str">
            <v>Presupuesto</v>
          </cell>
        </row>
        <row r="10868">
          <cell r="A10868" t="str">
            <v>SEGURETXE</v>
          </cell>
          <cell r="B10868">
            <v>202508</v>
          </cell>
          <cell r="D10868" t="str">
            <v>Náutica</v>
          </cell>
          <cell r="G10868" t="str">
            <v>Real</v>
          </cell>
        </row>
        <row r="10869">
          <cell r="A10869" t="str">
            <v>SEGURETXE</v>
          </cell>
          <cell r="B10869">
            <v>202508</v>
          </cell>
          <cell r="D10869" t="str">
            <v>Property</v>
          </cell>
          <cell r="G10869" t="str">
            <v>Presupuesto</v>
          </cell>
        </row>
        <row r="10870">
          <cell r="A10870" t="str">
            <v>SEGURETXE</v>
          </cell>
          <cell r="B10870">
            <v>202508</v>
          </cell>
          <cell r="D10870" t="str">
            <v>Property</v>
          </cell>
          <cell r="G10870" t="str">
            <v>Real</v>
          </cell>
        </row>
        <row r="10871">
          <cell r="A10871" t="str">
            <v>SEGURETXE</v>
          </cell>
          <cell r="B10871">
            <v>202508</v>
          </cell>
          <cell r="D10871" t="str">
            <v>RC</v>
          </cell>
          <cell r="G10871" t="str">
            <v>Presupuesto</v>
          </cell>
        </row>
        <row r="10872">
          <cell r="A10872" t="str">
            <v>SEGURETXE</v>
          </cell>
          <cell r="B10872">
            <v>202508</v>
          </cell>
          <cell r="D10872" t="str">
            <v>RC</v>
          </cell>
          <cell r="G10872" t="str">
            <v>Real</v>
          </cell>
        </row>
        <row r="10873">
          <cell r="A10873" t="str">
            <v>SEGURETXE</v>
          </cell>
          <cell r="B10873">
            <v>202508</v>
          </cell>
          <cell r="D10873" t="str">
            <v>Seguros Personales (No Vida) Colectivos</v>
          </cell>
          <cell r="G10873" t="str">
            <v>Presupuesto</v>
          </cell>
        </row>
        <row r="10874">
          <cell r="A10874" t="str">
            <v>SEGURETXE</v>
          </cell>
          <cell r="B10874">
            <v>202508</v>
          </cell>
          <cell r="D10874" t="str">
            <v>Seguros Personales (No Vida) Colectivos</v>
          </cell>
          <cell r="G10874" t="str">
            <v>Real</v>
          </cell>
        </row>
        <row r="10875">
          <cell r="A10875" t="str">
            <v>SEGURETXE</v>
          </cell>
          <cell r="B10875">
            <v>202508</v>
          </cell>
          <cell r="D10875" t="str">
            <v>Seguros Personales (No Vida) Particular</v>
          </cell>
          <cell r="G10875" t="str">
            <v>Presupuesto</v>
          </cell>
        </row>
        <row r="10876">
          <cell r="A10876" t="str">
            <v>SEGURETXE</v>
          </cell>
          <cell r="B10876">
            <v>202508</v>
          </cell>
          <cell r="D10876" t="str">
            <v>Seguros Personales (No Vida) Particular</v>
          </cell>
          <cell r="G10876" t="str">
            <v>Real</v>
          </cell>
        </row>
        <row r="10877">
          <cell r="A10877" t="str">
            <v>SEGURETXE</v>
          </cell>
          <cell r="B10877">
            <v>202508</v>
          </cell>
          <cell r="D10877" t="str">
            <v>Transporte</v>
          </cell>
          <cell r="G10877" t="str">
            <v>Presupuesto</v>
          </cell>
        </row>
        <row r="10878">
          <cell r="A10878" t="str">
            <v>SEGURETXE</v>
          </cell>
          <cell r="B10878">
            <v>202508</v>
          </cell>
          <cell r="D10878" t="str">
            <v>Transporte</v>
          </cell>
          <cell r="G10878" t="str">
            <v>Real</v>
          </cell>
        </row>
        <row r="10879">
          <cell r="A10879" t="str">
            <v>SEGURETXE</v>
          </cell>
          <cell r="B10879">
            <v>202508</v>
          </cell>
          <cell r="D10879" t="str">
            <v>Vida Riesgo Particular</v>
          </cell>
          <cell r="G10879" t="str">
            <v>Presupuesto</v>
          </cell>
        </row>
        <row r="10880">
          <cell r="A10880" t="str">
            <v>SEGURETXE</v>
          </cell>
          <cell r="B10880">
            <v>202508</v>
          </cell>
          <cell r="D10880" t="str">
            <v>Vida Riesgo Particular</v>
          </cell>
          <cell r="G10880" t="str">
            <v>Real</v>
          </cell>
        </row>
        <row r="10881">
          <cell r="A10881" t="str">
            <v>SEGURETXE</v>
          </cell>
          <cell r="B10881">
            <v>202509</v>
          </cell>
          <cell r="D10881" t="str">
            <v>--</v>
          </cell>
          <cell r="G10881" t="str">
            <v>Presupuesto</v>
          </cell>
        </row>
        <row r="10882">
          <cell r="A10882" t="str">
            <v>SEGURETXE</v>
          </cell>
          <cell r="B10882">
            <v>202509</v>
          </cell>
          <cell r="D10882" t="str">
            <v>--</v>
          </cell>
          <cell r="G10882" t="str">
            <v>Real</v>
          </cell>
        </row>
        <row r="10883">
          <cell r="A10883" t="str">
            <v>SEGURETXE</v>
          </cell>
          <cell r="B10883">
            <v>202509</v>
          </cell>
          <cell r="D10883" t="str">
            <v>Autos</v>
          </cell>
          <cell r="G10883" t="str">
            <v>Presupuesto</v>
          </cell>
        </row>
        <row r="10884">
          <cell r="A10884" t="str">
            <v>SEGURETXE</v>
          </cell>
          <cell r="B10884">
            <v>202509</v>
          </cell>
          <cell r="D10884" t="str">
            <v>Autos</v>
          </cell>
          <cell r="G10884" t="str">
            <v>Real</v>
          </cell>
        </row>
        <row r="10885">
          <cell r="A10885" t="str">
            <v>SEGURETXE</v>
          </cell>
          <cell r="B10885">
            <v>202509</v>
          </cell>
          <cell r="D10885" t="str">
            <v>Flotas</v>
          </cell>
          <cell r="G10885" t="str">
            <v>Presupuesto</v>
          </cell>
        </row>
        <row r="10886">
          <cell r="A10886" t="str">
            <v>SEGURETXE</v>
          </cell>
          <cell r="B10886">
            <v>202509</v>
          </cell>
          <cell r="D10886" t="str">
            <v>Flotas</v>
          </cell>
          <cell r="G10886" t="str">
            <v>Real</v>
          </cell>
        </row>
        <row r="10887">
          <cell r="A10887" t="str">
            <v>SEGURETXE</v>
          </cell>
          <cell r="B10887">
            <v>202509</v>
          </cell>
          <cell r="D10887" t="str">
            <v>Hogar</v>
          </cell>
          <cell r="G10887" t="str">
            <v>Presupuesto</v>
          </cell>
        </row>
        <row r="10888">
          <cell r="A10888" t="str">
            <v>SEGURETXE</v>
          </cell>
          <cell r="B10888">
            <v>202509</v>
          </cell>
          <cell r="D10888" t="str">
            <v>Hogar</v>
          </cell>
          <cell r="G10888" t="str">
            <v>Real</v>
          </cell>
        </row>
        <row r="10889">
          <cell r="A10889" t="str">
            <v>SEGURETXE</v>
          </cell>
          <cell r="B10889">
            <v>202509</v>
          </cell>
          <cell r="D10889" t="str">
            <v>Ingeniería</v>
          </cell>
          <cell r="G10889" t="str">
            <v>Presupuesto</v>
          </cell>
        </row>
        <row r="10890">
          <cell r="A10890" t="str">
            <v>SEGURETXE</v>
          </cell>
          <cell r="B10890">
            <v>202509</v>
          </cell>
          <cell r="D10890" t="str">
            <v>Ingeniería</v>
          </cell>
          <cell r="G10890" t="str">
            <v>Real</v>
          </cell>
        </row>
        <row r="10891">
          <cell r="A10891" t="str">
            <v>SEGURETXE</v>
          </cell>
          <cell r="B10891">
            <v>202509</v>
          </cell>
          <cell r="D10891" t="str">
            <v>Náutica</v>
          </cell>
          <cell r="G10891" t="str">
            <v>Presupuesto</v>
          </cell>
        </row>
        <row r="10892">
          <cell r="A10892" t="str">
            <v>SEGURETXE</v>
          </cell>
          <cell r="B10892">
            <v>202509</v>
          </cell>
          <cell r="D10892" t="str">
            <v>Náutica</v>
          </cell>
          <cell r="G10892" t="str">
            <v>Real</v>
          </cell>
        </row>
        <row r="10893">
          <cell r="A10893" t="str">
            <v>SEGURETXE</v>
          </cell>
          <cell r="B10893">
            <v>202509</v>
          </cell>
          <cell r="D10893" t="str">
            <v>Property</v>
          </cell>
          <cell r="G10893" t="str">
            <v>Presupuesto</v>
          </cell>
        </row>
        <row r="10894">
          <cell r="A10894" t="str">
            <v>SEGURETXE</v>
          </cell>
          <cell r="B10894">
            <v>202509</v>
          </cell>
          <cell r="D10894" t="str">
            <v>Property</v>
          </cell>
          <cell r="G10894" t="str">
            <v>Real</v>
          </cell>
        </row>
        <row r="10895">
          <cell r="A10895" t="str">
            <v>SEGURETXE</v>
          </cell>
          <cell r="B10895">
            <v>202509</v>
          </cell>
          <cell r="D10895" t="str">
            <v>RC</v>
          </cell>
          <cell r="G10895" t="str">
            <v>Presupuesto</v>
          </cell>
        </row>
        <row r="10896">
          <cell r="A10896" t="str">
            <v>SEGURETXE</v>
          </cell>
          <cell r="B10896">
            <v>202509</v>
          </cell>
          <cell r="D10896" t="str">
            <v>RC</v>
          </cell>
          <cell r="G10896" t="str">
            <v>Real</v>
          </cell>
        </row>
        <row r="10897">
          <cell r="A10897" t="str">
            <v>SEGURETXE</v>
          </cell>
          <cell r="B10897">
            <v>202509</v>
          </cell>
          <cell r="D10897" t="str">
            <v>Seguros Personales (No Vida) Colectivos</v>
          </cell>
          <cell r="G10897" t="str">
            <v>Presupuesto</v>
          </cell>
        </row>
        <row r="10898">
          <cell r="A10898" t="str">
            <v>SEGURETXE</v>
          </cell>
          <cell r="B10898">
            <v>202509</v>
          </cell>
          <cell r="D10898" t="str">
            <v>Seguros Personales (No Vida) Colectivos</v>
          </cell>
          <cell r="G10898" t="str">
            <v>Real</v>
          </cell>
        </row>
        <row r="10899">
          <cell r="A10899" t="str">
            <v>SEGURETXE</v>
          </cell>
          <cell r="B10899">
            <v>202509</v>
          </cell>
          <cell r="D10899" t="str">
            <v>Seguros Personales (No Vida) Particular</v>
          </cell>
          <cell r="G10899" t="str">
            <v>Presupuesto</v>
          </cell>
        </row>
        <row r="10900">
          <cell r="A10900" t="str">
            <v>SEGURETXE</v>
          </cell>
          <cell r="B10900">
            <v>202509</v>
          </cell>
          <cell r="D10900" t="str">
            <v>Seguros Personales (No Vida) Particular</v>
          </cell>
          <cell r="G10900" t="str">
            <v>Real</v>
          </cell>
        </row>
        <row r="10901">
          <cell r="A10901" t="str">
            <v>SEGURETXE</v>
          </cell>
          <cell r="B10901">
            <v>202509</v>
          </cell>
          <cell r="D10901" t="str">
            <v>Transporte</v>
          </cell>
          <cell r="G10901" t="str">
            <v>Presupuesto</v>
          </cell>
        </row>
        <row r="10902">
          <cell r="A10902" t="str">
            <v>SEGURETXE</v>
          </cell>
          <cell r="B10902">
            <v>202509</v>
          </cell>
          <cell r="D10902" t="str">
            <v>Transporte</v>
          </cell>
          <cell r="G10902" t="str">
            <v>Real</v>
          </cell>
        </row>
        <row r="10903">
          <cell r="A10903" t="str">
            <v>SEGURETXE</v>
          </cell>
          <cell r="B10903">
            <v>202509</v>
          </cell>
          <cell r="D10903" t="str">
            <v>Vida Riesgo Particular</v>
          </cell>
          <cell r="G10903" t="str">
            <v>Presupuesto</v>
          </cell>
        </row>
        <row r="10904">
          <cell r="A10904" t="str">
            <v>SEGURETXE</v>
          </cell>
          <cell r="B10904">
            <v>202509</v>
          </cell>
          <cell r="D10904" t="str">
            <v>Vida Riesgo Particular</v>
          </cell>
          <cell r="G10904" t="str">
            <v>Real</v>
          </cell>
        </row>
        <row r="10905">
          <cell r="A10905" t="str">
            <v>SEGURETXE</v>
          </cell>
          <cell r="B10905">
            <v>202510</v>
          </cell>
          <cell r="D10905" t="str">
            <v>--</v>
          </cell>
          <cell r="G10905" t="str">
            <v>Presupuesto</v>
          </cell>
        </row>
        <row r="10906">
          <cell r="A10906" t="str">
            <v>SEGURETXE</v>
          </cell>
          <cell r="B10906">
            <v>202510</v>
          </cell>
          <cell r="D10906" t="str">
            <v>--</v>
          </cell>
          <cell r="G10906" t="str">
            <v>Real</v>
          </cell>
        </row>
        <row r="10907">
          <cell r="A10907" t="str">
            <v>SEGURETXE</v>
          </cell>
          <cell r="B10907">
            <v>202510</v>
          </cell>
          <cell r="D10907" t="str">
            <v>Autos</v>
          </cell>
          <cell r="G10907" t="str">
            <v>Presupuesto</v>
          </cell>
        </row>
        <row r="10908">
          <cell r="A10908" t="str">
            <v>SEGURETXE</v>
          </cell>
          <cell r="B10908">
            <v>202510</v>
          </cell>
          <cell r="D10908" t="str">
            <v>Autos</v>
          </cell>
          <cell r="G10908" t="str">
            <v>Real</v>
          </cell>
        </row>
        <row r="10909">
          <cell r="A10909" t="str">
            <v>SEGURETXE</v>
          </cell>
          <cell r="B10909">
            <v>202510</v>
          </cell>
          <cell r="D10909" t="str">
            <v>Flotas</v>
          </cell>
          <cell r="G10909" t="str">
            <v>Presupuesto</v>
          </cell>
        </row>
        <row r="10910">
          <cell r="A10910" t="str">
            <v>SEGURETXE</v>
          </cell>
          <cell r="B10910">
            <v>202510</v>
          </cell>
          <cell r="D10910" t="str">
            <v>Flotas</v>
          </cell>
          <cell r="G10910" t="str">
            <v>Real</v>
          </cell>
        </row>
        <row r="10911">
          <cell r="A10911" t="str">
            <v>SEGURETXE</v>
          </cell>
          <cell r="B10911">
            <v>202510</v>
          </cell>
          <cell r="D10911" t="str">
            <v>Hogar</v>
          </cell>
          <cell r="G10911" t="str">
            <v>Presupuesto</v>
          </cell>
        </row>
        <row r="10912">
          <cell r="A10912" t="str">
            <v>SEGURETXE</v>
          </cell>
          <cell r="B10912">
            <v>202510</v>
          </cell>
          <cell r="D10912" t="str">
            <v>Hogar</v>
          </cell>
          <cell r="G10912" t="str">
            <v>Real</v>
          </cell>
        </row>
        <row r="10913">
          <cell r="A10913" t="str">
            <v>SEGURETXE</v>
          </cell>
          <cell r="B10913">
            <v>202510</v>
          </cell>
          <cell r="D10913" t="str">
            <v>Ingeniería</v>
          </cell>
          <cell r="G10913" t="str">
            <v>Presupuesto</v>
          </cell>
        </row>
        <row r="10914">
          <cell r="A10914" t="str">
            <v>SEGURETXE</v>
          </cell>
          <cell r="B10914">
            <v>202510</v>
          </cell>
          <cell r="D10914" t="str">
            <v>Ingeniería</v>
          </cell>
          <cell r="G10914" t="str">
            <v>Real</v>
          </cell>
        </row>
        <row r="10915">
          <cell r="A10915" t="str">
            <v>SEGURETXE</v>
          </cell>
          <cell r="B10915">
            <v>202510</v>
          </cell>
          <cell r="D10915" t="str">
            <v>Náutica</v>
          </cell>
          <cell r="G10915" t="str">
            <v>Presupuesto</v>
          </cell>
        </row>
        <row r="10916">
          <cell r="A10916" t="str">
            <v>SEGURETXE</v>
          </cell>
          <cell r="B10916">
            <v>202510</v>
          </cell>
          <cell r="D10916" t="str">
            <v>Náutica</v>
          </cell>
          <cell r="G10916" t="str">
            <v>Real</v>
          </cell>
        </row>
        <row r="10917">
          <cell r="A10917" t="str">
            <v>SEGURETXE</v>
          </cell>
          <cell r="B10917">
            <v>202510</v>
          </cell>
          <cell r="D10917" t="str">
            <v>Particulares Resto</v>
          </cell>
          <cell r="G10917" t="str">
            <v>Presupuesto</v>
          </cell>
        </row>
        <row r="10918">
          <cell r="A10918" t="str">
            <v>SEGURETXE</v>
          </cell>
          <cell r="B10918">
            <v>202510</v>
          </cell>
          <cell r="D10918" t="str">
            <v>Particulares Resto</v>
          </cell>
          <cell r="G10918" t="str">
            <v>Real</v>
          </cell>
        </row>
        <row r="10919">
          <cell r="A10919" t="str">
            <v>SEGURETXE</v>
          </cell>
          <cell r="B10919">
            <v>202510</v>
          </cell>
          <cell r="D10919" t="str">
            <v>Property</v>
          </cell>
          <cell r="G10919" t="str">
            <v>Presupuesto</v>
          </cell>
        </row>
        <row r="10920">
          <cell r="A10920" t="str">
            <v>SEGURETXE</v>
          </cell>
          <cell r="B10920">
            <v>202510</v>
          </cell>
          <cell r="D10920" t="str">
            <v>Property</v>
          </cell>
          <cell r="G10920" t="str">
            <v>Real</v>
          </cell>
        </row>
        <row r="10921">
          <cell r="A10921" t="str">
            <v>SEGURETXE</v>
          </cell>
          <cell r="B10921">
            <v>202510</v>
          </cell>
          <cell r="D10921" t="str">
            <v>RC</v>
          </cell>
          <cell r="G10921" t="str">
            <v>Presupuesto</v>
          </cell>
        </row>
        <row r="10922">
          <cell r="A10922" t="str">
            <v>SEGURETXE</v>
          </cell>
          <cell r="B10922">
            <v>202510</v>
          </cell>
          <cell r="D10922" t="str">
            <v>RC</v>
          </cell>
          <cell r="G10922" t="str">
            <v>Real</v>
          </cell>
        </row>
        <row r="10923">
          <cell r="A10923" t="str">
            <v>SEGURETXE</v>
          </cell>
          <cell r="B10923">
            <v>202510</v>
          </cell>
          <cell r="D10923" t="str">
            <v>Seguros Personales (No Vida) Colectivos</v>
          </cell>
          <cell r="G10923" t="str">
            <v>Presupuesto</v>
          </cell>
        </row>
        <row r="10924">
          <cell r="A10924" t="str">
            <v>SEGURETXE</v>
          </cell>
          <cell r="B10924">
            <v>202510</v>
          </cell>
          <cell r="D10924" t="str">
            <v>Seguros Personales (No Vida) Colectivos</v>
          </cell>
          <cell r="G10924" t="str">
            <v>Real</v>
          </cell>
        </row>
        <row r="10925">
          <cell r="A10925" t="str">
            <v>SEGURETXE</v>
          </cell>
          <cell r="B10925">
            <v>202510</v>
          </cell>
          <cell r="D10925" t="str">
            <v>Seguros Personales (No Vida) Particular</v>
          </cell>
          <cell r="G10925" t="str">
            <v>Presupuesto</v>
          </cell>
        </row>
        <row r="10926">
          <cell r="A10926" t="str">
            <v>SEGURETXE</v>
          </cell>
          <cell r="B10926">
            <v>202510</v>
          </cell>
          <cell r="D10926" t="str">
            <v>Seguros Personales (No Vida) Particular</v>
          </cell>
          <cell r="G10926" t="str">
            <v>Real</v>
          </cell>
        </row>
        <row r="10927">
          <cell r="A10927" t="str">
            <v>SEGURETXE</v>
          </cell>
          <cell r="B10927">
            <v>202510</v>
          </cell>
          <cell r="D10927" t="str">
            <v>Transporte</v>
          </cell>
          <cell r="G10927" t="str">
            <v>Presupuesto</v>
          </cell>
        </row>
        <row r="10928">
          <cell r="A10928" t="str">
            <v>SEGURETXE</v>
          </cell>
          <cell r="B10928">
            <v>202510</v>
          </cell>
          <cell r="D10928" t="str">
            <v>Transporte</v>
          </cell>
          <cell r="G10928" t="str">
            <v>Real</v>
          </cell>
        </row>
        <row r="10929">
          <cell r="A10929" t="str">
            <v>SEGURETXE</v>
          </cell>
          <cell r="B10929">
            <v>202510</v>
          </cell>
          <cell r="D10929" t="str">
            <v>Vida Riesgo Particular</v>
          </cell>
          <cell r="G10929" t="str">
            <v>Presupuesto</v>
          </cell>
        </row>
        <row r="10930">
          <cell r="A10930" t="str">
            <v>SEGURETXE</v>
          </cell>
          <cell r="B10930">
            <v>202510</v>
          </cell>
          <cell r="D10930" t="str">
            <v>Vida Riesgo Particular</v>
          </cell>
          <cell r="G10930" t="str">
            <v>Real</v>
          </cell>
        </row>
        <row r="10931">
          <cell r="A10931" t="str">
            <v>SEGURETXE</v>
          </cell>
          <cell r="B10931">
            <v>202511</v>
          </cell>
          <cell r="D10931" t="str">
            <v>--</v>
          </cell>
          <cell r="G10931" t="str">
            <v>Presupuesto</v>
          </cell>
        </row>
        <row r="10932">
          <cell r="A10932" t="str">
            <v>SEGURETXE</v>
          </cell>
          <cell r="B10932">
            <v>202511</v>
          </cell>
          <cell r="D10932" t="str">
            <v>--</v>
          </cell>
          <cell r="G10932" t="str">
            <v>Real</v>
          </cell>
        </row>
        <row r="10933">
          <cell r="A10933" t="str">
            <v>SEGURETXE</v>
          </cell>
          <cell r="B10933">
            <v>202511</v>
          </cell>
          <cell r="D10933" t="str">
            <v>Autos</v>
          </cell>
          <cell r="G10933" t="str">
            <v>Presupuesto</v>
          </cell>
        </row>
        <row r="10934">
          <cell r="A10934" t="str">
            <v>SEGURETXE</v>
          </cell>
          <cell r="B10934">
            <v>202511</v>
          </cell>
          <cell r="D10934" t="str">
            <v>Autos</v>
          </cell>
          <cell r="G10934" t="str">
            <v>Real</v>
          </cell>
        </row>
        <row r="10935">
          <cell r="A10935" t="str">
            <v>SEGURETXE</v>
          </cell>
          <cell r="B10935">
            <v>202511</v>
          </cell>
          <cell r="D10935" t="str">
            <v>Flotas</v>
          </cell>
          <cell r="G10935" t="str">
            <v>Presupuesto</v>
          </cell>
        </row>
        <row r="10936">
          <cell r="A10936" t="str">
            <v>SEGURETXE</v>
          </cell>
          <cell r="B10936">
            <v>202511</v>
          </cell>
          <cell r="D10936" t="str">
            <v>Flotas</v>
          </cell>
          <cell r="G10936" t="str">
            <v>Real</v>
          </cell>
        </row>
        <row r="10937">
          <cell r="A10937" t="str">
            <v>SEGURETXE</v>
          </cell>
          <cell r="B10937">
            <v>202511</v>
          </cell>
          <cell r="D10937" t="str">
            <v>Hogar</v>
          </cell>
          <cell r="G10937" t="str">
            <v>Presupuesto</v>
          </cell>
        </row>
        <row r="10938">
          <cell r="A10938" t="str">
            <v>SEGURETXE</v>
          </cell>
          <cell r="B10938">
            <v>202511</v>
          </cell>
          <cell r="D10938" t="str">
            <v>Hogar</v>
          </cell>
          <cell r="G10938" t="str">
            <v>Real</v>
          </cell>
        </row>
        <row r="10939">
          <cell r="A10939" t="str">
            <v>SEGURETXE</v>
          </cell>
          <cell r="B10939">
            <v>202511</v>
          </cell>
          <cell r="D10939" t="str">
            <v>Ingeniería</v>
          </cell>
          <cell r="G10939" t="str">
            <v>Presupuesto</v>
          </cell>
        </row>
        <row r="10940">
          <cell r="A10940" t="str">
            <v>SEGURETXE</v>
          </cell>
          <cell r="B10940">
            <v>202511</v>
          </cell>
          <cell r="D10940" t="str">
            <v>Ingeniería</v>
          </cell>
          <cell r="G10940" t="str">
            <v>Real</v>
          </cell>
        </row>
        <row r="10941">
          <cell r="A10941" t="str">
            <v>SEGURETXE</v>
          </cell>
          <cell r="B10941">
            <v>202511</v>
          </cell>
          <cell r="D10941" t="str">
            <v>Líneas Financieras</v>
          </cell>
          <cell r="G10941" t="str">
            <v>Presupuesto</v>
          </cell>
        </row>
        <row r="10942">
          <cell r="A10942" t="str">
            <v>SEGURETXE</v>
          </cell>
          <cell r="B10942">
            <v>202511</v>
          </cell>
          <cell r="D10942" t="str">
            <v>Líneas Financieras</v>
          </cell>
          <cell r="G10942" t="str">
            <v>Real</v>
          </cell>
        </row>
        <row r="10943">
          <cell r="A10943" t="str">
            <v>SEGURETXE</v>
          </cell>
          <cell r="B10943">
            <v>202511</v>
          </cell>
          <cell r="D10943" t="str">
            <v>Náutica</v>
          </cell>
          <cell r="G10943" t="str">
            <v>Presupuesto</v>
          </cell>
        </row>
        <row r="10944">
          <cell r="A10944" t="str">
            <v>SEGURETXE</v>
          </cell>
          <cell r="B10944">
            <v>202511</v>
          </cell>
          <cell r="D10944" t="str">
            <v>Náutica</v>
          </cell>
          <cell r="G10944" t="str">
            <v>Real</v>
          </cell>
        </row>
        <row r="10945">
          <cell r="A10945" t="str">
            <v>SEGURETXE</v>
          </cell>
          <cell r="B10945">
            <v>202511</v>
          </cell>
          <cell r="D10945" t="str">
            <v>Particulares Resto</v>
          </cell>
          <cell r="G10945" t="str">
            <v>Presupuesto</v>
          </cell>
        </row>
        <row r="10946">
          <cell r="A10946" t="str">
            <v>SEGURETXE</v>
          </cell>
          <cell r="B10946">
            <v>202511</v>
          </cell>
          <cell r="D10946" t="str">
            <v>Particulares Resto</v>
          </cell>
          <cell r="G10946" t="str">
            <v>Real</v>
          </cell>
        </row>
        <row r="10947">
          <cell r="A10947" t="str">
            <v>SEGURETXE</v>
          </cell>
          <cell r="B10947">
            <v>202511</v>
          </cell>
          <cell r="D10947" t="str">
            <v>Property</v>
          </cell>
          <cell r="G10947" t="str">
            <v>Presupuesto</v>
          </cell>
        </row>
        <row r="10948">
          <cell r="A10948" t="str">
            <v>SEGURETXE</v>
          </cell>
          <cell r="B10948">
            <v>202511</v>
          </cell>
          <cell r="D10948" t="str">
            <v>Property</v>
          </cell>
          <cell r="G10948" t="str">
            <v>Real</v>
          </cell>
        </row>
        <row r="10949">
          <cell r="A10949" t="str">
            <v>SEGURETXE</v>
          </cell>
          <cell r="B10949">
            <v>202511</v>
          </cell>
          <cell r="D10949" t="str">
            <v>RC</v>
          </cell>
          <cell r="G10949" t="str">
            <v>Presupuesto</v>
          </cell>
        </row>
        <row r="10950">
          <cell r="A10950" t="str">
            <v>SEGURETXE</v>
          </cell>
          <cell r="B10950">
            <v>202511</v>
          </cell>
          <cell r="D10950" t="str">
            <v>RC</v>
          </cell>
          <cell r="G10950" t="str">
            <v>Real</v>
          </cell>
        </row>
        <row r="10951">
          <cell r="A10951" t="str">
            <v>SEGURETXE</v>
          </cell>
          <cell r="B10951">
            <v>202511</v>
          </cell>
          <cell r="D10951" t="str">
            <v>Seguros Personales (No Vida) Colectivos</v>
          </cell>
          <cell r="G10951" t="str">
            <v>Presupuesto</v>
          </cell>
        </row>
        <row r="10952">
          <cell r="A10952" t="str">
            <v>SEGURETXE</v>
          </cell>
          <cell r="B10952">
            <v>202511</v>
          </cell>
          <cell r="D10952" t="str">
            <v>Seguros Personales (No Vida) Colectivos</v>
          </cell>
          <cell r="G10952" t="str">
            <v>Real</v>
          </cell>
        </row>
        <row r="10953">
          <cell r="A10953" t="str">
            <v>SEGURETXE</v>
          </cell>
          <cell r="B10953">
            <v>202511</v>
          </cell>
          <cell r="D10953" t="str">
            <v>Seguros Personales (No Vida) Particular</v>
          </cell>
          <cell r="G10953" t="str">
            <v>Presupuesto</v>
          </cell>
        </row>
        <row r="10954">
          <cell r="A10954" t="str">
            <v>SEGURETXE</v>
          </cell>
          <cell r="B10954">
            <v>202511</v>
          </cell>
          <cell r="D10954" t="str">
            <v>Seguros Personales (No Vida) Particular</v>
          </cell>
          <cell r="G10954" t="str">
            <v>Real</v>
          </cell>
        </row>
        <row r="10955">
          <cell r="A10955" t="str">
            <v>SEGURETXE</v>
          </cell>
          <cell r="B10955">
            <v>202511</v>
          </cell>
          <cell r="D10955" t="str">
            <v>Transporte</v>
          </cell>
          <cell r="G10955" t="str">
            <v>Presupuesto</v>
          </cell>
        </row>
        <row r="10956">
          <cell r="A10956" t="str">
            <v>SEGURETXE</v>
          </cell>
          <cell r="B10956">
            <v>202511</v>
          </cell>
          <cell r="D10956" t="str">
            <v>Transporte</v>
          </cell>
          <cell r="G10956" t="str">
            <v>Real</v>
          </cell>
        </row>
        <row r="10957">
          <cell r="A10957" t="str">
            <v>SEGURETXE</v>
          </cell>
          <cell r="B10957">
            <v>202511</v>
          </cell>
          <cell r="D10957" t="str">
            <v>Vida Riesgo Particular</v>
          </cell>
          <cell r="G10957" t="str">
            <v>Presupuesto</v>
          </cell>
        </row>
        <row r="10958">
          <cell r="A10958" t="str">
            <v>SEGURETXE</v>
          </cell>
          <cell r="B10958">
            <v>202511</v>
          </cell>
          <cell r="D10958" t="str">
            <v>Vida Riesgo Particular</v>
          </cell>
          <cell r="G10958" t="str">
            <v>Real</v>
          </cell>
        </row>
        <row r="10959">
          <cell r="A10959" t="str">
            <v>SEGURETXE</v>
          </cell>
          <cell r="B10959">
            <v>202512</v>
          </cell>
          <cell r="D10959" t="str">
            <v>--</v>
          </cell>
          <cell r="G10959" t="str">
            <v>Presupuesto</v>
          </cell>
        </row>
        <row r="10960">
          <cell r="A10960" t="str">
            <v>SEGURETXE</v>
          </cell>
          <cell r="B10960">
            <v>202512</v>
          </cell>
          <cell r="D10960" t="str">
            <v>--</v>
          </cell>
          <cell r="G10960" t="str">
            <v>Real</v>
          </cell>
        </row>
        <row r="10961">
          <cell r="A10961" t="str">
            <v>SEGURETXE</v>
          </cell>
          <cell r="B10961">
            <v>202512</v>
          </cell>
          <cell r="D10961" t="str">
            <v>Autos</v>
          </cell>
          <cell r="G10961" t="str">
            <v>Presupuesto</v>
          </cell>
        </row>
        <row r="10962">
          <cell r="A10962" t="str">
            <v>SEGURETXE</v>
          </cell>
          <cell r="B10962">
            <v>202512</v>
          </cell>
          <cell r="D10962" t="str">
            <v>Autos</v>
          </cell>
          <cell r="G10962" t="str">
            <v>Real</v>
          </cell>
        </row>
        <row r="10963">
          <cell r="A10963" t="str">
            <v>SEGURETXE</v>
          </cell>
          <cell r="B10963">
            <v>202512</v>
          </cell>
          <cell r="D10963" t="str">
            <v>Flotas</v>
          </cell>
          <cell r="G10963" t="str">
            <v>Presupuesto</v>
          </cell>
        </row>
        <row r="10964">
          <cell r="A10964" t="str">
            <v>SEGURETXE</v>
          </cell>
          <cell r="B10964">
            <v>202512</v>
          </cell>
          <cell r="D10964" t="str">
            <v>Flotas</v>
          </cell>
          <cell r="G10964" t="str">
            <v>Real</v>
          </cell>
        </row>
        <row r="10965">
          <cell r="A10965" t="str">
            <v>SEGURETXE</v>
          </cell>
          <cell r="B10965">
            <v>202512</v>
          </cell>
          <cell r="D10965" t="str">
            <v>Hogar</v>
          </cell>
          <cell r="G10965" t="str">
            <v>Presupuesto</v>
          </cell>
        </row>
        <row r="10966">
          <cell r="A10966" t="str">
            <v>SEGURETXE</v>
          </cell>
          <cell r="B10966">
            <v>202512</v>
          </cell>
          <cell r="D10966" t="str">
            <v>Hogar</v>
          </cell>
          <cell r="G10966" t="str">
            <v>Real</v>
          </cell>
        </row>
        <row r="10967">
          <cell r="A10967" t="str">
            <v>SEGURETXE</v>
          </cell>
          <cell r="B10967">
            <v>202512</v>
          </cell>
          <cell r="D10967" t="str">
            <v>Ingeniería</v>
          </cell>
          <cell r="G10967" t="str">
            <v>Presupuesto</v>
          </cell>
        </row>
        <row r="10968">
          <cell r="A10968" t="str">
            <v>SEGURETXE</v>
          </cell>
          <cell r="B10968">
            <v>202512</v>
          </cell>
          <cell r="D10968" t="str">
            <v>Ingeniería</v>
          </cell>
          <cell r="G10968" t="str">
            <v>Real</v>
          </cell>
        </row>
        <row r="10969">
          <cell r="A10969" t="str">
            <v>SEGURETXE</v>
          </cell>
          <cell r="B10969">
            <v>202512</v>
          </cell>
          <cell r="D10969" t="str">
            <v>Líneas Financieras</v>
          </cell>
          <cell r="G10969" t="str">
            <v>Presupuesto</v>
          </cell>
        </row>
        <row r="10970">
          <cell r="A10970" t="str">
            <v>SEGURETXE</v>
          </cell>
          <cell r="B10970">
            <v>202512</v>
          </cell>
          <cell r="D10970" t="str">
            <v>Líneas Financieras</v>
          </cell>
          <cell r="G10970" t="str">
            <v>Real</v>
          </cell>
        </row>
        <row r="10971">
          <cell r="A10971" t="str">
            <v>SEGURETXE</v>
          </cell>
          <cell r="B10971">
            <v>202512</v>
          </cell>
          <cell r="D10971" t="str">
            <v>Náutica</v>
          </cell>
          <cell r="G10971" t="str">
            <v>Presupuesto</v>
          </cell>
        </row>
        <row r="10972">
          <cell r="A10972" t="str">
            <v>SEGURETXE</v>
          </cell>
          <cell r="B10972">
            <v>202512</v>
          </cell>
          <cell r="D10972" t="str">
            <v>Náutica</v>
          </cell>
          <cell r="G10972" t="str">
            <v>Real</v>
          </cell>
        </row>
        <row r="10973">
          <cell r="A10973" t="str">
            <v>SEGURETXE</v>
          </cell>
          <cell r="B10973">
            <v>202512</v>
          </cell>
          <cell r="D10973" t="str">
            <v>Particulares Resto</v>
          </cell>
          <cell r="G10973" t="str">
            <v>Presupuesto</v>
          </cell>
        </row>
        <row r="10974">
          <cell r="A10974" t="str">
            <v>SEGURETXE</v>
          </cell>
          <cell r="B10974">
            <v>202512</v>
          </cell>
          <cell r="D10974" t="str">
            <v>Particulares Resto</v>
          </cell>
          <cell r="G10974" t="str">
            <v>Real</v>
          </cell>
        </row>
        <row r="10975">
          <cell r="A10975" t="str">
            <v>SEGURETXE</v>
          </cell>
          <cell r="B10975">
            <v>202512</v>
          </cell>
          <cell r="D10975" t="str">
            <v>Property</v>
          </cell>
          <cell r="G10975" t="str">
            <v>Presupuesto</v>
          </cell>
        </row>
        <row r="10976">
          <cell r="A10976" t="str">
            <v>SEGURETXE</v>
          </cell>
          <cell r="B10976">
            <v>202512</v>
          </cell>
          <cell r="D10976" t="str">
            <v>Property</v>
          </cell>
          <cell r="G10976" t="str">
            <v>Real</v>
          </cell>
        </row>
        <row r="10977">
          <cell r="A10977" t="str">
            <v>SEGURETXE</v>
          </cell>
          <cell r="B10977">
            <v>202512</v>
          </cell>
          <cell r="D10977" t="str">
            <v>RC</v>
          </cell>
          <cell r="G10977" t="str">
            <v>Presupuesto</v>
          </cell>
        </row>
        <row r="10978">
          <cell r="A10978" t="str">
            <v>SEGURETXE</v>
          </cell>
          <cell r="B10978">
            <v>202512</v>
          </cell>
          <cell r="D10978" t="str">
            <v>RC</v>
          </cell>
          <cell r="G10978" t="str">
            <v>Real</v>
          </cell>
        </row>
        <row r="10979">
          <cell r="A10979" t="str">
            <v>SEGURETXE</v>
          </cell>
          <cell r="B10979">
            <v>202512</v>
          </cell>
          <cell r="D10979" t="str">
            <v>Seguros Personales (No Vida) Colectivos</v>
          </cell>
          <cell r="G10979" t="str">
            <v>Presupuesto</v>
          </cell>
        </row>
        <row r="10980">
          <cell r="A10980" t="str">
            <v>SEGURETXE</v>
          </cell>
          <cell r="B10980">
            <v>202512</v>
          </cell>
          <cell r="D10980" t="str">
            <v>Seguros Personales (No Vida) Colectivos</v>
          </cell>
          <cell r="G10980" t="str">
            <v>Real</v>
          </cell>
        </row>
        <row r="10981">
          <cell r="A10981" t="str">
            <v>SEGURETXE</v>
          </cell>
          <cell r="B10981">
            <v>202512</v>
          </cell>
          <cell r="D10981" t="str">
            <v>Seguros Personales (No Vida) Particular</v>
          </cell>
          <cell r="G10981" t="str">
            <v>Presupuesto</v>
          </cell>
        </row>
        <row r="10982">
          <cell r="A10982" t="str">
            <v>SEGURETXE</v>
          </cell>
          <cell r="B10982">
            <v>202512</v>
          </cell>
          <cell r="D10982" t="str">
            <v>Seguros Personales (No Vida) Particular</v>
          </cell>
          <cell r="G10982" t="str">
            <v>Real</v>
          </cell>
        </row>
        <row r="10983">
          <cell r="A10983" t="str">
            <v>SEGURETXE</v>
          </cell>
          <cell r="B10983">
            <v>202512</v>
          </cell>
          <cell r="D10983" t="str">
            <v>Transporte</v>
          </cell>
          <cell r="G10983" t="str">
            <v>Presupuesto</v>
          </cell>
        </row>
        <row r="10984">
          <cell r="A10984" t="str">
            <v>SEGURETXE</v>
          </cell>
          <cell r="B10984">
            <v>202512</v>
          </cell>
          <cell r="D10984" t="str">
            <v>Transporte</v>
          </cell>
          <cell r="G10984" t="str">
            <v>Real</v>
          </cell>
        </row>
        <row r="10985">
          <cell r="A10985" t="str">
            <v>SEGURETXE</v>
          </cell>
          <cell r="B10985">
            <v>202512</v>
          </cell>
          <cell r="D10985" t="str">
            <v>Vida Riesgo Particular</v>
          </cell>
          <cell r="G10985" t="str">
            <v>Presupuesto</v>
          </cell>
        </row>
        <row r="10986">
          <cell r="A10986" t="str">
            <v>SEGURETXE</v>
          </cell>
          <cell r="B10986">
            <v>202512</v>
          </cell>
          <cell r="D10986" t="str">
            <v>Vida Riesgo Particular</v>
          </cell>
          <cell r="G10986" t="str">
            <v>Real</v>
          </cell>
        </row>
        <row r="10987">
          <cell r="A10987" t="str">
            <v>SV</v>
          </cell>
          <cell r="B10987">
            <v>202401</v>
          </cell>
          <cell r="D10987" t="str">
            <v>--</v>
          </cell>
          <cell r="G10987" t="str">
            <v>Real</v>
          </cell>
        </row>
        <row r="10988">
          <cell r="A10988" t="str">
            <v>SV</v>
          </cell>
          <cell r="B10988">
            <v>202401</v>
          </cell>
          <cell r="D10988" t="str">
            <v>Resto de Lineas</v>
          </cell>
          <cell r="G10988" t="str">
            <v>Real</v>
          </cell>
        </row>
        <row r="10989">
          <cell r="A10989" t="str">
            <v>SV</v>
          </cell>
          <cell r="B10989">
            <v>202401</v>
          </cell>
          <cell r="D10989" t="str">
            <v>Autos</v>
          </cell>
          <cell r="G10989" t="str">
            <v>Real</v>
          </cell>
        </row>
        <row r="10990">
          <cell r="A10990" t="str">
            <v>SV</v>
          </cell>
          <cell r="B10990">
            <v>202401</v>
          </cell>
          <cell r="D10990" t="str">
            <v>Flotas</v>
          </cell>
          <cell r="G10990" t="str">
            <v>Real</v>
          </cell>
        </row>
        <row r="10991">
          <cell r="A10991" t="str">
            <v>SV</v>
          </cell>
          <cell r="B10991">
            <v>202401</v>
          </cell>
          <cell r="D10991" t="str">
            <v>Flotas</v>
          </cell>
          <cell r="G10991" t="str">
            <v>Real</v>
          </cell>
        </row>
        <row r="10992">
          <cell r="A10992" t="str">
            <v>SV</v>
          </cell>
          <cell r="B10992">
            <v>202401</v>
          </cell>
          <cell r="D10992" t="str">
            <v>Hogar</v>
          </cell>
          <cell r="G10992" t="str">
            <v>Real</v>
          </cell>
        </row>
        <row r="10993">
          <cell r="A10993" t="str">
            <v>SV</v>
          </cell>
          <cell r="B10993">
            <v>202401</v>
          </cell>
          <cell r="D10993" t="str">
            <v>Ingeniería</v>
          </cell>
          <cell r="G10993" t="str">
            <v>Real</v>
          </cell>
        </row>
        <row r="10994">
          <cell r="A10994" t="str">
            <v>SV</v>
          </cell>
          <cell r="B10994">
            <v>202401</v>
          </cell>
          <cell r="D10994" t="str">
            <v>Líneas Financieras</v>
          </cell>
          <cell r="G10994" t="str">
            <v>Real</v>
          </cell>
        </row>
        <row r="10995">
          <cell r="A10995" t="str">
            <v>SV</v>
          </cell>
          <cell r="B10995">
            <v>202401</v>
          </cell>
          <cell r="D10995" t="str">
            <v>Particulares Resto</v>
          </cell>
          <cell r="G10995" t="str">
            <v>Real</v>
          </cell>
        </row>
        <row r="10996">
          <cell r="A10996" t="str">
            <v>SV</v>
          </cell>
          <cell r="B10996">
            <v>202401</v>
          </cell>
          <cell r="D10996" t="str">
            <v>Property</v>
          </cell>
          <cell r="G10996" t="str">
            <v>Real</v>
          </cell>
        </row>
        <row r="10997">
          <cell r="A10997" t="str">
            <v>SV</v>
          </cell>
          <cell r="B10997">
            <v>202401</v>
          </cell>
          <cell r="D10997" t="str">
            <v>RC</v>
          </cell>
          <cell r="G10997" t="str">
            <v>Real</v>
          </cell>
        </row>
        <row r="10998">
          <cell r="A10998" t="str">
            <v>SV</v>
          </cell>
          <cell r="B10998">
            <v>202401</v>
          </cell>
          <cell r="D10998" t="str">
            <v>Seguros Personales (No Vida) Colectivos</v>
          </cell>
          <cell r="G10998" t="str">
            <v>Real</v>
          </cell>
        </row>
        <row r="10999">
          <cell r="A10999" t="str">
            <v>SV</v>
          </cell>
          <cell r="B10999">
            <v>202401</v>
          </cell>
          <cell r="D10999" t="str">
            <v>Seguros Personales (No Vida) Particular</v>
          </cell>
          <cell r="G10999" t="str">
            <v>Real</v>
          </cell>
        </row>
        <row r="11000">
          <cell r="A11000" t="str">
            <v>SV</v>
          </cell>
          <cell r="B11000">
            <v>202401</v>
          </cell>
          <cell r="D11000" t="str">
            <v>Transporte</v>
          </cell>
          <cell r="G11000" t="str">
            <v>Real</v>
          </cell>
        </row>
        <row r="11001">
          <cell r="A11001" t="str">
            <v>SV</v>
          </cell>
          <cell r="B11001">
            <v>202401</v>
          </cell>
          <cell r="D11001" t="str">
            <v>Vida Ahorro Particular</v>
          </cell>
          <cell r="G11001" t="str">
            <v>Real</v>
          </cell>
        </row>
        <row r="11002">
          <cell r="A11002" t="str">
            <v>SV</v>
          </cell>
          <cell r="B11002">
            <v>202401</v>
          </cell>
          <cell r="D11002" t="str">
            <v>Vida Riesgo Particular</v>
          </cell>
          <cell r="G11002" t="str">
            <v>Real</v>
          </cell>
        </row>
        <row r="11003">
          <cell r="A11003" t="str">
            <v>SV</v>
          </cell>
          <cell r="B11003">
            <v>202402</v>
          </cell>
          <cell r="D11003" t="str">
            <v>--</v>
          </cell>
          <cell r="G11003" t="str">
            <v>Real</v>
          </cell>
        </row>
        <row r="11004">
          <cell r="A11004" t="str">
            <v>SV</v>
          </cell>
          <cell r="B11004">
            <v>202402</v>
          </cell>
          <cell r="D11004" t="str">
            <v>Resto de Lineas</v>
          </cell>
          <cell r="G11004" t="str">
            <v>Real</v>
          </cell>
        </row>
        <row r="11005">
          <cell r="A11005" t="str">
            <v>SV</v>
          </cell>
          <cell r="B11005">
            <v>202402</v>
          </cell>
          <cell r="D11005" t="str">
            <v>Autos</v>
          </cell>
          <cell r="G11005" t="str">
            <v>Real</v>
          </cell>
        </row>
        <row r="11006">
          <cell r="A11006" t="str">
            <v>SV</v>
          </cell>
          <cell r="B11006">
            <v>202402</v>
          </cell>
          <cell r="D11006" t="str">
            <v>Flotas</v>
          </cell>
          <cell r="G11006" t="str">
            <v>Real</v>
          </cell>
        </row>
        <row r="11007">
          <cell r="A11007" t="str">
            <v>SV</v>
          </cell>
          <cell r="B11007">
            <v>202402</v>
          </cell>
          <cell r="D11007" t="str">
            <v>Hogar</v>
          </cell>
          <cell r="G11007" t="str">
            <v>Real</v>
          </cell>
        </row>
        <row r="11008">
          <cell r="A11008" t="str">
            <v>SV</v>
          </cell>
          <cell r="B11008">
            <v>202402</v>
          </cell>
          <cell r="D11008" t="str">
            <v>Ingeniería</v>
          </cell>
          <cell r="G11008" t="str">
            <v>Real</v>
          </cell>
        </row>
        <row r="11009">
          <cell r="A11009" t="str">
            <v>SV</v>
          </cell>
          <cell r="B11009">
            <v>202402</v>
          </cell>
          <cell r="D11009" t="str">
            <v>Líneas Financieras</v>
          </cell>
          <cell r="G11009" t="str">
            <v>Real</v>
          </cell>
        </row>
        <row r="11010">
          <cell r="A11010" t="str">
            <v>SV</v>
          </cell>
          <cell r="B11010">
            <v>202402</v>
          </cell>
          <cell r="D11010" t="str">
            <v>Particulares Resto</v>
          </cell>
          <cell r="G11010" t="str">
            <v>Real</v>
          </cell>
        </row>
        <row r="11011">
          <cell r="A11011" t="str">
            <v>SV</v>
          </cell>
          <cell r="B11011">
            <v>202402</v>
          </cell>
          <cell r="D11011" t="str">
            <v>Property</v>
          </cell>
          <cell r="G11011" t="str">
            <v>Real</v>
          </cell>
        </row>
        <row r="11012">
          <cell r="A11012" t="str">
            <v>SV</v>
          </cell>
          <cell r="B11012">
            <v>202402</v>
          </cell>
          <cell r="D11012" t="str">
            <v>RC</v>
          </cell>
          <cell r="G11012" t="str">
            <v>Real</v>
          </cell>
        </row>
        <row r="11013">
          <cell r="A11013" t="str">
            <v>SV</v>
          </cell>
          <cell r="B11013">
            <v>202402</v>
          </cell>
          <cell r="D11013" t="str">
            <v>Seguros Personales (No Vida) Colectivos</v>
          </cell>
          <cell r="G11013" t="str">
            <v>Real</v>
          </cell>
        </row>
        <row r="11014">
          <cell r="A11014" t="str">
            <v>SV</v>
          </cell>
          <cell r="B11014">
            <v>202402</v>
          </cell>
          <cell r="D11014" t="str">
            <v>Seguros Personales (No Vida) Particular</v>
          </cell>
          <cell r="G11014" t="str">
            <v>Real</v>
          </cell>
        </row>
        <row r="11015">
          <cell r="A11015" t="str">
            <v>SV</v>
          </cell>
          <cell r="B11015">
            <v>202402</v>
          </cell>
          <cell r="D11015" t="str">
            <v>Transporte</v>
          </cell>
          <cell r="G11015" t="str">
            <v>Real</v>
          </cell>
        </row>
        <row r="11016">
          <cell r="A11016" t="str">
            <v>SV</v>
          </cell>
          <cell r="B11016">
            <v>202402</v>
          </cell>
          <cell r="D11016" t="str">
            <v>Vida Ahorro Particular</v>
          </cell>
          <cell r="G11016" t="str">
            <v>Real</v>
          </cell>
        </row>
        <row r="11017">
          <cell r="A11017" t="str">
            <v>SV</v>
          </cell>
          <cell r="B11017">
            <v>202402</v>
          </cell>
          <cell r="D11017" t="str">
            <v>Vida Riesgo Particular</v>
          </cell>
          <cell r="G11017" t="str">
            <v>Real</v>
          </cell>
        </row>
        <row r="11018">
          <cell r="A11018" t="str">
            <v>SV</v>
          </cell>
          <cell r="B11018">
            <v>202403</v>
          </cell>
          <cell r="D11018" t="str">
            <v>--</v>
          </cell>
          <cell r="G11018" t="str">
            <v>Real</v>
          </cell>
        </row>
        <row r="11019">
          <cell r="A11019" t="str">
            <v>SV</v>
          </cell>
          <cell r="B11019">
            <v>202403</v>
          </cell>
          <cell r="D11019" t="str">
            <v>Resto de Lineas</v>
          </cell>
          <cell r="G11019" t="str">
            <v>Real</v>
          </cell>
        </row>
        <row r="11020">
          <cell r="A11020" t="str">
            <v>SV</v>
          </cell>
          <cell r="B11020">
            <v>202403</v>
          </cell>
          <cell r="D11020" t="str">
            <v>Autos</v>
          </cell>
          <cell r="G11020" t="str">
            <v>Real</v>
          </cell>
        </row>
        <row r="11021">
          <cell r="A11021" t="str">
            <v>SV</v>
          </cell>
          <cell r="B11021">
            <v>202403</v>
          </cell>
          <cell r="D11021" t="str">
            <v>Crédito Nacional</v>
          </cell>
          <cell r="G11021" t="str">
            <v>Real</v>
          </cell>
        </row>
        <row r="11022">
          <cell r="A11022" t="str">
            <v>SV</v>
          </cell>
          <cell r="B11022">
            <v>202403</v>
          </cell>
          <cell r="D11022" t="str">
            <v>Flotas</v>
          </cell>
          <cell r="G11022" t="str">
            <v>Real</v>
          </cell>
        </row>
        <row r="11023">
          <cell r="A11023" t="str">
            <v>SV</v>
          </cell>
          <cell r="B11023">
            <v>202403</v>
          </cell>
          <cell r="D11023" t="str">
            <v>Hogar</v>
          </cell>
          <cell r="G11023" t="str">
            <v>Real</v>
          </cell>
        </row>
        <row r="11024">
          <cell r="A11024" t="str">
            <v>SV</v>
          </cell>
          <cell r="B11024">
            <v>202403</v>
          </cell>
          <cell r="D11024" t="str">
            <v>Ingeniería</v>
          </cell>
          <cell r="G11024" t="str">
            <v>Real</v>
          </cell>
        </row>
        <row r="11025">
          <cell r="A11025" t="str">
            <v>SV</v>
          </cell>
          <cell r="B11025">
            <v>202403</v>
          </cell>
          <cell r="D11025" t="str">
            <v>Inmobiliario</v>
          </cell>
          <cell r="G11025" t="str">
            <v>Real</v>
          </cell>
        </row>
        <row r="11026">
          <cell r="A11026" t="str">
            <v>SV</v>
          </cell>
          <cell r="B11026">
            <v>202403</v>
          </cell>
          <cell r="D11026" t="str">
            <v>Líneas Financieras</v>
          </cell>
          <cell r="G11026" t="str">
            <v>Real</v>
          </cell>
        </row>
        <row r="11027">
          <cell r="A11027" t="str">
            <v>SV</v>
          </cell>
          <cell r="B11027">
            <v>202403</v>
          </cell>
          <cell r="D11027" t="str">
            <v>Particulares Resto</v>
          </cell>
          <cell r="G11027" t="str">
            <v>Real</v>
          </cell>
        </row>
        <row r="11028">
          <cell r="A11028" t="str">
            <v>SV</v>
          </cell>
          <cell r="B11028">
            <v>202403</v>
          </cell>
          <cell r="D11028" t="str">
            <v>Property</v>
          </cell>
          <cell r="G11028" t="str">
            <v>Real</v>
          </cell>
        </row>
        <row r="11029">
          <cell r="A11029" t="str">
            <v>SV</v>
          </cell>
          <cell r="B11029">
            <v>202403</v>
          </cell>
          <cell r="D11029" t="str">
            <v>RC</v>
          </cell>
          <cell r="G11029" t="str">
            <v>Real</v>
          </cell>
        </row>
        <row r="11030">
          <cell r="A11030" t="str">
            <v>SV</v>
          </cell>
          <cell r="B11030">
            <v>202403</v>
          </cell>
          <cell r="D11030" t="str">
            <v>Seguros Personales (No Vida) Colectivos</v>
          </cell>
          <cell r="G11030" t="str">
            <v>Real</v>
          </cell>
        </row>
        <row r="11031">
          <cell r="A11031" t="str">
            <v>SV</v>
          </cell>
          <cell r="B11031">
            <v>202403</v>
          </cell>
          <cell r="D11031" t="str">
            <v>Seguros Personales (No Vida) Particular</v>
          </cell>
          <cell r="G11031" t="str">
            <v>Real</v>
          </cell>
        </row>
        <row r="11032">
          <cell r="A11032" t="str">
            <v>SV</v>
          </cell>
          <cell r="B11032">
            <v>202403</v>
          </cell>
          <cell r="D11032" t="str">
            <v>Transporte</v>
          </cell>
          <cell r="G11032" t="str">
            <v>Real</v>
          </cell>
        </row>
        <row r="11033">
          <cell r="A11033" t="str">
            <v>SV</v>
          </cell>
          <cell r="B11033">
            <v>202403</v>
          </cell>
          <cell r="D11033" t="str">
            <v>Vida Ahorro Particular</v>
          </cell>
          <cell r="G11033" t="str">
            <v>Real</v>
          </cell>
        </row>
        <row r="11034">
          <cell r="A11034" t="str">
            <v>SV</v>
          </cell>
          <cell r="B11034">
            <v>202403</v>
          </cell>
          <cell r="D11034" t="str">
            <v>Vida Riesgo Particular</v>
          </cell>
          <cell r="G11034" t="str">
            <v>Real</v>
          </cell>
        </row>
        <row r="11035">
          <cell r="A11035" t="str">
            <v>SV</v>
          </cell>
          <cell r="B11035">
            <v>202404</v>
          </cell>
          <cell r="D11035" t="str">
            <v>--</v>
          </cell>
          <cell r="G11035" t="str">
            <v>Real</v>
          </cell>
        </row>
        <row r="11036">
          <cell r="A11036" t="str">
            <v>SV</v>
          </cell>
          <cell r="B11036">
            <v>202404</v>
          </cell>
          <cell r="D11036" t="str">
            <v>Resto de Lineas</v>
          </cell>
          <cell r="G11036" t="str">
            <v>Real</v>
          </cell>
        </row>
        <row r="11037">
          <cell r="A11037" t="str">
            <v>SV</v>
          </cell>
          <cell r="B11037">
            <v>202404</v>
          </cell>
          <cell r="D11037" t="str">
            <v>Autos</v>
          </cell>
          <cell r="G11037" t="str">
            <v>Real</v>
          </cell>
        </row>
        <row r="11038">
          <cell r="A11038" t="str">
            <v>SV</v>
          </cell>
          <cell r="B11038">
            <v>202404</v>
          </cell>
          <cell r="D11038" t="str">
            <v>Flotas</v>
          </cell>
          <cell r="G11038" t="str">
            <v>Real</v>
          </cell>
        </row>
        <row r="11039">
          <cell r="A11039" t="str">
            <v>SV</v>
          </cell>
          <cell r="B11039">
            <v>202404</v>
          </cell>
          <cell r="D11039" t="str">
            <v>Hogar</v>
          </cell>
          <cell r="G11039" t="str">
            <v>Real</v>
          </cell>
        </row>
        <row r="11040">
          <cell r="A11040" t="str">
            <v>SV</v>
          </cell>
          <cell r="B11040">
            <v>202404</v>
          </cell>
          <cell r="D11040" t="str">
            <v>Ingeniería</v>
          </cell>
          <cell r="G11040" t="str">
            <v>Real</v>
          </cell>
        </row>
        <row r="11041">
          <cell r="A11041" t="str">
            <v>SV</v>
          </cell>
          <cell r="B11041">
            <v>202404</v>
          </cell>
          <cell r="D11041" t="str">
            <v>Particulares Resto</v>
          </cell>
          <cell r="G11041" t="str">
            <v>Real</v>
          </cell>
        </row>
        <row r="11042">
          <cell r="A11042" t="str">
            <v>SV</v>
          </cell>
          <cell r="B11042">
            <v>202404</v>
          </cell>
          <cell r="D11042" t="str">
            <v>Property</v>
          </cell>
          <cell r="G11042" t="str">
            <v>Real</v>
          </cell>
        </row>
        <row r="11043">
          <cell r="A11043" t="str">
            <v>SV</v>
          </cell>
          <cell r="B11043">
            <v>202404</v>
          </cell>
          <cell r="D11043" t="str">
            <v>RC</v>
          </cell>
          <cell r="G11043" t="str">
            <v>Real</v>
          </cell>
        </row>
        <row r="11044">
          <cell r="A11044" t="str">
            <v>SV</v>
          </cell>
          <cell r="B11044">
            <v>202404</v>
          </cell>
          <cell r="D11044" t="str">
            <v>Seguros Personales (No Vida) Colectivos</v>
          </cell>
          <cell r="G11044" t="str">
            <v>Real</v>
          </cell>
        </row>
        <row r="11045">
          <cell r="A11045" t="str">
            <v>SV</v>
          </cell>
          <cell r="B11045">
            <v>202404</v>
          </cell>
          <cell r="D11045" t="str">
            <v>Seguros Personales (No Vida) Particular</v>
          </cell>
          <cell r="G11045" t="str">
            <v>Real</v>
          </cell>
        </row>
        <row r="11046">
          <cell r="A11046" t="str">
            <v>SV</v>
          </cell>
          <cell r="B11046">
            <v>202404</v>
          </cell>
          <cell r="D11046" t="str">
            <v>Transporte</v>
          </cell>
          <cell r="G11046" t="str">
            <v>Real</v>
          </cell>
        </row>
        <row r="11047">
          <cell r="A11047" t="str">
            <v>SV</v>
          </cell>
          <cell r="B11047">
            <v>202404</v>
          </cell>
          <cell r="D11047" t="str">
            <v>Vida Ahorro Particular</v>
          </cell>
          <cell r="G11047" t="str">
            <v>Real</v>
          </cell>
        </row>
        <row r="11048">
          <cell r="A11048" t="str">
            <v>SV</v>
          </cell>
          <cell r="B11048">
            <v>202404</v>
          </cell>
          <cell r="D11048" t="str">
            <v>Vida Riesgo Colectivo</v>
          </cell>
          <cell r="G11048" t="str">
            <v>Real</v>
          </cell>
        </row>
        <row r="11049">
          <cell r="A11049" t="str">
            <v>SV</v>
          </cell>
          <cell r="B11049">
            <v>202404</v>
          </cell>
          <cell r="D11049" t="str">
            <v>Vida Riesgo Particular</v>
          </cell>
          <cell r="G11049" t="str">
            <v>Real</v>
          </cell>
        </row>
        <row r="11050">
          <cell r="A11050" t="str">
            <v>SV</v>
          </cell>
          <cell r="B11050">
            <v>202405</v>
          </cell>
          <cell r="D11050" t="str">
            <v>--</v>
          </cell>
          <cell r="G11050" t="str">
            <v>Real</v>
          </cell>
        </row>
        <row r="11051">
          <cell r="A11051" t="str">
            <v>SV</v>
          </cell>
          <cell r="B11051">
            <v>202405</v>
          </cell>
          <cell r="D11051" t="str">
            <v>Resto de Lineas</v>
          </cell>
          <cell r="G11051" t="str">
            <v>Real</v>
          </cell>
        </row>
        <row r="11052">
          <cell r="A11052" t="str">
            <v>SV</v>
          </cell>
          <cell r="B11052">
            <v>202405</v>
          </cell>
          <cell r="D11052" t="str">
            <v>Autos</v>
          </cell>
          <cell r="G11052" t="str">
            <v>Real</v>
          </cell>
        </row>
        <row r="11053">
          <cell r="A11053" t="str">
            <v>SV</v>
          </cell>
          <cell r="B11053">
            <v>202405</v>
          </cell>
          <cell r="D11053" t="str">
            <v>Flotas</v>
          </cell>
          <cell r="G11053" t="str">
            <v>Real</v>
          </cell>
        </row>
        <row r="11054">
          <cell r="A11054" t="str">
            <v>SV</v>
          </cell>
          <cell r="B11054">
            <v>202405</v>
          </cell>
          <cell r="D11054" t="str">
            <v>Hogar</v>
          </cell>
          <cell r="G11054" t="str">
            <v>Real</v>
          </cell>
        </row>
        <row r="11055">
          <cell r="A11055" t="str">
            <v>SV</v>
          </cell>
          <cell r="B11055">
            <v>202405</v>
          </cell>
          <cell r="D11055" t="str">
            <v>Ingeniería</v>
          </cell>
          <cell r="G11055" t="str">
            <v>Real</v>
          </cell>
        </row>
        <row r="11056">
          <cell r="A11056" t="str">
            <v>SV</v>
          </cell>
          <cell r="B11056">
            <v>202405</v>
          </cell>
          <cell r="D11056" t="str">
            <v>Líneas Financieras</v>
          </cell>
          <cell r="G11056" t="str">
            <v>Real</v>
          </cell>
        </row>
        <row r="11057">
          <cell r="A11057" t="str">
            <v>SV</v>
          </cell>
          <cell r="B11057">
            <v>202405</v>
          </cell>
          <cell r="D11057" t="str">
            <v>Particulares Resto</v>
          </cell>
          <cell r="G11057" t="str">
            <v>Real</v>
          </cell>
        </row>
        <row r="11058">
          <cell r="A11058" t="str">
            <v>SV</v>
          </cell>
          <cell r="B11058">
            <v>202405</v>
          </cell>
          <cell r="D11058" t="str">
            <v>Property</v>
          </cell>
          <cell r="G11058" t="str">
            <v>Real</v>
          </cell>
        </row>
        <row r="11059">
          <cell r="A11059" t="str">
            <v>SV</v>
          </cell>
          <cell r="B11059">
            <v>202405</v>
          </cell>
          <cell r="D11059" t="str">
            <v>Property</v>
          </cell>
          <cell r="G11059" t="str">
            <v>Real</v>
          </cell>
        </row>
        <row r="11060">
          <cell r="A11060" t="str">
            <v>SV</v>
          </cell>
          <cell r="B11060">
            <v>202405</v>
          </cell>
          <cell r="D11060" t="str">
            <v>RC</v>
          </cell>
          <cell r="G11060" t="str">
            <v>Real</v>
          </cell>
        </row>
        <row r="11061">
          <cell r="A11061" t="str">
            <v>SV</v>
          </cell>
          <cell r="B11061">
            <v>202405</v>
          </cell>
          <cell r="D11061" t="str">
            <v>Seguros Personales (No Vida) Colectivos</v>
          </cell>
          <cell r="G11061" t="str">
            <v>Real</v>
          </cell>
        </row>
        <row r="11062">
          <cell r="A11062" t="str">
            <v>SV</v>
          </cell>
          <cell r="B11062">
            <v>202405</v>
          </cell>
          <cell r="D11062" t="str">
            <v>Seguros Personales (No Vida) Particular</v>
          </cell>
          <cell r="G11062" t="str">
            <v>Real</v>
          </cell>
        </row>
        <row r="11063">
          <cell r="A11063" t="str">
            <v>SV</v>
          </cell>
          <cell r="B11063">
            <v>202405</v>
          </cell>
          <cell r="D11063" t="str">
            <v>Transporte</v>
          </cell>
          <cell r="G11063" t="str">
            <v>Real</v>
          </cell>
        </row>
        <row r="11064">
          <cell r="A11064" t="str">
            <v>SV</v>
          </cell>
          <cell r="B11064">
            <v>202405</v>
          </cell>
          <cell r="D11064" t="str">
            <v>Vida Ahorro Particular</v>
          </cell>
          <cell r="G11064" t="str">
            <v>Real</v>
          </cell>
        </row>
        <row r="11065">
          <cell r="A11065" t="str">
            <v>SV</v>
          </cell>
          <cell r="B11065">
            <v>202405</v>
          </cell>
          <cell r="D11065" t="str">
            <v>Vida Riesgo Colectivo</v>
          </cell>
          <cell r="G11065" t="str">
            <v>Real</v>
          </cell>
        </row>
        <row r="11066">
          <cell r="A11066" t="str">
            <v>SV</v>
          </cell>
          <cell r="B11066">
            <v>202405</v>
          </cell>
          <cell r="D11066" t="str">
            <v>Vida Riesgo Particular</v>
          </cell>
          <cell r="G11066" t="str">
            <v>Real</v>
          </cell>
        </row>
        <row r="11067">
          <cell r="A11067" t="str">
            <v>SV</v>
          </cell>
          <cell r="B11067">
            <v>202406</v>
          </cell>
          <cell r="D11067" t="str">
            <v>--</v>
          </cell>
          <cell r="G11067" t="str">
            <v>Real</v>
          </cell>
        </row>
        <row r="11068">
          <cell r="A11068" t="str">
            <v>SV</v>
          </cell>
          <cell r="B11068">
            <v>202406</v>
          </cell>
          <cell r="D11068" t="str">
            <v>Resto de Lineas</v>
          </cell>
          <cell r="G11068" t="str">
            <v>Real</v>
          </cell>
        </row>
        <row r="11069">
          <cell r="A11069" t="str">
            <v>SV</v>
          </cell>
          <cell r="B11069">
            <v>202406</v>
          </cell>
          <cell r="D11069" t="str">
            <v>Autos</v>
          </cell>
          <cell r="G11069" t="str">
            <v>Real</v>
          </cell>
        </row>
        <row r="11070">
          <cell r="A11070" t="str">
            <v>SV</v>
          </cell>
          <cell r="B11070">
            <v>202406</v>
          </cell>
          <cell r="D11070" t="str">
            <v>Crédito Nacional</v>
          </cell>
          <cell r="G11070" t="str">
            <v>Real</v>
          </cell>
        </row>
        <row r="11071">
          <cell r="A11071" t="str">
            <v>SV</v>
          </cell>
          <cell r="B11071">
            <v>202406</v>
          </cell>
          <cell r="D11071" t="str">
            <v>Flotas</v>
          </cell>
          <cell r="G11071" t="str">
            <v>Real</v>
          </cell>
        </row>
        <row r="11072">
          <cell r="A11072" t="str">
            <v>SV</v>
          </cell>
          <cell r="B11072">
            <v>202406</v>
          </cell>
          <cell r="D11072" t="str">
            <v>Hogar</v>
          </cell>
          <cell r="G11072" t="str">
            <v>Real</v>
          </cell>
        </row>
        <row r="11073">
          <cell r="A11073" t="str">
            <v>SV</v>
          </cell>
          <cell r="B11073">
            <v>202406</v>
          </cell>
          <cell r="D11073" t="str">
            <v>Ingeniería</v>
          </cell>
          <cell r="G11073" t="str">
            <v>Real</v>
          </cell>
        </row>
        <row r="11074">
          <cell r="A11074" t="str">
            <v>SV</v>
          </cell>
          <cell r="B11074">
            <v>202406</v>
          </cell>
          <cell r="D11074" t="str">
            <v>Líneas Financieras</v>
          </cell>
          <cell r="G11074" t="str">
            <v>Real</v>
          </cell>
        </row>
        <row r="11075">
          <cell r="A11075" t="str">
            <v>SV</v>
          </cell>
          <cell r="B11075">
            <v>202406</v>
          </cell>
          <cell r="D11075" t="str">
            <v>Particulares Resto</v>
          </cell>
          <cell r="G11075" t="str">
            <v>Real</v>
          </cell>
        </row>
        <row r="11076">
          <cell r="A11076" t="str">
            <v>SV</v>
          </cell>
          <cell r="B11076">
            <v>202406</v>
          </cell>
          <cell r="D11076" t="str">
            <v>Property</v>
          </cell>
          <cell r="G11076" t="str">
            <v>Real</v>
          </cell>
        </row>
        <row r="11077">
          <cell r="A11077" t="str">
            <v>SV</v>
          </cell>
          <cell r="B11077">
            <v>202406</v>
          </cell>
          <cell r="D11077" t="str">
            <v>RC</v>
          </cell>
          <cell r="G11077" t="str">
            <v>Real</v>
          </cell>
        </row>
        <row r="11078">
          <cell r="A11078" t="str">
            <v>SV</v>
          </cell>
          <cell r="B11078">
            <v>202406</v>
          </cell>
          <cell r="D11078" t="str">
            <v>Seguros Personales (No Vida) Colectivos</v>
          </cell>
          <cell r="G11078" t="str">
            <v>Real</v>
          </cell>
        </row>
        <row r="11079">
          <cell r="A11079" t="str">
            <v>SV</v>
          </cell>
          <cell r="B11079">
            <v>202406</v>
          </cell>
          <cell r="D11079" t="str">
            <v>Seguros Personales (No Vida) Particular</v>
          </cell>
          <cell r="G11079" t="str">
            <v>Real</v>
          </cell>
        </row>
        <row r="11080">
          <cell r="A11080" t="str">
            <v>SV</v>
          </cell>
          <cell r="B11080">
            <v>202406</v>
          </cell>
          <cell r="D11080" t="str">
            <v>Transporte</v>
          </cell>
          <cell r="G11080" t="str">
            <v>Real</v>
          </cell>
        </row>
        <row r="11081">
          <cell r="A11081" t="str">
            <v>SV</v>
          </cell>
          <cell r="B11081">
            <v>202406</v>
          </cell>
          <cell r="D11081" t="str">
            <v>Vida Ahorro Particular</v>
          </cell>
          <cell r="G11081" t="str">
            <v>Real</v>
          </cell>
        </row>
        <row r="11082">
          <cell r="A11082" t="str">
            <v>SV</v>
          </cell>
          <cell r="B11082">
            <v>202406</v>
          </cell>
          <cell r="D11082" t="str">
            <v>Vida Riesgo Colectivo</v>
          </cell>
          <cell r="G11082" t="str">
            <v>Real</v>
          </cell>
        </row>
        <row r="11083">
          <cell r="A11083" t="str">
            <v>SV</v>
          </cell>
          <cell r="B11083">
            <v>202406</v>
          </cell>
          <cell r="D11083" t="str">
            <v>Vida Riesgo Particular</v>
          </cell>
          <cell r="G11083" t="str">
            <v>Real</v>
          </cell>
        </row>
        <row r="11084">
          <cell r="A11084" t="str">
            <v>SV</v>
          </cell>
          <cell r="B11084">
            <v>202407</v>
          </cell>
          <cell r="D11084" t="str">
            <v>--</v>
          </cell>
          <cell r="G11084" t="str">
            <v>Real</v>
          </cell>
        </row>
        <row r="11085">
          <cell r="A11085" t="str">
            <v>SV</v>
          </cell>
          <cell r="B11085">
            <v>202407</v>
          </cell>
          <cell r="D11085" t="str">
            <v>Resto de Lineas</v>
          </cell>
          <cell r="G11085" t="str">
            <v>Real</v>
          </cell>
        </row>
        <row r="11086">
          <cell r="A11086" t="str">
            <v>SV</v>
          </cell>
          <cell r="B11086">
            <v>202407</v>
          </cell>
          <cell r="D11086" t="str">
            <v>Autos</v>
          </cell>
          <cell r="G11086" t="str">
            <v>Real</v>
          </cell>
        </row>
        <row r="11087">
          <cell r="A11087" t="str">
            <v>SV</v>
          </cell>
          <cell r="B11087">
            <v>202407</v>
          </cell>
          <cell r="D11087" t="str">
            <v>Crédito Nacional</v>
          </cell>
          <cell r="G11087" t="str">
            <v>Real</v>
          </cell>
        </row>
        <row r="11088">
          <cell r="A11088" t="str">
            <v>SV</v>
          </cell>
          <cell r="B11088">
            <v>202407</v>
          </cell>
          <cell r="D11088" t="str">
            <v>Flotas</v>
          </cell>
          <cell r="G11088" t="str">
            <v>Real</v>
          </cell>
        </row>
        <row r="11089">
          <cell r="A11089" t="str">
            <v>SV</v>
          </cell>
          <cell r="B11089">
            <v>202407</v>
          </cell>
          <cell r="D11089" t="str">
            <v>Hogar</v>
          </cell>
          <cell r="G11089" t="str">
            <v>Real</v>
          </cell>
        </row>
        <row r="11090">
          <cell r="A11090" t="str">
            <v>SV</v>
          </cell>
          <cell r="B11090">
            <v>202407</v>
          </cell>
          <cell r="D11090" t="str">
            <v>Ingeniería</v>
          </cell>
          <cell r="G11090" t="str">
            <v>Real</v>
          </cell>
        </row>
        <row r="11091">
          <cell r="A11091" t="str">
            <v>SV</v>
          </cell>
          <cell r="B11091">
            <v>202407</v>
          </cell>
          <cell r="D11091" t="str">
            <v>Líneas Financieras</v>
          </cell>
          <cell r="G11091" t="str">
            <v>Real</v>
          </cell>
        </row>
        <row r="11092">
          <cell r="A11092" t="str">
            <v>SV</v>
          </cell>
          <cell r="B11092">
            <v>202407</v>
          </cell>
          <cell r="D11092" t="str">
            <v>Náutica</v>
          </cell>
          <cell r="G11092" t="str">
            <v>Real</v>
          </cell>
        </row>
        <row r="11093">
          <cell r="A11093" t="str">
            <v>SV</v>
          </cell>
          <cell r="B11093">
            <v>202407</v>
          </cell>
          <cell r="D11093" t="str">
            <v>Particulares Resto</v>
          </cell>
          <cell r="G11093" t="str">
            <v>Real</v>
          </cell>
        </row>
        <row r="11094">
          <cell r="A11094" t="str">
            <v>SV</v>
          </cell>
          <cell r="B11094">
            <v>202407</v>
          </cell>
          <cell r="D11094" t="str">
            <v>Property</v>
          </cell>
          <cell r="G11094" t="str">
            <v>Real</v>
          </cell>
        </row>
        <row r="11095">
          <cell r="A11095" t="str">
            <v>SV</v>
          </cell>
          <cell r="B11095">
            <v>202407</v>
          </cell>
          <cell r="D11095" t="str">
            <v>RC</v>
          </cell>
          <cell r="G11095" t="str">
            <v>Real</v>
          </cell>
        </row>
        <row r="11096">
          <cell r="A11096" t="str">
            <v>SV</v>
          </cell>
          <cell r="B11096">
            <v>202407</v>
          </cell>
          <cell r="D11096" t="str">
            <v>Seguros Personales (No Vida) Colectivos</v>
          </cell>
          <cell r="G11096" t="str">
            <v>Real</v>
          </cell>
        </row>
        <row r="11097">
          <cell r="A11097" t="str">
            <v>SV</v>
          </cell>
          <cell r="B11097">
            <v>202407</v>
          </cell>
          <cell r="D11097" t="str">
            <v>Seguros Personales (No Vida) Particular</v>
          </cell>
          <cell r="G11097" t="str">
            <v>Real</v>
          </cell>
        </row>
        <row r="11098">
          <cell r="A11098" t="str">
            <v>SV</v>
          </cell>
          <cell r="B11098">
            <v>202407</v>
          </cell>
          <cell r="D11098" t="str">
            <v>Transporte</v>
          </cell>
          <cell r="G11098" t="str">
            <v>Real</v>
          </cell>
        </row>
        <row r="11099">
          <cell r="A11099" t="str">
            <v>SV</v>
          </cell>
          <cell r="B11099">
            <v>202407</v>
          </cell>
          <cell r="D11099" t="str">
            <v>Vida Ahorro Particular</v>
          </cell>
          <cell r="G11099" t="str">
            <v>Real</v>
          </cell>
        </row>
        <row r="11100">
          <cell r="A11100" t="str">
            <v>SV</v>
          </cell>
          <cell r="B11100">
            <v>202407</v>
          </cell>
          <cell r="D11100" t="str">
            <v>Vida Riesgo Colectivo</v>
          </cell>
          <cell r="G11100" t="str">
            <v>Real</v>
          </cell>
        </row>
        <row r="11101">
          <cell r="A11101" t="str">
            <v>SV</v>
          </cell>
          <cell r="B11101">
            <v>202407</v>
          </cell>
          <cell r="D11101" t="str">
            <v>Vida Riesgo Particular</v>
          </cell>
          <cell r="G11101" t="str">
            <v>Real</v>
          </cell>
        </row>
        <row r="11102">
          <cell r="A11102" t="str">
            <v>SV</v>
          </cell>
          <cell r="B11102">
            <v>202408</v>
          </cell>
          <cell r="D11102" t="str">
            <v>--</v>
          </cell>
          <cell r="G11102" t="str">
            <v>Real</v>
          </cell>
        </row>
        <row r="11103">
          <cell r="A11103" t="str">
            <v>SV</v>
          </cell>
          <cell r="B11103">
            <v>202408</v>
          </cell>
          <cell r="D11103" t="str">
            <v>Autos</v>
          </cell>
          <cell r="G11103" t="str">
            <v>Real</v>
          </cell>
        </row>
        <row r="11104">
          <cell r="A11104" t="str">
            <v>SV</v>
          </cell>
          <cell r="B11104">
            <v>202408</v>
          </cell>
          <cell r="D11104" t="str">
            <v>Crédito Nacional</v>
          </cell>
          <cell r="G11104" t="str">
            <v>Real</v>
          </cell>
        </row>
        <row r="11105">
          <cell r="A11105" t="str">
            <v>SV</v>
          </cell>
          <cell r="B11105">
            <v>202408</v>
          </cell>
          <cell r="D11105" t="str">
            <v>Flotas</v>
          </cell>
          <cell r="G11105" t="str">
            <v>Real</v>
          </cell>
        </row>
        <row r="11106">
          <cell r="A11106" t="str">
            <v>SV</v>
          </cell>
          <cell r="B11106">
            <v>202408</v>
          </cell>
          <cell r="D11106" t="str">
            <v>Hogar</v>
          </cell>
          <cell r="G11106" t="str">
            <v>Real</v>
          </cell>
        </row>
        <row r="11107">
          <cell r="A11107" t="str">
            <v>SV</v>
          </cell>
          <cell r="B11107">
            <v>202408</v>
          </cell>
          <cell r="D11107" t="str">
            <v>Ingeniería</v>
          </cell>
          <cell r="G11107" t="str">
            <v>Real</v>
          </cell>
        </row>
        <row r="11108">
          <cell r="A11108" t="str">
            <v>SV</v>
          </cell>
          <cell r="B11108">
            <v>202408</v>
          </cell>
          <cell r="D11108" t="str">
            <v>Líneas Financieras</v>
          </cell>
          <cell r="G11108" t="str">
            <v>Real</v>
          </cell>
        </row>
        <row r="11109">
          <cell r="A11109" t="str">
            <v>SV</v>
          </cell>
          <cell r="B11109">
            <v>202408</v>
          </cell>
          <cell r="D11109" t="str">
            <v>Particulares Resto</v>
          </cell>
          <cell r="G11109" t="str">
            <v>Real</v>
          </cell>
        </row>
        <row r="11110">
          <cell r="A11110" t="str">
            <v>SV</v>
          </cell>
          <cell r="B11110">
            <v>202408</v>
          </cell>
          <cell r="D11110" t="str">
            <v>Property</v>
          </cell>
          <cell r="G11110" t="str">
            <v>Real</v>
          </cell>
        </row>
        <row r="11111">
          <cell r="A11111" t="str">
            <v>SV</v>
          </cell>
          <cell r="B11111">
            <v>202408</v>
          </cell>
          <cell r="D11111" t="str">
            <v>RC</v>
          </cell>
          <cell r="G11111" t="str">
            <v>Real</v>
          </cell>
        </row>
        <row r="11112">
          <cell r="A11112" t="str">
            <v>SV</v>
          </cell>
          <cell r="B11112">
            <v>202408</v>
          </cell>
          <cell r="D11112" t="str">
            <v>Seguros Personales (No Vida) Colectivos</v>
          </cell>
          <cell r="G11112" t="str">
            <v>Real</v>
          </cell>
        </row>
        <row r="11113">
          <cell r="A11113" t="str">
            <v>SV</v>
          </cell>
          <cell r="B11113">
            <v>202408</v>
          </cell>
          <cell r="D11113" t="str">
            <v>Seguros Personales (No Vida) Particular</v>
          </cell>
          <cell r="G11113" t="str">
            <v>Real</v>
          </cell>
        </row>
        <row r="11114">
          <cell r="A11114" t="str">
            <v>SV</v>
          </cell>
          <cell r="B11114">
            <v>202408</v>
          </cell>
          <cell r="D11114" t="str">
            <v>Transporte</v>
          </cell>
          <cell r="G11114" t="str">
            <v>Real</v>
          </cell>
        </row>
        <row r="11115">
          <cell r="A11115" t="str">
            <v>SV</v>
          </cell>
          <cell r="B11115">
            <v>202408</v>
          </cell>
          <cell r="D11115" t="str">
            <v>Vida Ahorro Particular</v>
          </cell>
          <cell r="G11115" t="str">
            <v>Real</v>
          </cell>
        </row>
        <row r="11116">
          <cell r="A11116" t="str">
            <v>SV</v>
          </cell>
          <cell r="B11116">
            <v>202408</v>
          </cell>
          <cell r="D11116" t="str">
            <v>Vida Riesgo Particular</v>
          </cell>
          <cell r="G11116" t="str">
            <v>Real</v>
          </cell>
        </row>
        <row r="11117">
          <cell r="A11117" t="str">
            <v>SV</v>
          </cell>
          <cell r="B11117">
            <v>202409</v>
          </cell>
          <cell r="D11117" t="str">
            <v>--</v>
          </cell>
          <cell r="G11117" t="str">
            <v>Real</v>
          </cell>
        </row>
        <row r="11118">
          <cell r="A11118" t="str">
            <v>SV</v>
          </cell>
          <cell r="B11118">
            <v>202409</v>
          </cell>
          <cell r="D11118" t="str">
            <v>Autos</v>
          </cell>
          <cell r="G11118" t="str">
            <v>Real</v>
          </cell>
        </row>
        <row r="11119">
          <cell r="A11119" t="str">
            <v>SV</v>
          </cell>
          <cell r="B11119">
            <v>202409</v>
          </cell>
          <cell r="D11119" t="str">
            <v>Crédito Nacional</v>
          </cell>
          <cell r="G11119" t="str">
            <v>Real</v>
          </cell>
        </row>
        <row r="11120">
          <cell r="A11120" t="str">
            <v>SV</v>
          </cell>
          <cell r="B11120">
            <v>202409</v>
          </cell>
          <cell r="D11120" t="str">
            <v>Flotas</v>
          </cell>
          <cell r="G11120" t="str">
            <v>Real</v>
          </cell>
        </row>
        <row r="11121">
          <cell r="A11121" t="str">
            <v>SV</v>
          </cell>
          <cell r="B11121">
            <v>202409</v>
          </cell>
          <cell r="D11121" t="str">
            <v>Hogar</v>
          </cell>
          <cell r="G11121" t="str">
            <v>Real</v>
          </cell>
        </row>
        <row r="11122">
          <cell r="A11122" t="str">
            <v>SV</v>
          </cell>
          <cell r="B11122">
            <v>202409</v>
          </cell>
          <cell r="D11122" t="str">
            <v>Ingeniería</v>
          </cell>
          <cell r="G11122" t="str">
            <v>Real</v>
          </cell>
        </row>
        <row r="11123">
          <cell r="A11123" t="str">
            <v>SV</v>
          </cell>
          <cell r="B11123">
            <v>202409</v>
          </cell>
          <cell r="D11123" t="str">
            <v>Particulares Resto</v>
          </cell>
          <cell r="G11123" t="str">
            <v>Real</v>
          </cell>
        </row>
        <row r="11124">
          <cell r="A11124" t="str">
            <v>SV</v>
          </cell>
          <cell r="B11124">
            <v>202409</v>
          </cell>
          <cell r="D11124" t="str">
            <v>Property</v>
          </cell>
          <cell r="G11124" t="str">
            <v>Real</v>
          </cell>
        </row>
        <row r="11125">
          <cell r="A11125" t="str">
            <v>SV</v>
          </cell>
          <cell r="B11125">
            <v>202409</v>
          </cell>
          <cell r="D11125" t="str">
            <v>RC</v>
          </cell>
          <cell r="G11125" t="str">
            <v>Real</v>
          </cell>
        </row>
        <row r="11126">
          <cell r="A11126" t="str">
            <v>SV</v>
          </cell>
          <cell r="B11126">
            <v>202409</v>
          </cell>
          <cell r="D11126" t="str">
            <v>Seguros Personales (No Vida) Colectivos</v>
          </cell>
          <cell r="G11126" t="str">
            <v>Real</v>
          </cell>
        </row>
        <row r="11127">
          <cell r="A11127" t="str">
            <v>SV</v>
          </cell>
          <cell r="B11127">
            <v>202409</v>
          </cell>
          <cell r="D11127" t="str">
            <v>Seguros Personales (No Vida) Particular</v>
          </cell>
          <cell r="G11127" t="str">
            <v>Real</v>
          </cell>
        </row>
        <row r="11128">
          <cell r="A11128" t="str">
            <v>SV</v>
          </cell>
          <cell r="B11128">
            <v>202409</v>
          </cell>
          <cell r="D11128" t="str">
            <v>Transporte</v>
          </cell>
          <cell r="G11128" t="str">
            <v>Real</v>
          </cell>
        </row>
        <row r="11129">
          <cell r="A11129" t="str">
            <v>SV</v>
          </cell>
          <cell r="B11129">
            <v>202409</v>
          </cell>
          <cell r="D11129" t="str">
            <v>Vida Ahorro Particular</v>
          </cell>
          <cell r="G11129" t="str">
            <v>Real</v>
          </cell>
        </row>
        <row r="11130">
          <cell r="A11130" t="str">
            <v>SV</v>
          </cell>
          <cell r="B11130">
            <v>202409</v>
          </cell>
          <cell r="D11130" t="str">
            <v>Vida Riesgo Colectivo</v>
          </cell>
          <cell r="G11130" t="str">
            <v>Real</v>
          </cell>
        </row>
        <row r="11131">
          <cell r="A11131" t="str">
            <v>SV</v>
          </cell>
          <cell r="B11131">
            <v>202409</v>
          </cell>
          <cell r="D11131" t="str">
            <v>Vida Riesgo Particular</v>
          </cell>
          <cell r="G11131" t="str">
            <v>Real</v>
          </cell>
        </row>
        <row r="11132">
          <cell r="A11132" t="str">
            <v>SV</v>
          </cell>
          <cell r="B11132">
            <v>202410</v>
          </cell>
          <cell r="D11132" t="str">
            <v>--</v>
          </cell>
          <cell r="G11132" t="str">
            <v>Real</v>
          </cell>
        </row>
        <row r="11133">
          <cell r="A11133" t="str">
            <v>SV</v>
          </cell>
          <cell r="B11133">
            <v>202410</v>
          </cell>
          <cell r="D11133" t="str">
            <v>Autos</v>
          </cell>
          <cell r="G11133" t="str">
            <v>Real</v>
          </cell>
        </row>
        <row r="11134">
          <cell r="A11134" t="str">
            <v>SV</v>
          </cell>
          <cell r="B11134">
            <v>202410</v>
          </cell>
          <cell r="D11134" t="str">
            <v>Flotas</v>
          </cell>
          <cell r="G11134" t="str">
            <v>Real</v>
          </cell>
        </row>
        <row r="11135">
          <cell r="A11135" t="str">
            <v>SV</v>
          </cell>
          <cell r="B11135">
            <v>202410</v>
          </cell>
          <cell r="D11135" t="str">
            <v>Hogar</v>
          </cell>
          <cell r="G11135" t="str">
            <v>Real</v>
          </cell>
        </row>
        <row r="11136">
          <cell r="A11136" t="str">
            <v>SV</v>
          </cell>
          <cell r="B11136">
            <v>202410</v>
          </cell>
          <cell r="D11136" t="str">
            <v>Ingeniería</v>
          </cell>
          <cell r="G11136" t="str">
            <v>Real</v>
          </cell>
        </row>
        <row r="11137">
          <cell r="A11137" t="str">
            <v>SV</v>
          </cell>
          <cell r="B11137">
            <v>202410</v>
          </cell>
          <cell r="D11137" t="str">
            <v>Inmobiliario</v>
          </cell>
          <cell r="G11137" t="str">
            <v>Real</v>
          </cell>
        </row>
        <row r="11138">
          <cell r="A11138" t="str">
            <v>SV</v>
          </cell>
          <cell r="B11138">
            <v>202410</v>
          </cell>
          <cell r="D11138" t="str">
            <v>Líneas Financieras</v>
          </cell>
          <cell r="G11138" t="str">
            <v>Real</v>
          </cell>
        </row>
        <row r="11139">
          <cell r="A11139" t="str">
            <v>SV</v>
          </cell>
          <cell r="B11139">
            <v>202410</v>
          </cell>
          <cell r="D11139" t="str">
            <v>Náutica</v>
          </cell>
          <cell r="G11139" t="str">
            <v>Real</v>
          </cell>
        </row>
        <row r="11140">
          <cell r="A11140" t="str">
            <v>SV</v>
          </cell>
          <cell r="B11140">
            <v>202410</v>
          </cell>
          <cell r="D11140" t="str">
            <v>Particulares Resto</v>
          </cell>
          <cell r="G11140" t="str">
            <v>Real</v>
          </cell>
        </row>
        <row r="11141">
          <cell r="A11141" t="str">
            <v>SV</v>
          </cell>
          <cell r="B11141">
            <v>202410</v>
          </cell>
          <cell r="D11141" t="str">
            <v>Property</v>
          </cell>
          <cell r="G11141" t="str">
            <v>Real</v>
          </cell>
        </row>
        <row r="11142">
          <cell r="A11142" t="str">
            <v>SV</v>
          </cell>
          <cell r="B11142">
            <v>202410</v>
          </cell>
          <cell r="D11142" t="str">
            <v>RC</v>
          </cell>
          <cell r="G11142" t="str">
            <v>Real</v>
          </cell>
        </row>
        <row r="11143">
          <cell r="A11143" t="str">
            <v>SV</v>
          </cell>
          <cell r="B11143">
            <v>202410</v>
          </cell>
          <cell r="D11143" t="str">
            <v>Seguros Personales (No Vida) Colectivos</v>
          </cell>
          <cell r="G11143" t="str">
            <v>Real</v>
          </cell>
        </row>
        <row r="11144">
          <cell r="A11144" t="str">
            <v>SV</v>
          </cell>
          <cell r="B11144">
            <v>202410</v>
          </cell>
          <cell r="D11144" t="str">
            <v>Seguros Personales (No Vida) Particular</v>
          </cell>
          <cell r="G11144" t="str">
            <v>Real</v>
          </cell>
        </row>
        <row r="11145">
          <cell r="A11145" t="str">
            <v>SV</v>
          </cell>
          <cell r="B11145">
            <v>202410</v>
          </cell>
          <cell r="D11145" t="str">
            <v>Transporte</v>
          </cell>
          <cell r="G11145" t="str">
            <v>Real</v>
          </cell>
        </row>
        <row r="11146">
          <cell r="A11146" t="str">
            <v>SV</v>
          </cell>
          <cell r="B11146">
            <v>202410</v>
          </cell>
          <cell r="D11146" t="str">
            <v>Vida Ahorro Particular</v>
          </cell>
          <cell r="G11146" t="str">
            <v>Real</v>
          </cell>
        </row>
        <row r="11147">
          <cell r="A11147" t="str">
            <v>SV</v>
          </cell>
          <cell r="B11147">
            <v>202410</v>
          </cell>
          <cell r="D11147" t="str">
            <v>Vida Riesgo Particular</v>
          </cell>
          <cell r="G11147" t="str">
            <v>Real</v>
          </cell>
        </row>
        <row r="11148">
          <cell r="A11148" t="str">
            <v>SV</v>
          </cell>
          <cell r="B11148">
            <v>202411</v>
          </cell>
          <cell r="D11148" t="str">
            <v>--</v>
          </cell>
          <cell r="G11148" t="str">
            <v>Real</v>
          </cell>
        </row>
        <row r="11149">
          <cell r="A11149" t="str">
            <v>SV</v>
          </cell>
          <cell r="B11149">
            <v>202411</v>
          </cell>
          <cell r="D11149" t="str">
            <v>Resto de Lineas</v>
          </cell>
          <cell r="G11149" t="str">
            <v>Real</v>
          </cell>
        </row>
        <row r="11150">
          <cell r="A11150" t="str">
            <v>SV</v>
          </cell>
          <cell r="B11150">
            <v>202411</v>
          </cell>
          <cell r="D11150" t="str">
            <v>Autos</v>
          </cell>
          <cell r="G11150" t="str">
            <v>Real</v>
          </cell>
        </row>
        <row r="11151">
          <cell r="A11151" t="str">
            <v>SV</v>
          </cell>
          <cell r="B11151">
            <v>202411</v>
          </cell>
          <cell r="D11151" t="str">
            <v>Flotas</v>
          </cell>
          <cell r="G11151" t="str">
            <v>Real</v>
          </cell>
        </row>
        <row r="11152">
          <cell r="A11152" t="str">
            <v>SV</v>
          </cell>
          <cell r="B11152">
            <v>202411</v>
          </cell>
          <cell r="D11152" t="str">
            <v>Hogar</v>
          </cell>
          <cell r="G11152" t="str">
            <v>Real</v>
          </cell>
        </row>
        <row r="11153">
          <cell r="A11153" t="str">
            <v>SV</v>
          </cell>
          <cell r="B11153">
            <v>202411</v>
          </cell>
          <cell r="D11153" t="str">
            <v>Ingeniería</v>
          </cell>
          <cell r="G11153" t="str">
            <v>Real</v>
          </cell>
        </row>
        <row r="11154">
          <cell r="A11154" t="str">
            <v>SV</v>
          </cell>
          <cell r="B11154">
            <v>202411</v>
          </cell>
          <cell r="D11154" t="str">
            <v>Líneas Financieras</v>
          </cell>
          <cell r="G11154" t="str">
            <v>Real</v>
          </cell>
        </row>
        <row r="11155">
          <cell r="A11155" t="str">
            <v>SV</v>
          </cell>
          <cell r="B11155">
            <v>202411</v>
          </cell>
          <cell r="D11155" t="str">
            <v>Particulares Resto</v>
          </cell>
          <cell r="G11155" t="str">
            <v>Real</v>
          </cell>
        </row>
        <row r="11156">
          <cell r="A11156" t="str">
            <v>SV</v>
          </cell>
          <cell r="B11156">
            <v>202411</v>
          </cell>
          <cell r="D11156" t="str">
            <v>Property</v>
          </cell>
          <cell r="G11156" t="str">
            <v>Real</v>
          </cell>
        </row>
        <row r="11157">
          <cell r="A11157" t="str">
            <v>SV</v>
          </cell>
          <cell r="B11157">
            <v>202411</v>
          </cell>
          <cell r="D11157" t="str">
            <v>RC</v>
          </cell>
          <cell r="G11157" t="str">
            <v>Real</v>
          </cell>
        </row>
        <row r="11158">
          <cell r="A11158" t="str">
            <v>SV</v>
          </cell>
          <cell r="B11158">
            <v>202411</v>
          </cell>
          <cell r="D11158" t="str">
            <v>Seguros Personales (No Vida) Colectivos</v>
          </cell>
          <cell r="G11158" t="str">
            <v>Real</v>
          </cell>
        </row>
        <row r="11159">
          <cell r="A11159" t="str">
            <v>SV</v>
          </cell>
          <cell r="B11159">
            <v>202411</v>
          </cell>
          <cell r="D11159" t="str">
            <v>Seguros Personales (No Vida) Particular</v>
          </cell>
          <cell r="G11159" t="str">
            <v>Real</v>
          </cell>
        </row>
        <row r="11160">
          <cell r="A11160" t="str">
            <v>SV</v>
          </cell>
          <cell r="B11160">
            <v>202411</v>
          </cell>
          <cell r="D11160" t="str">
            <v>Transporte</v>
          </cell>
          <cell r="G11160" t="str">
            <v>Real</v>
          </cell>
        </row>
        <row r="11161">
          <cell r="A11161" t="str">
            <v>SV</v>
          </cell>
          <cell r="B11161">
            <v>202411</v>
          </cell>
          <cell r="D11161" t="str">
            <v>Vida Ahorro Particular</v>
          </cell>
          <cell r="G11161" t="str">
            <v>Real</v>
          </cell>
        </row>
        <row r="11162">
          <cell r="A11162" t="str">
            <v>SV</v>
          </cell>
          <cell r="B11162">
            <v>202411</v>
          </cell>
          <cell r="D11162" t="str">
            <v>Vida Riesgo Particular</v>
          </cell>
          <cell r="G11162" t="str">
            <v>Real</v>
          </cell>
        </row>
        <row r="11163">
          <cell r="A11163" t="str">
            <v>SV</v>
          </cell>
          <cell r="B11163">
            <v>202412</v>
          </cell>
          <cell r="D11163" t="str">
            <v>--</v>
          </cell>
          <cell r="G11163" t="str">
            <v>Real</v>
          </cell>
        </row>
        <row r="11164">
          <cell r="A11164" t="str">
            <v>SV</v>
          </cell>
          <cell r="B11164">
            <v>202412</v>
          </cell>
          <cell r="D11164" t="str">
            <v>Resto de Lineas</v>
          </cell>
          <cell r="G11164" t="str">
            <v>Real</v>
          </cell>
        </row>
        <row r="11165">
          <cell r="A11165" t="str">
            <v>SV</v>
          </cell>
          <cell r="B11165">
            <v>202412</v>
          </cell>
          <cell r="D11165" t="str">
            <v>Autos</v>
          </cell>
          <cell r="G11165" t="str">
            <v>Real</v>
          </cell>
        </row>
        <row r="11166">
          <cell r="A11166" t="str">
            <v>SV</v>
          </cell>
          <cell r="B11166">
            <v>202412</v>
          </cell>
          <cell r="D11166" t="str">
            <v>Crédito Nacional</v>
          </cell>
          <cell r="G11166" t="str">
            <v>Real</v>
          </cell>
        </row>
        <row r="11167">
          <cell r="A11167" t="str">
            <v>SV</v>
          </cell>
          <cell r="B11167">
            <v>202412</v>
          </cell>
          <cell r="D11167" t="str">
            <v>Flotas</v>
          </cell>
          <cell r="G11167" t="str">
            <v>Real</v>
          </cell>
        </row>
        <row r="11168">
          <cell r="A11168" t="str">
            <v>SV</v>
          </cell>
          <cell r="B11168">
            <v>202412</v>
          </cell>
          <cell r="D11168" t="str">
            <v>Flotas</v>
          </cell>
          <cell r="G11168" t="str">
            <v>Real</v>
          </cell>
        </row>
        <row r="11169">
          <cell r="A11169" t="str">
            <v>SV</v>
          </cell>
          <cell r="B11169">
            <v>202412</v>
          </cell>
          <cell r="D11169" t="str">
            <v>Hogar</v>
          </cell>
          <cell r="G11169" t="str">
            <v>Real</v>
          </cell>
        </row>
        <row r="11170">
          <cell r="A11170" t="str">
            <v>SV</v>
          </cell>
          <cell r="B11170">
            <v>202412</v>
          </cell>
          <cell r="D11170" t="str">
            <v>Ingeniería</v>
          </cell>
          <cell r="G11170" t="str">
            <v>Real</v>
          </cell>
        </row>
        <row r="11171">
          <cell r="A11171" t="str">
            <v>SV</v>
          </cell>
          <cell r="B11171">
            <v>202412</v>
          </cell>
          <cell r="D11171" t="str">
            <v>Ingeniería</v>
          </cell>
          <cell r="G11171" t="str">
            <v>Real</v>
          </cell>
        </row>
        <row r="11172">
          <cell r="A11172" t="str">
            <v>SV</v>
          </cell>
          <cell r="B11172">
            <v>202412</v>
          </cell>
          <cell r="D11172" t="str">
            <v>Particulares Resto</v>
          </cell>
          <cell r="G11172" t="str">
            <v>Real</v>
          </cell>
        </row>
        <row r="11173">
          <cell r="A11173" t="str">
            <v>SV</v>
          </cell>
          <cell r="B11173">
            <v>202412</v>
          </cell>
          <cell r="D11173" t="str">
            <v>Property</v>
          </cell>
          <cell r="G11173" t="str">
            <v>Real</v>
          </cell>
        </row>
        <row r="11174">
          <cell r="A11174" t="str">
            <v>SV</v>
          </cell>
          <cell r="B11174">
            <v>202412</v>
          </cell>
          <cell r="D11174" t="str">
            <v>Property</v>
          </cell>
          <cell r="G11174" t="str">
            <v>Real</v>
          </cell>
        </row>
        <row r="11175">
          <cell r="A11175" t="str">
            <v>SV</v>
          </cell>
          <cell r="B11175">
            <v>202412</v>
          </cell>
          <cell r="D11175" t="str">
            <v>RC</v>
          </cell>
          <cell r="G11175" t="str">
            <v>Real</v>
          </cell>
        </row>
        <row r="11176">
          <cell r="A11176" t="str">
            <v>SV</v>
          </cell>
          <cell r="B11176">
            <v>202412</v>
          </cell>
          <cell r="D11176" t="str">
            <v>Seguros Personales (No Vida) Colectivos</v>
          </cell>
          <cell r="G11176" t="str">
            <v>Real</v>
          </cell>
        </row>
        <row r="11177">
          <cell r="A11177" t="str">
            <v>SV</v>
          </cell>
          <cell r="B11177">
            <v>202412</v>
          </cell>
          <cell r="D11177" t="str">
            <v>Seguros Personales (No Vida) Particular</v>
          </cell>
          <cell r="G11177" t="str">
            <v>Real</v>
          </cell>
        </row>
        <row r="11178">
          <cell r="A11178" t="str">
            <v>SV</v>
          </cell>
          <cell r="B11178">
            <v>202412</v>
          </cell>
          <cell r="D11178" t="str">
            <v>Transporte</v>
          </cell>
          <cell r="G11178" t="str">
            <v>Real</v>
          </cell>
        </row>
        <row r="11179">
          <cell r="A11179" t="str">
            <v>SV</v>
          </cell>
          <cell r="B11179">
            <v>202412</v>
          </cell>
          <cell r="D11179" t="str">
            <v>Vida Ahorro Particular</v>
          </cell>
          <cell r="G11179" t="str">
            <v>Real</v>
          </cell>
        </row>
        <row r="11180">
          <cell r="A11180" t="str">
            <v>SV</v>
          </cell>
          <cell r="B11180">
            <v>202412</v>
          </cell>
          <cell r="D11180" t="str">
            <v>Vida Riesgo Particular</v>
          </cell>
          <cell r="G11180" t="str">
            <v>Real</v>
          </cell>
        </row>
        <row r="11181">
          <cell r="A11181" t="str">
            <v>SV</v>
          </cell>
          <cell r="B11181">
            <v>202501</v>
          </cell>
          <cell r="D11181" t="str">
            <v>Arte</v>
          </cell>
          <cell r="G11181" t="str">
            <v>Presupuesto</v>
          </cell>
        </row>
        <row r="11182">
          <cell r="A11182" t="str">
            <v>SV</v>
          </cell>
          <cell r="B11182">
            <v>202501</v>
          </cell>
          <cell r="D11182" t="str">
            <v>Autos</v>
          </cell>
          <cell r="G11182" t="str">
            <v>Presupuesto</v>
          </cell>
        </row>
        <row r="11183">
          <cell r="A11183" t="str">
            <v>SV</v>
          </cell>
          <cell r="B11183">
            <v>202501</v>
          </cell>
          <cell r="D11183" t="str">
            <v>Autos</v>
          </cell>
          <cell r="G11183" t="str">
            <v>Real</v>
          </cell>
        </row>
        <row r="11184">
          <cell r="A11184" t="str">
            <v>SV</v>
          </cell>
          <cell r="B11184">
            <v>202501</v>
          </cell>
          <cell r="D11184" t="str">
            <v>B2B2C</v>
          </cell>
          <cell r="G11184" t="str">
            <v>Presupuesto</v>
          </cell>
        </row>
        <row r="11185">
          <cell r="A11185" t="str">
            <v>SV</v>
          </cell>
          <cell r="B11185">
            <v>202501</v>
          </cell>
          <cell r="D11185" t="str">
            <v>Caución</v>
          </cell>
          <cell r="G11185" t="str">
            <v>Presupuesto</v>
          </cell>
        </row>
        <row r="11186">
          <cell r="A11186" t="str">
            <v>SV</v>
          </cell>
          <cell r="B11186">
            <v>202501</v>
          </cell>
          <cell r="D11186" t="str">
            <v>Crédito Internacional</v>
          </cell>
          <cell r="G11186" t="str">
            <v>Presupuesto</v>
          </cell>
        </row>
        <row r="11187">
          <cell r="A11187" t="str">
            <v>SV</v>
          </cell>
          <cell r="B11187">
            <v>202501</v>
          </cell>
          <cell r="D11187" t="str">
            <v>Crédito Nacional</v>
          </cell>
          <cell r="G11187" t="str">
            <v>Presupuesto</v>
          </cell>
        </row>
        <row r="11188">
          <cell r="A11188" t="str">
            <v>SV</v>
          </cell>
          <cell r="B11188">
            <v>202501</v>
          </cell>
          <cell r="D11188" t="str">
            <v>Eventos</v>
          </cell>
          <cell r="G11188" t="str">
            <v>Presupuesto</v>
          </cell>
        </row>
        <row r="11189">
          <cell r="A11189" t="str">
            <v>SV</v>
          </cell>
          <cell r="B11189">
            <v>202501</v>
          </cell>
          <cell r="D11189" t="str">
            <v>Flotas</v>
          </cell>
          <cell r="G11189" t="str">
            <v>Presupuesto</v>
          </cell>
        </row>
        <row r="11190">
          <cell r="A11190" t="str">
            <v>SV</v>
          </cell>
          <cell r="B11190">
            <v>202501</v>
          </cell>
          <cell r="D11190" t="str">
            <v>Flotas</v>
          </cell>
          <cell r="G11190" t="str">
            <v>Real</v>
          </cell>
        </row>
        <row r="11191">
          <cell r="A11191" t="str">
            <v>SV</v>
          </cell>
          <cell r="B11191">
            <v>202501</v>
          </cell>
          <cell r="D11191" t="str">
            <v>Hogar</v>
          </cell>
          <cell r="G11191" t="str">
            <v>Presupuesto</v>
          </cell>
        </row>
        <row r="11192">
          <cell r="A11192" t="str">
            <v>SV</v>
          </cell>
          <cell r="B11192">
            <v>202501</v>
          </cell>
          <cell r="D11192" t="str">
            <v>Hogar</v>
          </cell>
          <cell r="G11192" t="str">
            <v>Real</v>
          </cell>
        </row>
        <row r="11193">
          <cell r="A11193" t="str">
            <v>SV</v>
          </cell>
          <cell r="B11193">
            <v>202501</v>
          </cell>
          <cell r="D11193" t="str">
            <v>Ingeniería</v>
          </cell>
          <cell r="G11193" t="str">
            <v>Presupuesto</v>
          </cell>
        </row>
        <row r="11194">
          <cell r="A11194" t="str">
            <v>SV</v>
          </cell>
          <cell r="B11194">
            <v>202501</v>
          </cell>
          <cell r="D11194" t="str">
            <v>Ingeniería</v>
          </cell>
          <cell r="G11194" t="str">
            <v>Real</v>
          </cell>
        </row>
        <row r="11195">
          <cell r="A11195" t="str">
            <v>SV</v>
          </cell>
          <cell r="B11195">
            <v>202501</v>
          </cell>
          <cell r="D11195" t="str">
            <v>Inmobiliario</v>
          </cell>
          <cell r="G11195" t="str">
            <v>Presupuesto</v>
          </cell>
        </row>
        <row r="11196">
          <cell r="A11196" t="str">
            <v>SV</v>
          </cell>
          <cell r="B11196">
            <v>202501</v>
          </cell>
          <cell r="D11196" t="str">
            <v>Líneas Financieras</v>
          </cell>
          <cell r="G11196" t="str">
            <v>Presupuesto</v>
          </cell>
        </row>
        <row r="11197">
          <cell r="A11197" t="str">
            <v>SV</v>
          </cell>
          <cell r="B11197">
            <v>202501</v>
          </cell>
          <cell r="D11197" t="str">
            <v>Líneas Financieras</v>
          </cell>
          <cell r="G11197" t="str">
            <v>Real</v>
          </cell>
        </row>
        <row r="11198">
          <cell r="A11198" t="str">
            <v>SV</v>
          </cell>
          <cell r="B11198">
            <v>202501</v>
          </cell>
          <cell r="D11198" t="str">
            <v>Náutica</v>
          </cell>
          <cell r="G11198" t="str">
            <v>Presupuesto</v>
          </cell>
        </row>
        <row r="11199">
          <cell r="A11199" t="str">
            <v>SV</v>
          </cell>
          <cell r="B11199">
            <v>202501</v>
          </cell>
          <cell r="D11199" t="str">
            <v>Particulares Resto</v>
          </cell>
          <cell r="G11199" t="str">
            <v>Presupuesto</v>
          </cell>
        </row>
        <row r="11200">
          <cell r="A11200" t="str">
            <v>SV</v>
          </cell>
          <cell r="B11200">
            <v>202501</v>
          </cell>
          <cell r="D11200" t="str">
            <v>Particulares Resto</v>
          </cell>
          <cell r="G11200" t="str">
            <v>Real</v>
          </cell>
        </row>
        <row r="11201">
          <cell r="A11201" t="str">
            <v>SV</v>
          </cell>
          <cell r="B11201">
            <v>202501</v>
          </cell>
          <cell r="D11201" t="str">
            <v>Property</v>
          </cell>
          <cell r="G11201" t="str">
            <v>Presupuesto</v>
          </cell>
        </row>
        <row r="11202">
          <cell r="A11202" t="str">
            <v>SV</v>
          </cell>
          <cell r="B11202">
            <v>202501</v>
          </cell>
          <cell r="D11202" t="str">
            <v>Property</v>
          </cell>
          <cell r="G11202" t="str">
            <v>Real</v>
          </cell>
        </row>
        <row r="11203">
          <cell r="A11203" t="str">
            <v>SV</v>
          </cell>
          <cell r="B11203">
            <v>202501</v>
          </cell>
          <cell r="D11203" t="str">
            <v>RC</v>
          </cell>
          <cell r="G11203" t="str">
            <v>Presupuesto</v>
          </cell>
        </row>
        <row r="11204">
          <cell r="A11204" t="str">
            <v>SV</v>
          </cell>
          <cell r="B11204">
            <v>202501</v>
          </cell>
          <cell r="D11204" t="str">
            <v>RC</v>
          </cell>
          <cell r="G11204" t="str">
            <v>Real</v>
          </cell>
        </row>
        <row r="11205">
          <cell r="A11205" t="str">
            <v>SV</v>
          </cell>
          <cell r="B11205">
            <v>202501</v>
          </cell>
          <cell r="D11205" t="str">
            <v>Resto de lineas</v>
          </cell>
          <cell r="G11205" t="str">
            <v>Presupuesto</v>
          </cell>
        </row>
        <row r="11206">
          <cell r="A11206" t="str">
            <v>SV</v>
          </cell>
          <cell r="B11206">
            <v>202501</v>
          </cell>
          <cell r="D11206" t="str">
            <v>Retirada</v>
          </cell>
          <cell r="G11206" t="str">
            <v>Presupuesto</v>
          </cell>
        </row>
        <row r="11207">
          <cell r="A11207" t="str">
            <v>SV</v>
          </cell>
          <cell r="B11207">
            <v>202501</v>
          </cell>
          <cell r="D11207" t="str">
            <v>Seguros Personales (No Vida) Colectivos</v>
          </cell>
          <cell r="G11207" t="str">
            <v>Presupuesto</v>
          </cell>
        </row>
        <row r="11208">
          <cell r="A11208" t="str">
            <v>SV</v>
          </cell>
          <cell r="B11208">
            <v>202501</v>
          </cell>
          <cell r="D11208" t="str">
            <v>Seguros Personales (No Vida) Colectivos</v>
          </cell>
          <cell r="G11208" t="str">
            <v>Real</v>
          </cell>
        </row>
        <row r="11209">
          <cell r="A11209" t="str">
            <v>SV</v>
          </cell>
          <cell r="B11209">
            <v>202501</v>
          </cell>
          <cell r="D11209" t="str">
            <v>Seguros Personales (No Vida) Particular</v>
          </cell>
          <cell r="G11209" t="str">
            <v>Presupuesto</v>
          </cell>
        </row>
        <row r="11210">
          <cell r="A11210" t="str">
            <v>SV</v>
          </cell>
          <cell r="B11210">
            <v>202501</v>
          </cell>
          <cell r="D11210" t="str">
            <v>Seguros Personales (No Vida) Particular</v>
          </cell>
          <cell r="G11210" t="str">
            <v>Real</v>
          </cell>
        </row>
        <row r="11211">
          <cell r="A11211" t="str">
            <v>SV</v>
          </cell>
          <cell r="B11211">
            <v>202501</v>
          </cell>
          <cell r="D11211" t="str">
            <v>Transporte</v>
          </cell>
          <cell r="G11211" t="str">
            <v>Presupuesto</v>
          </cell>
        </row>
        <row r="11212">
          <cell r="A11212" t="str">
            <v>SV</v>
          </cell>
          <cell r="B11212">
            <v>202501</v>
          </cell>
          <cell r="D11212" t="str">
            <v>Transporte</v>
          </cell>
          <cell r="G11212" t="str">
            <v>Real</v>
          </cell>
        </row>
        <row r="11213">
          <cell r="A11213" t="str">
            <v>SV</v>
          </cell>
          <cell r="B11213">
            <v>202501</v>
          </cell>
          <cell r="D11213" t="str">
            <v>Venta Cruzada</v>
          </cell>
          <cell r="G11213" t="str">
            <v>Presupuesto</v>
          </cell>
        </row>
        <row r="11214">
          <cell r="A11214" t="str">
            <v>SV</v>
          </cell>
          <cell r="B11214">
            <v>202501</v>
          </cell>
          <cell r="D11214" t="str">
            <v>Vida Ahorro Colectivo</v>
          </cell>
          <cell r="G11214" t="str">
            <v>Presupuesto</v>
          </cell>
        </row>
        <row r="11215">
          <cell r="A11215" t="str">
            <v>SV</v>
          </cell>
          <cell r="B11215">
            <v>202501</v>
          </cell>
          <cell r="D11215" t="str">
            <v>Vida Ahorro Particular</v>
          </cell>
          <cell r="G11215" t="str">
            <v>Presupuesto</v>
          </cell>
        </row>
        <row r="11216">
          <cell r="A11216" t="str">
            <v>SV</v>
          </cell>
          <cell r="B11216">
            <v>202501</v>
          </cell>
          <cell r="D11216" t="str">
            <v>Vida Ahorro Particular</v>
          </cell>
          <cell r="G11216" t="str">
            <v>Real</v>
          </cell>
        </row>
        <row r="11217">
          <cell r="A11217" t="str">
            <v>SV</v>
          </cell>
          <cell r="B11217">
            <v>202501</v>
          </cell>
          <cell r="D11217" t="str">
            <v>Vida Ganado</v>
          </cell>
          <cell r="G11217" t="str">
            <v>Presupuesto</v>
          </cell>
        </row>
        <row r="11218">
          <cell r="A11218" t="str">
            <v>SV</v>
          </cell>
          <cell r="B11218">
            <v>202501</v>
          </cell>
          <cell r="D11218" t="str">
            <v>Vida Riesgo Colectivo</v>
          </cell>
          <cell r="G11218" t="str">
            <v>Presupuesto</v>
          </cell>
        </row>
        <row r="11219">
          <cell r="A11219" t="str">
            <v>SV</v>
          </cell>
          <cell r="B11219">
            <v>202501</v>
          </cell>
          <cell r="D11219" t="str">
            <v>Vida Riesgo Colectivo</v>
          </cell>
          <cell r="G11219" t="str">
            <v>Real</v>
          </cell>
        </row>
        <row r="11220">
          <cell r="A11220" t="str">
            <v>SV</v>
          </cell>
          <cell r="B11220">
            <v>202501</v>
          </cell>
          <cell r="D11220" t="str">
            <v>Vida Riesgo Particular</v>
          </cell>
          <cell r="G11220" t="str">
            <v>Presupuesto</v>
          </cell>
        </row>
        <row r="11221">
          <cell r="A11221" t="str">
            <v>SV</v>
          </cell>
          <cell r="B11221">
            <v>202501</v>
          </cell>
          <cell r="D11221" t="str">
            <v>Vida Riesgo Particular</v>
          </cell>
          <cell r="G11221" t="str">
            <v>Real</v>
          </cell>
        </row>
        <row r="11222">
          <cell r="A11222" t="str">
            <v>SV</v>
          </cell>
          <cell r="B11222">
            <v>202502</v>
          </cell>
          <cell r="D11222" t="str">
            <v>Arte</v>
          </cell>
          <cell r="G11222" t="str">
            <v>Presupuesto</v>
          </cell>
        </row>
        <row r="11223">
          <cell r="A11223" t="str">
            <v>SV</v>
          </cell>
          <cell r="B11223">
            <v>202502</v>
          </cell>
          <cell r="D11223" t="str">
            <v>Autos</v>
          </cell>
          <cell r="G11223" t="str">
            <v>Presupuesto</v>
          </cell>
        </row>
        <row r="11224">
          <cell r="A11224" t="str">
            <v>SV</v>
          </cell>
          <cell r="B11224">
            <v>202502</v>
          </cell>
          <cell r="D11224" t="str">
            <v>Autos</v>
          </cell>
          <cell r="G11224" t="str">
            <v>Real</v>
          </cell>
        </row>
        <row r="11225">
          <cell r="A11225" t="str">
            <v>SV</v>
          </cell>
          <cell r="B11225">
            <v>202502</v>
          </cell>
          <cell r="D11225" t="str">
            <v>B2B2C</v>
          </cell>
          <cell r="G11225" t="str">
            <v>Presupuesto</v>
          </cell>
        </row>
        <row r="11226">
          <cell r="A11226" t="str">
            <v>SV</v>
          </cell>
          <cell r="B11226">
            <v>202502</v>
          </cell>
          <cell r="D11226" t="str">
            <v>Caución</v>
          </cell>
          <cell r="G11226" t="str">
            <v>Presupuesto</v>
          </cell>
        </row>
        <row r="11227">
          <cell r="A11227" t="str">
            <v>SV</v>
          </cell>
          <cell r="B11227">
            <v>202502</v>
          </cell>
          <cell r="D11227" t="str">
            <v>Crédito Nacional</v>
          </cell>
          <cell r="G11227" t="str">
            <v>Real</v>
          </cell>
        </row>
        <row r="11228">
          <cell r="A11228" t="str">
            <v>SV</v>
          </cell>
          <cell r="B11228">
            <v>202502</v>
          </cell>
          <cell r="D11228" t="str">
            <v>Crédito Internacional</v>
          </cell>
          <cell r="G11228" t="str">
            <v>Presupuesto</v>
          </cell>
        </row>
        <row r="11229">
          <cell r="A11229" t="str">
            <v>SV</v>
          </cell>
          <cell r="B11229">
            <v>202502</v>
          </cell>
          <cell r="D11229" t="str">
            <v>Crédito Nacional</v>
          </cell>
          <cell r="G11229" t="str">
            <v>Presupuesto</v>
          </cell>
        </row>
        <row r="11230">
          <cell r="A11230" t="str">
            <v>SV</v>
          </cell>
          <cell r="B11230">
            <v>202502</v>
          </cell>
          <cell r="D11230" t="str">
            <v>Eventos</v>
          </cell>
          <cell r="G11230" t="str">
            <v>Presupuesto</v>
          </cell>
        </row>
        <row r="11231">
          <cell r="A11231" t="str">
            <v>SV</v>
          </cell>
          <cell r="B11231">
            <v>202502</v>
          </cell>
          <cell r="D11231" t="str">
            <v>Flotas</v>
          </cell>
          <cell r="G11231" t="str">
            <v>Presupuesto</v>
          </cell>
        </row>
        <row r="11232">
          <cell r="A11232" t="str">
            <v>SV</v>
          </cell>
          <cell r="B11232">
            <v>202502</v>
          </cell>
          <cell r="D11232" t="str">
            <v>Flotas</v>
          </cell>
          <cell r="G11232" t="str">
            <v>Real</v>
          </cell>
        </row>
        <row r="11233">
          <cell r="A11233" t="str">
            <v>SV</v>
          </cell>
          <cell r="B11233">
            <v>202502</v>
          </cell>
          <cell r="D11233" t="str">
            <v>Hogar</v>
          </cell>
          <cell r="G11233" t="str">
            <v>Presupuesto</v>
          </cell>
        </row>
        <row r="11234">
          <cell r="A11234" t="str">
            <v>SV</v>
          </cell>
          <cell r="B11234">
            <v>202502</v>
          </cell>
          <cell r="D11234" t="str">
            <v>Hogar</v>
          </cell>
          <cell r="G11234" t="str">
            <v>Real</v>
          </cell>
        </row>
        <row r="11235">
          <cell r="A11235" t="str">
            <v>SV</v>
          </cell>
          <cell r="B11235">
            <v>202502</v>
          </cell>
          <cell r="D11235" t="str">
            <v>Ingeniería</v>
          </cell>
          <cell r="G11235" t="str">
            <v>Presupuesto</v>
          </cell>
        </row>
        <row r="11236">
          <cell r="A11236" t="str">
            <v>SV</v>
          </cell>
          <cell r="B11236">
            <v>202502</v>
          </cell>
          <cell r="D11236" t="str">
            <v>Ingeniería</v>
          </cell>
          <cell r="G11236" t="str">
            <v>Real</v>
          </cell>
        </row>
        <row r="11237">
          <cell r="A11237" t="str">
            <v>SV</v>
          </cell>
          <cell r="B11237">
            <v>202502</v>
          </cell>
          <cell r="D11237" t="str">
            <v>Inmobiliario</v>
          </cell>
          <cell r="G11237" t="str">
            <v>Presupuesto</v>
          </cell>
        </row>
        <row r="11238">
          <cell r="A11238" t="str">
            <v>SV</v>
          </cell>
          <cell r="B11238">
            <v>202502</v>
          </cell>
          <cell r="D11238" t="str">
            <v>Líneas Financieras</v>
          </cell>
          <cell r="G11238" t="str">
            <v>Presupuesto</v>
          </cell>
        </row>
        <row r="11239">
          <cell r="A11239" t="str">
            <v>SV</v>
          </cell>
          <cell r="B11239">
            <v>202502</v>
          </cell>
          <cell r="D11239" t="str">
            <v>Líneas Financieras</v>
          </cell>
          <cell r="G11239" t="str">
            <v>Real</v>
          </cell>
        </row>
        <row r="11240">
          <cell r="A11240" t="str">
            <v>SV</v>
          </cell>
          <cell r="B11240">
            <v>202502</v>
          </cell>
          <cell r="D11240" t="str">
            <v>Náutica</v>
          </cell>
          <cell r="G11240" t="str">
            <v>Presupuesto</v>
          </cell>
        </row>
        <row r="11241">
          <cell r="A11241" t="str">
            <v>SV</v>
          </cell>
          <cell r="B11241">
            <v>202502</v>
          </cell>
          <cell r="D11241" t="str">
            <v>Particulares Resto</v>
          </cell>
          <cell r="G11241" t="str">
            <v>Presupuesto</v>
          </cell>
        </row>
        <row r="11242">
          <cell r="A11242" t="str">
            <v>SV</v>
          </cell>
          <cell r="B11242">
            <v>202502</v>
          </cell>
          <cell r="D11242" t="str">
            <v>Particulares Resto</v>
          </cell>
          <cell r="G11242" t="str">
            <v>Real</v>
          </cell>
        </row>
        <row r="11243">
          <cell r="A11243" t="str">
            <v>SV</v>
          </cell>
          <cell r="B11243">
            <v>202502</v>
          </cell>
          <cell r="D11243" t="str">
            <v>Property</v>
          </cell>
          <cell r="G11243" t="str">
            <v>Presupuesto</v>
          </cell>
        </row>
        <row r="11244">
          <cell r="A11244" t="str">
            <v>SV</v>
          </cell>
          <cell r="B11244">
            <v>202502</v>
          </cell>
          <cell r="D11244" t="str">
            <v>Property</v>
          </cell>
          <cell r="G11244" t="str">
            <v>Real</v>
          </cell>
        </row>
        <row r="11245">
          <cell r="A11245" t="str">
            <v>SV</v>
          </cell>
          <cell r="B11245">
            <v>202502</v>
          </cell>
          <cell r="D11245" t="str">
            <v>RC</v>
          </cell>
          <cell r="G11245" t="str">
            <v>Presupuesto</v>
          </cell>
        </row>
        <row r="11246">
          <cell r="A11246" t="str">
            <v>SV</v>
          </cell>
          <cell r="B11246">
            <v>202502</v>
          </cell>
          <cell r="D11246" t="str">
            <v>RC</v>
          </cell>
          <cell r="G11246" t="str">
            <v>Real</v>
          </cell>
        </row>
        <row r="11247">
          <cell r="A11247" t="str">
            <v>SV</v>
          </cell>
          <cell r="B11247">
            <v>202502</v>
          </cell>
          <cell r="D11247" t="str">
            <v>Resto de lineas</v>
          </cell>
          <cell r="G11247" t="str">
            <v>Presupuesto</v>
          </cell>
        </row>
        <row r="11248">
          <cell r="A11248" t="str">
            <v>SV</v>
          </cell>
          <cell r="B11248">
            <v>202502</v>
          </cell>
          <cell r="D11248" t="str">
            <v>Retirada</v>
          </cell>
          <cell r="G11248" t="str">
            <v>Presupuesto</v>
          </cell>
        </row>
        <row r="11249">
          <cell r="A11249" t="str">
            <v>SV</v>
          </cell>
          <cell r="B11249">
            <v>202502</v>
          </cell>
          <cell r="D11249" t="str">
            <v>Seguros Personales (No Vida) Colectivos</v>
          </cell>
          <cell r="G11249" t="str">
            <v>Presupuesto</v>
          </cell>
        </row>
        <row r="11250">
          <cell r="A11250" t="str">
            <v>SV</v>
          </cell>
          <cell r="B11250">
            <v>202502</v>
          </cell>
          <cell r="D11250" t="str">
            <v>Seguros Personales (No Vida) Colectivos</v>
          </cell>
          <cell r="G11250" t="str">
            <v>Real</v>
          </cell>
        </row>
        <row r="11251">
          <cell r="A11251" t="str">
            <v>SV</v>
          </cell>
          <cell r="B11251">
            <v>202502</v>
          </cell>
          <cell r="D11251" t="str">
            <v>Seguros Personales (No Vida) Particular</v>
          </cell>
          <cell r="G11251" t="str">
            <v>Presupuesto</v>
          </cell>
        </row>
        <row r="11252">
          <cell r="A11252" t="str">
            <v>SV</v>
          </cell>
          <cell r="B11252">
            <v>202502</v>
          </cell>
          <cell r="D11252" t="str">
            <v>Seguros Personales (No Vida) Particular</v>
          </cell>
          <cell r="G11252" t="str">
            <v>Real</v>
          </cell>
        </row>
        <row r="11253">
          <cell r="A11253" t="str">
            <v>SV</v>
          </cell>
          <cell r="B11253">
            <v>202502</v>
          </cell>
          <cell r="D11253" t="str">
            <v>Transporte</v>
          </cell>
          <cell r="G11253" t="str">
            <v>Presupuesto</v>
          </cell>
        </row>
        <row r="11254">
          <cell r="A11254" t="str">
            <v>SV</v>
          </cell>
          <cell r="B11254">
            <v>202502</v>
          </cell>
          <cell r="D11254" t="str">
            <v>Transporte</v>
          </cell>
          <cell r="G11254" t="str">
            <v>Real</v>
          </cell>
        </row>
        <row r="11255">
          <cell r="A11255" t="str">
            <v>SV</v>
          </cell>
          <cell r="B11255">
            <v>202502</v>
          </cell>
          <cell r="D11255" t="str">
            <v>Venta Cruzada</v>
          </cell>
          <cell r="G11255" t="str">
            <v>Presupuesto</v>
          </cell>
        </row>
        <row r="11256">
          <cell r="A11256" t="str">
            <v>SV</v>
          </cell>
          <cell r="B11256">
            <v>202502</v>
          </cell>
          <cell r="D11256" t="str">
            <v>Vida Ahorro Colectivo</v>
          </cell>
          <cell r="G11256" t="str">
            <v>Presupuesto</v>
          </cell>
        </row>
        <row r="11257">
          <cell r="A11257" t="str">
            <v>SV</v>
          </cell>
          <cell r="B11257">
            <v>202502</v>
          </cell>
          <cell r="D11257" t="str">
            <v>Vida Ahorro Particular</v>
          </cell>
          <cell r="G11257" t="str">
            <v>Presupuesto</v>
          </cell>
        </row>
        <row r="11258">
          <cell r="A11258" t="str">
            <v>SV</v>
          </cell>
          <cell r="B11258">
            <v>202502</v>
          </cell>
          <cell r="D11258" t="str">
            <v>Vida Ahorro Particular</v>
          </cell>
          <cell r="G11258" t="str">
            <v>Real</v>
          </cell>
        </row>
        <row r="11259">
          <cell r="A11259" t="str">
            <v>SV</v>
          </cell>
          <cell r="B11259">
            <v>202502</v>
          </cell>
          <cell r="D11259" t="str">
            <v>Vida Ganado</v>
          </cell>
          <cell r="G11259" t="str">
            <v>Presupuesto</v>
          </cell>
        </row>
        <row r="11260">
          <cell r="A11260" t="str">
            <v>SV</v>
          </cell>
          <cell r="B11260">
            <v>202502</v>
          </cell>
          <cell r="D11260" t="str">
            <v>Vida Riesgo Colectivo</v>
          </cell>
          <cell r="G11260" t="str">
            <v>Presupuesto</v>
          </cell>
        </row>
        <row r="11261">
          <cell r="A11261" t="str">
            <v>SV</v>
          </cell>
          <cell r="B11261">
            <v>202502</v>
          </cell>
          <cell r="D11261" t="str">
            <v>Vida Riesgo Colectivo</v>
          </cell>
          <cell r="G11261" t="str">
            <v>Real</v>
          </cell>
        </row>
        <row r="11262">
          <cell r="A11262" t="str">
            <v>SV</v>
          </cell>
          <cell r="B11262">
            <v>202502</v>
          </cell>
          <cell r="D11262" t="str">
            <v>Vida Riesgo Particular</v>
          </cell>
          <cell r="G11262" t="str">
            <v>Presupuesto</v>
          </cell>
        </row>
        <row r="11263">
          <cell r="A11263" t="str">
            <v>SV</v>
          </cell>
          <cell r="B11263">
            <v>202502</v>
          </cell>
          <cell r="D11263" t="str">
            <v>Vida Riesgo Particular</v>
          </cell>
          <cell r="G11263" t="str">
            <v>Real</v>
          </cell>
        </row>
        <row r="11264">
          <cell r="A11264" t="str">
            <v>SV</v>
          </cell>
          <cell r="B11264">
            <v>202503</v>
          </cell>
          <cell r="D11264" t="str">
            <v>--</v>
          </cell>
          <cell r="G11264" t="str">
            <v>Real</v>
          </cell>
        </row>
        <row r="11265">
          <cell r="A11265" t="str">
            <v>SV</v>
          </cell>
          <cell r="B11265">
            <v>202503</v>
          </cell>
          <cell r="D11265" t="str">
            <v>Resto de Lineas</v>
          </cell>
          <cell r="G11265" t="str">
            <v>Real</v>
          </cell>
        </row>
        <row r="11266">
          <cell r="A11266" t="str">
            <v>SV</v>
          </cell>
          <cell r="B11266">
            <v>202503</v>
          </cell>
          <cell r="D11266" t="str">
            <v>Arte</v>
          </cell>
          <cell r="G11266" t="str">
            <v>Presupuesto</v>
          </cell>
        </row>
        <row r="11267">
          <cell r="A11267" t="str">
            <v>SV</v>
          </cell>
          <cell r="B11267">
            <v>202503</v>
          </cell>
          <cell r="D11267" t="str">
            <v>Autos</v>
          </cell>
          <cell r="G11267" t="str">
            <v>Presupuesto</v>
          </cell>
        </row>
        <row r="11268">
          <cell r="A11268" t="str">
            <v>SV</v>
          </cell>
          <cell r="B11268">
            <v>202503</v>
          </cell>
          <cell r="D11268" t="str">
            <v>Autos</v>
          </cell>
          <cell r="G11268" t="str">
            <v>Real</v>
          </cell>
        </row>
        <row r="11269">
          <cell r="A11269" t="str">
            <v>SV</v>
          </cell>
          <cell r="B11269">
            <v>202503</v>
          </cell>
          <cell r="D11269" t="str">
            <v>B2B2C</v>
          </cell>
          <cell r="G11269" t="str">
            <v>Presupuesto</v>
          </cell>
        </row>
        <row r="11270">
          <cell r="A11270" t="str">
            <v>SV</v>
          </cell>
          <cell r="B11270">
            <v>202503</v>
          </cell>
          <cell r="D11270" t="str">
            <v>Caución</v>
          </cell>
          <cell r="G11270" t="str">
            <v>Presupuesto</v>
          </cell>
        </row>
        <row r="11271">
          <cell r="A11271" t="str">
            <v>SV</v>
          </cell>
          <cell r="B11271">
            <v>202503</v>
          </cell>
          <cell r="D11271" t="str">
            <v>Crédito Nacional</v>
          </cell>
          <cell r="G11271" t="str">
            <v>Real</v>
          </cell>
        </row>
        <row r="11272">
          <cell r="A11272" t="str">
            <v>SV</v>
          </cell>
          <cell r="B11272">
            <v>202503</v>
          </cell>
          <cell r="D11272" t="str">
            <v>Crédito Internacional</v>
          </cell>
          <cell r="G11272" t="str">
            <v>Presupuesto</v>
          </cell>
        </row>
        <row r="11273">
          <cell r="A11273" t="str">
            <v>SV</v>
          </cell>
          <cell r="B11273">
            <v>202503</v>
          </cell>
          <cell r="D11273" t="str">
            <v>Crédito Nacional</v>
          </cell>
          <cell r="G11273" t="str">
            <v>Presupuesto</v>
          </cell>
        </row>
        <row r="11274">
          <cell r="A11274" t="str">
            <v>SV</v>
          </cell>
          <cell r="B11274">
            <v>202503</v>
          </cell>
          <cell r="D11274" t="str">
            <v>Eventos</v>
          </cell>
          <cell r="G11274" t="str">
            <v>Presupuesto</v>
          </cell>
        </row>
        <row r="11275">
          <cell r="A11275" t="str">
            <v>SV</v>
          </cell>
          <cell r="B11275">
            <v>202503</v>
          </cell>
          <cell r="D11275" t="str">
            <v>Flotas</v>
          </cell>
          <cell r="G11275" t="str">
            <v>Presupuesto</v>
          </cell>
        </row>
        <row r="11276">
          <cell r="A11276" t="str">
            <v>SV</v>
          </cell>
          <cell r="B11276">
            <v>202503</v>
          </cell>
          <cell r="D11276" t="str">
            <v>Flotas</v>
          </cell>
          <cell r="G11276" t="str">
            <v>Real</v>
          </cell>
        </row>
        <row r="11277">
          <cell r="A11277" t="str">
            <v>SV</v>
          </cell>
          <cell r="B11277">
            <v>202503</v>
          </cell>
          <cell r="D11277" t="str">
            <v>Hogar</v>
          </cell>
          <cell r="G11277" t="str">
            <v>Presupuesto</v>
          </cell>
        </row>
        <row r="11278">
          <cell r="A11278" t="str">
            <v>SV</v>
          </cell>
          <cell r="B11278">
            <v>202503</v>
          </cell>
          <cell r="D11278" t="str">
            <v>Hogar</v>
          </cell>
          <cell r="G11278" t="str">
            <v>Real</v>
          </cell>
        </row>
        <row r="11279">
          <cell r="A11279" t="str">
            <v>SV</v>
          </cell>
          <cell r="B11279">
            <v>202503</v>
          </cell>
          <cell r="D11279" t="str">
            <v>Ingeniería</v>
          </cell>
          <cell r="G11279" t="str">
            <v>Presupuesto</v>
          </cell>
        </row>
        <row r="11280">
          <cell r="A11280" t="str">
            <v>SV</v>
          </cell>
          <cell r="B11280">
            <v>202503</v>
          </cell>
          <cell r="D11280" t="str">
            <v>Ingeniería</v>
          </cell>
          <cell r="G11280" t="str">
            <v>Real</v>
          </cell>
        </row>
        <row r="11281">
          <cell r="A11281" t="str">
            <v>SV</v>
          </cell>
          <cell r="B11281">
            <v>202503</v>
          </cell>
          <cell r="D11281" t="str">
            <v>Inmobiliario</v>
          </cell>
          <cell r="G11281" t="str">
            <v>Presupuesto</v>
          </cell>
        </row>
        <row r="11282">
          <cell r="A11282" t="str">
            <v>SV</v>
          </cell>
          <cell r="B11282">
            <v>202503</v>
          </cell>
          <cell r="D11282" t="str">
            <v>Líneas Financieras</v>
          </cell>
          <cell r="G11282" t="str">
            <v>Presupuesto</v>
          </cell>
        </row>
        <row r="11283">
          <cell r="A11283" t="str">
            <v>SV</v>
          </cell>
          <cell r="B11283">
            <v>202503</v>
          </cell>
          <cell r="D11283" t="str">
            <v>Líneas Financieras</v>
          </cell>
          <cell r="G11283" t="str">
            <v>Real</v>
          </cell>
        </row>
        <row r="11284">
          <cell r="A11284" t="str">
            <v>SV</v>
          </cell>
          <cell r="B11284">
            <v>202503</v>
          </cell>
          <cell r="D11284" t="str">
            <v>Náutica</v>
          </cell>
          <cell r="G11284" t="str">
            <v>Presupuesto</v>
          </cell>
        </row>
        <row r="11285">
          <cell r="A11285" t="str">
            <v>SV</v>
          </cell>
          <cell r="B11285">
            <v>202503</v>
          </cell>
          <cell r="D11285" t="str">
            <v>Particulares Resto</v>
          </cell>
          <cell r="G11285" t="str">
            <v>Presupuesto</v>
          </cell>
        </row>
        <row r="11286">
          <cell r="A11286" t="str">
            <v>SV</v>
          </cell>
          <cell r="B11286">
            <v>202503</v>
          </cell>
          <cell r="D11286" t="str">
            <v>Particulares Resto</v>
          </cell>
          <cell r="G11286" t="str">
            <v>Real</v>
          </cell>
        </row>
        <row r="11287">
          <cell r="A11287" t="str">
            <v>SV</v>
          </cell>
          <cell r="B11287">
            <v>202503</v>
          </cell>
          <cell r="D11287" t="str">
            <v>Property</v>
          </cell>
          <cell r="G11287" t="str">
            <v>Presupuesto</v>
          </cell>
        </row>
        <row r="11288">
          <cell r="A11288" t="str">
            <v>SV</v>
          </cell>
          <cell r="B11288">
            <v>202503</v>
          </cell>
          <cell r="D11288" t="str">
            <v>Property</v>
          </cell>
          <cell r="G11288" t="str">
            <v>Real</v>
          </cell>
        </row>
        <row r="11289">
          <cell r="A11289" t="str">
            <v>SV</v>
          </cell>
          <cell r="B11289">
            <v>202503</v>
          </cell>
          <cell r="D11289" t="str">
            <v>RC</v>
          </cell>
          <cell r="G11289" t="str">
            <v>Presupuesto</v>
          </cell>
        </row>
        <row r="11290">
          <cell r="A11290" t="str">
            <v>SV</v>
          </cell>
          <cell r="B11290">
            <v>202503</v>
          </cell>
          <cell r="D11290" t="str">
            <v>RC</v>
          </cell>
          <cell r="G11290" t="str">
            <v>Real</v>
          </cell>
        </row>
        <row r="11291">
          <cell r="A11291" t="str">
            <v>SV</v>
          </cell>
          <cell r="B11291">
            <v>202503</v>
          </cell>
          <cell r="D11291" t="str">
            <v>Resto de lineas</v>
          </cell>
          <cell r="G11291" t="str">
            <v>Presupuesto</v>
          </cell>
        </row>
        <row r="11292">
          <cell r="A11292" t="str">
            <v>SV</v>
          </cell>
          <cell r="B11292">
            <v>202503</v>
          </cell>
          <cell r="D11292" t="str">
            <v>Retirada</v>
          </cell>
          <cell r="G11292" t="str">
            <v>Presupuesto</v>
          </cell>
        </row>
        <row r="11293">
          <cell r="A11293" t="str">
            <v>SV</v>
          </cell>
          <cell r="B11293">
            <v>202503</v>
          </cell>
          <cell r="D11293" t="str">
            <v>Seguros Personales (No Vida) Colectivos</v>
          </cell>
          <cell r="G11293" t="str">
            <v>Presupuesto</v>
          </cell>
        </row>
        <row r="11294">
          <cell r="A11294" t="str">
            <v>SV</v>
          </cell>
          <cell r="B11294">
            <v>202503</v>
          </cell>
          <cell r="D11294" t="str">
            <v>Seguros Personales (No Vida) Colectivos</v>
          </cell>
          <cell r="G11294" t="str">
            <v>Real</v>
          </cell>
        </row>
        <row r="11295">
          <cell r="A11295" t="str">
            <v>SV</v>
          </cell>
          <cell r="B11295">
            <v>202503</v>
          </cell>
          <cell r="D11295" t="str">
            <v>Seguros Personales (No Vida) Particular</v>
          </cell>
          <cell r="G11295" t="str">
            <v>Presupuesto</v>
          </cell>
        </row>
        <row r="11296">
          <cell r="A11296" t="str">
            <v>SV</v>
          </cell>
          <cell r="B11296">
            <v>202503</v>
          </cell>
          <cell r="D11296" t="str">
            <v>Seguros Personales (No Vida) Particular</v>
          </cell>
          <cell r="G11296" t="str">
            <v>Real</v>
          </cell>
        </row>
        <row r="11297">
          <cell r="A11297" t="str">
            <v>SV</v>
          </cell>
          <cell r="B11297">
            <v>202503</v>
          </cell>
          <cell r="D11297" t="str">
            <v>Transporte</v>
          </cell>
          <cell r="G11297" t="str">
            <v>Presupuesto</v>
          </cell>
        </row>
        <row r="11298">
          <cell r="A11298" t="str">
            <v>SV</v>
          </cell>
          <cell r="B11298">
            <v>202503</v>
          </cell>
          <cell r="D11298" t="str">
            <v>Transporte</v>
          </cell>
          <cell r="G11298" t="str">
            <v>Real</v>
          </cell>
        </row>
        <row r="11299">
          <cell r="A11299" t="str">
            <v>SV</v>
          </cell>
          <cell r="B11299">
            <v>202503</v>
          </cell>
          <cell r="D11299" t="str">
            <v>Venta Cruzada</v>
          </cell>
          <cell r="G11299" t="str">
            <v>Presupuesto</v>
          </cell>
        </row>
        <row r="11300">
          <cell r="A11300" t="str">
            <v>SV</v>
          </cell>
          <cell r="B11300">
            <v>202503</v>
          </cell>
          <cell r="D11300" t="str">
            <v>Vida Ahorro Colectivo</v>
          </cell>
          <cell r="G11300" t="str">
            <v>Presupuesto</v>
          </cell>
        </row>
        <row r="11301">
          <cell r="A11301" t="str">
            <v>SV</v>
          </cell>
          <cell r="B11301">
            <v>202503</v>
          </cell>
          <cell r="D11301" t="str">
            <v>Vida Ahorro Particular</v>
          </cell>
          <cell r="G11301" t="str">
            <v>Presupuesto</v>
          </cell>
        </row>
        <row r="11302">
          <cell r="A11302" t="str">
            <v>SV</v>
          </cell>
          <cell r="B11302">
            <v>202503</v>
          </cell>
          <cell r="D11302" t="str">
            <v>Vida Ahorro Particular</v>
          </cell>
          <cell r="G11302" t="str">
            <v>Real</v>
          </cell>
        </row>
        <row r="11303">
          <cell r="A11303" t="str">
            <v>SV</v>
          </cell>
          <cell r="B11303">
            <v>202503</v>
          </cell>
          <cell r="D11303" t="str">
            <v>Vida Ganado</v>
          </cell>
          <cell r="G11303" t="str">
            <v>Presupuesto</v>
          </cell>
        </row>
        <row r="11304">
          <cell r="A11304" t="str">
            <v>SV</v>
          </cell>
          <cell r="B11304">
            <v>202503</v>
          </cell>
          <cell r="D11304" t="str">
            <v>Vida Riesgo Colectivo</v>
          </cell>
          <cell r="G11304" t="str">
            <v>Presupuesto</v>
          </cell>
        </row>
        <row r="11305">
          <cell r="A11305" t="str">
            <v>SV</v>
          </cell>
          <cell r="B11305">
            <v>202503</v>
          </cell>
          <cell r="D11305" t="str">
            <v>Vida Riesgo Colectivo</v>
          </cell>
          <cell r="G11305" t="str">
            <v>Real</v>
          </cell>
        </row>
        <row r="11306">
          <cell r="A11306" t="str">
            <v>SV</v>
          </cell>
          <cell r="B11306">
            <v>202503</v>
          </cell>
          <cell r="D11306" t="str">
            <v>Vida Riesgo Particular</v>
          </cell>
          <cell r="G11306" t="str">
            <v>Presupuesto</v>
          </cell>
        </row>
        <row r="11307">
          <cell r="A11307" t="str">
            <v>SV</v>
          </cell>
          <cell r="B11307">
            <v>202503</v>
          </cell>
          <cell r="D11307" t="str">
            <v>Vida Riesgo Particular</v>
          </cell>
          <cell r="G11307" t="str">
            <v>Real</v>
          </cell>
        </row>
        <row r="11308">
          <cell r="A11308" t="str">
            <v>SV</v>
          </cell>
          <cell r="B11308">
            <v>202504</v>
          </cell>
          <cell r="D11308" t="str">
            <v>--</v>
          </cell>
          <cell r="G11308" t="str">
            <v>Real</v>
          </cell>
        </row>
        <row r="11309">
          <cell r="A11309" t="str">
            <v>SV</v>
          </cell>
          <cell r="B11309">
            <v>202504</v>
          </cell>
          <cell r="D11309" t="str">
            <v>Resto de Lineas</v>
          </cell>
          <cell r="G11309" t="str">
            <v>Real</v>
          </cell>
        </row>
        <row r="11310">
          <cell r="A11310" t="str">
            <v>SV</v>
          </cell>
          <cell r="B11310">
            <v>202504</v>
          </cell>
          <cell r="D11310" t="str">
            <v>Arte</v>
          </cell>
          <cell r="G11310" t="str">
            <v>Presupuesto</v>
          </cell>
        </row>
        <row r="11311">
          <cell r="A11311" t="str">
            <v>SV</v>
          </cell>
          <cell r="B11311">
            <v>202504</v>
          </cell>
          <cell r="D11311" t="str">
            <v>Autos</v>
          </cell>
          <cell r="G11311" t="str">
            <v>Presupuesto</v>
          </cell>
        </row>
        <row r="11312">
          <cell r="A11312" t="str">
            <v>SV</v>
          </cell>
          <cell r="B11312">
            <v>202504</v>
          </cell>
          <cell r="D11312" t="str">
            <v>Autos</v>
          </cell>
          <cell r="G11312" t="str">
            <v>Real</v>
          </cell>
        </row>
        <row r="11313">
          <cell r="A11313" t="str">
            <v>SV</v>
          </cell>
          <cell r="B11313">
            <v>202504</v>
          </cell>
          <cell r="D11313" t="str">
            <v>B2B2C</v>
          </cell>
          <cell r="G11313" t="str">
            <v>Presupuesto</v>
          </cell>
        </row>
        <row r="11314">
          <cell r="A11314" t="str">
            <v>SV</v>
          </cell>
          <cell r="B11314">
            <v>202504</v>
          </cell>
          <cell r="D11314" t="str">
            <v>Caución</v>
          </cell>
          <cell r="G11314" t="str">
            <v>Presupuesto</v>
          </cell>
        </row>
        <row r="11315">
          <cell r="A11315" t="str">
            <v>SV</v>
          </cell>
          <cell r="B11315">
            <v>202504</v>
          </cell>
          <cell r="D11315" t="str">
            <v>Crédito Nacional</v>
          </cell>
          <cell r="G11315" t="str">
            <v>Real</v>
          </cell>
        </row>
        <row r="11316">
          <cell r="A11316" t="str">
            <v>SV</v>
          </cell>
          <cell r="B11316">
            <v>202504</v>
          </cell>
          <cell r="D11316" t="str">
            <v>Crédito Internacional</v>
          </cell>
          <cell r="G11316" t="str">
            <v>Presupuesto</v>
          </cell>
        </row>
        <row r="11317">
          <cell r="A11317" t="str">
            <v>SV</v>
          </cell>
          <cell r="B11317">
            <v>202504</v>
          </cell>
          <cell r="D11317" t="str">
            <v>Crédito Nacional</v>
          </cell>
          <cell r="G11317" t="str">
            <v>Presupuesto</v>
          </cell>
        </row>
        <row r="11318">
          <cell r="A11318" t="str">
            <v>SV</v>
          </cell>
          <cell r="B11318">
            <v>202504</v>
          </cell>
          <cell r="D11318" t="str">
            <v>Eventos</v>
          </cell>
          <cell r="G11318" t="str">
            <v>Presupuesto</v>
          </cell>
        </row>
        <row r="11319">
          <cell r="A11319" t="str">
            <v>SV</v>
          </cell>
          <cell r="B11319">
            <v>202504</v>
          </cell>
          <cell r="D11319" t="str">
            <v>Flotas</v>
          </cell>
          <cell r="G11319" t="str">
            <v>Presupuesto</v>
          </cell>
        </row>
        <row r="11320">
          <cell r="A11320" t="str">
            <v>SV</v>
          </cell>
          <cell r="B11320">
            <v>202504</v>
          </cell>
          <cell r="D11320" t="str">
            <v>Flotas</v>
          </cell>
          <cell r="G11320" t="str">
            <v>Real</v>
          </cell>
        </row>
        <row r="11321">
          <cell r="A11321" t="str">
            <v>SV</v>
          </cell>
          <cell r="B11321">
            <v>202504</v>
          </cell>
          <cell r="D11321" t="str">
            <v>Hogar</v>
          </cell>
          <cell r="G11321" t="str">
            <v>Presupuesto</v>
          </cell>
        </row>
        <row r="11322">
          <cell r="A11322" t="str">
            <v>SV</v>
          </cell>
          <cell r="B11322">
            <v>202504</v>
          </cell>
          <cell r="D11322" t="str">
            <v>Hogar</v>
          </cell>
          <cell r="G11322" t="str">
            <v>Real</v>
          </cell>
        </row>
        <row r="11323">
          <cell r="A11323" t="str">
            <v>SV</v>
          </cell>
          <cell r="B11323">
            <v>202504</v>
          </cell>
          <cell r="D11323" t="str">
            <v>Ingeniería</v>
          </cell>
          <cell r="G11323" t="str">
            <v>Presupuesto</v>
          </cell>
        </row>
        <row r="11324">
          <cell r="A11324" t="str">
            <v>SV</v>
          </cell>
          <cell r="B11324">
            <v>202504</v>
          </cell>
          <cell r="D11324" t="str">
            <v>Ingeniería</v>
          </cell>
          <cell r="G11324" t="str">
            <v>Real</v>
          </cell>
        </row>
        <row r="11325">
          <cell r="A11325" t="str">
            <v>SV</v>
          </cell>
          <cell r="B11325">
            <v>202504</v>
          </cell>
          <cell r="D11325" t="str">
            <v>Inmobiliario</v>
          </cell>
          <cell r="G11325" t="str">
            <v>Presupuesto</v>
          </cell>
        </row>
        <row r="11326">
          <cell r="A11326" t="str">
            <v>SV</v>
          </cell>
          <cell r="B11326">
            <v>202504</v>
          </cell>
          <cell r="D11326" t="str">
            <v>Líneas Financieras</v>
          </cell>
          <cell r="G11326" t="str">
            <v>Presupuesto</v>
          </cell>
        </row>
        <row r="11327">
          <cell r="A11327" t="str">
            <v>SV</v>
          </cell>
          <cell r="B11327">
            <v>202504</v>
          </cell>
          <cell r="D11327" t="str">
            <v>Líneas Financieras</v>
          </cell>
          <cell r="G11327" t="str">
            <v>Real</v>
          </cell>
        </row>
        <row r="11328">
          <cell r="A11328" t="str">
            <v>SV</v>
          </cell>
          <cell r="B11328">
            <v>202504</v>
          </cell>
          <cell r="D11328" t="str">
            <v>Náutica</v>
          </cell>
          <cell r="G11328" t="str">
            <v>Presupuesto</v>
          </cell>
        </row>
        <row r="11329">
          <cell r="A11329" t="str">
            <v>SV</v>
          </cell>
          <cell r="B11329">
            <v>202504</v>
          </cell>
          <cell r="D11329" t="str">
            <v>Particulares Resto</v>
          </cell>
          <cell r="G11329" t="str">
            <v>Presupuesto</v>
          </cell>
        </row>
        <row r="11330">
          <cell r="A11330" t="str">
            <v>SV</v>
          </cell>
          <cell r="B11330">
            <v>202504</v>
          </cell>
          <cell r="D11330" t="str">
            <v>Particulares Resto</v>
          </cell>
          <cell r="G11330" t="str">
            <v>Real</v>
          </cell>
        </row>
        <row r="11331">
          <cell r="A11331" t="str">
            <v>SV</v>
          </cell>
          <cell r="B11331">
            <v>202504</v>
          </cell>
          <cell r="D11331" t="str">
            <v>Property</v>
          </cell>
          <cell r="G11331" t="str">
            <v>Presupuesto</v>
          </cell>
        </row>
        <row r="11332">
          <cell r="A11332" t="str">
            <v>SV</v>
          </cell>
          <cell r="B11332">
            <v>202504</v>
          </cell>
          <cell r="D11332" t="str">
            <v>Property</v>
          </cell>
          <cell r="G11332" t="str">
            <v>Real</v>
          </cell>
        </row>
        <row r="11333">
          <cell r="A11333" t="str">
            <v>SV</v>
          </cell>
          <cell r="B11333">
            <v>202504</v>
          </cell>
          <cell r="D11333" t="str">
            <v>RC</v>
          </cell>
          <cell r="G11333" t="str">
            <v>Presupuesto</v>
          </cell>
        </row>
        <row r="11334">
          <cell r="A11334" t="str">
            <v>SV</v>
          </cell>
          <cell r="B11334">
            <v>202504</v>
          </cell>
          <cell r="D11334" t="str">
            <v>RC</v>
          </cell>
          <cell r="G11334" t="str">
            <v>Real</v>
          </cell>
        </row>
        <row r="11335">
          <cell r="A11335" t="str">
            <v>SV</v>
          </cell>
          <cell r="B11335">
            <v>202504</v>
          </cell>
          <cell r="D11335" t="str">
            <v>Resto de lineas</v>
          </cell>
          <cell r="G11335" t="str">
            <v>Presupuesto</v>
          </cell>
        </row>
        <row r="11336">
          <cell r="A11336" t="str">
            <v>SV</v>
          </cell>
          <cell r="B11336">
            <v>202504</v>
          </cell>
          <cell r="D11336" t="str">
            <v>Retirada</v>
          </cell>
          <cell r="G11336" t="str">
            <v>Presupuesto</v>
          </cell>
        </row>
        <row r="11337">
          <cell r="A11337" t="str">
            <v>SV</v>
          </cell>
          <cell r="B11337">
            <v>202504</v>
          </cell>
          <cell r="D11337" t="str">
            <v>Seguros Personales (No Vida) Colectivos</v>
          </cell>
          <cell r="G11337" t="str">
            <v>Presupuesto</v>
          </cell>
        </row>
        <row r="11338">
          <cell r="A11338" t="str">
            <v>SV</v>
          </cell>
          <cell r="B11338">
            <v>202504</v>
          </cell>
          <cell r="D11338" t="str">
            <v>Seguros Personales (No Vida) Colectivos</v>
          </cell>
          <cell r="G11338" t="str">
            <v>Real</v>
          </cell>
        </row>
        <row r="11339">
          <cell r="A11339" t="str">
            <v>SV</v>
          </cell>
          <cell r="B11339">
            <v>202504</v>
          </cell>
          <cell r="D11339" t="str">
            <v>Seguros Personales (No Vida) Particular</v>
          </cell>
          <cell r="G11339" t="str">
            <v>Presupuesto</v>
          </cell>
        </row>
        <row r="11340">
          <cell r="A11340" t="str">
            <v>SV</v>
          </cell>
          <cell r="B11340">
            <v>202504</v>
          </cell>
          <cell r="D11340" t="str">
            <v>Seguros Personales (No Vida) Particular</v>
          </cell>
          <cell r="G11340" t="str">
            <v>Real</v>
          </cell>
        </row>
        <row r="11341">
          <cell r="A11341" t="str">
            <v>SV</v>
          </cell>
          <cell r="B11341">
            <v>202504</v>
          </cell>
          <cell r="D11341" t="str">
            <v>Transporte</v>
          </cell>
          <cell r="G11341" t="str">
            <v>Presupuesto</v>
          </cell>
        </row>
        <row r="11342">
          <cell r="A11342" t="str">
            <v>SV</v>
          </cell>
          <cell r="B11342">
            <v>202504</v>
          </cell>
          <cell r="D11342" t="str">
            <v>Transporte</v>
          </cell>
          <cell r="G11342" t="str">
            <v>Real</v>
          </cell>
        </row>
        <row r="11343">
          <cell r="A11343" t="str">
            <v>SV</v>
          </cell>
          <cell r="B11343">
            <v>202504</v>
          </cell>
          <cell r="D11343" t="str">
            <v>Venta Cruzada</v>
          </cell>
          <cell r="G11343" t="str">
            <v>Presupuesto</v>
          </cell>
        </row>
        <row r="11344">
          <cell r="A11344" t="str">
            <v>SV</v>
          </cell>
          <cell r="B11344">
            <v>202504</v>
          </cell>
          <cell r="D11344" t="str">
            <v>Vida Ahorro Colectivo</v>
          </cell>
          <cell r="G11344" t="str">
            <v>Presupuesto</v>
          </cell>
        </row>
        <row r="11345">
          <cell r="A11345" t="str">
            <v>SV</v>
          </cell>
          <cell r="B11345">
            <v>202504</v>
          </cell>
          <cell r="D11345" t="str">
            <v>Vida Ahorro Particular</v>
          </cell>
          <cell r="G11345" t="str">
            <v>Presupuesto</v>
          </cell>
        </row>
        <row r="11346">
          <cell r="A11346" t="str">
            <v>SV</v>
          </cell>
          <cell r="B11346">
            <v>202504</v>
          </cell>
          <cell r="D11346" t="str">
            <v>Vida Ahorro Particular</v>
          </cell>
          <cell r="G11346" t="str">
            <v>Real</v>
          </cell>
        </row>
        <row r="11347">
          <cell r="A11347" t="str">
            <v>SV</v>
          </cell>
          <cell r="B11347">
            <v>202504</v>
          </cell>
          <cell r="D11347" t="str">
            <v>Vida Ganado</v>
          </cell>
          <cell r="G11347" t="str">
            <v>Presupuesto</v>
          </cell>
        </row>
        <row r="11348">
          <cell r="A11348" t="str">
            <v>SV</v>
          </cell>
          <cell r="B11348">
            <v>202504</v>
          </cell>
          <cell r="D11348" t="str">
            <v>Vida Riesgo Colectivo</v>
          </cell>
          <cell r="G11348" t="str">
            <v>Presupuesto</v>
          </cell>
        </row>
        <row r="11349">
          <cell r="A11349" t="str">
            <v>SV</v>
          </cell>
          <cell r="B11349">
            <v>202504</v>
          </cell>
          <cell r="D11349" t="str">
            <v>Vida Riesgo Colectivo</v>
          </cell>
          <cell r="G11349" t="str">
            <v>Real</v>
          </cell>
        </row>
        <row r="11350">
          <cell r="A11350" t="str">
            <v>SV</v>
          </cell>
          <cell r="B11350">
            <v>202504</v>
          </cell>
          <cell r="D11350" t="str">
            <v>Vida Riesgo Particular</v>
          </cell>
          <cell r="G11350" t="str">
            <v>Presupuesto</v>
          </cell>
        </row>
        <row r="11351">
          <cell r="A11351" t="str">
            <v>SV</v>
          </cell>
          <cell r="B11351">
            <v>202504</v>
          </cell>
          <cell r="D11351" t="str">
            <v>Vida Riesgo Particular</v>
          </cell>
          <cell r="G11351" t="str">
            <v>Real</v>
          </cell>
        </row>
        <row r="11352">
          <cell r="A11352" t="str">
            <v>SV</v>
          </cell>
          <cell r="B11352">
            <v>202505</v>
          </cell>
          <cell r="D11352" t="str">
            <v>--</v>
          </cell>
          <cell r="G11352" t="str">
            <v>Real</v>
          </cell>
        </row>
        <row r="11353">
          <cell r="A11353" t="str">
            <v>SV</v>
          </cell>
          <cell r="B11353">
            <v>202505</v>
          </cell>
          <cell r="D11353" t="str">
            <v>Resto de Lineas</v>
          </cell>
          <cell r="G11353" t="str">
            <v>Real</v>
          </cell>
        </row>
        <row r="11354">
          <cell r="A11354" t="str">
            <v>SV</v>
          </cell>
          <cell r="B11354">
            <v>202505</v>
          </cell>
          <cell r="D11354" t="str">
            <v>Arte</v>
          </cell>
          <cell r="G11354" t="str">
            <v>Presupuesto</v>
          </cell>
        </row>
        <row r="11355">
          <cell r="A11355" t="str">
            <v>SV</v>
          </cell>
          <cell r="B11355">
            <v>202505</v>
          </cell>
          <cell r="D11355" t="str">
            <v>Autos</v>
          </cell>
          <cell r="G11355" t="str">
            <v>Presupuesto</v>
          </cell>
        </row>
        <row r="11356">
          <cell r="A11356" t="str">
            <v>SV</v>
          </cell>
          <cell r="B11356">
            <v>202505</v>
          </cell>
          <cell r="D11356" t="str">
            <v>Autos</v>
          </cell>
          <cell r="G11356" t="str">
            <v>Real</v>
          </cell>
        </row>
        <row r="11357">
          <cell r="A11357" t="str">
            <v>SV</v>
          </cell>
          <cell r="B11357">
            <v>202505</v>
          </cell>
          <cell r="D11357" t="str">
            <v>B2B2C</v>
          </cell>
          <cell r="G11357" t="str">
            <v>Presupuesto</v>
          </cell>
        </row>
        <row r="11358">
          <cell r="A11358" t="str">
            <v>SV</v>
          </cell>
          <cell r="B11358">
            <v>202505</v>
          </cell>
          <cell r="D11358" t="str">
            <v>Caución</v>
          </cell>
          <cell r="G11358" t="str">
            <v>Presupuesto</v>
          </cell>
        </row>
        <row r="11359">
          <cell r="A11359" t="str">
            <v>SV</v>
          </cell>
          <cell r="B11359">
            <v>202505</v>
          </cell>
          <cell r="D11359" t="str">
            <v>Crédito Internacional</v>
          </cell>
          <cell r="G11359" t="str">
            <v>Presupuesto</v>
          </cell>
        </row>
        <row r="11360">
          <cell r="A11360" t="str">
            <v>SV</v>
          </cell>
          <cell r="B11360">
            <v>202505</v>
          </cell>
          <cell r="D11360" t="str">
            <v>Crédito Nacional</v>
          </cell>
          <cell r="G11360" t="str">
            <v>Presupuesto</v>
          </cell>
        </row>
        <row r="11361">
          <cell r="A11361" t="str">
            <v>SV</v>
          </cell>
          <cell r="B11361">
            <v>202505</v>
          </cell>
          <cell r="D11361" t="str">
            <v>Eventos</v>
          </cell>
          <cell r="G11361" t="str">
            <v>Presupuesto</v>
          </cell>
        </row>
        <row r="11362">
          <cell r="A11362" t="str">
            <v>SV</v>
          </cell>
          <cell r="B11362">
            <v>202505</v>
          </cell>
          <cell r="D11362" t="str">
            <v>Flotas</v>
          </cell>
          <cell r="G11362" t="str">
            <v>Presupuesto</v>
          </cell>
        </row>
        <row r="11363">
          <cell r="A11363" t="str">
            <v>SV</v>
          </cell>
          <cell r="B11363">
            <v>202505</v>
          </cell>
          <cell r="D11363" t="str">
            <v>Flotas</v>
          </cell>
          <cell r="G11363" t="str">
            <v>Real</v>
          </cell>
        </row>
        <row r="11364">
          <cell r="A11364" t="str">
            <v>SV</v>
          </cell>
          <cell r="B11364">
            <v>202505</v>
          </cell>
          <cell r="D11364" t="str">
            <v>Hogar</v>
          </cell>
          <cell r="G11364" t="str">
            <v>Presupuesto</v>
          </cell>
        </row>
        <row r="11365">
          <cell r="A11365" t="str">
            <v>SV</v>
          </cell>
          <cell r="B11365">
            <v>202505</v>
          </cell>
          <cell r="D11365" t="str">
            <v>Hogar</v>
          </cell>
          <cell r="G11365" t="str">
            <v>Real</v>
          </cell>
        </row>
        <row r="11366">
          <cell r="A11366" t="str">
            <v>SV</v>
          </cell>
          <cell r="B11366">
            <v>202505</v>
          </cell>
          <cell r="D11366" t="str">
            <v>Ingeniería</v>
          </cell>
          <cell r="G11366" t="str">
            <v>Presupuesto</v>
          </cell>
        </row>
        <row r="11367">
          <cell r="A11367" t="str">
            <v>SV</v>
          </cell>
          <cell r="B11367">
            <v>202505</v>
          </cell>
          <cell r="D11367" t="str">
            <v>Ingeniería</v>
          </cell>
          <cell r="G11367" t="str">
            <v>Real</v>
          </cell>
        </row>
        <row r="11368">
          <cell r="A11368" t="str">
            <v>SV</v>
          </cell>
          <cell r="B11368">
            <v>202505</v>
          </cell>
          <cell r="D11368" t="str">
            <v>Inmobiliario</v>
          </cell>
          <cell r="G11368" t="str">
            <v>Presupuesto</v>
          </cell>
        </row>
        <row r="11369">
          <cell r="A11369" t="str">
            <v>SV</v>
          </cell>
          <cell r="B11369">
            <v>202505</v>
          </cell>
          <cell r="D11369" t="str">
            <v>Líneas Financieras</v>
          </cell>
          <cell r="G11369" t="str">
            <v>Presupuesto</v>
          </cell>
        </row>
        <row r="11370">
          <cell r="A11370" t="str">
            <v>SV</v>
          </cell>
          <cell r="B11370">
            <v>202505</v>
          </cell>
          <cell r="D11370" t="str">
            <v>Líneas Financieras</v>
          </cell>
          <cell r="G11370" t="str">
            <v>Real</v>
          </cell>
        </row>
        <row r="11371">
          <cell r="A11371" t="str">
            <v>SV</v>
          </cell>
          <cell r="B11371">
            <v>202505</v>
          </cell>
          <cell r="D11371" t="str">
            <v>Náutica</v>
          </cell>
          <cell r="G11371" t="str">
            <v>Presupuesto</v>
          </cell>
        </row>
        <row r="11372">
          <cell r="A11372" t="str">
            <v>SV</v>
          </cell>
          <cell r="B11372">
            <v>202505</v>
          </cell>
          <cell r="D11372" t="str">
            <v>Particulares Resto</v>
          </cell>
          <cell r="G11372" t="str">
            <v>Presupuesto</v>
          </cell>
        </row>
        <row r="11373">
          <cell r="A11373" t="str">
            <v>SV</v>
          </cell>
          <cell r="B11373">
            <v>202505</v>
          </cell>
          <cell r="D11373" t="str">
            <v>Particulares Resto</v>
          </cell>
          <cell r="G11373" t="str">
            <v>Real</v>
          </cell>
        </row>
        <row r="11374">
          <cell r="A11374" t="str">
            <v>SV</v>
          </cell>
          <cell r="B11374">
            <v>202505</v>
          </cell>
          <cell r="D11374" t="str">
            <v>Property</v>
          </cell>
          <cell r="G11374" t="str">
            <v>Presupuesto</v>
          </cell>
        </row>
        <row r="11375">
          <cell r="A11375" t="str">
            <v>SV</v>
          </cell>
          <cell r="B11375">
            <v>202505</v>
          </cell>
          <cell r="D11375" t="str">
            <v>Property</v>
          </cell>
          <cell r="G11375" t="str">
            <v>Real</v>
          </cell>
        </row>
        <row r="11376">
          <cell r="A11376" t="str">
            <v>SV</v>
          </cell>
          <cell r="B11376">
            <v>202505</v>
          </cell>
          <cell r="D11376" t="str">
            <v>RC</v>
          </cell>
          <cell r="G11376" t="str">
            <v>Presupuesto</v>
          </cell>
        </row>
        <row r="11377">
          <cell r="A11377" t="str">
            <v>SV</v>
          </cell>
          <cell r="B11377">
            <v>202505</v>
          </cell>
          <cell r="D11377" t="str">
            <v>RC</v>
          </cell>
          <cell r="G11377" t="str">
            <v>Real</v>
          </cell>
        </row>
        <row r="11378">
          <cell r="A11378" t="str">
            <v>SV</v>
          </cell>
          <cell r="B11378">
            <v>202505</v>
          </cell>
          <cell r="D11378" t="str">
            <v>Resto de lineas</v>
          </cell>
          <cell r="G11378" t="str">
            <v>Presupuesto</v>
          </cell>
        </row>
        <row r="11379">
          <cell r="A11379" t="str">
            <v>SV</v>
          </cell>
          <cell r="B11379">
            <v>202505</v>
          </cell>
          <cell r="D11379" t="str">
            <v>Retirada</v>
          </cell>
          <cell r="G11379" t="str">
            <v>Presupuesto</v>
          </cell>
        </row>
        <row r="11380">
          <cell r="A11380" t="str">
            <v>SV</v>
          </cell>
          <cell r="B11380">
            <v>202505</v>
          </cell>
          <cell r="D11380" t="str">
            <v>Seguros Personales (No Vida) Colectivos</v>
          </cell>
          <cell r="G11380" t="str">
            <v>Presupuesto</v>
          </cell>
        </row>
        <row r="11381">
          <cell r="A11381" t="str">
            <v>SV</v>
          </cell>
          <cell r="B11381">
            <v>202505</v>
          </cell>
          <cell r="D11381" t="str">
            <v>Seguros Personales (No Vida) Colectivos</v>
          </cell>
          <cell r="G11381" t="str">
            <v>Real</v>
          </cell>
        </row>
        <row r="11382">
          <cell r="A11382" t="str">
            <v>SV</v>
          </cell>
          <cell r="B11382">
            <v>202505</v>
          </cell>
          <cell r="D11382" t="str">
            <v>Seguros Personales (No Vida) Particular</v>
          </cell>
          <cell r="G11382" t="str">
            <v>Presupuesto</v>
          </cell>
        </row>
        <row r="11383">
          <cell r="A11383" t="str">
            <v>SV</v>
          </cell>
          <cell r="B11383">
            <v>202505</v>
          </cell>
          <cell r="D11383" t="str">
            <v>Seguros Personales (No Vida) Particular</v>
          </cell>
          <cell r="G11383" t="str">
            <v>Real</v>
          </cell>
        </row>
        <row r="11384">
          <cell r="A11384" t="str">
            <v>SV</v>
          </cell>
          <cell r="B11384">
            <v>202505</v>
          </cell>
          <cell r="D11384" t="str">
            <v>Transporte</v>
          </cell>
          <cell r="G11384" t="str">
            <v>Presupuesto</v>
          </cell>
        </row>
        <row r="11385">
          <cell r="A11385" t="str">
            <v>SV</v>
          </cell>
          <cell r="B11385">
            <v>202505</v>
          </cell>
          <cell r="D11385" t="str">
            <v>Transporte</v>
          </cell>
          <cell r="G11385" t="str">
            <v>Real</v>
          </cell>
        </row>
        <row r="11386">
          <cell r="A11386" t="str">
            <v>SV</v>
          </cell>
          <cell r="B11386">
            <v>202505</v>
          </cell>
          <cell r="D11386" t="str">
            <v>Venta Cruzada</v>
          </cell>
          <cell r="G11386" t="str">
            <v>Presupuesto</v>
          </cell>
        </row>
        <row r="11387">
          <cell r="A11387" t="str">
            <v>SV</v>
          </cell>
          <cell r="B11387">
            <v>202505</v>
          </cell>
          <cell r="D11387" t="str">
            <v>Vida Ahorro Colectivo</v>
          </cell>
          <cell r="G11387" t="str">
            <v>Presupuesto</v>
          </cell>
        </row>
        <row r="11388">
          <cell r="A11388" t="str">
            <v>SV</v>
          </cell>
          <cell r="B11388">
            <v>202505</v>
          </cell>
          <cell r="D11388" t="str">
            <v>Vida Ahorro Particular</v>
          </cell>
          <cell r="G11388" t="str">
            <v>Presupuesto</v>
          </cell>
        </row>
        <row r="11389">
          <cell r="A11389" t="str">
            <v>SV</v>
          </cell>
          <cell r="B11389">
            <v>202505</v>
          </cell>
          <cell r="D11389" t="str">
            <v>Vida Ahorro Particular</v>
          </cell>
          <cell r="G11389" t="str">
            <v>Real</v>
          </cell>
        </row>
        <row r="11390">
          <cell r="A11390" t="str">
            <v>SV</v>
          </cell>
          <cell r="B11390">
            <v>202505</v>
          </cell>
          <cell r="D11390" t="str">
            <v>Vida Ganado</v>
          </cell>
          <cell r="G11390" t="str">
            <v>Presupuesto</v>
          </cell>
        </row>
        <row r="11391">
          <cell r="A11391" t="str">
            <v>SV</v>
          </cell>
          <cell r="B11391">
            <v>202505</v>
          </cell>
          <cell r="D11391" t="str">
            <v>Vida Riesgo Colectivo</v>
          </cell>
          <cell r="G11391" t="str">
            <v>Presupuesto</v>
          </cell>
        </row>
        <row r="11392">
          <cell r="A11392" t="str">
            <v>SV</v>
          </cell>
          <cell r="B11392">
            <v>202505</v>
          </cell>
          <cell r="D11392" t="str">
            <v>Vida Riesgo Colectivo</v>
          </cell>
          <cell r="G11392" t="str">
            <v>Real</v>
          </cell>
        </row>
        <row r="11393">
          <cell r="A11393" t="str">
            <v>SV</v>
          </cell>
          <cell r="B11393">
            <v>202505</v>
          </cell>
          <cell r="D11393" t="str">
            <v>Vida Riesgo Particular</v>
          </cell>
          <cell r="G11393" t="str">
            <v>Presupuesto</v>
          </cell>
        </row>
        <row r="11394">
          <cell r="A11394" t="str">
            <v>SV</v>
          </cell>
          <cell r="B11394">
            <v>202505</v>
          </cell>
          <cell r="D11394" t="str">
            <v>Vida Riesgo Particular</v>
          </cell>
          <cell r="G11394" t="str">
            <v>Real</v>
          </cell>
        </row>
        <row r="11395">
          <cell r="A11395" t="str">
            <v>SV</v>
          </cell>
          <cell r="B11395">
            <v>202506</v>
          </cell>
          <cell r="D11395" t="str">
            <v>--</v>
          </cell>
          <cell r="G11395" t="str">
            <v>Real</v>
          </cell>
        </row>
        <row r="11396">
          <cell r="A11396" t="str">
            <v>SV</v>
          </cell>
          <cell r="B11396">
            <v>202506</v>
          </cell>
          <cell r="D11396" t="str">
            <v>Resto de Lineas</v>
          </cell>
          <cell r="G11396" t="str">
            <v>Real</v>
          </cell>
        </row>
        <row r="11397">
          <cell r="A11397" t="str">
            <v>SV</v>
          </cell>
          <cell r="B11397">
            <v>202506</v>
          </cell>
          <cell r="D11397" t="str">
            <v>Arte</v>
          </cell>
          <cell r="G11397" t="str">
            <v>Presupuesto</v>
          </cell>
        </row>
        <row r="11398">
          <cell r="A11398" t="str">
            <v>SV</v>
          </cell>
          <cell r="B11398">
            <v>202506</v>
          </cell>
          <cell r="D11398" t="str">
            <v>Autos</v>
          </cell>
          <cell r="G11398" t="str">
            <v>Presupuesto</v>
          </cell>
        </row>
        <row r="11399">
          <cell r="A11399" t="str">
            <v>SV</v>
          </cell>
          <cell r="B11399">
            <v>202506</v>
          </cell>
          <cell r="D11399" t="str">
            <v>Autos</v>
          </cell>
          <cell r="G11399" t="str">
            <v>Real</v>
          </cell>
        </row>
        <row r="11400">
          <cell r="A11400" t="str">
            <v>SV</v>
          </cell>
          <cell r="B11400">
            <v>202506</v>
          </cell>
          <cell r="D11400" t="str">
            <v>B2B2C</v>
          </cell>
          <cell r="G11400" t="str">
            <v>Presupuesto</v>
          </cell>
        </row>
        <row r="11401">
          <cell r="A11401" t="str">
            <v>SV</v>
          </cell>
          <cell r="B11401">
            <v>202506</v>
          </cell>
          <cell r="D11401" t="str">
            <v>Caución</v>
          </cell>
          <cell r="G11401" t="str">
            <v>Presupuesto</v>
          </cell>
        </row>
        <row r="11402">
          <cell r="A11402" t="str">
            <v>SV</v>
          </cell>
          <cell r="B11402">
            <v>202506</v>
          </cell>
          <cell r="D11402" t="str">
            <v>Crédito Nacional</v>
          </cell>
          <cell r="G11402" t="str">
            <v>Real</v>
          </cell>
        </row>
        <row r="11403">
          <cell r="A11403" t="str">
            <v>SV</v>
          </cell>
          <cell r="B11403">
            <v>202506</v>
          </cell>
          <cell r="D11403" t="str">
            <v>Crédito Internacional</v>
          </cell>
          <cell r="G11403" t="str">
            <v>Presupuesto</v>
          </cell>
        </row>
        <row r="11404">
          <cell r="A11404" t="str">
            <v>SV</v>
          </cell>
          <cell r="B11404">
            <v>202506</v>
          </cell>
          <cell r="D11404" t="str">
            <v>Crédito Nacional</v>
          </cell>
          <cell r="G11404" t="str">
            <v>Presupuesto</v>
          </cell>
        </row>
        <row r="11405">
          <cell r="A11405" t="str">
            <v>SV</v>
          </cell>
          <cell r="B11405">
            <v>202506</v>
          </cell>
          <cell r="D11405" t="str">
            <v>Eventos</v>
          </cell>
          <cell r="G11405" t="str">
            <v>Presupuesto</v>
          </cell>
        </row>
        <row r="11406">
          <cell r="A11406" t="str">
            <v>SV</v>
          </cell>
          <cell r="B11406">
            <v>202506</v>
          </cell>
          <cell r="D11406" t="str">
            <v>Flotas</v>
          </cell>
          <cell r="G11406" t="str">
            <v>Presupuesto</v>
          </cell>
        </row>
        <row r="11407">
          <cell r="A11407" t="str">
            <v>SV</v>
          </cell>
          <cell r="B11407">
            <v>202506</v>
          </cell>
          <cell r="D11407" t="str">
            <v>Flotas</v>
          </cell>
          <cell r="G11407" t="str">
            <v>Real</v>
          </cell>
        </row>
        <row r="11408">
          <cell r="A11408" t="str">
            <v>SV</v>
          </cell>
          <cell r="B11408">
            <v>202506</v>
          </cell>
          <cell r="D11408" t="str">
            <v>Hogar</v>
          </cell>
          <cell r="G11408" t="str">
            <v>Presupuesto</v>
          </cell>
        </row>
        <row r="11409">
          <cell r="A11409" t="str">
            <v>SV</v>
          </cell>
          <cell r="B11409">
            <v>202506</v>
          </cell>
          <cell r="D11409" t="str">
            <v>Hogar</v>
          </cell>
          <cell r="G11409" t="str">
            <v>Real</v>
          </cell>
        </row>
        <row r="11410">
          <cell r="A11410" t="str">
            <v>SV</v>
          </cell>
          <cell r="B11410">
            <v>202506</v>
          </cell>
          <cell r="D11410" t="str">
            <v>Ingeniería</v>
          </cell>
          <cell r="G11410" t="str">
            <v>Presupuesto</v>
          </cell>
        </row>
        <row r="11411">
          <cell r="A11411" t="str">
            <v>SV</v>
          </cell>
          <cell r="B11411">
            <v>202506</v>
          </cell>
          <cell r="D11411" t="str">
            <v>Ingeniería</v>
          </cell>
          <cell r="G11411" t="str">
            <v>Real</v>
          </cell>
        </row>
        <row r="11412">
          <cell r="A11412" t="str">
            <v>SV</v>
          </cell>
          <cell r="B11412">
            <v>202506</v>
          </cell>
          <cell r="D11412" t="str">
            <v>Inmobiliario</v>
          </cell>
          <cell r="G11412" t="str">
            <v>Presupuesto</v>
          </cell>
        </row>
        <row r="11413">
          <cell r="A11413" t="str">
            <v>SV</v>
          </cell>
          <cell r="B11413">
            <v>202506</v>
          </cell>
          <cell r="D11413" t="str">
            <v>Líneas Financieras</v>
          </cell>
          <cell r="G11413" t="str">
            <v>Presupuesto</v>
          </cell>
        </row>
        <row r="11414">
          <cell r="A11414" t="str">
            <v>SV</v>
          </cell>
          <cell r="B11414">
            <v>202506</v>
          </cell>
          <cell r="D11414" t="str">
            <v>Líneas Financieras</v>
          </cell>
          <cell r="G11414" t="str">
            <v>Real</v>
          </cell>
        </row>
        <row r="11415">
          <cell r="A11415" t="str">
            <v>SV</v>
          </cell>
          <cell r="B11415">
            <v>202506</v>
          </cell>
          <cell r="D11415" t="str">
            <v>Náutica</v>
          </cell>
          <cell r="G11415" t="str">
            <v>Presupuesto</v>
          </cell>
        </row>
        <row r="11416">
          <cell r="A11416" t="str">
            <v>SV</v>
          </cell>
          <cell r="B11416">
            <v>202506</v>
          </cell>
          <cell r="D11416" t="str">
            <v>Particulares Resto</v>
          </cell>
          <cell r="G11416" t="str">
            <v>Presupuesto</v>
          </cell>
        </row>
        <row r="11417">
          <cell r="A11417" t="str">
            <v>SV</v>
          </cell>
          <cell r="B11417">
            <v>202506</v>
          </cell>
          <cell r="D11417" t="str">
            <v>Particulares Resto</v>
          </cell>
          <cell r="G11417" t="str">
            <v>Real</v>
          </cell>
        </row>
        <row r="11418">
          <cell r="A11418" t="str">
            <v>SV</v>
          </cell>
          <cell r="B11418">
            <v>202506</v>
          </cell>
          <cell r="D11418" t="str">
            <v>Property</v>
          </cell>
          <cell r="G11418" t="str">
            <v>Presupuesto</v>
          </cell>
        </row>
        <row r="11419">
          <cell r="A11419" t="str">
            <v>SV</v>
          </cell>
          <cell r="B11419">
            <v>202506</v>
          </cell>
          <cell r="D11419" t="str">
            <v>Property</v>
          </cell>
          <cell r="G11419" t="str">
            <v>Real</v>
          </cell>
        </row>
        <row r="11420">
          <cell r="A11420" t="str">
            <v>SV</v>
          </cell>
          <cell r="B11420">
            <v>202506</v>
          </cell>
          <cell r="D11420" t="str">
            <v>RC</v>
          </cell>
          <cell r="G11420" t="str">
            <v>Presupuesto</v>
          </cell>
        </row>
        <row r="11421">
          <cell r="A11421" t="str">
            <v>SV</v>
          </cell>
          <cell r="B11421">
            <v>202506</v>
          </cell>
          <cell r="D11421" t="str">
            <v>RC</v>
          </cell>
          <cell r="G11421" t="str">
            <v>Real</v>
          </cell>
        </row>
        <row r="11422">
          <cell r="A11422" t="str">
            <v>SV</v>
          </cell>
          <cell r="B11422">
            <v>202506</v>
          </cell>
          <cell r="D11422" t="str">
            <v>Resto de lineas</v>
          </cell>
          <cell r="G11422" t="str">
            <v>Presupuesto</v>
          </cell>
        </row>
        <row r="11423">
          <cell r="A11423" t="str">
            <v>SV</v>
          </cell>
          <cell r="B11423">
            <v>202506</v>
          </cell>
          <cell r="D11423" t="str">
            <v>Retirada</v>
          </cell>
          <cell r="G11423" t="str">
            <v>Presupuesto</v>
          </cell>
        </row>
        <row r="11424">
          <cell r="A11424" t="str">
            <v>SV</v>
          </cell>
          <cell r="B11424">
            <v>202506</v>
          </cell>
          <cell r="D11424" t="str">
            <v>Seguros Personales (No Vida) Colectivos</v>
          </cell>
          <cell r="G11424" t="str">
            <v>Presupuesto</v>
          </cell>
        </row>
        <row r="11425">
          <cell r="A11425" t="str">
            <v>SV</v>
          </cell>
          <cell r="B11425">
            <v>202506</v>
          </cell>
          <cell r="D11425" t="str">
            <v>Seguros Personales (No Vida) Colectivos</v>
          </cell>
          <cell r="G11425" t="str">
            <v>Real</v>
          </cell>
        </row>
        <row r="11426">
          <cell r="A11426" t="str">
            <v>SV</v>
          </cell>
          <cell r="B11426">
            <v>202506</v>
          </cell>
          <cell r="D11426" t="str">
            <v>Seguros Personales (No Vida) Particular</v>
          </cell>
          <cell r="G11426" t="str">
            <v>Presupuesto</v>
          </cell>
        </row>
        <row r="11427">
          <cell r="A11427" t="str">
            <v>SV</v>
          </cell>
          <cell r="B11427">
            <v>202506</v>
          </cell>
          <cell r="D11427" t="str">
            <v>Seguros Personales (No Vida) Particular</v>
          </cell>
          <cell r="G11427" t="str">
            <v>Real</v>
          </cell>
        </row>
        <row r="11428">
          <cell r="A11428" t="str">
            <v>SV</v>
          </cell>
          <cell r="B11428">
            <v>202506</v>
          </cell>
          <cell r="D11428" t="str">
            <v>Transporte</v>
          </cell>
          <cell r="G11428" t="str">
            <v>Presupuesto</v>
          </cell>
        </row>
        <row r="11429">
          <cell r="A11429" t="str">
            <v>SV</v>
          </cell>
          <cell r="B11429">
            <v>202506</v>
          </cell>
          <cell r="D11429" t="str">
            <v>Transporte</v>
          </cell>
          <cell r="G11429" t="str">
            <v>Real</v>
          </cell>
        </row>
        <row r="11430">
          <cell r="A11430" t="str">
            <v>SV</v>
          </cell>
          <cell r="B11430">
            <v>202506</v>
          </cell>
          <cell r="D11430" t="str">
            <v>Venta Cruzada</v>
          </cell>
          <cell r="G11430" t="str">
            <v>Presupuesto</v>
          </cell>
        </row>
        <row r="11431">
          <cell r="A11431" t="str">
            <v>SV</v>
          </cell>
          <cell r="B11431">
            <v>202506</v>
          </cell>
          <cell r="D11431" t="str">
            <v>Vida Ahorro Colectivo</v>
          </cell>
          <cell r="G11431" t="str">
            <v>Presupuesto</v>
          </cell>
        </row>
        <row r="11432">
          <cell r="A11432" t="str">
            <v>SV</v>
          </cell>
          <cell r="B11432">
            <v>202506</v>
          </cell>
          <cell r="D11432" t="str">
            <v>Vida Ahorro Particular</v>
          </cell>
          <cell r="G11432" t="str">
            <v>Presupuesto</v>
          </cell>
        </row>
        <row r="11433">
          <cell r="A11433" t="str">
            <v>SV</v>
          </cell>
          <cell r="B11433">
            <v>202506</v>
          </cell>
          <cell r="D11433" t="str">
            <v>Vida Ahorro Particular</v>
          </cell>
          <cell r="G11433" t="str">
            <v>Real</v>
          </cell>
        </row>
        <row r="11434">
          <cell r="A11434" t="str">
            <v>SV</v>
          </cell>
          <cell r="B11434">
            <v>202506</v>
          </cell>
          <cell r="D11434" t="str">
            <v>Vida Ganado</v>
          </cell>
          <cell r="G11434" t="str">
            <v>Presupuesto</v>
          </cell>
        </row>
        <row r="11435">
          <cell r="A11435" t="str">
            <v>SV</v>
          </cell>
          <cell r="B11435">
            <v>202506</v>
          </cell>
          <cell r="D11435" t="str">
            <v>Vida Riesgo Colectivo</v>
          </cell>
          <cell r="G11435" t="str">
            <v>Presupuesto</v>
          </cell>
        </row>
        <row r="11436">
          <cell r="A11436" t="str">
            <v>SV</v>
          </cell>
          <cell r="B11436">
            <v>202506</v>
          </cell>
          <cell r="D11436" t="str">
            <v>Vida Riesgo Colectivo</v>
          </cell>
          <cell r="G11436" t="str">
            <v>Real</v>
          </cell>
        </row>
        <row r="11437">
          <cell r="A11437" t="str">
            <v>SV</v>
          </cell>
          <cell r="B11437">
            <v>202506</v>
          </cell>
          <cell r="D11437" t="str">
            <v>Vida Riesgo Particular</v>
          </cell>
          <cell r="G11437" t="str">
            <v>Presupuesto</v>
          </cell>
        </row>
        <row r="11438">
          <cell r="A11438" t="str">
            <v>SV</v>
          </cell>
          <cell r="B11438">
            <v>202506</v>
          </cell>
          <cell r="D11438" t="str">
            <v>Vida Riesgo Particular</v>
          </cell>
          <cell r="G11438" t="str">
            <v>Real</v>
          </cell>
        </row>
        <row r="11439">
          <cell r="A11439" t="str">
            <v>SV</v>
          </cell>
          <cell r="B11439">
            <v>202507</v>
          </cell>
          <cell r="D11439" t="str">
            <v>--</v>
          </cell>
          <cell r="G11439" t="str">
            <v>Real</v>
          </cell>
        </row>
        <row r="11440">
          <cell r="A11440" t="str">
            <v>SV</v>
          </cell>
          <cell r="B11440">
            <v>202507</v>
          </cell>
          <cell r="D11440" t="str">
            <v>Arte</v>
          </cell>
          <cell r="G11440" t="str">
            <v>Presupuesto</v>
          </cell>
        </row>
        <row r="11441">
          <cell r="A11441" t="str">
            <v>SV</v>
          </cell>
          <cell r="B11441">
            <v>202507</v>
          </cell>
          <cell r="D11441" t="str">
            <v>Autos</v>
          </cell>
          <cell r="G11441" t="str">
            <v>Presupuesto</v>
          </cell>
        </row>
        <row r="11442">
          <cell r="A11442" t="str">
            <v>SV</v>
          </cell>
          <cell r="B11442">
            <v>202507</v>
          </cell>
          <cell r="D11442" t="str">
            <v>Autos</v>
          </cell>
          <cell r="G11442" t="str">
            <v>Real</v>
          </cell>
        </row>
        <row r="11443">
          <cell r="A11443" t="str">
            <v>SV</v>
          </cell>
          <cell r="B11443">
            <v>202507</v>
          </cell>
          <cell r="D11443" t="str">
            <v>B2B2C</v>
          </cell>
          <cell r="G11443" t="str">
            <v>Presupuesto</v>
          </cell>
        </row>
        <row r="11444">
          <cell r="A11444" t="str">
            <v>SV</v>
          </cell>
          <cell r="B11444">
            <v>202507</v>
          </cell>
          <cell r="D11444" t="str">
            <v>Caución</v>
          </cell>
          <cell r="G11444" t="str">
            <v>Presupuesto</v>
          </cell>
        </row>
        <row r="11445">
          <cell r="A11445" t="str">
            <v>SV</v>
          </cell>
          <cell r="B11445">
            <v>202507</v>
          </cell>
          <cell r="D11445" t="str">
            <v>Crédito Nacional</v>
          </cell>
          <cell r="G11445" t="str">
            <v>Real</v>
          </cell>
        </row>
        <row r="11446">
          <cell r="A11446" t="str">
            <v>SV</v>
          </cell>
          <cell r="B11446">
            <v>202507</v>
          </cell>
          <cell r="D11446" t="str">
            <v>Crédito Internacional</v>
          </cell>
          <cell r="G11446" t="str">
            <v>Presupuesto</v>
          </cell>
        </row>
        <row r="11447">
          <cell r="A11447" t="str">
            <v>SV</v>
          </cell>
          <cell r="B11447">
            <v>202507</v>
          </cell>
          <cell r="D11447" t="str">
            <v>Crédito Nacional</v>
          </cell>
          <cell r="G11447" t="str">
            <v>Presupuesto</v>
          </cell>
        </row>
        <row r="11448">
          <cell r="A11448" t="str">
            <v>SV</v>
          </cell>
          <cell r="B11448">
            <v>202507</v>
          </cell>
          <cell r="D11448" t="str">
            <v>Eventos</v>
          </cell>
          <cell r="G11448" t="str">
            <v>Presupuesto</v>
          </cell>
        </row>
        <row r="11449">
          <cell r="A11449" t="str">
            <v>SV</v>
          </cell>
          <cell r="B11449">
            <v>202507</v>
          </cell>
          <cell r="D11449" t="str">
            <v>Flotas</v>
          </cell>
          <cell r="G11449" t="str">
            <v>Presupuesto</v>
          </cell>
        </row>
        <row r="11450">
          <cell r="A11450" t="str">
            <v>SV</v>
          </cell>
          <cell r="B11450">
            <v>202507</v>
          </cell>
          <cell r="D11450" t="str">
            <v>Flotas</v>
          </cell>
          <cell r="G11450" t="str">
            <v>Real</v>
          </cell>
        </row>
        <row r="11451">
          <cell r="A11451" t="str">
            <v>SV</v>
          </cell>
          <cell r="B11451">
            <v>202507</v>
          </cell>
          <cell r="D11451" t="str">
            <v>Hogar</v>
          </cell>
          <cell r="G11451" t="str">
            <v>Presupuesto</v>
          </cell>
        </row>
        <row r="11452">
          <cell r="A11452" t="str">
            <v>SV</v>
          </cell>
          <cell r="B11452">
            <v>202507</v>
          </cell>
          <cell r="D11452" t="str">
            <v>Hogar</v>
          </cell>
          <cell r="G11452" t="str">
            <v>Real</v>
          </cell>
        </row>
        <row r="11453">
          <cell r="A11453" t="str">
            <v>SV</v>
          </cell>
          <cell r="B11453">
            <v>202507</v>
          </cell>
          <cell r="D11453" t="str">
            <v>Ingeniería</v>
          </cell>
          <cell r="G11453" t="str">
            <v>Presupuesto</v>
          </cell>
        </row>
        <row r="11454">
          <cell r="A11454" t="str">
            <v>SV</v>
          </cell>
          <cell r="B11454">
            <v>202507</v>
          </cell>
          <cell r="D11454" t="str">
            <v>Ingeniería</v>
          </cell>
          <cell r="G11454" t="str">
            <v>Real</v>
          </cell>
        </row>
        <row r="11455">
          <cell r="A11455" t="str">
            <v>SV</v>
          </cell>
          <cell r="B11455">
            <v>202507</v>
          </cell>
          <cell r="D11455" t="str">
            <v>Inmobiliario</v>
          </cell>
          <cell r="G11455" t="str">
            <v>Presupuesto</v>
          </cell>
        </row>
        <row r="11456">
          <cell r="A11456" t="str">
            <v>SV</v>
          </cell>
          <cell r="B11456">
            <v>202507</v>
          </cell>
          <cell r="D11456" t="str">
            <v>Líneas Financieras</v>
          </cell>
          <cell r="G11456" t="str">
            <v>Presupuesto</v>
          </cell>
        </row>
        <row r="11457">
          <cell r="A11457" t="str">
            <v>SV</v>
          </cell>
          <cell r="B11457">
            <v>202507</v>
          </cell>
          <cell r="D11457" t="str">
            <v>Líneas Financieras</v>
          </cell>
          <cell r="G11457" t="str">
            <v>Real</v>
          </cell>
        </row>
        <row r="11458">
          <cell r="A11458" t="str">
            <v>SV</v>
          </cell>
          <cell r="B11458">
            <v>202507</v>
          </cell>
          <cell r="D11458" t="str">
            <v>Náutica</v>
          </cell>
          <cell r="G11458" t="str">
            <v>Presupuesto</v>
          </cell>
        </row>
        <row r="11459">
          <cell r="A11459" t="str">
            <v>SV</v>
          </cell>
          <cell r="B11459">
            <v>202507</v>
          </cell>
          <cell r="D11459" t="str">
            <v>Náutica</v>
          </cell>
          <cell r="G11459" t="str">
            <v>Real</v>
          </cell>
        </row>
        <row r="11460">
          <cell r="A11460" t="str">
            <v>SV</v>
          </cell>
          <cell r="B11460">
            <v>202507</v>
          </cell>
          <cell r="D11460" t="str">
            <v>Particulares Resto</v>
          </cell>
          <cell r="G11460" t="str">
            <v>Presupuesto</v>
          </cell>
        </row>
        <row r="11461">
          <cell r="A11461" t="str">
            <v>SV</v>
          </cell>
          <cell r="B11461">
            <v>202507</v>
          </cell>
          <cell r="D11461" t="str">
            <v>Particulares Resto</v>
          </cell>
          <cell r="G11461" t="str">
            <v>Real</v>
          </cell>
        </row>
        <row r="11462">
          <cell r="A11462" t="str">
            <v>SV</v>
          </cell>
          <cell r="B11462">
            <v>202507</v>
          </cell>
          <cell r="D11462" t="str">
            <v>Property</v>
          </cell>
          <cell r="G11462" t="str">
            <v>Presupuesto</v>
          </cell>
        </row>
        <row r="11463">
          <cell r="A11463" t="str">
            <v>SV</v>
          </cell>
          <cell r="B11463">
            <v>202507</v>
          </cell>
          <cell r="D11463" t="str">
            <v>Property</v>
          </cell>
          <cell r="G11463" t="str">
            <v>Real</v>
          </cell>
        </row>
        <row r="11464">
          <cell r="A11464" t="str">
            <v>SV</v>
          </cell>
          <cell r="B11464">
            <v>202507</v>
          </cell>
          <cell r="D11464" t="str">
            <v>RC</v>
          </cell>
          <cell r="G11464" t="str">
            <v>Presupuesto</v>
          </cell>
        </row>
        <row r="11465">
          <cell r="A11465" t="str">
            <v>SV</v>
          </cell>
          <cell r="B11465">
            <v>202507</v>
          </cell>
          <cell r="D11465" t="str">
            <v>RC</v>
          </cell>
          <cell r="G11465" t="str">
            <v>Real</v>
          </cell>
        </row>
        <row r="11466">
          <cell r="A11466" t="str">
            <v>SV</v>
          </cell>
          <cell r="B11466">
            <v>202507</v>
          </cell>
          <cell r="D11466" t="str">
            <v>Resto de lineas</v>
          </cell>
          <cell r="G11466" t="str">
            <v>Presupuesto</v>
          </cell>
        </row>
        <row r="11467">
          <cell r="A11467" t="str">
            <v>SV</v>
          </cell>
          <cell r="B11467">
            <v>202507</v>
          </cell>
          <cell r="D11467" t="str">
            <v>Resto de lineas</v>
          </cell>
          <cell r="G11467" t="str">
            <v>Real</v>
          </cell>
        </row>
        <row r="11468">
          <cell r="A11468" t="str">
            <v>SV</v>
          </cell>
          <cell r="B11468">
            <v>202507</v>
          </cell>
          <cell r="D11468" t="str">
            <v>Retirada</v>
          </cell>
          <cell r="G11468" t="str">
            <v>Presupuesto</v>
          </cell>
        </row>
        <row r="11469">
          <cell r="A11469" t="str">
            <v>SV</v>
          </cell>
          <cell r="B11469">
            <v>202507</v>
          </cell>
          <cell r="D11469" t="str">
            <v>Seguros Personales (No Vida) Colectivos</v>
          </cell>
          <cell r="G11469" t="str">
            <v>Presupuesto</v>
          </cell>
        </row>
        <row r="11470">
          <cell r="A11470" t="str">
            <v>SV</v>
          </cell>
          <cell r="B11470">
            <v>202507</v>
          </cell>
          <cell r="D11470" t="str">
            <v>Seguros Personales (No Vida) Colectivos</v>
          </cell>
          <cell r="G11470" t="str">
            <v>Real</v>
          </cell>
        </row>
        <row r="11471">
          <cell r="A11471" t="str">
            <v>SV</v>
          </cell>
          <cell r="B11471">
            <v>202507</v>
          </cell>
          <cell r="D11471" t="str">
            <v>Seguros Personales (No Vida) Particular</v>
          </cell>
          <cell r="G11471" t="str">
            <v>Presupuesto</v>
          </cell>
        </row>
        <row r="11472">
          <cell r="A11472" t="str">
            <v>SV</v>
          </cell>
          <cell r="B11472">
            <v>202507</v>
          </cell>
          <cell r="D11472" t="str">
            <v>Seguros Personales (No Vida) Particular</v>
          </cell>
          <cell r="G11472" t="str">
            <v>Real</v>
          </cell>
        </row>
        <row r="11473">
          <cell r="A11473" t="str">
            <v>SV</v>
          </cell>
          <cell r="B11473">
            <v>202507</v>
          </cell>
          <cell r="D11473" t="str">
            <v>Transporte</v>
          </cell>
          <cell r="G11473" t="str">
            <v>Presupuesto</v>
          </cell>
        </row>
        <row r="11474">
          <cell r="A11474" t="str">
            <v>SV</v>
          </cell>
          <cell r="B11474">
            <v>202507</v>
          </cell>
          <cell r="D11474" t="str">
            <v>Transporte</v>
          </cell>
          <cell r="G11474" t="str">
            <v>Real</v>
          </cell>
        </row>
        <row r="11475">
          <cell r="A11475" t="str">
            <v>SV</v>
          </cell>
          <cell r="B11475">
            <v>202507</v>
          </cell>
          <cell r="D11475" t="str">
            <v>Venta Cruzada</v>
          </cell>
          <cell r="G11475" t="str">
            <v>Presupuesto</v>
          </cell>
        </row>
        <row r="11476">
          <cell r="A11476" t="str">
            <v>SV</v>
          </cell>
          <cell r="B11476">
            <v>202507</v>
          </cell>
          <cell r="D11476" t="str">
            <v>Vida Ahorro Colectivo</v>
          </cell>
          <cell r="G11476" t="str">
            <v>Presupuesto</v>
          </cell>
        </row>
        <row r="11477">
          <cell r="A11477" t="str">
            <v>SV</v>
          </cell>
          <cell r="B11477">
            <v>202507</v>
          </cell>
          <cell r="D11477" t="str">
            <v>Vida Ahorro Particular</v>
          </cell>
          <cell r="G11477" t="str">
            <v>Presupuesto</v>
          </cell>
        </row>
        <row r="11478">
          <cell r="A11478" t="str">
            <v>SV</v>
          </cell>
          <cell r="B11478">
            <v>202507</v>
          </cell>
          <cell r="D11478" t="str">
            <v>Vida Ahorro Particular</v>
          </cell>
          <cell r="G11478" t="str">
            <v>Real</v>
          </cell>
        </row>
        <row r="11479">
          <cell r="A11479" t="str">
            <v>SV</v>
          </cell>
          <cell r="B11479">
            <v>202507</v>
          </cell>
          <cell r="D11479" t="str">
            <v>Vida Ganado</v>
          </cell>
          <cell r="G11479" t="str">
            <v>Presupuesto</v>
          </cell>
        </row>
        <row r="11480">
          <cell r="A11480" t="str">
            <v>SV</v>
          </cell>
          <cell r="B11480">
            <v>202507</v>
          </cell>
          <cell r="D11480" t="str">
            <v>Vida Riesgo Colectivo</v>
          </cell>
          <cell r="G11480" t="str">
            <v>Presupuesto</v>
          </cell>
        </row>
        <row r="11481">
          <cell r="A11481" t="str">
            <v>SV</v>
          </cell>
          <cell r="B11481">
            <v>202507</v>
          </cell>
          <cell r="D11481" t="str">
            <v>Vida Riesgo Colectivo</v>
          </cell>
          <cell r="G11481" t="str">
            <v>Real</v>
          </cell>
        </row>
        <row r="11482">
          <cell r="A11482" t="str">
            <v>SV</v>
          </cell>
          <cell r="B11482">
            <v>202507</v>
          </cell>
          <cell r="D11482" t="str">
            <v>Vida Riesgo Particular</v>
          </cell>
          <cell r="G11482" t="str">
            <v>Presupuesto</v>
          </cell>
        </row>
        <row r="11483">
          <cell r="A11483" t="str">
            <v>SV</v>
          </cell>
          <cell r="B11483">
            <v>202507</v>
          </cell>
          <cell r="D11483" t="str">
            <v>Vida Riesgo Particular</v>
          </cell>
          <cell r="G11483" t="str">
            <v>Real</v>
          </cell>
        </row>
        <row r="11484">
          <cell r="A11484" t="str">
            <v>SV</v>
          </cell>
          <cell r="B11484">
            <v>202508</v>
          </cell>
          <cell r="D11484" t="str">
            <v>--</v>
          </cell>
          <cell r="G11484" t="str">
            <v>Real</v>
          </cell>
        </row>
        <row r="11485">
          <cell r="A11485" t="str">
            <v>SV</v>
          </cell>
          <cell r="B11485">
            <v>202508</v>
          </cell>
          <cell r="D11485" t="str">
            <v>Arte</v>
          </cell>
          <cell r="G11485" t="str">
            <v>Presupuesto</v>
          </cell>
        </row>
        <row r="11486">
          <cell r="A11486" t="str">
            <v>SV</v>
          </cell>
          <cell r="B11486">
            <v>202508</v>
          </cell>
          <cell r="D11486" t="str">
            <v>Autos</v>
          </cell>
          <cell r="G11486" t="str">
            <v>Presupuesto</v>
          </cell>
        </row>
        <row r="11487">
          <cell r="A11487" t="str">
            <v>SV</v>
          </cell>
          <cell r="B11487">
            <v>202508</v>
          </cell>
          <cell r="D11487" t="str">
            <v>Autos</v>
          </cell>
          <cell r="G11487" t="str">
            <v>Real</v>
          </cell>
        </row>
        <row r="11488">
          <cell r="A11488" t="str">
            <v>SV</v>
          </cell>
          <cell r="B11488">
            <v>202508</v>
          </cell>
          <cell r="D11488" t="str">
            <v>B2B2C</v>
          </cell>
          <cell r="G11488" t="str">
            <v>Presupuesto</v>
          </cell>
        </row>
        <row r="11489">
          <cell r="A11489" t="str">
            <v>SV</v>
          </cell>
          <cell r="B11489">
            <v>202508</v>
          </cell>
          <cell r="D11489" t="str">
            <v>Caución</v>
          </cell>
          <cell r="G11489" t="str">
            <v>Presupuesto</v>
          </cell>
        </row>
        <row r="11490">
          <cell r="A11490" t="str">
            <v>SV</v>
          </cell>
          <cell r="B11490">
            <v>202508</v>
          </cell>
          <cell r="D11490" t="str">
            <v>Crédito Nacional</v>
          </cell>
          <cell r="G11490" t="str">
            <v>Real</v>
          </cell>
        </row>
        <row r="11491">
          <cell r="A11491" t="str">
            <v>SV</v>
          </cell>
          <cell r="B11491">
            <v>202508</v>
          </cell>
          <cell r="D11491" t="str">
            <v>Crédito Internacional</v>
          </cell>
          <cell r="G11491" t="str">
            <v>Presupuesto</v>
          </cell>
        </row>
        <row r="11492">
          <cell r="A11492" t="str">
            <v>SV</v>
          </cell>
          <cell r="B11492">
            <v>202508</v>
          </cell>
          <cell r="D11492" t="str">
            <v>Crédito Nacional</v>
          </cell>
          <cell r="G11492" t="str">
            <v>Presupuesto</v>
          </cell>
        </row>
        <row r="11493">
          <cell r="A11493" t="str">
            <v>SV</v>
          </cell>
          <cell r="B11493">
            <v>202508</v>
          </cell>
          <cell r="D11493" t="str">
            <v>Eventos</v>
          </cell>
          <cell r="G11493" t="str">
            <v>Presupuesto</v>
          </cell>
        </row>
        <row r="11494">
          <cell r="A11494" t="str">
            <v>SV</v>
          </cell>
          <cell r="B11494">
            <v>202508</v>
          </cell>
          <cell r="D11494" t="str">
            <v>Flotas</v>
          </cell>
          <cell r="G11494" t="str">
            <v>Presupuesto</v>
          </cell>
        </row>
        <row r="11495">
          <cell r="A11495" t="str">
            <v>SV</v>
          </cell>
          <cell r="B11495">
            <v>202508</v>
          </cell>
          <cell r="D11495" t="str">
            <v>Flotas</v>
          </cell>
          <cell r="G11495" t="str">
            <v>Real</v>
          </cell>
        </row>
        <row r="11496">
          <cell r="A11496" t="str">
            <v>SV</v>
          </cell>
          <cell r="B11496">
            <v>202508</v>
          </cell>
          <cell r="D11496" t="str">
            <v>Hogar</v>
          </cell>
          <cell r="G11496" t="str">
            <v>Presupuesto</v>
          </cell>
        </row>
        <row r="11497">
          <cell r="A11497" t="str">
            <v>SV</v>
          </cell>
          <cell r="B11497">
            <v>202508</v>
          </cell>
          <cell r="D11497" t="str">
            <v>Hogar</v>
          </cell>
          <cell r="G11497" t="str">
            <v>Real</v>
          </cell>
        </row>
        <row r="11498">
          <cell r="A11498" t="str">
            <v>SV</v>
          </cell>
          <cell r="B11498">
            <v>202508</v>
          </cell>
          <cell r="D11498" t="str">
            <v>Ingeniería</v>
          </cell>
          <cell r="G11498" t="str">
            <v>Presupuesto</v>
          </cell>
        </row>
        <row r="11499">
          <cell r="A11499" t="str">
            <v>SV</v>
          </cell>
          <cell r="B11499">
            <v>202508</v>
          </cell>
          <cell r="D11499" t="str">
            <v>Ingeniería</v>
          </cell>
          <cell r="G11499" t="str">
            <v>Real</v>
          </cell>
        </row>
        <row r="11500">
          <cell r="A11500" t="str">
            <v>SV</v>
          </cell>
          <cell r="B11500">
            <v>202508</v>
          </cell>
          <cell r="D11500" t="str">
            <v>Inmobiliario</v>
          </cell>
          <cell r="G11500" t="str">
            <v>Presupuesto</v>
          </cell>
        </row>
        <row r="11501">
          <cell r="A11501" t="str">
            <v>SV</v>
          </cell>
          <cell r="B11501">
            <v>202508</v>
          </cell>
          <cell r="D11501" t="str">
            <v>Líneas Financieras</v>
          </cell>
          <cell r="G11501" t="str">
            <v>Presupuesto</v>
          </cell>
        </row>
        <row r="11502">
          <cell r="A11502" t="str">
            <v>SV</v>
          </cell>
          <cell r="B11502">
            <v>202508</v>
          </cell>
          <cell r="D11502" t="str">
            <v>Náutica</v>
          </cell>
          <cell r="G11502" t="str">
            <v>Presupuesto</v>
          </cell>
        </row>
        <row r="11503">
          <cell r="A11503" t="str">
            <v>SV</v>
          </cell>
          <cell r="B11503">
            <v>202508</v>
          </cell>
          <cell r="D11503" t="str">
            <v>Náutica</v>
          </cell>
          <cell r="G11503" t="str">
            <v>Real</v>
          </cell>
        </row>
        <row r="11504">
          <cell r="A11504" t="str">
            <v>SV</v>
          </cell>
          <cell r="B11504">
            <v>202508</v>
          </cell>
          <cell r="D11504" t="str">
            <v>Particulares Resto</v>
          </cell>
          <cell r="G11504" t="str">
            <v>Presupuesto</v>
          </cell>
        </row>
        <row r="11505">
          <cell r="A11505" t="str">
            <v>SV</v>
          </cell>
          <cell r="B11505">
            <v>202508</v>
          </cell>
          <cell r="D11505" t="str">
            <v>Particulares Resto</v>
          </cell>
          <cell r="G11505" t="str">
            <v>Real</v>
          </cell>
        </row>
        <row r="11506">
          <cell r="A11506" t="str">
            <v>SV</v>
          </cell>
          <cell r="B11506">
            <v>202508</v>
          </cell>
          <cell r="D11506" t="str">
            <v>Property</v>
          </cell>
          <cell r="G11506" t="str">
            <v>Presupuesto</v>
          </cell>
        </row>
        <row r="11507">
          <cell r="A11507" t="str">
            <v>SV</v>
          </cell>
          <cell r="B11507">
            <v>202508</v>
          </cell>
          <cell r="D11507" t="str">
            <v>Property</v>
          </cell>
          <cell r="G11507" t="str">
            <v>Real</v>
          </cell>
        </row>
        <row r="11508">
          <cell r="A11508" t="str">
            <v>SV</v>
          </cell>
          <cell r="B11508">
            <v>202508</v>
          </cell>
          <cell r="D11508" t="str">
            <v>RC</v>
          </cell>
          <cell r="G11508" t="str">
            <v>Presupuesto</v>
          </cell>
        </row>
        <row r="11509">
          <cell r="A11509" t="str">
            <v>SV</v>
          </cell>
          <cell r="B11509">
            <v>202508</v>
          </cell>
          <cell r="D11509" t="str">
            <v>RC</v>
          </cell>
          <cell r="G11509" t="str">
            <v>Real</v>
          </cell>
        </row>
        <row r="11510">
          <cell r="A11510" t="str">
            <v>SV</v>
          </cell>
          <cell r="B11510">
            <v>202508</v>
          </cell>
          <cell r="D11510" t="str">
            <v>Resto de lineas</v>
          </cell>
          <cell r="G11510" t="str">
            <v>Presupuesto</v>
          </cell>
        </row>
        <row r="11511">
          <cell r="A11511" t="str">
            <v>SV</v>
          </cell>
          <cell r="B11511">
            <v>202508</v>
          </cell>
          <cell r="D11511" t="str">
            <v>Retirada</v>
          </cell>
          <cell r="G11511" t="str">
            <v>Presupuesto</v>
          </cell>
        </row>
        <row r="11512">
          <cell r="A11512" t="str">
            <v>SV</v>
          </cell>
          <cell r="B11512">
            <v>202508</v>
          </cell>
          <cell r="D11512" t="str">
            <v>Seguros Personales (No Vida) Colectivos</v>
          </cell>
          <cell r="G11512" t="str">
            <v>Presupuesto</v>
          </cell>
        </row>
        <row r="11513">
          <cell r="A11513" t="str">
            <v>SV</v>
          </cell>
          <cell r="B11513">
            <v>202508</v>
          </cell>
          <cell r="D11513" t="str">
            <v>Seguros Personales (No Vida) Colectivos</v>
          </cell>
          <cell r="G11513" t="str">
            <v>Real</v>
          </cell>
        </row>
        <row r="11514">
          <cell r="A11514" t="str">
            <v>SV</v>
          </cell>
          <cell r="B11514">
            <v>202508</v>
          </cell>
          <cell r="D11514" t="str">
            <v>Seguros Personales (No Vida) Particular</v>
          </cell>
          <cell r="G11514" t="str">
            <v>Presupuesto</v>
          </cell>
        </row>
        <row r="11515">
          <cell r="A11515" t="str">
            <v>SV</v>
          </cell>
          <cell r="B11515">
            <v>202508</v>
          </cell>
          <cell r="D11515" t="str">
            <v>Seguros Personales (No Vida) Particular</v>
          </cell>
          <cell r="G11515" t="str">
            <v>Real</v>
          </cell>
        </row>
        <row r="11516">
          <cell r="A11516" t="str">
            <v>SV</v>
          </cell>
          <cell r="B11516">
            <v>202508</v>
          </cell>
          <cell r="D11516" t="str">
            <v>Transporte</v>
          </cell>
          <cell r="G11516" t="str">
            <v>Presupuesto</v>
          </cell>
        </row>
        <row r="11517">
          <cell r="A11517" t="str">
            <v>SV</v>
          </cell>
          <cell r="B11517">
            <v>202508</v>
          </cell>
          <cell r="D11517" t="str">
            <v>Transporte</v>
          </cell>
          <cell r="G11517" t="str">
            <v>Real</v>
          </cell>
        </row>
        <row r="11518">
          <cell r="A11518" t="str">
            <v>SV</v>
          </cell>
          <cell r="B11518">
            <v>202508</v>
          </cell>
          <cell r="D11518" t="str">
            <v>Venta Cruzada</v>
          </cell>
          <cell r="G11518" t="str">
            <v>Presupuesto</v>
          </cell>
        </row>
        <row r="11519">
          <cell r="A11519" t="str">
            <v>SV</v>
          </cell>
          <cell r="B11519">
            <v>202508</v>
          </cell>
          <cell r="D11519" t="str">
            <v>Vida Ahorro Colectivo</v>
          </cell>
          <cell r="G11519" t="str">
            <v>Presupuesto</v>
          </cell>
        </row>
        <row r="11520">
          <cell r="A11520" t="str">
            <v>SV</v>
          </cell>
          <cell r="B11520">
            <v>202508</v>
          </cell>
          <cell r="D11520" t="str">
            <v>Vida Ahorro Particular</v>
          </cell>
          <cell r="G11520" t="str">
            <v>Presupuesto</v>
          </cell>
        </row>
        <row r="11521">
          <cell r="A11521" t="str">
            <v>SV</v>
          </cell>
          <cell r="B11521">
            <v>202508</v>
          </cell>
          <cell r="D11521" t="str">
            <v>Vida Ahorro Particular</v>
          </cell>
          <cell r="G11521" t="str">
            <v>Real</v>
          </cell>
        </row>
        <row r="11522">
          <cell r="A11522" t="str">
            <v>SV</v>
          </cell>
          <cell r="B11522">
            <v>202508</v>
          </cell>
          <cell r="D11522" t="str">
            <v>Vida Ganado</v>
          </cell>
          <cell r="G11522" t="str">
            <v>Presupuesto</v>
          </cell>
        </row>
        <row r="11523">
          <cell r="A11523" t="str">
            <v>SV</v>
          </cell>
          <cell r="B11523">
            <v>202508</v>
          </cell>
          <cell r="D11523" t="str">
            <v>Vida Riesgo Colectivo</v>
          </cell>
          <cell r="G11523" t="str">
            <v>Presupuesto</v>
          </cell>
        </row>
        <row r="11524">
          <cell r="A11524" t="str">
            <v>SV</v>
          </cell>
          <cell r="B11524">
            <v>202508</v>
          </cell>
          <cell r="D11524" t="str">
            <v>Vida Riesgo Particular</v>
          </cell>
          <cell r="G11524" t="str">
            <v>Presupuesto</v>
          </cell>
        </row>
        <row r="11525">
          <cell r="A11525" t="str">
            <v>SV</v>
          </cell>
          <cell r="B11525">
            <v>202508</v>
          </cell>
          <cell r="D11525" t="str">
            <v>Vida Riesgo Particular</v>
          </cell>
          <cell r="G11525" t="str">
            <v>Real</v>
          </cell>
        </row>
        <row r="11526">
          <cell r="A11526" t="str">
            <v>SV</v>
          </cell>
          <cell r="B11526">
            <v>202509</v>
          </cell>
          <cell r="D11526" t="str">
            <v>--</v>
          </cell>
          <cell r="G11526" t="str">
            <v>Real</v>
          </cell>
        </row>
        <row r="11527">
          <cell r="A11527" t="str">
            <v>SV</v>
          </cell>
          <cell r="B11527">
            <v>202509</v>
          </cell>
          <cell r="D11527" t="str">
            <v>Arte</v>
          </cell>
          <cell r="G11527" t="str">
            <v>Presupuesto</v>
          </cell>
        </row>
        <row r="11528">
          <cell r="A11528" t="str">
            <v>SV</v>
          </cell>
          <cell r="B11528">
            <v>202509</v>
          </cell>
          <cell r="D11528" t="str">
            <v>Autos</v>
          </cell>
          <cell r="G11528" t="str">
            <v>Presupuesto</v>
          </cell>
        </row>
        <row r="11529">
          <cell r="A11529" t="str">
            <v>SV</v>
          </cell>
          <cell r="B11529">
            <v>202509</v>
          </cell>
          <cell r="D11529" t="str">
            <v>Autos</v>
          </cell>
          <cell r="G11529" t="str">
            <v>Real</v>
          </cell>
        </row>
        <row r="11530">
          <cell r="A11530" t="str">
            <v>SV</v>
          </cell>
          <cell r="B11530">
            <v>202509</v>
          </cell>
          <cell r="D11530" t="str">
            <v>B2B2C</v>
          </cell>
          <cell r="G11530" t="str">
            <v>Presupuesto</v>
          </cell>
        </row>
        <row r="11531">
          <cell r="A11531" t="str">
            <v>SV</v>
          </cell>
          <cell r="B11531">
            <v>202509</v>
          </cell>
          <cell r="D11531" t="str">
            <v>Caución</v>
          </cell>
          <cell r="G11531" t="str">
            <v>Presupuesto</v>
          </cell>
        </row>
        <row r="11532">
          <cell r="A11532" t="str">
            <v>SV</v>
          </cell>
          <cell r="B11532">
            <v>202509</v>
          </cell>
          <cell r="D11532" t="str">
            <v>Crédito Nacional</v>
          </cell>
          <cell r="G11532" t="str">
            <v>Real</v>
          </cell>
        </row>
        <row r="11533">
          <cell r="A11533" t="str">
            <v>SV</v>
          </cell>
          <cell r="B11533">
            <v>202509</v>
          </cell>
          <cell r="D11533" t="str">
            <v>Crédito Internacional</v>
          </cell>
          <cell r="G11533" t="str">
            <v>Presupuesto</v>
          </cell>
        </row>
        <row r="11534">
          <cell r="A11534" t="str">
            <v>SV</v>
          </cell>
          <cell r="B11534">
            <v>202509</v>
          </cell>
          <cell r="D11534" t="str">
            <v>Crédito Nacional</v>
          </cell>
          <cell r="G11534" t="str">
            <v>Presupuesto</v>
          </cell>
        </row>
        <row r="11535">
          <cell r="A11535" t="str">
            <v>SV</v>
          </cell>
          <cell r="B11535">
            <v>202509</v>
          </cell>
          <cell r="D11535" t="str">
            <v>Eventos</v>
          </cell>
          <cell r="G11535" t="str">
            <v>Presupuesto</v>
          </cell>
        </row>
        <row r="11536">
          <cell r="A11536" t="str">
            <v>SV</v>
          </cell>
          <cell r="B11536">
            <v>202509</v>
          </cell>
          <cell r="D11536" t="str">
            <v>Flotas</v>
          </cell>
          <cell r="G11536" t="str">
            <v>Presupuesto</v>
          </cell>
        </row>
        <row r="11537">
          <cell r="A11537" t="str">
            <v>SV</v>
          </cell>
          <cell r="B11537">
            <v>202509</v>
          </cell>
          <cell r="D11537" t="str">
            <v>Flotas</v>
          </cell>
          <cell r="G11537" t="str">
            <v>Real</v>
          </cell>
        </row>
        <row r="11538">
          <cell r="A11538" t="str">
            <v>SV</v>
          </cell>
          <cell r="B11538">
            <v>202509</v>
          </cell>
          <cell r="D11538" t="str">
            <v>Hogar</v>
          </cell>
          <cell r="G11538" t="str">
            <v>Presupuesto</v>
          </cell>
        </row>
        <row r="11539">
          <cell r="A11539" t="str">
            <v>SV</v>
          </cell>
          <cell r="B11539">
            <v>202509</v>
          </cell>
          <cell r="D11539" t="str">
            <v>Hogar</v>
          </cell>
          <cell r="G11539" t="str">
            <v>Real</v>
          </cell>
        </row>
        <row r="11540">
          <cell r="A11540" t="str">
            <v>SV</v>
          </cell>
          <cell r="B11540">
            <v>202509</v>
          </cell>
          <cell r="D11540" t="str">
            <v>Ingeniería</v>
          </cell>
          <cell r="G11540" t="str">
            <v>Presupuesto</v>
          </cell>
        </row>
        <row r="11541">
          <cell r="A11541" t="str">
            <v>SV</v>
          </cell>
          <cell r="B11541">
            <v>202509</v>
          </cell>
          <cell r="D11541" t="str">
            <v>Ingeniería</v>
          </cell>
          <cell r="G11541" t="str">
            <v>Real</v>
          </cell>
        </row>
        <row r="11542">
          <cell r="A11542" t="str">
            <v>SV</v>
          </cell>
          <cell r="B11542">
            <v>202509</v>
          </cell>
          <cell r="D11542" t="str">
            <v>Inmobiliario</v>
          </cell>
          <cell r="G11542" t="str">
            <v>Presupuesto</v>
          </cell>
        </row>
        <row r="11543">
          <cell r="A11543" t="str">
            <v>SV</v>
          </cell>
          <cell r="B11543">
            <v>202509</v>
          </cell>
          <cell r="D11543" t="str">
            <v>Líneas Financieras</v>
          </cell>
          <cell r="G11543" t="str">
            <v>Presupuesto</v>
          </cell>
        </row>
        <row r="11544">
          <cell r="A11544" t="str">
            <v>SV</v>
          </cell>
          <cell r="B11544">
            <v>202509</v>
          </cell>
          <cell r="D11544" t="str">
            <v>Líneas Financieras</v>
          </cell>
          <cell r="G11544" t="str">
            <v>Real</v>
          </cell>
        </row>
        <row r="11545">
          <cell r="A11545" t="str">
            <v>SV</v>
          </cell>
          <cell r="B11545">
            <v>202509</v>
          </cell>
          <cell r="D11545" t="str">
            <v>Náutica</v>
          </cell>
          <cell r="G11545" t="str">
            <v>Presupuesto</v>
          </cell>
        </row>
        <row r="11546">
          <cell r="A11546" t="str">
            <v>SV</v>
          </cell>
          <cell r="B11546">
            <v>202509</v>
          </cell>
          <cell r="D11546" t="str">
            <v>Náutica</v>
          </cell>
          <cell r="G11546" t="str">
            <v>Real</v>
          </cell>
        </row>
        <row r="11547">
          <cell r="A11547" t="str">
            <v>SV</v>
          </cell>
          <cell r="B11547">
            <v>202509</v>
          </cell>
          <cell r="D11547" t="str">
            <v>Particulares Resto</v>
          </cell>
          <cell r="G11547" t="str">
            <v>Presupuesto</v>
          </cell>
        </row>
        <row r="11548">
          <cell r="A11548" t="str">
            <v>SV</v>
          </cell>
          <cell r="B11548">
            <v>202509</v>
          </cell>
          <cell r="D11548" t="str">
            <v>Particulares Resto</v>
          </cell>
          <cell r="G11548" t="str">
            <v>Real</v>
          </cell>
        </row>
        <row r="11549">
          <cell r="A11549" t="str">
            <v>SV</v>
          </cell>
          <cell r="B11549">
            <v>202509</v>
          </cell>
          <cell r="D11549" t="str">
            <v>Property</v>
          </cell>
          <cell r="G11549" t="str">
            <v>Presupuesto</v>
          </cell>
        </row>
        <row r="11550">
          <cell r="A11550" t="str">
            <v>SV</v>
          </cell>
          <cell r="B11550">
            <v>202509</v>
          </cell>
          <cell r="D11550" t="str">
            <v>Property</v>
          </cell>
          <cell r="G11550" t="str">
            <v>Real</v>
          </cell>
        </row>
        <row r="11551">
          <cell r="A11551" t="str">
            <v>SV</v>
          </cell>
          <cell r="B11551">
            <v>202509</v>
          </cell>
          <cell r="D11551" t="str">
            <v>RC</v>
          </cell>
          <cell r="G11551" t="str">
            <v>Presupuesto</v>
          </cell>
        </row>
        <row r="11552">
          <cell r="A11552" t="str">
            <v>SV</v>
          </cell>
          <cell r="B11552">
            <v>202509</v>
          </cell>
          <cell r="D11552" t="str">
            <v>RC</v>
          </cell>
          <cell r="G11552" t="str">
            <v>Real</v>
          </cell>
        </row>
        <row r="11553">
          <cell r="A11553" t="str">
            <v>SV</v>
          </cell>
          <cell r="B11553">
            <v>202509</v>
          </cell>
          <cell r="D11553" t="str">
            <v>Resto de lineas</v>
          </cell>
          <cell r="G11553" t="str">
            <v>Presupuesto</v>
          </cell>
        </row>
        <row r="11554">
          <cell r="A11554" t="str">
            <v>SV</v>
          </cell>
          <cell r="B11554">
            <v>202509</v>
          </cell>
          <cell r="D11554" t="str">
            <v>Resto de lineas</v>
          </cell>
          <cell r="G11554" t="str">
            <v>Real</v>
          </cell>
        </row>
        <row r="11555">
          <cell r="A11555" t="str">
            <v>SV</v>
          </cell>
          <cell r="B11555">
            <v>202509</v>
          </cell>
          <cell r="D11555" t="str">
            <v>Retirada</v>
          </cell>
          <cell r="G11555" t="str">
            <v>Presupuesto</v>
          </cell>
        </row>
        <row r="11556">
          <cell r="A11556" t="str">
            <v>SV</v>
          </cell>
          <cell r="B11556">
            <v>202509</v>
          </cell>
          <cell r="D11556" t="str">
            <v>Seguros Personales (No Vida) Colectivos</v>
          </cell>
          <cell r="G11556" t="str">
            <v>Presupuesto</v>
          </cell>
        </row>
        <row r="11557">
          <cell r="A11557" t="str">
            <v>SV</v>
          </cell>
          <cell r="B11557">
            <v>202509</v>
          </cell>
          <cell r="D11557" t="str">
            <v>Seguros Personales (No Vida) Colectivos</v>
          </cell>
          <cell r="G11557" t="str">
            <v>Real</v>
          </cell>
        </row>
        <row r="11558">
          <cell r="A11558" t="str">
            <v>SV</v>
          </cell>
          <cell r="B11558">
            <v>202509</v>
          </cell>
          <cell r="D11558" t="str">
            <v>Seguros Personales (No Vida) Particular</v>
          </cell>
          <cell r="G11558" t="str">
            <v>Presupuesto</v>
          </cell>
        </row>
        <row r="11559">
          <cell r="A11559" t="str">
            <v>SV</v>
          </cell>
          <cell r="B11559">
            <v>202509</v>
          </cell>
          <cell r="D11559" t="str">
            <v>Seguros Personales (No Vida) Particular</v>
          </cell>
          <cell r="G11559" t="str">
            <v>Real</v>
          </cell>
        </row>
        <row r="11560">
          <cell r="A11560" t="str">
            <v>SV</v>
          </cell>
          <cell r="B11560">
            <v>202509</v>
          </cell>
          <cell r="D11560" t="str">
            <v>Transporte</v>
          </cell>
          <cell r="G11560" t="str">
            <v>Presupuesto</v>
          </cell>
        </row>
        <row r="11561">
          <cell r="A11561" t="str">
            <v>SV</v>
          </cell>
          <cell r="B11561">
            <v>202509</v>
          </cell>
          <cell r="D11561" t="str">
            <v>Transporte</v>
          </cell>
          <cell r="G11561" t="str">
            <v>Real</v>
          </cell>
        </row>
        <row r="11562">
          <cell r="A11562" t="str">
            <v>SV</v>
          </cell>
          <cell r="B11562">
            <v>202509</v>
          </cell>
          <cell r="D11562" t="str">
            <v>Venta Cruzada</v>
          </cell>
          <cell r="G11562" t="str">
            <v>Presupuesto</v>
          </cell>
        </row>
        <row r="11563">
          <cell r="A11563" t="str">
            <v>SV</v>
          </cell>
          <cell r="B11563">
            <v>202509</v>
          </cell>
          <cell r="D11563" t="str">
            <v>Vida Ahorro Colectivo</v>
          </cell>
          <cell r="G11563" t="str">
            <v>Presupuesto</v>
          </cell>
        </row>
        <row r="11564">
          <cell r="A11564" t="str">
            <v>SV</v>
          </cell>
          <cell r="B11564">
            <v>202509</v>
          </cell>
          <cell r="D11564" t="str">
            <v>Vida Ahorro Particular</v>
          </cell>
          <cell r="G11564" t="str">
            <v>Presupuesto</v>
          </cell>
        </row>
        <row r="11565">
          <cell r="A11565" t="str">
            <v>SV</v>
          </cell>
          <cell r="B11565">
            <v>202509</v>
          </cell>
          <cell r="D11565" t="str">
            <v>Vida Ahorro Particular</v>
          </cell>
          <cell r="G11565" t="str">
            <v>Real</v>
          </cell>
        </row>
        <row r="11566">
          <cell r="A11566" t="str">
            <v>SV</v>
          </cell>
          <cell r="B11566">
            <v>202509</v>
          </cell>
          <cell r="D11566" t="str">
            <v>Vida Ganado</v>
          </cell>
          <cell r="G11566" t="str">
            <v>Presupuesto</v>
          </cell>
        </row>
        <row r="11567">
          <cell r="A11567" t="str">
            <v>SV</v>
          </cell>
          <cell r="B11567">
            <v>202509</v>
          </cell>
          <cell r="D11567" t="str">
            <v>Vida Riesgo Colectivo</v>
          </cell>
          <cell r="G11567" t="str">
            <v>Presupuesto</v>
          </cell>
        </row>
        <row r="11568">
          <cell r="A11568" t="str">
            <v>SV</v>
          </cell>
          <cell r="B11568">
            <v>202509</v>
          </cell>
          <cell r="D11568" t="str">
            <v>Vida Riesgo Colectivo</v>
          </cell>
          <cell r="G11568" t="str">
            <v>Real</v>
          </cell>
        </row>
        <row r="11569">
          <cell r="A11569" t="str">
            <v>SV</v>
          </cell>
          <cell r="B11569">
            <v>202509</v>
          </cell>
          <cell r="D11569" t="str">
            <v>Vida Riesgo Particular</v>
          </cell>
          <cell r="G11569" t="str">
            <v>Presupuesto</v>
          </cell>
        </row>
        <row r="11570">
          <cell r="A11570" t="str">
            <v>SV</v>
          </cell>
          <cell r="B11570">
            <v>202509</v>
          </cell>
          <cell r="D11570" t="str">
            <v>Vida Riesgo Particular</v>
          </cell>
          <cell r="G11570" t="str">
            <v>Real</v>
          </cell>
        </row>
        <row r="11571">
          <cell r="A11571" t="str">
            <v>SV</v>
          </cell>
          <cell r="B11571">
            <v>202510</v>
          </cell>
          <cell r="D11571" t="str">
            <v>--</v>
          </cell>
          <cell r="G11571" t="str">
            <v>Presupuesto</v>
          </cell>
        </row>
        <row r="11572">
          <cell r="A11572" t="str">
            <v>SV</v>
          </cell>
          <cell r="B11572">
            <v>202510</v>
          </cell>
          <cell r="D11572" t="str">
            <v>--</v>
          </cell>
          <cell r="G11572" t="str">
            <v>Real</v>
          </cell>
        </row>
        <row r="11573">
          <cell r="A11573" t="str">
            <v>SV</v>
          </cell>
          <cell r="B11573">
            <v>202510</v>
          </cell>
          <cell r="D11573" t="str">
            <v>Arte</v>
          </cell>
          <cell r="G11573" t="str">
            <v>Presupuesto</v>
          </cell>
        </row>
        <row r="11574">
          <cell r="A11574" t="str">
            <v>SV</v>
          </cell>
          <cell r="B11574">
            <v>202510</v>
          </cell>
          <cell r="D11574" t="str">
            <v>Autos</v>
          </cell>
          <cell r="G11574" t="str">
            <v>Presupuesto</v>
          </cell>
        </row>
        <row r="11575">
          <cell r="A11575" t="str">
            <v>SV</v>
          </cell>
          <cell r="B11575">
            <v>202510</v>
          </cell>
          <cell r="D11575" t="str">
            <v>Autos</v>
          </cell>
          <cell r="G11575" t="str">
            <v>Real</v>
          </cell>
        </row>
        <row r="11576">
          <cell r="A11576" t="str">
            <v>SV</v>
          </cell>
          <cell r="B11576">
            <v>202510</v>
          </cell>
          <cell r="D11576" t="str">
            <v>B2B2C</v>
          </cell>
          <cell r="G11576" t="str">
            <v>Presupuesto</v>
          </cell>
        </row>
        <row r="11577">
          <cell r="A11577" t="str">
            <v>SV</v>
          </cell>
          <cell r="B11577">
            <v>202510</v>
          </cell>
          <cell r="D11577" t="str">
            <v>Caución</v>
          </cell>
          <cell r="G11577" t="str">
            <v>Presupuesto</v>
          </cell>
        </row>
        <row r="11578">
          <cell r="A11578" t="str">
            <v>SV</v>
          </cell>
          <cell r="B11578">
            <v>202510</v>
          </cell>
          <cell r="D11578" t="str">
            <v>Crédito Internacional</v>
          </cell>
          <cell r="G11578" t="str">
            <v>Presupuesto</v>
          </cell>
        </row>
        <row r="11579">
          <cell r="A11579" t="str">
            <v>SV</v>
          </cell>
          <cell r="B11579">
            <v>202510</v>
          </cell>
          <cell r="D11579" t="str">
            <v>Crédito Nacional</v>
          </cell>
          <cell r="G11579" t="str">
            <v>Presupuesto</v>
          </cell>
        </row>
        <row r="11580">
          <cell r="A11580" t="str">
            <v>SV</v>
          </cell>
          <cell r="B11580">
            <v>202510</v>
          </cell>
          <cell r="D11580" t="str">
            <v>Eventos</v>
          </cell>
          <cell r="G11580" t="str">
            <v>Presupuesto</v>
          </cell>
        </row>
        <row r="11581">
          <cell r="A11581" t="str">
            <v>SV</v>
          </cell>
          <cell r="B11581">
            <v>202510</v>
          </cell>
          <cell r="D11581" t="str">
            <v>Flotas</v>
          </cell>
          <cell r="G11581" t="str">
            <v>Presupuesto</v>
          </cell>
        </row>
        <row r="11582">
          <cell r="A11582" t="str">
            <v>SV</v>
          </cell>
          <cell r="B11582">
            <v>202510</v>
          </cell>
          <cell r="D11582" t="str">
            <v>Flotas</v>
          </cell>
          <cell r="G11582" t="str">
            <v>Real</v>
          </cell>
        </row>
        <row r="11583">
          <cell r="A11583" t="str">
            <v>SV</v>
          </cell>
          <cell r="B11583">
            <v>202510</v>
          </cell>
          <cell r="D11583" t="str">
            <v>Hogar</v>
          </cell>
          <cell r="G11583" t="str">
            <v>Presupuesto</v>
          </cell>
        </row>
        <row r="11584">
          <cell r="A11584" t="str">
            <v>SV</v>
          </cell>
          <cell r="B11584">
            <v>202510</v>
          </cell>
          <cell r="D11584" t="str">
            <v>Hogar</v>
          </cell>
          <cell r="G11584" t="str">
            <v>Real</v>
          </cell>
        </row>
        <row r="11585">
          <cell r="A11585" t="str">
            <v>SV</v>
          </cell>
          <cell r="B11585">
            <v>202510</v>
          </cell>
          <cell r="D11585" t="str">
            <v>Ingeniería</v>
          </cell>
          <cell r="G11585" t="str">
            <v>Presupuesto</v>
          </cell>
        </row>
        <row r="11586">
          <cell r="A11586" t="str">
            <v>SV</v>
          </cell>
          <cell r="B11586">
            <v>202510</v>
          </cell>
          <cell r="D11586" t="str">
            <v>Ingeniería</v>
          </cell>
          <cell r="G11586" t="str">
            <v>Real</v>
          </cell>
        </row>
        <row r="11587">
          <cell r="A11587" t="str">
            <v>SV</v>
          </cell>
          <cell r="B11587">
            <v>202510</v>
          </cell>
          <cell r="D11587" t="str">
            <v>Inmobiliario</v>
          </cell>
          <cell r="G11587" t="str">
            <v>Presupuesto</v>
          </cell>
        </row>
        <row r="11588">
          <cell r="A11588" t="str">
            <v>SV</v>
          </cell>
          <cell r="B11588">
            <v>202510</v>
          </cell>
          <cell r="D11588" t="str">
            <v>Inmobiliario</v>
          </cell>
          <cell r="G11588" t="str">
            <v>Real</v>
          </cell>
        </row>
        <row r="11589">
          <cell r="A11589" t="str">
            <v>SV</v>
          </cell>
          <cell r="B11589">
            <v>202510</v>
          </cell>
          <cell r="D11589" t="str">
            <v>Líneas Financieras</v>
          </cell>
          <cell r="G11589" t="str">
            <v>Presupuesto</v>
          </cell>
        </row>
        <row r="11590">
          <cell r="A11590" t="str">
            <v>SV</v>
          </cell>
          <cell r="B11590">
            <v>202510</v>
          </cell>
          <cell r="D11590" t="str">
            <v>Líneas Financieras</v>
          </cell>
          <cell r="G11590" t="str">
            <v>Real</v>
          </cell>
        </row>
        <row r="11591">
          <cell r="A11591" t="str">
            <v>SV</v>
          </cell>
          <cell r="B11591">
            <v>202510</v>
          </cell>
          <cell r="D11591" t="str">
            <v>Náutica</v>
          </cell>
          <cell r="G11591" t="str">
            <v>Presupuesto</v>
          </cell>
        </row>
        <row r="11592">
          <cell r="A11592" t="str">
            <v>SV</v>
          </cell>
          <cell r="B11592">
            <v>202510</v>
          </cell>
          <cell r="D11592" t="str">
            <v>Náutica</v>
          </cell>
          <cell r="G11592" t="str">
            <v>Real</v>
          </cell>
        </row>
        <row r="11593">
          <cell r="A11593" t="str">
            <v>SV</v>
          </cell>
          <cell r="B11593">
            <v>202510</v>
          </cell>
          <cell r="D11593" t="str">
            <v>Particulares Resto</v>
          </cell>
          <cell r="G11593" t="str">
            <v>Presupuesto</v>
          </cell>
        </row>
        <row r="11594">
          <cell r="A11594" t="str">
            <v>SV</v>
          </cell>
          <cell r="B11594">
            <v>202510</v>
          </cell>
          <cell r="D11594" t="str">
            <v>Particulares Resto</v>
          </cell>
          <cell r="G11594" t="str">
            <v>Real</v>
          </cell>
        </row>
        <row r="11595">
          <cell r="A11595" t="str">
            <v>SV</v>
          </cell>
          <cell r="B11595">
            <v>202510</v>
          </cell>
          <cell r="D11595" t="str">
            <v>Property</v>
          </cell>
          <cell r="G11595" t="str">
            <v>Presupuesto</v>
          </cell>
        </row>
        <row r="11596">
          <cell r="A11596" t="str">
            <v>SV</v>
          </cell>
          <cell r="B11596">
            <v>202510</v>
          </cell>
          <cell r="D11596" t="str">
            <v>Property</v>
          </cell>
          <cell r="G11596" t="str">
            <v>Real</v>
          </cell>
        </row>
        <row r="11597">
          <cell r="A11597" t="str">
            <v>SV</v>
          </cell>
          <cell r="B11597">
            <v>202510</v>
          </cell>
          <cell r="D11597" t="str">
            <v>RC</v>
          </cell>
          <cell r="G11597" t="str">
            <v>Presupuesto</v>
          </cell>
        </row>
        <row r="11598">
          <cell r="A11598" t="str">
            <v>SV</v>
          </cell>
          <cell r="B11598">
            <v>202510</v>
          </cell>
          <cell r="D11598" t="str">
            <v>RC</v>
          </cell>
          <cell r="G11598" t="str">
            <v>Real</v>
          </cell>
        </row>
        <row r="11599">
          <cell r="A11599" t="str">
            <v>SV</v>
          </cell>
          <cell r="B11599">
            <v>202510</v>
          </cell>
          <cell r="D11599" t="str">
            <v>Resto de lineas</v>
          </cell>
          <cell r="G11599" t="str">
            <v>Presupuesto</v>
          </cell>
        </row>
        <row r="11600">
          <cell r="A11600" t="str">
            <v>SV</v>
          </cell>
          <cell r="B11600">
            <v>202510</v>
          </cell>
          <cell r="D11600" t="str">
            <v>Resto de lineas</v>
          </cell>
          <cell r="G11600" t="str">
            <v>Real</v>
          </cell>
        </row>
        <row r="11601">
          <cell r="A11601" t="str">
            <v>SV</v>
          </cell>
          <cell r="B11601">
            <v>202510</v>
          </cell>
          <cell r="D11601" t="str">
            <v>Retirada</v>
          </cell>
          <cell r="G11601" t="str">
            <v>Presupuesto</v>
          </cell>
        </row>
        <row r="11602">
          <cell r="A11602" t="str">
            <v>SV</v>
          </cell>
          <cell r="B11602">
            <v>202510</v>
          </cell>
          <cell r="D11602" t="str">
            <v>Seguros Personales (No Vida) Colectivos</v>
          </cell>
          <cell r="G11602" t="str">
            <v>Presupuesto</v>
          </cell>
        </row>
        <row r="11603">
          <cell r="A11603" t="str">
            <v>SV</v>
          </cell>
          <cell r="B11603">
            <v>202510</v>
          </cell>
          <cell r="D11603" t="str">
            <v>Seguros Personales (No Vida) Colectivos</v>
          </cell>
          <cell r="G11603" t="str">
            <v>Real</v>
          </cell>
        </row>
        <row r="11604">
          <cell r="A11604" t="str">
            <v>SV</v>
          </cell>
          <cell r="B11604">
            <v>202510</v>
          </cell>
          <cell r="D11604" t="str">
            <v>Seguros Personales (No Vida) Particular</v>
          </cell>
          <cell r="G11604" t="str">
            <v>Presupuesto</v>
          </cell>
        </row>
        <row r="11605">
          <cell r="A11605" t="str">
            <v>SV</v>
          </cell>
          <cell r="B11605">
            <v>202510</v>
          </cell>
          <cell r="D11605" t="str">
            <v>Seguros Personales (No Vida) Particular</v>
          </cell>
          <cell r="G11605" t="str">
            <v>Real</v>
          </cell>
        </row>
        <row r="11606">
          <cell r="A11606" t="str">
            <v>SV</v>
          </cell>
          <cell r="B11606">
            <v>202510</v>
          </cell>
          <cell r="D11606" t="str">
            <v>Transporte</v>
          </cell>
          <cell r="G11606" t="str">
            <v>Presupuesto</v>
          </cell>
        </row>
        <row r="11607">
          <cell r="A11607" t="str">
            <v>SV</v>
          </cell>
          <cell r="B11607">
            <v>202510</v>
          </cell>
          <cell r="D11607" t="str">
            <v>Transporte</v>
          </cell>
          <cell r="G11607" t="str">
            <v>Real</v>
          </cell>
        </row>
        <row r="11608">
          <cell r="A11608" t="str">
            <v>SV</v>
          </cell>
          <cell r="B11608">
            <v>202510</v>
          </cell>
          <cell r="D11608" t="str">
            <v>Venta Cruzada</v>
          </cell>
          <cell r="G11608" t="str">
            <v>Presupuesto</v>
          </cell>
        </row>
        <row r="11609">
          <cell r="A11609" t="str">
            <v>SV</v>
          </cell>
          <cell r="B11609">
            <v>202510</v>
          </cell>
          <cell r="D11609" t="str">
            <v>Vida Ahorro Colectivo</v>
          </cell>
          <cell r="G11609" t="str">
            <v>Presupuesto</v>
          </cell>
        </row>
        <row r="11610">
          <cell r="A11610" t="str">
            <v>SV</v>
          </cell>
          <cell r="B11610">
            <v>202510</v>
          </cell>
          <cell r="D11610" t="str">
            <v>Vida Ahorro Particular</v>
          </cell>
          <cell r="G11610" t="str">
            <v>Presupuesto</v>
          </cell>
        </row>
        <row r="11611">
          <cell r="A11611" t="str">
            <v>SV</v>
          </cell>
          <cell r="B11611">
            <v>202510</v>
          </cell>
          <cell r="D11611" t="str">
            <v>Vida Ahorro Particular</v>
          </cell>
          <cell r="G11611" t="str">
            <v>Real</v>
          </cell>
        </row>
        <row r="11612">
          <cell r="A11612" t="str">
            <v>SV</v>
          </cell>
          <cell r="B11612">
            <v>202510</v>
          </cell>
          <cell r="D11612" t="str">
            <v>Vida Ganado</v>
          </cell>
          <cell r="G11612" t="str">
            <v>Presupuesto</v>
          </cell>
        </row>
        <row r="11613">
          <cell r="A11613" t="str">
            <v>SV</v>
          </cell>
          <cell r="B11613">
            <v>202510</v>
          </cell>
          <cell r="D11613" t="str">
            <v>Vida Riesgo Colectivo</v>
          </cell>
          <cell r="G11613" t="str">
            <v>Presupuesto</v>
          </cell>
        </row>
        <row r="11614">
          <cell r="A11614" t="str">
            <v>SV</v>
          </cell>
          <cell r="B11614">
            <v>202510</v>
          </cell>
          <cell r="D11614" t="str">
            <v>Vida Riesgo Particular</v>
          </cell>
          <cell r="G11614" t="str">
            <v>Presupuesto</v>
          </cell>
        </row>
        <row r="11615">
          <cell r="A11615" t="str">
            <v>SV</v>
          </cell>
          <cell r="B11615">
            <v>202510</v>
          </cell>
          <cell r="D11615" t="str">
            <v>Vida Riesgo Particular</v>
          </cell>
          <cell r="G11615" t="str">
            <v>Real</v>
          </cell>
        </row>
        <row r="11616">
          <cell r="A11616" t="str">
            <v>SV</v>
          </cell>
          <cell r="B11616">
            <v>202511</v>
          </cell>
          <cell r="D11616" t="str">
            <v>--</v>
          </cell>
          <cell r="G11616" t="str">
            <v>Presupuesto</v>
          </cell>
        </row>
        <row r="11617">
          <cell r="A11617" t="str">
            <v>SV</v>
          </cell>
          <cell r="B11617">
            <v>202511</v>
          </cell>
          <cell r="D11617" t="str">
            <v>--</v>
          </cell>
          <cell r="G11617" t="str">
            <v>Real</v>
          </cell>
        </row>
        <row r="11618">
          <cell r="A11618" t="str">
            <v>SV</v>
          </cell>
          <cell r="B11618">
            <v>202511</v>
          </cell>
          <cell r="D11618" t="str">
            <v>Arte</v>
          </cell>
          <cell r="G11618" t="str">
            <v>Presupuesto</v>
          </cell>
        </row>
        <row r="11619">
          <cell r="A11619" t="str">
            <v>SV</v>
          </cell>
          <cell r="B11619">
            <v>202511</v>
          </cell>
          <cell r="D11619" t="str">
            <v>Autos</v>
          </cell>
          <cell r="G11619" t="str">
            <v>Presupuesto</v>
          </cell>
        </row>
        <row r="11620">
          <cell r="A11620" t="str">
            <v>SV</v>
          </cell>
          <cell r="B11620">
            <v>202511</v>
          </cell>
          <cell r="D11620" t="str">
            <v>Autos</v>
          </cell>
          <cell r="G11620" t="str">
            <v>Real</v>
          </cell>
        </row>
        <row r="11621">
          <cell r="A11621" t="str">
            <v>SV</v>
          </cell>
          <cell r="B11621">
            <v>202511</v>
          </cell>
          <cell r="D11621" t="str">
            <v>B2B2C</v>
          </cell>
          <cell r="G11621" t="str">
            <v>Presupuesto</v>
          </cell>
        </row>
        <row r="11622">
          <cell r="A11622" t="str">
            <v>SV</v>
          </cell>
          <cell r="B11622">
            <v>202511</v>
          </cell>
          <cell r="D11622" t="str">
            <v>Caución</v>
          </cell>
          <cell r="G11622" t="str">
            <v>Presupuesto</v>
          </cell>
        </row>
        <row r="11623">
          <cell r="A11623" t="str">
            <v>SV</v>
          </cell>
          <cell r="B11623">
            <v>202511</v>
          </cell>
          <cell r="D11623" t="str">
            <v>Crédito Internacional</v>
          </cell>
          <cell r="G11623" t="str">
            <v>Presupuesto</v>
          </cell>
        </row>
        <row r="11624">
          <cell r="A11624" t="str">
            <v>SV</v>
          </cell>
          <cell r="B11624">
            <v>202511</v>
          </cell>
          <cell r="D11624" t="str">
            <v>Crédito Nacional</v>
          </cell>
          <cell r="G11624" t="str">
            <v>Presupuesto</v>
          </cell>
        </row>
        <row r="11625">
          <cell r="A11625" t="str">
            <v>SV</v>
          </cell>
          <cell r="B11625">
            <v>202511</v>
          </cell>
          <cell r="D11625" t="str">
            <v>Eventos</v>
          </cell>
          <cell r="G11625" t="str">
            <v>Presupuesto</v>
          </cell>
        </row>
        <row r="11626">
          <cell r="A11626" t="str">
            <v>SV</v>
          </cell>
          <cell r="B11626">
            <v>202511</v>
          </cell>
          <cell r="D11626" t="str">
            <v>Flotas</v>
          </cell>
          <cell r="G11626" t="str">
            <v>Presupuesto</v>
          </cell>
        </row>
        <row r="11627">
          <cell r="A11627" t="str">
            <v>SV</v>
          </cell>
          <cell r="B11627">
            <v>202511</v>
          </cell>
          <cell r="D11627" t="str">
            <v>Flotas</v>
          </cell>
          <cell r="G11627" t="str">
            <v>Real</v>
          </cell>
        </row>
        <row r="11628">
          <cell r="A11628" t="str">
            <v>SV</v>
          </cell>
          <cell r="B11628">
            <v>202511</v>
          </cell>
          <cell r="D11628" t="str">
            <v>Hogar</v>
          </cell>
          <cell r="G11628" t="str">
            <v>Presupuesto</v>
          </cell>
        </row>
        <row r="11629">
          <cell r="A11629" t="str">
            <v>SV</v>
          </cell>
          <cell r="B11629">
            <v>202511</v>
          </cell>
          <cell r="D11629" t="str">
            <v>Hogar</v>
          </cell>
          <cell r="G11629" t="str">
            <v>Real</v>
          </cell>
        </row>
        <row r="11630">
          <cell r="A11630" t="str">
            <v>SV</v>
          </cell>
          <cell r="B11630">
            <v>202511</v>
          </cell>
          <cell r="D11630" t="str">
            <v>Ingeniería</v>
          </cell>
          <cell r="G11630" t="str">
            <v>Presupuesto</v>
          </cell>
        </row>
        <row r="11631">
          <cell r="A11631" t="str">
            <v>SV</v>
          </cell>
          <cell r="B11631">
            <v>202511</v>
          </cell>
          <cell r="D11631" t="str">
            <v>Ingeniería</v>
          </cell>
          <cell r="G11631" t="str">
            <v>Real</v>
          </cell>
        </row>
        <row r="11632">
          <cell r="A11632" t="str">
            <v>SV</v>
          </cell>
          <cell r="B11632">
            <v>202511</v>
          </cell>
          <cell r="D11632" t="str">
            <v>Inmobiliario</v>
          </cell>
          <cell r="G11632" t="str">
            <v>Presupuesto</v>
          </cell>
        </row>
        <row r="11633">
          <cell r="A11633" t="str">
            <v>SV</v>
          </cell>
          <cell r="B11633">
            <v>202511</v>
          </cell>
          <cell r="D11633" t="str">
            <v>Líneas Financieras</v>
          </cell>
          <cell r="G11633" t="str">
            <v>Presupuesto</v>
          </cell>
        </row>
        <row r="11634">
          <cell r="A11634" t="str">
            <v>SV</v>
          </cell>
          <cell r="B11634">
            <v>202511</v>
          </cell>
          <cell r="D11634" t="str">
            <v>Líneas Financieras</v>
          </cell>
          <cell r="G11634" t="str">
            <v>Real</v>
          </cell>
        </row>
        <row r="11635">
          <cell r="A11635" t="str">
            <v>SV</v>
          </cell>
          <cell r="B11635">
            <v>202511</v>
          </cell>
          <cell r="D11635" t="str">
            <v>Náutica</v>
          </cell>
          <cell r="G11635" t="str">
            <v>Presupuesto</v>
          </cell>
        </row>
        <row r="11636">
          <cell r="A11636" t="str">
            <v>SV</v>
          </cell>
          <cell r="B11636">
            <v>202511</v>
          </cell>
          <cell r="D11636" t="str">
            <v>Particulares Resto</v>
          </cell>
          <cell r="G11636" t="str">
            <v>Presupuesto</v>
          </cell>
        </row>
        <row r="11637">
          <cell r="A11637" t="str">
            <v>SV</v>
          </cell>
          <cell r="B11637">
            <v>202511</v>
          </cell>
          <cell r="D11637" t="str">
            <v>Particulares Resto</v>
          </cell>
          <cell r="G11637" t="str">
            <v>Real</v>
          </cell>
        </row>
        <row r="11638">
          <cell r="A11638" t="str">
            <v>SV</v>
          </cell>
          <cell r="B11638">
            <v>202511</v>
          </cell>
          <cell r="D11638" t="str">
            <v>Property</v>
          </cell>
          <cell r="G11638" t="str">
            <v>Presupuesto</v>
          </cell>
        </row>
        <row r="11639">
          <cell r="A11639" t="str">
            <v>SV</v>
          </cell>
          <cell r="B11639">
            <v>202511</v>
          </cell>
          <cell r="D11639" t="str">
            <v>Property</v>
          </cell>
          <cell r="G11639" t="str">
            <v>Real</v>
          </cell>
        </row>
        <row r="11640">
          <cell r="A11640" t="str">
            <v>SV</v>
          </cell>
          <cell r="B11640">
            <v>202511</v>
          </cell>
          <cell r="D11640" t="str">
            <v>RC</v>
          </cell>
          <cell r="G11640" t="str">
            <v>Presupuesto</v>
          </cell>
        </row>
        <row r="11641">
          <cell r="A11641" t="str">
            <v>SV</v>
          </cell>
          <cell r="B11641">
            <v>202511</v>
          </cell>
          <cell r="D11641" t="str">
            <v>RC</v>
          </cell>
          <cell r="G11641" t="str">
            <v>Real</v>
          </cell>
        </row>
        <row r="11642">
          <cell r="A11642" t="str">
            <v>SV</v>
          </cell>
          <cell r="B11642">
            <v>202511</v>
          </cell>
          <cell r="D11642" t="str">
            <v>RC</v>
          </cell>
          <cell r="G11642" t="str">
            <v>Real</v>
          </cell>
        </row>
        <row r="11643">
          <cell r="A11643" t="str">
            <v>SV</v>
          </cell>
          <cell r="B11643">
            <v>202511</v>
          </cell>
          <cell r="D11643" t="str">
            <v>Resto de lineas</v>
          </cell>
          <cell r="G11643" t="str">
            <v>Presupuesto</v>
          </cell>
        </row>
        <row r="11644">
          <cell r="A11644" t="str">
            <v>SV</v>
          </cell>
          <cell r="B11644">
            <v>202511</v>
          </cell>
          <cell r="D11644" t="str">
            <v>Resto de lineas</v>
          </cell>
          <cell r="G11644" t="str">
            <v>Real</v>
          </cell>
        </row>
        <row r="11645">
          <cell r="A11645" t="str">
            <v>SV</v>
          </cell>
          <cell r="B11645">
            <v>202511</v>
          </cell>
          <cell r="D11645" t="str">
            <v>Retirada</v>
          </cell>
          <cell r="G11645" t="str">
            <v>Presupuesto</v>
          </cell>
        </row>
        <row r="11646">
          <cell r="A11646" t="str">
            <v>SV</v>
          </cell>
          <cell r="B11646">
            <v>202511</v>
          </cell>
          <cell r="D11646" t="str">
            <v>Seguros Personales (No Vida) Colectivos</v>
          </cell>
          <cell r="G11646" t="str">
            <v>Presupuesto</v>
          </cell>
        </row>
        <row r="11647">
          <cell r="A11647" t="str">
            <v>SV</v>
          </cell>
          <cell r="B11647">
            <v>202511</v>
          </cell>
          <cell r="D11647" t="str">
            <v>Seguros Personales (No Vida) Colectivos</v>
          </cell>
          <cell r="G11647" t="str">
            <v>Real</v>
          </cell>
        </row>
        <row r="11648">
          <cell r="A11648" t="str">
            <v>SV</v>
          </cell>
          <cell r="B11648">
            <v>202511</v>
          </cell>
          <cell r="D11648" t="str">
            <v>Seguros Personales (No Vida) Particular</v>
          </cell>
          <cell r="G11648" t="str">
            <v>Presupuesto</v>
          </cell>
        </row>
        <row r="11649">
          <cell r="A11649" t="str">
            <v>SV</v>
          </cell>
          <cell r="B11649">
            <v>202511</v>
          </cell>
          <cell r="D11649" t="str">
            <v>Seguros Personales (No Vida) Particular</v>
          </cell>
          <cell r="G11649" t="str">
            <v>Real</v>
          </cell>
        </row>
        <row r="11650">
          <cell r="A11650" t="str">
            <v>SV</v>
          </cell>
          <cell r="B11650">
            <v>202511</v>
          </cell>
          <cell r="D11650" t="str">
            <v>Transporte</v>
          </cell>
          <cell r="G11650" t="str">
            <v>Presupuesto</v>
          </cell>
        </row>
        <row r="11651">
          <cell r="A11651" t="str">
            <v>SV</v>
          </cell>
          <cell r="B11651">
            <v>202511</v>
          </cell>
          <cell r="D11651" t="str">
            <v>Transporte</v>
          </cell>
          <cell r="G11651" t="str">
            <v>Real</v>
          </cell>
        </row>
        <row r="11652">
          <cell r="A11652" t="str">
            <v>SV</v>
          </cell>
          <cell r="B11652">
            <v>202511</v>
          </cell>
          <cell r="D11652" t="str">
            <v>Venta Cruzada</v>
          </cell>
          <cell r="G11652" t="str">
            <v>Presupuesto</v>
          </cell>
        </row>
        <row r="11653">
          <cell r="A11653" t="str">
            <v>SV</v>
          </cell>
          <cell r="B11653">
            <v>202511</v>
          </cell>
          <cell r="D11653" t="str">
            <v>Vida Ahorro Colectivo</v>
          </cell>
          <cell r="G11653" t="str">
            <v>Presupuesto</v>
          </cell>
        </row>
        <row r="11654">
          <cell r="A11654" t="str">
            <v>SV</v>
          </cell>
          <cell r="B11654">
            <v>202511</v>
          </cell>
          <cell r="D11654" t="str">
            <v>Vida Ahorro Particular</v>
          </cell>
          <cell r="G11654" t="str">
            <v>Presupuesto</v>
          </cell>
        </row>
        <row r="11655">
          <cell r="A11655" t="str">
            <v>SV</v>
          </cell>
          <cell r="B11655">
            <v>202511</v>
          </cell>
          <cell r="D11655" t="str">
            <v>Vida Ahorro Particular</v>
          </cell>
          <cell r="G11655" t="str">
            <v>Real</v>
          </cell>
        </row>
        <row r="11656">
          <cell r="A11656" t="str">
            <v>SV</v>
          </cell>
          <cell r="B11656">
            <v>202511</v>
          </cell>
          <cell r="D11656" t="str">
            <v>Vida Ganado</v>
          </cell>
          <cell r="G11656" t="str">
            <v>Presupuesto</v>
          </cell>
        </row>
        <row r="11657">
          <cell r="A11657" t="str">
            <v>SV</v>
          </cell>
          <cell r="B11657">
            <v>202511</v>
          </cell>
          <cell r="D11657" t="str">
            <v>Vida Riesgo Colectivo</v>
          </cell>
          <cell r="G11657" t="str">
            <v>Presupuesto</v>
          </cell>
        </row>
        <row r="11658">
          <cell r="A11658" t="str">
            <v>SV</v>
          </cell>
          <cell r="B11658">
            <v>202511</v>
          </cell>
          <cell r="D11658" t="str">
            <v>Vida Riesgo Particular</v>
          </cell>
          <cell r="G11658" t="str">
            <v>Presupuesto</v>
          </cell>
        </row>
        <row r="11659">
          <cell r="A11659" t="str">
            <v>SV</v>
          </cell>
          <cell r="B11659">
            <v>202511</v>
          </cell>
          <cell r="D11659" t="str">
            <v>Vida Riesgo Particular</v>
          </cell>
          <cell r="G11659" t="str">
            <v>Real</v>
          </cell>
        </row>
        <row r="11660">
          <cell r="A11660" t="str">
            <v>SV</v>
          </cell>
          <cell r="B11660">
            <v>202512</v>
          </cell>
          <cell r="D11660" t="str">
            <v>--</v>
          </cell>
          <cell r="G11660" t="str">
            <v>Real</v>
          </cell>
        </row>
        <row r="11661">
          <cell r="A11661" t="str">
            <v>SV</v>
          </cell>
          <cell r="B11661">
            <v>202512</v>
          </cell>
          <cell r="D11661" t="str">
            <v>Arte</v>
          </cell>
          <cell r="G11661" t="str">
            <v>Presupuesto</v>
          </cell>
        </row>
        <row r="11662">
          <cell r="A11662" t="str">
            <v>SV</v>
          </cell>
          <cell r="B11662">
            <v>202512</v>
          </cell>
          <cell r="D11662" t="str">
            <v>Autos</v>
          </cell>
          <cell r="G11662" t="str">
            <v>Real</v>
          </cell>
        </row>
        <row r="11663">
          <cell r="A11663" t="str">
            <v>SV</v>
          </cell>
          <cell r="B11663">
            <v>202512</v>
          </cell>
          <cell r="D11663" t="str">
            <v>Autos</v>
          </cell>
          <cell r="G11663" t="str">
            <v>Presupuesto</v>
          </cell>
        </row>
        <row r="11664">
          <cell r="A11664" t="str">
            <v>SV</v>
          </cell>
          <cell r="B11664">
            <v>202512</v>
          </cell>
          <cell r="D11664" t="str">
            <v>Autos</v>
          </cell>
          <cell r="G11664" t="str">
            <v>Real</v>
          </cell>
        </row>
        <row r="11665">
          <cell r="A11665" t="str">
            <v>SV</v>
          </cell>
          <cell r="B11665">
            <v>202512</v>
          </cell>
          <cell r="D11665" t="str">
            <v>B2B2C</v>
          </cell>
          <cell r="G11665" t="str">
            <v>Presupuesto</v>
          </cell>
        </row>
        <row r="11666">
          <cell r="A11666" t="str">
            <v>SV</v>
          </cell>
          <cell r="B11666">
            <v>202512</v>
          </cell>
          <cell r="D11666" t="str">
            <v>Caución</v>
          </cell>
          <cell r="G11666" t="str">
            <v>Presupuesto</v>
          </cell>
        </row>
        <row r="11667">
          <cell r="A11667" t="str">
            <v>SV</v>
          </cell>
          <cell r="B11667">
            <v>202512</v>
          </cell>
          <cell r="D11667" t="str">
            <v>Crédito Nacional</v>
          </cell>
          <cell r="G11667" t="str">
            <v>Real</v>
          </cell>
        </row>
        <row r="11668">
          <cell r="A11668" t="str">
            <v>SV</v>
          </cell>
          <cell r="B11668">
            <v>202512</v>
          </cell>
          <cell r="D11668" t="str">
            <v>Crédito Internacional</v>
          </cell>
          <cell r="G11668" t="str">
            <v>Presupuesto</v>
          </cell>
        </row>
        <row r="11669">
          <cell r="A11669" t="str">
            <v>SV</v>
          </cell>
          <cell r="B11669">
            <v>202512</v>
          </cell>
          <cell r="D11669" t="str">
            <v>Crédito Nacional</v>
          </cell>
          <cell r="G11669" t="str">
            <v>Presupuesto</v>
          </cell>
        </row>
        <row r="11670">
          <cell r="A11670" t="str">
            <v>SV</v>
          </cell>
          <cell r="B11670">
            <v>202512</v>
          </cell>
          <cell r="D11670" t="str">
            <v>Eventos</v>
          </cell>
          <cell r="G11670" t="str">
            <v>Presupuesto</v>
          </cell>
        </row>
        <row r="11671">
          <cell r="A11671" t="str">
            <v>SV</v>
          </cell>
          <cell r="B11671">
            <v>202512</v>
          </cell>
          <cell r="D11671" t="str">
            <v>Flotas</v>
          </cell>
          <cell r="G11671" t="str">
            <v>Real</v>
          </cell>
        </row>
        <row r="11672">
          <cell r="A11672" t="str">
            <v>SV</v>
          </cell>
          <cell r="B11672">
            <v>202512</v>
          </cell>
          <cell r="D11672" t="str">
            <v>Flotas</v>
          </cell>
          <cell r="G11672" t="str">
            <v>Presupuesto</v>
          </cell>
        </row>
        <row r="11673">
          <cell r="A11673" t="str">
            <v>SV</v>
          </cell>
          <cell r="B11673">
            <v>202512</v>
          </cell>
          <cell r="D11673" t="str">
            <v>Flotas</v>
          </cell>
          <cell r="G11673" t="str">
            <v>Real</v>
          </cell>
        </row>
        <row r="11674">
          <cell r="A11674" t="str">
            <v>SV</v>
          </cell>
          <cell r="B11674">
            <v>202512</v>
          </cell>
          <cell r="D11674" t="str">
            <v>Hogar</v>
          </cell>
          <cell r="G11674" t="str">
            <v>Real</v>
          </cell>
        </row>
        <row r="11675">
          <cell r="A11675" t="str">
            <v>SV</v>
          </cell>
          <cell r="B11675">
            <v>202512</v>
          </cell>
          <cell r="D11675" t="str">
            <v>Hogar</v>
          </cell>
          <cell r="G11675" t="str">
            <v>Presupuesto</v>
          </cell>
        </row>
        <row r="11676">
          <cell r="A11676" t="str">
            <v>SV</v>
          </cell>
          <cell r="B11676">
            <v>202512</v>
          </cell>
          <cell r="D11676" t="str">
            <v>Hogar</v>
          </cell>
          <cell r="G11676" t="str">
            <v>Real</v>
          </cell>
        </row>
        <row r="11677">
          <cell r="A11677" t="str">
            <v>SV</v>
          </cell>
          <cell r="B11677">
            <v>202512</v>
          </cell>
          <cell r="D11677" t="str">
            <v>Ingeniería</v>
          </cell>
          <cell r="G11677" t="str">
            <v>Real</v>
          </cell>
        </row>
        <row r="11678">
          <cell r="A11678" t="str">
            <v>SV</v>
          </cell>
          <cell r="B11678">
            <v>202512</v>
          </cell>
          <cell r="D11678" t="str">
            <v>Ingeniería</v>
          </cell>
          <cell r="G11678" t="str">
            <v>Presupuesto</v>
          </cell>
        </row>
        <row r="11679">
          <cell r="A11679" t="str">
            <v>SV</v>
          </cell>
          <cell r="B11679">
            <v>202512</v>
          </cell>
          <cell r="D11679" t="str">
            <v>Ingeniería</v>
          </cell>
          <cell r="G11679" t="str">
            <v>Real</v>
          </cell>
        </row>
        <row r="11680">
          <cell r="A11680" t="str">
            <v>SV</v>
          </cell>
          <cell r="B11680">
            <v>202512</v>
          </cell>
          <cell r="D11680" t="str">
            <v>Inmobiliario</v>
          </cell>
          <cell r="G11680" t="str">
            <v>Presupuesto</v>
          </cell>
        </row>
        <row r="11681">
          <cell r="A11681" t="str">
            <v>SV</v>
          </cell>
          <cell r="B11681">
            <v>202512</v>
          </cell>
          <cell r="D11681" t="str">
            <v>Líneas Financieras</v>
          </cell>
          <cell r="G11681" t="str">
            <v>Presupuesto</v>
          </cell>
        </row>
        <row r="11682">
          <cell r="A11682" t="str">
            <v>SV</v>
          </cell>
          <cell r="B11682">
            <v>202512</v>
          </cell>
          <cell r="D11682" t="str">
            <v>Líneas Financieras</v>
          </cell>
          <cell r="G11682" t="str">
            <v>Real</v>
          </cell>
        </row>
        <row r="11683">
          <cell r="A11683" t="str">
            <v>SV</v>
          </cell>
          <cell r="B11683">
            <v>202512</v>
          </cell>
          <cell r="D11683" t="str">
            <v>Náutica</v>
          </cell>
          <cell r="G11683" t="str">
            <v>Presupuesto</v>
          </cell>
        </row>
        <row r="11684">
          <cell r="A11684" t="str">
            <v>SV</v>
          </cell>
          <cell r="B11684">
            <v>202512</v>
          </cell>
          <cell r="D11684" t="str">
            <v>Náutica</v>
          </cell>
          <cell r="G11684" t="str">
            <v>Real</v>
          </cell>
        </row>
        <row r="11685">
          <cell r="A11685" t="str">
            <v>SV</v>
          </cell>
          <cell r="B11685">
            <v>202512</v>
          </cell>
          <cell r="D11685" t="str">
            <v>Particulares Resto</v>
          </cell>
          <cell r="G11685" t="str">
            <v>Presupuesto</v>
          </cell>
        </row>
        <row r="11686">
          <cell r="A11686" t="str">
            <v>SV</v>
          </cell>
          <cell r="B11686">
            <v>202512</v>
          </cell>
          <cell r="D11686" t="str">
            <v>Particulares Resto</v>
          </cell>
          <cell r="G11686" t="str">
            <v>Real</v>
          </cell>
        </row>
        <row r="11687">
          <cell r="A11687" t="str">
            <v>SV</v>
          </cell>
          <cell r="B11687">
            <v>202512</v>
          </cell>
          <cell r="D11687" t="str">
            <v>Property</v>
          </cell>
          <cell r="G11687" t="str">
            <v>Presupuesto</v>
          </cell>
        </row>
        <row r="11688">
          <cell r="A11688" t="str">
            <v>SV</v>
          </cell>
          <cell r="B11688">
            <v>202512</v>
          </cell>
          <cell r="D11688" t="str">
            <v>Property</v>
          </cell>
          <cell r="G11688" t="str">
            <v>Real</v>
          </cell>
        </row>
        <row r="11689">
          <cell r="A11689" t="str">
            <v>SV</v>
          </cell>
          <cell r="B11689">
            <v>202512</v>
          </cell>
          <cell r="D11689" t="str">
            <v>RC</v>
          </cell>
          <cell r="G11689" t="str">
            <v>Presupuesto</v>
          </cell>
        </row>
        <row r="11690">
          <cell r="A11690" t="str">
            <v>SV</v>
          </cell>
          <cell r="B11690">
            <v>202512</v>
          </cell>
          <cell r="D11690" t="str">
            <v>RC</v>
          </cell>
          <cell r="G11690" t="str">
            <v>Real</v>
          </cell>
        </row>
        <row r="11691">
          <cell r="A11691" t="str">
            <v>SV</v>
          </cell>
          <cell r="B11691">
            <v>202512</v>
          </cell>
          <cell r="D11691" t="str">
            <v>Resto de lineas</v>
          </cell>
          <cell r="G11691" t="str">
            <v>Presupuesto</v>
          </cell>
        </row>
        <row r="11692">
          <cell r="A11692" t="str">
            <v>SV</v>
          </cell>
          <cell r="B11692">
            <v>202512</v>
          </cell>
          <cell r="D11692" t="str">
            <v>Resto de lineas</v>
          </cell>
          <cell r="G11692" t="str">
            <v>Real</v>
          </cell>
        </row>
        <row r="11693">
          <cell r="A11693" t="str">
            <v>SV</v>
          </cell>
          <cell r="B11693">
            <v>202512</v>
          </cell>
          <cell r="D11693" t="str">
            <v>Retirada</v>
          </cell>
          <cell r="G11693" t="str">
            <v>Presupuesto</v>
          </cell>
        </row>
        <row r="11694">
          <cell r="A11694" t="str">
            <v>SV</v>
          </cell>
          <cell r="B11694">
            <v>202512</v>
          </cell>
          <cell r="D11694" t="str">
            <v>Seguros Personales (No Vida) Colectivos</v>
          </cell>
          <cell r="G11694" t="str">
            <v>Presupuesto</v>
          </cell>
        </row>
        <row r="11695">
          <cell r="A11695" t="str">
            <v>SV</v>
          </cell>
          <cell r="B11695">
            <v>202512</v>
          </cell>
          <cell r="D11695" t="str">
            <v>Seguros Personales (No Vida) Colectivos</v>
          </cell>
          <cell r="G11695" t="str">
            <v>Real</v>
          </cell>
        </row>
        <row r="11696">
          <cell r="A11696" t="str">
            <v>SV</v>
          </cell>
          <cell r="B11696">
            <v>202512</v>
          </cell>
          <cell r="D11696" t="str">
            <v>Seguros Personales (No Vida) Particular</v>
          </cell>
          <cell r="G11696" t="str">
            <v>Real</v>
          </cell>
        </row>
        <row r="11697">
          <cell r="A11697" t="str">
            <v>SV</v>
          </cell>
          <cell r="B11697">
            <v>202512</v>
          </cell>
          <cell r="D11697" t="str">
            <v>Seguros Personales (No Vida) Particular</v>
          </cell>
          <cell r="G11697" t="str">
            <v>Presupuesto</v>
          </cell>
        </row>
        <row r="11698">
          <cell r="A11698" t="str">
            <v>SV</v>
          </cell>
          <cell r="B11698">
            <v>202512</v>
          </cell>
          <cell r="D11698" t="str">
            <v>Seguros Personales (No Vida) Particular</v>
          </cell>
          <cell r="G11698" t="str">
            <v>Real</v>
          </cell>
        </row>
        <row r="11699">
          <cell r="A11699" t="str">
            <v>SV</v>
          </cell>
          <cell r="B11699">
            <v>202512</v>
          </cell>
          <cell r="D11699" t="str">
            <v>Transporte</v>
          </cell>
          <cell r="G11699" t="str">
            <v>Presupuesto</v>
          </cell>
        </row>
        <row r="11700">
          <cell r="A11700" t="str">
            <v>SV</v>
          </cell>
          <cell r="B11700">
            <v>202512</v>
          </cell>
          <cell r="D11700" t="str">
            <v>Transporte</v>
          </cell>
          <cell r="G11700" t="str">
            <v>Real</v>
          </cell>
        </row>
        <row r="11701">
          <cell r="A11701" t="str">
            <v>SV</v>
          </cell>
          <cell r="B11701">
            <v>202512</v>
          </cell>
          <cell r="D11701" t="str">
            <v>Venta Cruzada</v>
          </cell>
          <cell r="G11701" t="str">
            <v>Presupuesto</v>
          </cell>
        </row>
        <row r="11702">
          <cell r="A11702" t="str">
            <v>SV</v>
          </cell>
          <cell r="B11702">
            <v>202512</v>
          </cell>
          <cell r="D11702" t="str">
            <v>Vida Ahorro Colectivo</v>
          </cell>
          <cell r="G11702" t="str">
            <v>Presupuesto</v>
          </cell>
        </row>
        <row r="11703">
          <cell r="A11703" t="str">
            <v>SV</v>
          </cell>
          <cell r="B11703">
            <v>202512</v>
          </cell>
          <cell r="D11703" t="str">
            <v>Vida Ahorro Particular</v>
          </cell>
          <cell r="G11703" t="str">
            <v>Presupuesto</v>
          </cell>
        </row>
        <row r="11704">
          <cell r="A11704" t="str">
            <v>SV</v>
          </cell>
          <cell r="B11704">
            <v>202512</v>
          </cell>
          <cell r="D11704" t="str">
            <v>Vida Ahorro Particular</v>
          </cell>
          <cell r="G11704" t="str">
            <v>Real</v>
          </cell>
        </row>
        <row r="11705">
          <cell r="A11705" t="str">
            <v>SV</v>
          </cell>
          <cell r="B11705">
            <v>202512</v>
          </cell>
          <cell r="D11705" t="str">
            <v>Vida Ganado</v>
          </cell>
          <cell r="G11705" t="str">
            <v>Presupuesto</v>
          </cell>
        </row>
        <row r="11706">
          <cell r="A11706" t="str">
            <v>SV</v>
          </cell>
          <cell r="B11706">
            <v>202512</v>
          </cell>
          <cell r="D11706" t="str">
            <v>Vida Riesgo Colectivo</v>
          </cell>
          <cell r="G11706" t="str">
            <v>Presupuesto</v>
          </cell>
        </row>
        <row r="11707">
          <cell r="A11707" t="str">
            <v>SV</v>
          </cell>
          <cell r="B11707">
            <v>202512</v>
          </cell>
          <cell r="D11707" t="str">
            <v>Vida Riesgo Colectivo</v>
          </cell>
          <cell r="G11707" t="str">
            <v>Real</v>
          </cell>
        </row>
        <row r="11708">
          <cell r="A11708" t="str">
            <v>SV</v>
          </cell>
          <cell r="B11708">
            <v>202512</v>
          </cell>
          <cell r="D11708" t="str">
            <v>Vida Riesgo Particular</v>
          </cell>
          <cell r="G11708" t="str">
            <v>Presupuesto</v>
          </cell>
        </row>
        <row r="11709">
          <cell r="A11709" t="str">
            <v>SV</v>
          </cell>
          <cell r="B11709">
            <v>202512</v>
          </cell>
          <cell r="D11709" t="str">
            <v>Vida Riesgo Particular</v>
          </cell>
          <cell r="G11709" t="str">
            <v>Real</v>
          </cell>
        </row>
        <row r="11710">
          <cell r="A11710" t="str">
            <v>TEAM</v>
          </cell>
          <cell r="B11710">
            <v>202509</v>
          </cell>
          <cell r="D11710" t="str">
            <v>--</v>
          </cell>
          <cell r="G11710" t="str">
            <v>Presupuesto</v>
          </cell>
        </row>
        <row r="11711">
          <cell r="A11711" t="str">
            <v>TEAM</v>
          </cell>
          <cell r="B11711">
            <v>202510</v>
          </cell>
          <cell r="D11711" t="str">
            <v>--</v>
          </cell>
          <cell r="G11711" t="str">
            <v>Presupuesto</v>
          </cell>
        </row>
        <row r="11712">
          <cell r="A11712" t="str">
            <v>TEAM</v>
          </cell>
          <cell r="B11712">
            <v>202511</v>
          </cell>
          <cell r="D11712" t="str">
            <v>--</v>
          </cell>
          <cell r="G11712" t="str">
            <v>Presupuesto</v>
          </cell>
        </row>
        <row r="11713">
          <cell r="A11713" t="str">
            <v>TEAM</v>
          </cell>
          <cell r="B11713">
            <v>202512</v>
          </cell>
          <cell r="D11713" t="str">
            <v>--</v>
          </cell>
          <cell r="G11713" t="str">
            <v>Presupuesto</v>
          </cell>
        </row>
        <row r="11714">
          <cell r="A11714" t="str">
            <v>TEAM</v>
          </cell>
          <cell r="B11714">
            <v>202512</v>
          </cell>
          <cell r="D11714" t="str">
            <v>--</v>
          </cell>
          <cell r="G11714" t="str">
            <v>Real</v>
          </cell>
        </row>
        <row r="11715">
          <cell r="A11715" t="str">
            <v>TEAM</v>
          </cell>
          <cell r="B11715">
            <v>202507</v>
          </cell>
          <cell r="D11715" t="str">
            <v>Líneas Financieras</v>
          </cell>
          <cell r="G11715" t="str">
            <v>Real</v>
          </cell>
        </row>
        <row r="11716">
          <cell r="A11716" t="str">
            <v>TEAM</v>
          </cell>
          <cell r="B11716">
            <v>202508</v>
          </cell>
          <cell r="D11716" t="str">
            <v>Líneas Financieras</v>
          </cell>
          <cell r="G11716" t="str">
            <v>Real</v>
          </cell>
        </row>
        <row r="11717">
          <cell r="A11717" t="str">
            <v>TEAM</v>
          </cell>
          <cell r="B11717">
            <v>202509</v>
          </cell>
          <cell r="D11717" t="str">
            <v>Líneas Financieras</v>
          </cell>
          <cell r="G11717" t="str">
            <v>Real</v>
          </cell>
        </row>
        <row r="11718">
          <cell r="A11718" t="str">
            <v>TEAM</v>
          </cell>
          <cell r="B11718">
            <v>202510</v>
          </cell>
          <cell r="D11718" t="str">
            <v>Resto de Lineas</v>
          </cell>
          <cell r="G11718" t="str">
            <v>Real</v>
          </cell>
        </row>
        <row r="11719">
          <cell r="A11719" t="str">
            <v>TEAM</v>
          </cell>
          <cell r="B11719">
            <v>202510</v>
          </cell>
          <cell r="D11719" t="str">
            <v>Autos</v>
          </cell>
          <cell r="G11719" t="str">
            <v>Real</v>
          </cell>
        </row>
        <row r="11720">
          <cell r="A11720" t="str">
            <v>TEAM</v>
          </cell>
          <cell r="B11720">
            <v>202510</v>
          </cell>
          <cell r="D11720" t="str">
            <v>Caución</v>
          </cell>
          <cell r="G11720" t="str">
            <v>Real</v>
          </cell>
        </row>
        <row r="11721">
          <cell r="A11721" t="str">
            <v>TEAM</v>
          </cell>
          <cell r="B11721">
            <v>202510</v>
          </cell>
          <cell r="D11721" t="str">
            <v>Flotas</v>
          </cell>
          <cell r="G11721" t="str">
            <v>Real</v>
          </cell>
        </row>
        <row r="11722">
          <cell r="A11722" t="str">
            <v>TEAM</v>
          </cell>
          <cell r="B11722">
            <v>202510</v>
          </cell>
          <cell r="D11722" t="str">
            <v>Hogar</v>
          </cell>
          <cell r="G11722" t="str">
            <v>Real</v>
          </cell>
        </row>
        <row r="11723">
          <cell r="A11723" t="str">
            <v>TEAM</v>
          </cell>
          <cell r="B11723">
            <v>202510</v>
          </cell>
          <cell r="D11723" t="str">
            <v>Líneas Financieras</v>
          </cell>
          <cell r="G11723" t="str">
            <v>Real</v>
          </cell>
        </row>
        <row r="11724">
          <cell r="A11724" t="str">
            <v>TEAM</v>
          </cell>
          <cell r="B11724">
            <v>202510</v>
          </cell>
          <cell r="D11724" t="str">
            <v>Náutica</v>
          </cell>
          <cell r="G11724" t="str">
            <v>Real</v>
          </cell>
        </row>
        <row r="11725">
          <cell r="A11725" t="str">
            <v>TEAM</v>
          </cell>
          <cell r="B11725">
            <v>202510</v>
          </cell>
          <cell r="D11725" t="str">
            <v>Property</v>
          </cell>
          <cell r="G11725" t="str">
            <v>Real</v>
          </cell>
        </row>
        <row r="11726">
          <cell r="A11726" t="str">
            <v>TEAM</v>
          </cell>
          <cell r="B11726">
            <v>202510</v>
          </cell>
          <cell r="D11726" t="str">
            <v>RC</v>
          </cell>
          <cell r="G11726" t="str">
            <v>Real</v>
          </cell>
        </row>
        <row r="11727">
          <cell r="A11727" t="str">
            <v>TEAM</v>
          </cell>
          <cell r="B11727">
            <v>202510</v>
          </cell>
          <cell r="D11727" t="str">
            <v>Seguros Personales (No Vida) Colectivos</v>
          </cell>
          <cell r="G11727" t="str">
            <v>Real</v>
          </cell>
        </row>
        <row r="11728">
          <cell r="A11728" t="str">
            <v>TEAM</v>
          </cell>
          <cell r="B11728">
            <v>202510</v>
          </cell>
          <cell r="D11728" t="str">
            <v>Venta Cruzada</v>
          </cell>
          <cell r="G11728" t="str">
            <v>Real</v>
          </cell>
        </row>
        <row r="11729">
          <cell r="A11729" t="str">
            <v>TEAM</v>
          </cell>
          <cell r="B11729">
            <v>202510</v>
          </cell>
          <cell r="D11729" t="str">
            <v>Vida Riesgo Colectivo</v>
          </cell>
          <cell r="G11729" t="str">
            <v>Real</v>
          </cell>
        </row>
        <row r="11730">
          <cell r="A11730" t="str">
            <v>TEAM</v>
          </cell>
          <cell r="B11730">
            <v>202510</v>
          </cell>
          <cell r="D11730" t="str">
            <v>Vida Riesgo Particular</v>
          </cell>
          <cell r="G11730" t="str">
            <v>Real</v>
          </cell>
        </row>
        <row r="11731">
          <cell r="A11731" t="str">
            <v>TEAM</v>
          </cell>
          <cell r="B11731">
            <v>202511</v>
          </cell>
          <cell r="D11731" t="str">
            <v>Resto de Lineas</v>
          </cell>
          <cell r="G11731" t="str">
            <v>Real</v>
          </cell>
        </row>
        <row r="11732">
          <cell r="A11732" t="str">
            <v>TEAM</v>
          </cell>
          <cell r="B11732">
            <v>202511</v>
          </cell>
          <cell r="D11732" t="str">
            <v>Autos</v>
          </cell>
          <cell r="G11732" t="str">
            <v>Real</v>
          </cell>
        </row>
        <row r="11733">
          <cell r="A11733" t="str">
            <v>TEAM</v>
          </cell>
          <cell r="B11733">
            <v>202511</v>
          </cell>
          <cell r="D11733" t="str">
            <v>Caución</v>
          </cell>
          <cell r="G11733" t="str">
            <v>Real</v>
          </cell>
        </row>
        <row r="11734">
          <cell r="A11734" t="str">
            <v>TEAM</v>
          </cell>
          <cell r="B11734">
            <v>202511</v>
          </cell>
          <cell r="D11734" t="str">
            <v>Flotas</v>
          </cell>
          <cell r="G11734" t="str">
            <v>Real</v>
          </cell>
        </row>
        <row r="11735">
          <cell r="A11735" t="str">
            <v>TEAM</v>
          </cell>
          <cell r="B11735">
            <v>202511</v>
          </cell>
          <cell r="D11735" t="str">
            <v>Hogar</v>
          </cell>
          <cell r="G11735" t="str">
            <v>Real</v>
          </cell>
        </row>
        <row r="11736">
          <cell r="A11736" t="str">
            <v>TEAM</v>
          </cell>
          <cell r="B11736">
            <v>202511</v>
          </cell>
          <cell r="D11736" t="str">
            <v>Ingeniería</v>
          </cell>
          <cell r="G11736" t="str">
            <v>Real</v>
          </cell>
        </row>
        <row r="11737">
          <cell r="A11737" t="str">
            <v>TEAM</v>
          </cell>
          <cell r="B11737">
            <v>202511</v>
          </cell>
          <cell r="D11737" t="str">
            <v>Líneas Financieras</v>
          </cell>
          <cell r="G11737" t="str">
            <v>Real</v>
          </cell>
        </row>
        <row r="11738">
          <cell r="A11738" t="str">
            <v>TEAM</v>
          </cell>
          <cell r="B11738">
            <v>202511</v>
          </cell>
          <cell r="D11738" t="str">
            <v>Náutica</v>
          </cell>
          <cell r="G11738" t="str">
            <v>Real</v>
          </cell>
        </row>
        <row r="11739">
          <cell r="A11739" t="str">
            <v>TEAM</v>
          </cell>
          <cell r="B11739">
            <v>202511</v>
          </cell>
          <cell r="D11739" t="str">
            <v>Property</v>
          </cell>
          <cell r="G11739" t="str">
            <v>Real</v>
          </cell>
        </row>
        <row r="11740">
          <cell r="A11740" t="str">
            <v>TEAM</v>
          </cell>
          <cell r="B11740">
            <v>202511</v>
          </cell>
          <cell r="D11740" t="str">
            <v>RC</v>
          </cell>
          <cell r="G11740" t="str">
            <v>Real</v>
          </cell>
        </row>
        <row r="11741">
          <cell r="A11741" t="str">
            <v>TEAM</v>
          </cell>
          <cell r="B11741">
            <v>202511</v>
          </cell>
          <cell r="D11741" t="str">
            <v>Seguros Personales (No Vida) Colectivos</v>
          </cell>
          <cell r="G11741" t="str">
            <v>Real</v>
          </cell>
        </row>
        <row r="11742">
          <cell r="A11742" t="str">
            <v>TEAM</v>
          </cell>
          <cell r="B11742">
            <v>202511</v>
          </cell>
          <cell r="D11742" t="str">
            <v>Transporte</v>
          </cell>
          <cell r="G11742" t="str">
            <v>Real</v>
          </cell>
        </row>
        <row r="11743">
          <cell r="A11743" t="str">
            <v>TEAM</v>
          </cell>
          <cell r="B11743">
            <v>202511</v>
          </cell>
          <cell r="D11743" t="str">
            <v>Venta Cruzada</v>
          </cell>
          <cell r="G11743" t="str">
            <v>Real</v>
          </cell>
        </row>
        <row r="11744">
          <cell r="A11744" t="str">
            <v>TEAM</v>
          </cell>
          <cell r="B11744">
            <v>202511</v>
          </cell>
          <cell r="D11744" t="str">
            <v>Vida Ahorro Particular</v>
          </cell>
          <cell r="G11744" t="str">
            <v>Real</v>
          </cell>
        </row>
        <row r="11745">
          <cell r="A11745" t="str">
            <v>TEAM</v>
          </cell>
          <cell r="B11745">
            <v>202512</v>
          </cell>
          <cell r="D11745" t="str">
            <v>Resto de Lineas</v>
          </cell>
          <cell r="G11745" t="str">
            <v>Real</v>
          </cell>
        </row>
        <row r="11746">
          <cell r="A11746" t="str">
            <v>TEAM</v>
          </cell>
          <cell r="B11746">
            <v>202512</v>
          </cell>
          <cell r="D11746" t="str">
            <v>Autos</v>
          </cell>
          <cell r="G11746" t="str">
            <v>Real</v>
          </cell>
        </row>
        <row r="11747">
          <cell r="A11747" t="str">
            <v>TEAM</v>
          </cell>
          <cell r="B11747">
            <v>202512</v>
          </cell>
          <cell r="D11747" t="str">
            <v>Caución</v>
          </cell>
          <cell r="G11747" t="str">
            <v>Real</v>
          </cell>
        </row>
        <row r="11748">
          <cell r="A11748" t="str">
            <v>TEAM</v>
          </cell>
          <cell r="B11748">
            <v>202512</v>
          </cell>
          <cell r="D11748" t="str">
            <v>Flotas</v>
          </cell>
          <cell r="G11748" t="str">
            <v>Real</v>
          </cell>
        </row>
        <row r="11749">
          <cell r="A11749" t="str">
            <v>TEAM</v>
          </cell>
          <cell r="B11749">
            <v>202512</v>
          </cell>
          <cell r="D11749" t="str">
            <v>Hogar</v>
          </cell>
          <cell r="G11749" t="str">
            <v>Real</v>
          </cell>
        </row>
        <row r="11750">
          <cell r="A11750" t="str">
            <v>TEAM</v>
          </cell>
          <cell r="B11750">
            <v>202512</v>
          </cell>
          <cell r="D11750" t="str">
            <v>Ingeniería</v>
          </cell>
          <cell r="G11750" t="str">
            <v>Real</v>
          </cell>
        </row>
        <row r="11751">
          <cell r="A11751" t="str">
            <v>TEAM</v>
          </cell>
          <cell r="B11751">
            <v>202512</v>
          </cell>
          <cell r="D11751" t="str">
            <v>Líneas Financieras</v>
          </cell>
          <cell r="G11751" t="str">
            <v>Real</v>
          </cell>
        </row>
        <row r="11752">
          <cell r="A11752" t="str">
            <v>TEAM</v>
          </cell>
          <cell r="B11752">
            <v>202512</v>
          </cell>
          <cell r="D11752" t="str">
            <v>Náutica</v>
          </cell>
          <cell r="G11752" t="str">
            <v>Real</v>
          </cell>
        </row>
        <row r="11753">
          <cell r="A11753" t="str">
            <v>TEAM</v>
          </cell>
          <cell r="B11753">
            <v>202512</v>
          </cell>
          <cell r="D11753" t="str">
            <v>Property</v>
          </cell>
          <cell r="G11753" t="str">
            <v>Real</v>
          </cell>
        </row>
        <row r="11754">
          <cell r="A11754" t="str">
            <v>TEAM</v>
          </cell>
          <cell r="B11754">
            <v>202512</v>
          </cell>
          <cell r="D11754" t="str">
            <v>RC</v>
          </cell>
          <cell r="G11754" t="str">
            <v>Real</v>
          </cell>
        </row>
        <row r="11755">
          <cell r="A11755" t="str">
            <v>TEAM</v>
          </cell>
          <cell r="B11755">
            <v>202512</v>
          </cell>
          <cell r="D11755" t="str">
            <v>Seguros Personales (No Vida) Colectivos</v>
          </cell>
          <cell r="G11755" t="str">
            <v>Real</v>
          </cell>
        </row>
        <row r="11756">
          <cell r="A11756" t="str">
            <v>TEAM</v>
          </cell>
          <cell r="B11756">
            <v>202512</v>
          </cell>
          <cell r="D11756" t="str">
            <v>Seguros Personales (No Vida) Particular</v>
          </cell>
          <cell r="G11756" t="str">
            <v>Real</v>
          </cell>
        </row>
        <row r="11757">
          <cell r="A11757" t="str">
            <v>TEAM</v>
          </cell>
          <cell r="B11757">
            <v>202512</v>
          </cell>
          <cell r="D11757" t="str">
            <v>Transporte</v>
          </cell>
          <cell r="G11757" t="str">
            <v>Real</v>
          </cell>
        </row>
        <row r="11758">
          <cell r="A11758" t="str">
            <v>TEAM</v>
          </cell>
          <cell r="B11758">
            <v>202512</v>
          </cell>
          <cell r="D11758" t="str">
            <v>Venta Cruzada</v>
          </cell>
          <cell r="G11758" t="str">
            <v>Real</v>
          </cell>
        </row>
        <row r="11759">
          <cell r="A11759" t="str">
            <v>TEAM</v>
          </cell>
          <cell r="B11759">
            <v>202512</v>
          </cell>
          <cell r="D11759" t="str">
            <v>Vida Ahorro Particular</v>
          </cell>
          <cell r="G11759" t="str">
            <v>Real</v>
          </cell>
        </row>
        <row r="11760">
          <cell r="A11760" t="str">
            <v>TEAM</v>
          </cell>
          <cell r="B11760">
            <v>202512</v>
          </cell>
          <cell r="D11760" t="str">
            <v>Vida Riesgo Colectivo</v>
          </cell>
          <cell r="G11760" t="str">
            <v>Real</v>
          </cell>
        </row>
        <row r="11761">
          <cell r="A11761" t="str">
            <v>TEAM</v>
          </cell>
          <cell r="B11761">
            <v>202512</v>
          </cell>
          <cell r="D11761" t="str">
            <v>Vida Riesgo Particular</v>
          </cell>
          <cell r="G11761" t="str">
            <v>Real</v>
          </cell>
        </row>
        <row r="11762">
          <cell r="A11762" t="str">
            <v>VEROBROKER</v>
          </cell>
          <cell r="B11762">
            <v>202401</v>
          </cell>
          <cell r="D11762" t="str">
            <v>Autos</v>
          </cell>
          <cell r="G11762" t="str">
            <v>Real</v>
          </cell>
        </row>
        <row r="11763">
          <cell r="A11763" t="str">
            <v>VEROBROKER</v>
          </cell>
          <cell r="B11763">
            <v>202401</v>
          </cell>
          <cell r="D11763" t="str">
            <v>Crédito Nacional</v>
          </cell>
          <cell r="G11763" t="str">
            <v>Real</v>
          </cell>
        </row>
        <row r="11764">
          <cell r="A11764" t="str">
            <v>VEROBROKER</v>
          </cell>
          <cell r="B11764">
            <v>202401</v>
          </cell>
          <cell r="D11764" t="str">
            <v>Particulares Resto</v>
          </cell>
          <cell r="G11764" t="str">
            <v>Real</v>
          </cell>
        </row>
        <row r="11765">
          <cell r="A11765" t="str">
            <v>VEROBROKER</v>
          </cell>
          <cell r="B11765">
            <v>202401</v>
          </cell>
          <cell r="D11765" t="str">
            <v>RC</v>
          </cell>
          <cell r="G11765" t="str">
            <v>Real</v>
          </cell>
        </row>
        <row r="11766">
          <cell r="A11766" t="str">
            <v>VEROBROKER</v>
          </cell>
          <cell r="B11766">
            <v>202401</v>
          </cell>
          <cell r="D11766" t="str">
            <v>Seguros Personales (No Vida) Colectivos</v>
          </cell>
          <cell r="G11766" t="str">
            <v>Real</v>
          </cell>
        </row>
        <row r="11767">
          <cell r="A11767" t="str">
            <v>VEROBROKER</v>
          </cell>
          <cell r="B11767">
            <v>202401</v>
          </cell>
          <cell r="D11767" t="str">
            <v>Seguros Personales (No Vida) Particular</v>
          </cell>
          <cell r="G11767" t="str">
            <v>Real</v>
          </cell>
        </row>
        <row r="11768">
          <cell r="A11768" t="str">
            <v>VEROBROKER</v>
          </cell>
          <cell r="B11768">
            <v>202401</v>
          </cell>
          <cell r="D11768" t="str">
            <v>Transporte</v>
          </cell>
          <cell r="G11768" t="str">
            <v>Real</v>
          </cell>
        </row>
        <row r="11769">
          <cell r="A11769" t="str">
            <v>VEROBROKER</v>
          </cell>
          <cell r="B11769">
            <v>202401</v>
          </cell>
          <cell r="D11769" t="str">
            <v>Vida Riesgo Colectivo</v>
          </cell>
          <cell r="G11769" t="str">
            <v>Real</v>
          </cell>
        </row>
        <row r="11770">
          <cell r="A11770" t="str">
            <v>VEROBROKER</v>
          </cell>
          <cell r="B11770">
            <v>202402</v>
          </cell>
          <cell r="D11770" t="str">
            <v>Autos</v>
          </cell>
          <cell r="G11770" t="str">
            <v>Real</v>
          </cell>
        </row>
        <row r="11771">
          <cell r="A11771" t="str">
            <v>VEROBROKER</v>
          </cell>
          <cell r="B11771">
            <v>202402</v>
          </cell>
          <cell r="D11771" t="str">
            <v>Crédito Nacional</v>
          </cell>
          <cell r="G11771" t="str">
            <v>Real</v>
          </cell>
        </row>
        <row r="11772">
          <cell r="A11772" t="str">
            <v>VEROBROKER</v>
          </cell>
          <cell r="B11772">
            <v>202402</v>
          </cell>
          <cell r="D11772" t="str">
            <v>Seguros Personales (No Vida) Colectivos</v>
          </cell>
          <cell r="G11772" t="str">
            <v>Real</v>
          </cell>
        </row>
        <row r="11773">
          <cell r="A11773" t="str">
            <v>VEROBROKER</v>
          </cell>
          <cell r="B11773">
            <v>202402</v>
          </cell>
          <cell r="D11773" t="str">
            <v>Seguros Personales (No Vida) Particular</v>
          </cell>
          <cell r="G11773" t="str">
            <v>Real</v>
          </cell>
        </row>
        <row r="11774">
          <cell r="A11774" t="str">
            <v>VEROBROKER</v>
          </cell>
          <cell r="B11774">
            <v>202402</v>
          </cell>
          <cell r="D11774" t="str">
            <v>Transporte</v>
          </cell>
          <cell r="G11774" t="str">
            <v>Real</v>
          </cell>
        </row>
        <row r="11775">
          <cell r="A11775" t="str">
            <v>VEROBROKER</v>
          </cell>
          <cell r="B11775">
            <v>202402</v>
          </cell>
          <cell r="D11775" t="str">
            <v>Vida Riesgo Colectivo</v>
          </cell>
          <cell r="G11775" t="str">
            <v>Real</v>
          </cell>
        </row>
        <row r="11776">
          <cell r="A11776" t="str">
            <v>VEROBROKER</v>
          </cell>
          <cell r="B11776">
            <v>202403</v>
          </cell>
          <cell r="D11776" t="str">
            <v>--</v>
          </cell>
          <cell r="G11776" t="str">
            <v>Real</v>
          </cell>
        </row>
        <row r="11777">
          <cell r="A11777" t="str">
            <v>VEROBROKER</v>
          </cell>
          <cell r="B11777">
            <v>202403</v>
          </cell>
          <cell r="D11777" t="str">
            <v>Autos</v>
          </cell>
          <cell r="G11777" t="str">
            <v>Real</v>
          </cell>
        </row>
        <row r="11778">
          <cell r="A11778" t="str">
            <v>VEROBROKER</v>
          </cell>
          <cell r="B11778">
            <v>202403</v>
          </cell>
          <cell r="D11778" t="str">
            <v>Crédito Nacional</v>
          </cell>
          <cell r="G11778" t="str">
            <v>Real</v>
          </cell>
        </row>
        <row r="11779">
          <cell r="A11779" t="str">
            <v>VEROBROKER</v>
          </cell>
          <cell r="B11779">
            <v>202403</v>
          </cell>
          <cell r="D11779" t="str">
            <v>RC</v>
          </cell>
          <cell r="G11779" t="str">
            <v>Real</v>
          </cell>
        </row>
        <row r="11780">
          <cell r="A11780" t="str">
            <v>VEROBROKER</v>
          </cell>
          <cell r="B11780">
            <v>202403</v>
          </cell>
          <cell r="D11780" t="str">
            <v>Seguros Personales (No Vida) Colectivos</v>
          </cell>
          <cell r="G11780" t="str">
            <v>Real</v>
          </cell>
        </row>
        <row r="11781">
          <cell r="A11781" t="str">
            <v>VEROBROKER</v>
          </cell>
          <cell r="B11781">
            <v>202403</v>
          </cell>
          <cell r="D11781" t="str">
            <v>Seguros Personales (No Vida) Particular</v>
          </cell>
          <cell r="G11781" t="str">
            <v>Real</v>
          </cell>
        </row>
        <row r="11782">
          <cell r="A11782" t="str">
            <v>VEROBROKER</v>
          </cell>
          <cell r="B11782">
            <v>202403</v>
          </cell>
          <cell r="D11782" t="str">
            <v>Transporte</v>
          </cell>
          <cell r="G11782" t="str">
            <v>Real</v>
          </cell>
        </row>
        <row r="11783">
          <cell r="A11783" t="str">
            <v>VEROBROKER</v>
          </cell>
          <cell r="B11783">
            <v>202403</v>
          </cell>
          <cell r="D11783" t="str">
            <v>Vida Riesgo Colectivo</v>
          </cell>
          <cell r="G11783" t="str">
            <v>Real</v>
          </cell>
        </row>
        <row r="11784">
          <cell r="A11784" t="str">
            <v>VEROBROKER</v>
          </cell>
          <cell r="B11784">
            <v>202404</v>
          </cell>
          <cell r="D11784" t="str">
            <v>Autos</v>
          </cell>
          <cell r="G11784" t="str">
            <v>Real</v>
          </cell>
        </row>
        <row r="11785">
          <cell r="A11785" t="str">
            <v>VEROBROKER</v>
          </cell>
          <cell r="B11785">
            <v>202404</v>
          </cell>
          <cell r="D11785" t="str">
            <v>Crédito Nacional</v>
          </cell>
          <cell r="G11785" t="str">
            <v>Real</v>
          </cell>
        </row>
        <row r="11786">
          <cell r="A11786" t="str">
            <v>VEROBROKER</v>
          </cell>
          <cell r="B11786">
            <v>202404</v>
          </cell>
          <cell r="D11786" t="str">
            <v>RC</v>
          </cell>
          <cell r="G11786" t="str">
            <v>Real</v>
          </cell>
        </row>
        <row r="11787">
          <cell r="A11787" t="str">
            <v>VEROBROKER</v>
          </cell>
          <cell r="B11787">
            <v>202404</v>
          </cell>
          <cell r="D11787" t="str">
            <v>Seguros Personales (No Vida) Colectivos</v>
          </cell>
          <cell r="G11787" t="str">
            <v>Real</v>
          </cell>
        </row>
        <row r="11788">
          <cell r="A11788" t="str">
            <v>VEROBROKER</v>
          </cell>
          <cell r="B11788">
            <v>202404</v>
          </cell>
          <cell r="D11788" t="str">
            <v>Seguros Personales (No Vida) Particular</v>
          </cell>
          <cell r="G11788" t="str">
            <v>Real</v>
          </cell>
        </row>
        <row r="11789">
          <cell r="A11789" t="str">
            <v>VEROBROKER</v>
          </cell>
          <cell r="B11789">
            <v>202404</v>
          </cell>
          <cell r="D11789" t="str">
            <v>Transporte</v>
          </cell>
          <cell r="G11789" t="str">
            <v>Real</v>
          </cell>
        </row>
        <row r="11790">
          <cell r="A11790" t="str">
            <v>VEROBROKER</v>
          </cell>
          <cell r="B11790">
            <v>202405</v>
          </cell>
          <cell r="D11790" t="str">
            <v>Autos</v>
          </cell>
          <cell r="G11790" t="str">
            <v>Real</v>
          </cell>
        </row>
        <row r="11791">
          <cell r="A11791" t="str">
            <v>VEROBROKER</v>
          </cell>
          <cell r="B11791">
            <v>202405</v>
          </cell>
          <cell r="D11791" t="str">
            <v>Crédito Nacional</v>
          </cell>
          <cell r="G11791" t="str">
            <v>Real</v>
          </cell>
        </row>
        <row r="11792">
          <cell r="A11792" t="str">
            <v>VEROBROKER</v>
          </cell>
          <cell r="B11792">
            <v>202405</v>
          </cell>
          <cell r="D11792" t="str">
            <v>RC</v>
          </cell>
          <cell r="G11792" t="str">
            <v>Real</v>
          </cell>
        </row>
        <row r="11793">
          <cell r="A11793" t="str">
            <v>VEROBROKER</v>
          </cell>
          <cell r="B11793">
            <v>202405</v>
          </cell>
          <cell r="D11793" t="str">
            <v>Seguros Personales (No Vida) Colectivos</v>
          </cell>
          <cell r="G11793" t="str">
            <v>Real</v>
          </cell>
        </row>
        <row r="11794">
          <cell r="A11794" t="str">
            <v>VEROBROKER</v>
          </cell>
          <cell r="B11794">
            <v>202405</v>
          </cell>
          <cell r="D11794" t="str">
            <v>Seguros Personales (No Vida) Particular</v>
          </cell>
          <cell r="G11794" t="str">
            <v>Real</v>
          </cell>
        </row>
        <row r="11795">
          <cell r="A11795" t="str">
            <v>VEROBROKER</v>
          </cell>
          <cell r="B11795">
            <v>202405</v>
          </cell>
          <cell r="D11795" t="str">
            <v>Transporte</v>
          </cell>
          <cell r="G11795" t="str">
            <v>Real</v>
          </cell>
        </row>
        <row r="11796">
          <cell r="A11796" t="str">
            <v>VEROBROKER</v>
          </cell>
          <cell r="B11796">
            <v>202405</v>
          </cell>
          <cell r="D11796" t="str">
            <v>Vida Riesgo Colectivo</v>
          </cell>
          <cell r="G11796" t="str">
            <v>Real</v>
          </cell>
        </row>
        <row r="11797">
          <cell r="A11797" t="str">
            <v>VEROBROKER</v>
          </cell>
          <cell r="B11797">
            <v>202406</v>
          </cell>
          <cell r="D11797" t="str">
            <v>--</v>
          </cell>
          <cell r="G11797" t="str">
            <v>Real</v>
          </cell>
        </row>
        <row r="11798">
          <cell r="A11798" t="str">
            <v>VEROBROKER</v>
          </cell>
          <cell r="B11798">
            <v>202406</v>
          </cell>
          <cell r="D11798" t="str">
            <v>Autos</v>
          </cell>
          <cell r="G11798" t="str">
            <v>Real</v>
          </cell>
        </row>
        <row r="11799">
          <cell r="A11799" t="str">
            <v>VEROBROKER</v>
          </cell>
          <cell r="B11799">
            <v>202406</v>
          </cell>
          <cell r="D11799" t="str">
            <v>Crédito Nacional</v>
          </cell>
          <cell r="G11799" t="str">
            <v>Real</v>
          </cell>
        </row>
        <row r="11800">
          <cell r="A11800" t="str">
            <v>VEROBROKER</v>
          </cell>
          <cell r="B11800">
            <v>202406</v>
          </cell>
          <cell r="D11800" t="str">
            <v>RC</v>
          </cell>
          <cell r="G11800" t="str">
            <v>Real</v>
          </cell>
        </row>
        <row r="11801">
          <cell r="A11801" t="str">
            <v>VEROBROKER</v>
          </cell>
          <cell r="B11801">
            <v>202406</v>
          </cell>
          <cell r="D11801" t="str">
            <v>Seguros Personales (No Vida) Colectivos</v>
          </cell>
          <cell r="G11801" t="str">
            <v>Real</v>
          </cell>
        </row>
        <row r="11802">
          <cell r="A11802" t="str">
            <v>VEROBROKER</v>
          </cell>
          <cell r="B11802">
            <v>202406</v>
          </cell>
          <cell r="D11802" t="str">
            <v>Seguros Personales (No Vida) Particular</v>
          </cell>
          <cell r="G11802" t="str">
            <v>Real</v>
          </cell>
        </row>
        <row r="11803">
          <cell r="A11803" t="str">
            <v>VEROBROKER</v>
          </cell>
          <cell r="B11803">
            <v>202406</v>
          </cell>
          <cell r="D11803" t="str">
            <v>Transporte</v>
          </cell>
          <cell r="G11803" t="str">
            <v>Real</v>
          </cell>
        </row>
        <row r="11804">
          <cell r="A11804" t="str">
            <v>VEROBROKER</v>
          </cell>
          <cell r="B11804">
            <v>202407</v>
          </cell>
          <cell r="D11804" t="str">
            <v>--</v>
          </cell>
          <cell r="G11804" t="str">
            <v>Real</v>
          </cell>
        </row>
        <row r="11805">
          <cell r="A11805" t="str">
            <v>VEROBROKER</v>
          </cell>
          <cell r="B11805">
            <v>202407</v>
          </cell>
          <cell r="D11805" t="str">
            <v>Autos</v>
          </cell>
          <cell r="G11805" t="str">
            <v>Real</v>
          </cell>
        </row>
        <row r="11806">
          <cell r="A11806" t="str">
            <v>VEROBROKER</v>
          </cell>
          <cell r="B11806">
            <v>202407</v>
          </cell>
          <cell r="D11806" t="str">
            <v>Crédito Nacional</v>
          </cell>
          <cell r="G11806" t="str">
            <v>Real</v>
          </cell>
        </row>
        <row r="11807">
          <cell r="A11807" t="str">
            <v>VEROBROKER</v>
          </cell>
          <cell r="B11807">
            <v>202407</v>
          </cell>
          <cell r="D11807" t="str">
            <v>Property</v>
          </cell>
          <cell r="G11807" t="str">
            <v>Real</v>
          </cell>
        </row>
        <row r="11808">
          <cell r="A11808" t="str">
            <v>VEROBROKER</v>
          </cell>
          <cell r="B11808">
            <v>202407</v>
          </cell>
          <cell r="D11808" t="str">
            <v>Seguros Personales (No Vida) Colectivos</v>
          </cell>
          <cell r="G11808" t="str">
            <v>Real</v>
          </cell>
        </row>
        <row r="11809">
          <cell r="A11809" t="str">
            <v>VEROBROKER</v>
          </cell>
          <cell r="B11809">
            <v>202407</v>
          </cell>
          <cell r="D11809" t="str">
            <v>Seguros Personales (No Vida) Particular</v>
          </cell>
          <cell r="G11809" t="str">
            <v>Real</v>
          </cell>
        </row>
        <row r="11810">
          <cell r="A11810" t="str">
            <v>VEROBROKER</v>
          </cell>
          <cell r="B11810">
            <v>202407</v>
          </cell>
          <cell r="D11810" t="str">
            <v>Transporte</v>
          </cell>
          <cell r="G11810" t="str">
            <v>Real</v>
          </cell>
        </row>
        <row r="11811">
          <cell r="A11811" t="str">
            <v>VEROBROKER</v>
          </cell>
          <cell r="B11811">
            <v>202408</v>
          </cell>
          <cell r="D11811" t="str">
            <v>--</v>
          </cell>
          <cell r="G11811" t="str">
            <v>Real</v>
          </cell>
        </row>
        <row r="11812">
          <cell r="A11812" t="str">
            <v>VEROBROKER</v>
          </cell>
          <cell r="B11812">
            <v>202408</v>
          </cell>
          <cell r="D11812" t="str">
            <v>Autos</v>
          </cell>
          <cell r="G11812" t="str">
            <v>Real</v>
          </cell>
        </row>
        <row r="11813">
          <cell r="A11813" t="str">
            <v>VEROBROKER</v>
          </cell>
          <cell r="B11813">
            <v>202408</v>
          </cell>
          <cell r="D11813" t="str">
            <v>Crédito Nacional</v>
          </cell>
          <cell r="G11813" t="str">
            <v>Real</v>
          </cell>
        </row>
        <row r="11814">
          <cell r="A11814" t="str">
            <v>VEROBROKER</v>
          </cell>
          <cell r="B11814">
            <v>202408</v>
          </cell>
          <cell r="D11814" t="str">
            <v>RC</v>
          </cell>
          <cell r="G11814" t="str">
            <v>Real</v>
          </cell>
        </row>
        <row r="11815">
          <cell r="A11815" t="str">
            <v>VEROBROKER</v>
          </cell>
          <cell r="B11815">
            <v>202408</v>
          </cell>
          <cell r="D11815" t="str">
            <v>Seguros Personales (No Vida) Colectivos</v>
          </cell>
          <cell r="G11815" t="str">
            <v>Real</v>
          </cell>
        </row>
        <row r="11816">
          <cell r="A11816" t="str">
            <v>VEROBROKER</v>
          </cell>
          <cell r="B11816">
            <v>202408</v>
          </cell>
          <cell r="D11816" t="str">
            <v>Transporte</v>
          </cell>
          <cell r="G11816" t="str">
            <v>Real</v>
          </cell>
        </row>
        <row r="11817">
          <cell r="A11817" t="str">
            <v>VEROBROKER</v>
          </cell>
          <cell r="B11817">
            <v>202409</v>
          </cell>
          <cell r="D11817" t="str">
            <v>Autos</v>
          </cell>
          <cell r="G11817" t="str">
            <v>Real</v>
          </cell>
        </row>
        <row r="11818">
          <cell r="A11818" t="str">
            <v>VEROBROKER</v>
          </cell>
          <cell r="B11818">
            <v>202409</v>
          </cell>
          <cell r="D11818" t="str">
            <v>Crédito Nacional</v>
          </cell>
          <cell r="G11818" t="str">
            <v>Real</v>
          </cell>
        </row>
        <row r="11819">
          <cell r="A11819" t="str">
            <v>VEROBROKER</v>
          </cell>
          <cell r="B11819">
            <v>202409</v>
          </cell>
          <cell r="D11819" t="str">
            <v>Property</v>
          </cell>
          <cell r="G11819" t="str">
            <v>Real</v>
          </cell>
        </row>
        <row r="11820">
          <cell r="A11820" t="str">
            <v>VEROBROKER</v>
          </cell>
          <cell r="B11820">
            <v>202409</v>
          </cell>
          <cell r="D11820" t="str">
            <v>RC</v>
          </cell>
          <cell r="G11820" t="str">
            <v>Real</v>
          </cell>
        </row>
        <row r="11821">
          <cell r="A11821" t="str">
            <v>VEROBROKER</v>
          </cell>
          <cell r="B11821">
            <v>202409</v>
          </cell>
          <cell r="D11821" t="str">
            <v>Seguros Personales (No Vida) Colectivos</v>
          </cell>
          <cell r="G11821" t="str">
            <v>Real</v>
          </cell>
        </row>
        <row r="11822">
          <cell r="A11822" t="str">
            <v>VEROBROKER</v>
          </cell>
          <cell r="B11822">
            <v>202409</v>
          </cell>
          <cell r="D11822" t="str">
            <v>Seguros Personales (No Vida) Particular</v>
          </cell>
          <cell r="G11822" t="str">
            <v>Real</v>
          </cell>
        </row>
        <row r="11823">
          <cell r="A11823" t="str">
            <v>VEROBROKER</v>
          </cell>
          <cell r="B11823">
            <v>202409</v>
          </cell>
          <cell r="D11823" t="str">
            <v>Transporte</v>
          </cell>
          <cell r="G11823" t="str">
            <v>Real</v>
          </cell>
        </row>
        <row r="11824">
          <cell r="A11824" t="str">
            <v>VEROBROKER</v>
          </cell>
          <cell r="B11824">
            <v>202410</v>
          </cell>
          <cell r="D11824" t="str">
            <v>Autos</v>
          </cell>
          <cell r="G11824" t="str">
            <v>Real</v>
          </cell>
        </row>
        <row r="11825">
          <cell r="A11825" t="str">
            <v>VEROBROKER</v>
          </cell>
          <cell r="B11825">
            <v>202410</v>
          </cell>
          <cell r="D11825" t="str">
            <v>Crédito Nacional</v>
          </cell>
          <cell r="G11825" t="str">
            <v>Real</v>
          </cell>
        </row>
        <row r="11826">
          <cell r="A11826" t="str">
            <v>VEROBROKER</v>
          </cell>
          <cell r="B11826">
            <v>202410</v>
          </cell>
          <cell r="D11826" t="str">
            <v>Hogar</v>
          </cell>
          <cell r="G11826" t="str">
            <v>Real</v>
          </cell>
        </row>
        <row r="11827">
          <cell r="A11827" t="str">
            <v>VEROBROKER</v>
          </cell>
          <cell r="B11827">
            <v>202410</v>
          </cell>
          <cell r="D11827" t="str">
            <v>Particulares Resto</v>
          </cell>
          <cell r="G11827" t="str">
            <v>Real</v>
          </cell>
        </row>
        <row r="11828">
          <cell r="A11828" t="str">
            <v>VEROBROKER</v>
          </cell>
          <cell r="B11828">
            <v>202410</v>
          </cell>
          <cell r="D11828" t="str">
            <v>Seguros Personales (No Vida) Colectivos</v>
          </cell>
          <cell r="G11828" t="str">
            <v>Real</v>
          </cell>
        </row>
        <row r="11829">
          <cell r="A11829" t="str">
            <v>VEROBROKER</v>
          </cell>
          <cell r="B11829">
            <v>202410</v>
          </cell>
          <cell r="D11829" t="str">
            <v>Seguros Personales (No Vida) Particular</v>
          </cell>
          <cell r="G11829" t="str">
            <v>Real</v>
          </cell>
        </row>
        <row r="11830">
          <cell r="A11830" t="str">
            <v>VEROBROKER</v>
          </cell>
          <cell r="B11830">
            <v>202410</v>
          </cell>
          <cell r="D11830" t="str">
            <v>Transporte</v>
          </cell>
          <cell r="G11830" t="str">
            <v>Real</v>
          </cell>
        </row>
        <row r="11831">
          <cell r="A11831" t="str">
            <v>VEROBROKER</v>
          </cell>
          <cell r="B11831">
            <v>202410</v>
          </cell>
          <cell r="D11831" t="str">
            <v>Vida Riesgo Colectivo</v>
          </cell>
          <cell r="G11831" t="str">
            <v>Real</v>
          </cell>
        </row>
        <row r="11832">
          <cell r="A11832" t="str">
            <v>VEROBROKER</v>
          </cell>
          <cell r="B11832">
            <v>202411</v>
          </cell>
          <cell r="D11832" t="str">
            <v>Crédito Nacional</v>
          </cell>
          <cell r="G11832" t="str">
            <v>Real</v>
          </cell>
        </row>
        <row r="11833">
          <cell r="A11833" t="str">
            <v>VEROBROKER</v>
          </cell>
          <cell r="B11833">
            <v>202411</v>
          </cell>
          <cell r="D11833" t="str">
            <v>RC</v>
          </cell>
          <cell r="G11833" t="str">
            <v>Real</v>
          </cell>
        </row>
        <row r="11834">
          <cell r="A11834" t="str">
            <v>VEROBROKER</v>
          </cell>
          <cell r="B11834">
            <v>202411</v>
          </cell>
          <cell r="D11834" t="str">
            <v>Seguros Personales (No Vida) Colectivos</v>
          </cell>
          <cell r="G11834" t="str">
            <v>Real</v>
          </cell>
        </row>
        <row r="11835">
          <cell r="A11835" t="str">
            <v>VEROBROKER</v>
          </cell>
          <cell r="B11835">
            <v>202411</v>
          </cell>
          <cell r="D11835" t="str">
            <v>Seguros Personales (No Vida) Particular</v>
          </cell>
          <cell r="G11835" t="str">
            <v>Real</v>
          </cell>
        </row>
        <row r="11836">
          <cell r="A11836" t="str">
            <v>VEROBROKER</v>
          </cell>
          <cell r="B11836">
            <v>202411</v>
          </cell>
          <cell r="D11836" t="str">
            <v>Transporte</v>
          </cell>
          <cell r="G11836" t="str">
            <v>Real</v>
          </cell>
        </row>
        <row r="11837">
          <cell r="A11837" t="str">
            <v>VEROBROKER</v>
          </cell>
          <cell r="B11837">
            <v>202412</v>
          </cell>
          <cell r="D11837" t="str">
            <v>Autos</v>
          </cell>
          <cell r="G11837" t="str">
            <v>Real</v>
          </cell>
        </row>
        <row r="11838">
          <cell r="A11838" t="str">
            <v>VEROBROKER</v>
          </cell>
          <cell r="B11838">
            <v>202412</v>
          </cell>
          <cell r="D11838" t="str">
            <v>Crédito Nacional</v>
          </cell>
          <cell r="G11838" t="str">
            <v>Real</v>
          </cell>
        </row>
        <row r="11839">
          <cell r="A11839" t="str">
            <v>VEROBROKER</v>
          </cell>
          <cell r="B11839">
            <v>202412</v>
          </cell>
          <cell r="D11839" t="str">
            <v>RC</v>
          </cell>
          <cell r="G11839" t="str">
            <v>Real</v>
          </cell>
        </row>
        <row r="11840">
          <cell r="A11840" t="str">
            <v>VEROBROKER</v>
          </cell>
          <cell r="B11840">
            <v>202412</v>
          </cell>
          <cell r="D11840" t="str">
            <v>Seguros Personales (No Vida) Colectivos</v>
          </cell>
          <cell r="G11840" t="str">
            <v>Real</v>
          </cell>
        </row>
        <row r="11841">
          <cell r="A11841" t="str">
            <v>VEROBROKER</v>
          </cell>
          <cell r="B11841">
            <v>202412</v>
          </cell>
          <cell r="D11841" t="str">
            <v>Seguros Personales (No Vida) Particular</v>
          </cell>
          <cell r="G11841" t="str">
            <v>Real</v>
          </cell>
        </row>
        <row r="11842">
          <cell r="A11842" t="str">
            <v>VEROBROKER</v>
          </cell>
          <cell r="B11842">
            <v>202412</v>
          </cell>
          <cell r="D11842" t="str">
            <v>Transporte</v>
          </cell>
          <cell r="G11842" t="str">
            <v>Real</v>
          </cell>
        </row>
        <row r="11843">
          <cell r="A11843" t="str">
            <v>VEROBROKER</v>
          </cell>
          <cell r="B11843">
            <v>202501</v>
          </cell>
          <cell r="D11843" t="str">
            <v>--</v>
          </cell>
          <cell r="G11843" t="str">
            <v>Presupuesto</v>
          </cell>
        </row>
        <row r="11844">
          <cell r="A11844" t="str">
            <v>VEROBROKER</v>
          </cell>
          <cell r="B11844">
            <v>202501</v>
          </cell>
          <cell r="D11844" t="str">
            <v>Arte</v>
          </cell>
          <cell r="G11844" t="str">
            <v>Presupuesto</v>
          </cell>
        </row>
        <row r="11845">
          <cell r="A11845" t="str">
            <v>VEROBROKER</v>
          </cell>
          <cell r="B11845">
            <v>202501</v>
          </cell>
          <cell r="D11845" t="str">
            <v>Autos</v>
          </cell>
          <cell r="G11845" t="str">
            <v>Presupuesto</v>
          </cell>
        </row>
        <row r="11846">
          <cell r="A11846" t="str">
            <v>VEROBROKER</v>
          </cell>
          <cell r="B11846">
            <v>202501</v>
          </cell>
          <cell r="D11846" t="str">
            <v>Autos</v>
          </cell>
          <cell r="G11846" t="str">
            <v>Real</v>
          </cell>
        </row>
        <row r="11847">
          <cell r="A11847" t="str">
            <v>VEROBROKER</v>
          </cell>
          <cell r="B11847">
            <v>202501</v>
          </cell>
          <cell r="D11847" t="str">
            <v>B2B2C</v>
          </cell>
          <cell r="G11847" t="str">
            <v>Presupuesto</v>
          </cell>
        </row>
        <row r="11848">
          <cell r="A11848" t="str">
            <v>VEROBROKER</v>
          </cell>
          <cell r="B11848">
            <v>202501</v>
          </cell>
          <cell r="D11848" t="str">
            <v>Caución</v>
          </cell>
          <cell r="G11848" t="str">
            <v>Presupuesto</v>
          </cell>
        </row>
        <row r="11849">
          <cell r="A11849" t="str">
            <v>VEROBROKER</v>
          </cell>
          <cell r="B11849">
            <v>202501</v>
          </cell>
          <cell r="D11849" t="str">
            <v>Crédito Nacional</v>
          </cell>
          <cell r="G11849" t="str">
            <v>Real</v>
          </cell>
        </row>
        <row r="11850">
          <cell r="A11850" t="str">
            <v>VEROBROKER</v>
          </cell>
          <cell r="B11850">
            <v>202501</v>
          </cell>
          <cell r="D11850" t="str">
            <v>Crédito Internacional</v>
          </cell>
          <cell r="G11850" t="str">
            <v>Presupuesto</v>
          </cell>
        </row>
        <row r="11851">
          <cell r="A11851" t="str">
            <v>VEROBROKER</v>
          </cell>
          <cell r="B11851">
            <v>202501</v>
          </cell>
          <cell r="D11851" t="str">
            <v>Crédito Nacional</v>
          </cell>
          <cell r="G11851" t="str">
            <v>Presupuesto</v>
          </cell>
        </row>
        <row r="11852">
          <cell r="A11852" t="str">
            <v>VEROBROKER</v>
          </cell>
          <cell r="B11852">
            <v>202501</v>
          </cell>
          <cell r="D11852" t="str">
            <v>Eventos</v>
          </cell>
          <cell r="G11852" t="str">
            <v>Presupuesto</v>
          </cell>
        </row>
        <row r="11853">
          <cell r="A11853" t="str">
            <v>VEROBROKER</v>
          </cell>
          <cell r="B11853">
            <v>202501</v>
          </cell>
          <cell r="D11853" t="str">
            <v>Flotas</v>
          </cell>
          <cell r="G11853" t="str">
            <v>Presupuesto</v>
          </cell>
        </row>
        <row r="11854">
          <cell r="A11854" t="str">
            <v>VEROBROKER</v>
          </cell>
          <cell r="B11854">
            <v>202501</v>
          </cell>
          <cell r="D11854" t="str">
            <v>Hogar</v>
          </cell>
          <cell r="G11854" t="str">
            <v>Presupuesto</v>
          </cell>
        </row>
        <row r="11855">
          <cell r="A11855" t="str">
            <v>VEROBROKER</v>
          </cell>
          <cell r="B11855">
            <v>202501</v>
          </cell>
          <cell r="D11855" t="str">
            <v>Hogar</v>
          </cell>
          <cell r="G11855" t="str">
            <v>Real</v>
          </cell>
        </row>
        <row r="11856">
          <cell r="A11856" t="str">
            <v>VEROBROKER</v>
          </cell>
          <cell r="B11856">
            <v>202501</v>
          </cell>
          <cell r="D11856" t="str">
            <v>Ingeniería</v>
          </cell>
          <cell r="G11856" t="str">
            <v>Presupuesto</v>
          </cell>
        </row>
        <row r="11857">
          <cell r="A11857" t="str">
            <v>VEROBROKER</v>
          </cell>
          <cell r="B11857">
            <v>202501</v>
          </cell>
          <cell r="D11857" t="str">
            <v>Inmobiliario</v>
          </cell>
          <cell r="G11857" t="str">
            <v>Presupuesto</v>
          </cell>
        </row>
        <row r="11858">
          <cell r="A11858" t="str">
            <v>VEROBROKER</v>
          </cell>
          <cell r="B11858">
            <v>202501</v>
          </cell>
          <cell r="D11858" t="str">
            <v>Líneas Financieras</v>
          </cell>
          <cell r="G11858" t="str">
            <v>Presupuesto</v>
          </cell>
        </row>
        <row r="11859">
          <cell r="A11859" t="str">
            <v>VEROBROKER</v>
          </cell>
          <cell r="B11859">
            <v>202501</v>
          </cell>
          <cell r="D11859" t="str">
            <v>Náutica</v>
          </cell>
          <cell r="G11859" t="str">
            <v>Presupuesto</v>
          </cell>
        </row>
        <row r="11860">
          <cell r="A11860" t="str">
            <v>VEROBROKER</v>
          </cell>
          <cell r="B11860">
            <v>202501</v>
          </cell>
          <cell r="D11860" t="str">
            <v>Particulares Resto</v>
          </cell>
          <cell r="G11860" t="str">
            <v>Presupuesto</v>
          </cell>
        </row>
        <row r="11861">
          <cell r="A11861" t="str">
            <v>VEROBROKER</v>
          </cell>
          <cell r="B11861">
            <v>202501</v>
          </cell>
          <cell r="D11861" t="str">
            <v>Property</v>
          </cell>
          <cell r="G11861" t="str">
            <v>Presupuesto</v>
          </cell>
        </row>
        <row r="11862">
          <cell r="A11862" t="str">
            <v>VEROBROKER</v>
          </cell>
          <cell r="B11862">
            <v>202501</v>
          </cell>
          <cell r="D11862" t="str">
            <v>Property</v>
          </cell>
          <cell r="G11862" t="str">
            <v>Real</v>
          </cell>
        </row>
        <row r="11863">
          <cell r="A11863" t="str">
            <v>VEROBROKER</v>
          </cell>
          <cell r="B11863">
            <v>202501</v>
          </cell>
          <cell r="D11863" t="str">
            <v>RC</v>
          </cell>
          <cell r="G11863" t="str">
            <v>Presupuesto</v>
          </cell>
        </row>
        <row r="11864">
          <cell r="A11864" t="str">
            <v>VEROBROKER</v>
          </cell>
          <cell r="B11864">
            <v>202501</v>
          </cell>
          <cell r="D11864" t="str">
            <v>RC</v>
          </cell>
          <cell r="G11864" t="str">
            <v>Real</v>
          </cell>
        </row>
        <row r="11865">
          <cell r="A11865" t="str">
            <v>VEROBROKER</v>
          </cell>
          <cell r="B11865">
            <v>202501</v>
          </cell>
          <cell r="D11865" t="str">
            <v>Resto de lineas</v>
          </cell>
          <cell r="G11865" t="str">
            <v>Presupuesto</v>
          </cell>
        </row>
        <row r="11866">
          <cell r="A11866" t="str">
            <v>VEROBROKER</v>
          </cell>
          <cell r="B11866">
            <v>202501</v>
          </cell>
          <cell r="D11866" t="str">
            <v>Retirada</v>
          </cell>
          <cell r="G11866" t="str">
            <v>Presupuesto</v>
          </cell>
        </row>
        <row r="11867">
          <cell r="A11867" t="str">
            <v>VEROBROKER</v>
          </cell>
          <cell r="B11867">
            <v>202501</v>
          </cell>
          <cell r="D11867" t="str">
            <v>Seguros Personales (No Vida) Colectivos</v>
          </cell>
          <cell r="G11867" t="str">
            <v>Presupuesto</v>
          </cell>
        </row>
        <row r="11868">
          <cell r="A11868" t="str">
            <v>VEROBROKER</v>
          </cell>
          <cell r="B11868">
            <v>202501</v>
          </cell>
          <cell r="D11868" t="str">
            <v>Seguros Personales (No Vida) Colectivos</v>
          </cell>
          <cell r="G11868" t="str">
            <v>Real</v>
          </cell>
        </row>
        <row r="11869">
          <cell r="A11869" t="str">
            <v>VEROBROKER</v>
          </cell>
          <cell r="B11869">
            <v>202501</v>
          </cell>
          <cell r="D11869" t="str">
            <v>Seguros Personales (No Vida) Particular</v>
          </cell>
          <cell r="G11869" t="str">
            <v>Presupuesto</v>
          </cell>
        </row>
        <row r="11870">
          <cell r="A11870" t="str">
            <v>VEROBROKER</v>
          </cell>
          <cell r="B11870">
            <v>202501</v>
          </cell>
          <cell r="D11870" t="str">
            <v>Seguros Personales (No Vida) Particular</v>
          </cell>
          <cell r="G11870" t="str">
            <v>Real</v>
          </cell>
        </row>
        <row r="11871">
          <cell r="A11871" t="str">
            <v>VEROBROKER</v>
          </cell>
          <cell r="B11871">
            <v>202501</v>
          </cell>
          <cell r="D11871" t="str">
            <v>Transporte</v>
          </cell>
          <cell r="G11871" t="str">
            <v>Presupuesto</v>
          </cell>
        </row>
        <row r="11872">
          <cell r="A11872" t="str">
            <v>VEROBROKER</v>
          </cell>
          <cell r="B11872">
            <v>202501</v>
          </cell>
          <cell r="D11872" t="str">
            <v>Transporte</v>
          </cell>
          <cell r="G11872" t="str">
            <v>Real</v>
          </cell>
        </row>
        <row r="11873">
          <cell r="A11873" t="str">
            <v>VEROBROKER</v>
          </cell>
          <cell r="B11873">
            <v>202501</v>
          </cell>
          <cell r="D11873" t="str">
            <v>Venta Cruzada</v>
          </cell>
          <cell r="G11873" t="str">
            <v>Presupuesto</v>
          </cell>
        </row>
        <row r="11874">
          <cell r="A11874" t="str">
            <v>VEROBROKER</v>
          </cell>
          <cell r="B11874">
            <v>202501</v>
          </cell>
          <cell r="D11874" t="str">
            <v>Vida Ahorro Colectivo</v>
          </cell>
          <cell r="G11874" t="str">
            <v>Presupuesto</v>
          </cell>
        </row>
        <row r="11875">
          <cell r="A11875" t="str">
            <v>VEROBROKER</v>
          </cell>
          <cell r="B11875">
            <v>202501</v>
          </cell>
          <cell r="D11875" t="str">
            <v>Vida Ahorro Particular</v>
          </cell>
          <cell r="G11875" t="str">
            <v>Presupuesto</v>
          </cell>
        </row>
        <row r="11876">
          <cell r="A11876" t="str">
            <v>VEROBROKER</v>
          </cell>
          <cell r="B11876">
            <v>202501</v>
          </cell>
          <cell r="D11876" t="str">
            <v>Vida Ahorro Particular</v>
          </cell>
          <cell r="G11876" t="str">
            <v>Real</v>
          </cell>
        </row>
        <row r="11877">
          <cell r="A11877" t="str">
            <v>VEROBROKER</v>
          </cell>
          <cell r="B11877">
            <v>202501</v>
          </cell>
          <cell r="D11877" t="str">
            <v>Vida Ganado</v>
          </cell>
          <cell r="G11877" t="str">
            <v>Presupuesto</v>
          </cell>
        </row>
        <row r="11878">
          <cell r="A11878" t="str">
            <v>VEROBROKER</v>
          </cell>
          <cell r="B11878">
            <v>202501</v>
          </cell>
          <cell r="D11878" t="str">
            <v>Vida Riesgo Colectivo</v>
          </cell>
          <cell r="G11878" t="str">
            <v>Presupuesto</v>
          </cell>
        </row>
        <row r="11879">
          <cell r="A11879" t="str">
            <v>VEROBROKER</v>
          </cell>
          <cell r="B11879">
            <v>202501</v>
          </cell>
          <cell r="D11879" t="str">
            <v>Vida Riesgo Particular</v>
          </cell>
          <cell r="G11879" t="str">
            <v>Presupuesto</v>
          </cell>
        </row>
        <row r="11880">
          <cell r="A11880" t="str">
            <v>VEROBROKER</v>
          </cell>
          <cell r="B11880">
            <v>202501</v>
          </cell>
          <cell r="D11880" t="str">
            <v>Vida Riesgo Particular</v>
          </cell>
          <cell r="G11880" t="str">
            <v>Real</v>
          </cell>
        </row>
        <row r="11881">
          <cell r="A11881" t="str">
            <v>VEROBROKER</v>
          </cell>
          <cell r="B11881">
            <v>202502</v>
          </cell>
          <cell r="D11881" t="str">
            <v>--</v>
          </cell>
          <cell r="G11881" t="str">
            <v>Presupuesto</v>
          </cell>
        </row>
        <row r="11882">
          <cell r="A11882" t="str">
            <v>VEROBROKER</v>
          </cell>
          <cell r="B11882">
            <v>202502</v>
          </cell>
          <cell r="D11882" t="str">
            <v>Arte</v>
          </cell>
          <cell r="G11882" t="str">
            <v>Presupuesto</v>
          </cell>
        </row>
        <row r="11883">
          <cell r="A11883" t="str">
            <v>VEROBROKER</v>
          </cell>
          <cell r="B11883">
            <v>202502</v>
          </cell>
          <cell r="D11883" t="str">
            <v>Autos</v>
          </cell>
          <cell r="G11883" t="str">
            <v>Presupuesto</v>
          </cell>
        </row>
        <row r="11884">
          <cell r="A11884" t="str">
            <v>VEROBROKER</v>
          </cell>
          <cell r="B11884">
            <v>202502</v>
          </cell>
          <cell r="D11884" t="str">
            <v>Autos</v>
          </cell>
          <cell r="G11884" t="str">
            <v>Real</v>
          </cell>
        </row>
        <row r="11885">
          <cell r="A11885" t="str">
            <v>VEROBROKER</v>
          </cell>
          <cell r="B11885">
            <v>202502</v>
          </cell>
          <cell r="D11885" t="str">
            <v>B2B2C</v>
          </cell>
          <cell r="G11885" t="str">
            <v>Presupuesto</v>
          </cell>
        </row>
        <row r="11886">
          <cell r="A11886" t="str">
            <v>VEROBROKER</v>
          </cell>
          <cell r="B11886">
            <v>202502</v>
          </cell>
          <cell r="D11886" t="str">
            <v>Caución</v>
          </cell>
          <cell r="G11886" t="str">
            <v>Presupuesto</v>
          </cell>
        </row>
        <row r="11887">
          <cell r="A11887" t="str">
            <v>VEROBROKER</v>
          </cell>
          <cell r="B11887">
            <v>202502</v>
          </cell>
          <cell r="D11887" t="str">
            <v>Crédito Nacional</v>
          </cell>
          <cell r="G11887" t="str">
            <v>Real</v>
          </cell>
        </row>
        <row r="11888">
          <cell r="A11888" t="str">
            <v>VEROBROKER</v>
          </cell>
          <cell r="B11888">
            <v>202502</v>
          </cell>
          <cell r="D11888" t="str">
            <v>Crédito Internacional</v>
          </cell>
          <cell r="G11888" t="str">
            <v>Presupuesto</v>
          </cell>
        </row>
        <row r="11889">
          <cell r="A11889" t="str">
            <v>VEROBROKER</v>
          </cell>
          <cell r="B11889">
            <v>202502</v>
          </cell>
          <cell r="D11889" t="str">
            <v>Crédito Nacional</v>
          </cell>
          <cell r="G11889" t="str">
            <v>Presupuesto</v>
          </cell>
        </row>
        <row r="11890">
          <cell r="A11890" t="str">
            <v>VEROBROKER</v>
          </cell>
          <cell r="B11890">
            <v>202502</v>
          </cell>
          <cell r="D11890" t="str">
            <v>Eventos</v>
          </cell>
          <cell r="G11890" t="str">
            <v>Presupuesto</v>
          </cell>
        </row>
        <row r="11891">
          <cell r="A11891" t="str">
            <v>VEROBROKER</v>
          </cell>
          <cell r="B11891">
            <v>202502</v>
          </cell>
          <cell r="D11891" t="str">
            <v>Flotas</v>
          </cell>
          <cell r="G11891" t="str">
            <v>Presupuesto</v>
          </cell>
        </row>
        <row r="11892">
          <cell r="A11892" t="str">
            <v>VEROBROKER</v>
          </cell>
          <cell r="B11892">
            <v>202502</v>
          </cell>
          <cell r="D11892" t="str">
            <v>Hogar</v>
          </cell>
          <cell r="G11892" t="str">
            <v>Presupuesto</v>
          </cell>
        </row>
        <row r="11893">
          <cell r="A11893" t="str">
            <v>VEROBROKER</v>
          </cell>
          <cell r="B11893">
            <v>202502</v>
          </cell>
          <cell r="D11893" t="str">
            <v>Hogar</v>
          </cell>
          <cell r="G11893" t="str">
            <v>Real</v>
          </cell>
        </row>
        <row r="11894">
          <cell r="A11894" t="str">
            <v>VEROBROKER</v>
          </cell>
          <cell r="B11894">
            <v>202502</v>
          </cell>
          <cell r="D11894" t="str">
            <v>Ingeniería</v>
          </cell>
          <cell r="G11894" t="str">
            <v>Presupuesto</v>
          </cell>
        </row>
        <row r="11895">
          <cell r="A11895" t="str">
            <v>VEROBROKER</v>
          </cell>
          <cell r="B11895">
            <v>202502</v>
          </cell>
          <cell r="D11895" t="str">
            <v>Inmobiliario</v>
          </cell>
          <cell r="G11895" t="str">
            <v>Presupuesto</v>
          </cell>
        </row>
        <row r="11896">
          <cell r="A11896" t="str">
            <v>VEROBROKER</v>
          </cell>
          <cell r="B11896">
            <v>202502</v>
          </cell>
          <cell r="D11896" t="str">
            <v>Líneas Financieras</v>
          </cell>
          <cell r="G11896" t="str">
            <v>Presupuesto</v>
          </cell>
        </row>
        <row r="11897">
          <cell r="A11897" t="str">
            <v>VEROBROKER</v>
          </cell>
          <cell r="B11897">
            <v>202502</v>
          </cell>
          <cell r="D11897" t="str">
            <v>Náutica</v>
          </cell>
          <cell r="G11897" t="str">
            <v>Presupuesto</v>
          </cell>
        </row>
        <row r="11898">
          <cell r="A11898" t="str">
            <v>VEROBROKER</v>
          </cell>
          <cell r="B11898">
            <v>202502</v>
          </cell>
          <cell r="D11898" t="str">
            <v>Particulares Resto</v>
          </cell>
          <cell r="G11898" t="str">
            <v>Presupuesto</v>
          </cell>
        </row>
        <row r="11899">
          <cell r="A11899" t="str">
            <v>VEROBROKER</v>
          </cell>
          <cell r="B11899">
            <v>202502</v>
          </cell>
          <cell r="D11899" t="str">
            <v>Property</v>
          </cell>
          <cell r="G11899" t="str">
            <v>Presupuesto</v>
          </cell>
        </row>
        <row r="11900">
          <cell r="A11900" t="str">
            <v>VEROBROKER</v>
          </cell>
          <cell r="B11900">
            <v>202502</v>
          </cell>
          <cell r="D11900" t="str">
            <v>Property</v>
          </cell>
          <cell r="G11900" t="str">
            <v>Real</v>
          </cell>
        </row>
        <row r="11901">
          <cell r="A11901" t="str">
            <v>VEROBROKER</v>
          </cell>
          <cell r="B11901">
            <v>202502</v>
          </cell>
          <cell r="D11901" t="str">
            <v>RC</v>
          </cell>
          <cell r="G11901" t="str">
            <v>Presupuesto</v>
          </cell>
        </row>
        <row r="11902">
          <cell r="A11902" t="str">
            <v>VEROBROKER</v>
          </cell>
          <cell r="B11902">
            <v>202502</v>
          </cell>
          <cell r="D11902" t="str">
            <v>RC</v>
          </cell>
          <cell r="G11902" t="str">
            <v>Real</v>
          </cell>
        </row>
        <row r="11903">
          <cell r="A11903" t="str">
            <v>VEROBROKER</v>
          </cell>
          <cell r="B11903">
            <v>202502</v>
          </cell>
          <cell r="D11903" t="str">
            <v>Resto de lineas</v>
          </cell>
          <cell r="G11903" t="str">
            <v>Presupuesto</v>
          </cell>
        </row>
        <row r="11904">
          <cell r="A11904" t="str">
            <v>VEROBROKER</v>
          </cell>
          <cell r="B11904">
            <v>202502</v>
          </cell>
          <cell r="D11904" t="str">
            <v>Retirada</v>
          </cell>
          <cell r="G11904" t="str">
            <v>Presupuesto</v>
          </cell>
        </row>
        <row r="11905">
          <cell r="A11905" t="str">
            <v>VEROBROKER</v>
          </cell>
          <cell r="B11905">
            <v>202502</v>
          </cell>
          <cell r="D11905" t="str">
            <v>Seguros Personales (No Vida) Colectivos</v>
          </cell>
          <cell r="G11905" t="str">
            <v>Presupuesto</v>
          </cell>
        </row>
        <row r="11906">
          <cell r="A11906" t="str">
            <v>VEROBROKER</v>
          </cell>
          <cell r="B11906">
            <v>202502</v>
          </cell>
          <cell r="D11906" t="str">
            <v>Seguros Personales (No Vida) Colectivos</v>
          </cell>
          <cell r="G11906" t="str">
            <v>Real</v>
          </cell>
        </row>
        <row r="11907">
          <cell r="A11907" t="str">
            <v>VEROBROKER</v>
          </cell>
          <cell r="B11907">
            <v>202502</v>
          </cell>
          <cell r="D11907" t="str">
            <v>Seguros Personales (No Vida) Particular</v>
          </cell>
          <cell r="G11907" t="str">
            <v>Presupuesto</v>
          </cell>
        </row>
        <row r="11908">
          <cell r="A11908" t="str">
            <v>VEROBROKER</v>
          </cell>
          <cell r="B11908">
            <v>202502</v>
          </cell>
          <cell r="D11908" t="str">
            <v>Seguros Personales (No Vida) Particular</v>
          </cell>
          <cell r="G11908" t="str">
            <v>Real</v>
          </cell>
        </row>
        <row r="11909">
          <cell r="A11909" t="str">
            <v>VEROBROKER</v>
          </cell>
          <cell r="B11909">
            <v>202502</v>
          </cell>
          <cell r="D11909" t="str">
            <v>Transporte</v>
          </cell>
          <cell r="G11909" t="str">
            <v>Presupuesto</v>
          </cell>
        </row>
        <row r="11910">
          <cell r="A11910" t="str">
            <v>VEROBROKER</v>
          </cell>
          <cell r="B11910">
            <v>202502</v>
          </cell>
          <cell r="D11910" t="str">
            <v>Transporte</v>
          </cell>
          <cell r="G11910" t="str">
            <v>Real</v>
          </cell>
        </row>
        <row r="11911">
          <cell r="A11911" t="str">
            <v>VEROBROKER</v>
          </cell>
          <cell r="B11911">
            <v>202502</v>
          </cell>
          <cell r="D11911" t="str">
            <v>Venta Cruzada</v>
          </cell>
          <cell r="G11911" t="str">
            <v>Presupuesto</v>
          </cell>
        </row>
        <row r="11912">
          <cell r="A11912" t="str">
            <v>VEROBROKER</v>
          </cell>
          <cell r="B11912">
            <v>202502</v>
          </cell>
          <cell r="D11912" t="str">
            <v>Vida Ahorro Colectivo</v>
          </cell>
          <cell r="G11912" t="str">
            <v>Presupuesto</v>
          </cell>
        </row>
        <row r="11913">
          <cell r="A11913" t="str">
            <v>VEROBROKER</v>
          </cell>
          <cell r="B11913">
            <v>202502</v>
          </cell>
          <cell r="D11913" t="str">
            <v>Vida Ahorro Particular</v>
          </cell>
          <cell r="G11913" t="str">
            <v>Presupuesto</v>
          </cell>
        </row>
        <row r="11914">
          <cell r="A11914" t="str">
            <v>VEROBROKER</v>
          </cell>
          <cell r="B11914">
            <v>202502</v>
          </cell>
          <cell r="D11914" t="str">
            <v>Vida Ahorro Particular</v>
          </cell>
          <cell r="G11914" t="str">
            <v>Real</v>
          </cell>
        </row>
        <row r="11915">
          <cell r="A11915" t="str">
            <v>VEROBROKER</v>
          </cell>
          <cell r="B11915">
            <v>202502</v>
          </cell>
          <cell r="D11915" t="str">
            <v>Vida Ganado</v>
          </cell>
          <cell r="G11915" t="str">
            <v>Presupuesto</v>
          </cell>
        </row>
        <row r="11916">
          <cell r="A11916" t="str">
            <v>VEROBROKER</v>
          </cell>
          <cell r="B11916">
            <v>202502</v>
          </cell>
          <cell r="D11916" t="str">
            <v>Vida Riesgo Colectivo</v>
          </cell>
          <cell r="G11916" t="str">
            <v>Presupuesto</v>
          </cell>
        </row>
        <row r="11917">
          <cell r="A11917" t="str">
            <v>VEROBROKER</v>
          </cell>
          <cell r="B11917">
            <v>202502</v>
          </cell>
          <cell r="D11917" t="str">
            <v>Vida Riesgo Particular</v>
          </cell>
          <cell r="G11917" t="str">
            <v>Presupuesto</v>
          </cell>
        </row>
        <row r="11918">
          <cell r="A11918" t="str">
            <v>VEROBROKER</v>
          </cell>
          <cell r="B11918">
            <v>202502</v>
          </cell>
          <cell r="D11918" t="str">
            <v>Vida Riesgo Particular</v>
          </cell>
          <cell r="G11918" t="str">
            <v>Real</v>
          </cell>
        </row>
        <row r="11919">
          <cell r="A11919" t="str">
            <v>VEROBROKER</v>
          </cell>
          <cell r="B11919">
            <v>202503</v>
          </cell>
          <cell r="D11919" t="str">
            <v>--</v>
          </cell>
          <cell r="G11919" t="str">
            <v>Presupuesto</v>
          </cell>
        </row>
        <row r="11920">
          <cell r="A11920" t="str">
            <v>VEROBROKER</v>
          </cell>
          <cell r="B11920">
            <v>202503</v>
          </cell>
          <cell r="D11920" t="str">
            <v>Arte</v>
          </cell>
          <cell r="G11920" t="str">
            <v>Presupuesto</v>
          </cell>
        </row>
        <row r="11921">
          <cell r="A11921" t="str">
            <v>VEROBROKER</v>
          </cell>
          <cell r="B11921">
            <v>202503</v>
          </cell>
          <cell r="D11921" t="str">
            <v>Autos</v>
          </cell>
          <cell r="G11921" t="str">
            <v>Presupuesto</v>
          </cell>
        </row>
        <row r="11922">
          <cell r="A11922" t="str">
            <v>VEROBROKER</v>
          </cell>
          <cell r="B11922">
            <v>202503</v>
          </cell>
          <cell r="D11922" t="str">
            <v>Autos</v>
          </cell>
          <cell r="G11922" t="str">
            <v>Real</v>
          </cell>
        </row>
        <row r="11923">
          <cell r="A11923" t="str">
            <v>VEROBROKER</v>
          </cell>
          <cell r="B11923">
            <v>202503</v>
          </cell>
          <cell r="D11923" t="str">
            <v>B2B2C</v>
          </cell>
          <cell r="G11923" t="str">
            <v>Presupuesto</v>
          </cell>
        </row>
        <row r="11924">
          <cell r="A11924" t="str">
            <v>VEROBROKER</v>
          </cell>
          <cell r="B11924">
            <v>202503</v>
          </cell>
          <cell r="D11924" t="str">
            <v>Caución</v>
          </cell>
          <cell r="G11924" t="str">
            <v>Presupuesto</v>
          </cell>
        </row>
        <row r="11925">
          <cell r="A11925" t="str">
            <v>VEROBROKER</v>
          </cell>
          <cell r="B11925">
            <v>202503</v>
          </cell>
          <cell r="D11925" t="str">
            <v>Crédito Nacional</v>
          </cell>
          <cell r="G11925" t="str">
            <v>Real</v>
          </cell>
        </row>
        <row r="11926">
          <cell r="A11926" t="str">
            <v>VEROBROKER</v>
          </cell>
          <cell r="B11926">
            <v>202503</v>
          </cell>
          <cell r="D11926" t="str">
            <v>Crédito Internacional</v>
          </cell>
          <cell r="G11926" t="str">
            <v>Presupuesto</v>
          </cell>
        </row>
        <row r="11927">
          <cell r="A11927" t="str">
            <v>VEROBROKER</v>
          </cell>
          <cell r="B11927">
            <v>202503</v>
          </cell>
          <cell r="D11927" t="str">
            <v>Crédito Nacional</v>
          </cell>
          <cell r="G11927" t="str">
            <v>Presupuesto</v>
          </cell>
        </row>
        <row r="11928">
          <cell r="A11928" t="str">
            <v>VEROBROKER</v>
          </cell>
          <cell r="B11928">
            <v>202503</v>
          </cell>
          <cell r="D11928" t="str">
            <v>Eventos</v>
          </cell>
          <cell r="G11928" t="str">
            <v>Presupuesto</v>
          </cell>
        </row>
        <row r="11929">
          <cell r="A11929" t="str">
            <v>VEROBROKER</v>
          </cell>
          <cell r="B11929">
            <v>202503</v>
          </cell>
          <cell r="D11929" t="str">
            <v>Flotas</v>
          </cell>
          <cell r="G11929" t="str">
            <v>Presupuesto</v>
          </cell>
        </row>
        <row r="11930">
          <cell r="A11930" t="str">
            <v>VEROBROKER</v>
          </cell>
          <cell r="B11930">
            <v>202503</v>
          </cell>
          <cell r="D11930" t="str">
            <v>Hogar</v>
          </cell>
          <cell r="G11930" t="str">
            <v>Presupuesto</v>
          </cell>
        </row>
        <row r="11931">
          <cell r="A11931" t="str">
            <v>VEROBROKER</v>
          </cell>
          <cell r="B11931">
            <v>202503</v>
          </cell>
          <cell r="D11931" t="str">
            <v>Hogar</v>
          </cell>
          <cell r="G11931" t="str">
            <v>Real</v>
          </cell>
        </row>
        <row r="11932">
          <cell r="A11932" t="str">
            <v>VEROBROKER</v>
          </cell>
          <cell r="B11932">
            <v>202503</v>
          </cell>
          <cell r="D11932" t="str">
            <v>Ingeniería</v>
          </cell>
          <cell r="G11932" t="str">
            <v>Presupuesto</v>
          </cell>
        </row>
        <row r="11933">
          <cell r="A11933" t="str">
            <v>VEROBROKER</v>
          </cell>
          <cell r="B11933">
            <v>202503</v>
          </cell>
          <cell r="D11933" t="str">
            <v>Inmobiliario</v>
          </cell>
          <cell r="G11933" t="str">
            <v>Presupuesto</v>
          </cell>
        </row>
        <row r="11934">
          <cell r="A11934" t="str">
            <v>VEROBROKER</v>
          </cell>
          <cell r="B11934">
            <v>202503</v>
          </cell>
          <cell r="D11934" t="str">
            <v>Líneas Financieras</v>
          </cell>
          <cell r="G11934" t="str">
            <v>Presupuesto</v>
          </cell>
        </row>
        <row r="11935">
          <cell r="A11935" t="str">
            <v>VEROBROKER</v>
          </cell>
          <cell r="B11935">
            <v>202503</v>
          </cell>
          <cell r="D11935" t="str">
            <v>Líneas Financieras</v>
          </cell>
          <cell r="G11935" t="str">
            <v>Real</v>
          </cell>
        </row>
        <row r="11936">
          <cell r="A11936" t="str">
            <v>VEROBROKER</v>
          </cell>
          <cell r="B11936">
            <v>202503</v>
          </cell>
          <cell r="D11936" t="str">
            <v>Náutica</v>
          </cell>
          <cell r="G11936" t="str">
            <v>Presupuesto</v>
          </cell>
        </row>
        <row r="11937">
          <cell r="A11937" t="str">
            <v>VEROBROKER</v>
          </cell>
          <cell r="B11937">
            <v>202503</v>
          </cell>
          <cell r="D11937" t="str">
            <v>Particulares Resto</v>
          </cell>
          <cell r="G11937" t="str">
            <v>Presupuesto</v>
          </cell>
        </row>
        <row r="11938">
          <cell r="A11938" t="str">
            <v>VEROBROKER</v>
          </cell>
          <cell r="B11938">
            <v>202503</v>
          </cell>
          <cell r="D11938" t="str">
            <v>Property</v>
          </cell>
          <cell r="G11938" t="str">
            <v>Presupuesto</v>
          </cell>
        </row>
        <row r="11939">
          <cell r="A11939" t="str">
            <v>VEROBROKER</v>
          </cell>
          <cell r="B11939">
            <v>202503</v>
          </cell>
          <cell r="D11939" t="str">
            <v>Property</v>
          </cell>
          <cell r="G11939" t="str">
            <v>Real</v>
          </cell>
        </row>
        <row r="11940">
          <cell r="A11940" t="str">
            <v>VEROBROKER</v>
          </cell>
          <cell r="B11940">
            <v>202503</v>
          </cell>
          <cell r="D11940" t="str">
            <v>RC</v>
          </cell>
          <cell r="G11940" t="str">
            <v>Presupuesto</v>
          </cell>
        </row>
        <row r="11941">
          <cell r="A11941" t="str">
            <v>VEROBROKER</v>
          </cell>
          <cell r="B11941">
            <v>202503</v>
          </cell>
          <cell r="D11941" t="str">
            <v>RC</v>
          </cell>
          <cell r="G11941" t="str">
            <v>Real</v>
          </cell>
        </row>
        <row r="11942">
          <cell r="A11942" t="str">
            <v>VEROBROKER</v>
          </cell>
          <cell r="B11942">
            <v>202503</v>
          </cell>
          <cell r="D11942" t="str">
            <v>Resto de lineas</v>
          </cell>
          <cell r="G11942" t="str">
            <v>Presupuesto</v>
          </cell>
        </row>
        <row r="11943">
          <cell r="A11943" t="str">
            <v>VEROBROKER</v>
          </cell>
          <cell r="B11943">
            <v>202503</v>
          </cell>
          <cell r="D11943" t="str">
            <v>Retirada</v>
          </cell>
          <cell r="G11943" t="str">
            <v>Presupuesto</v>
          </cell>
        </row>
        <row r="11944">
          <cell r="A11944" t="str">
            <v>VEROBROKER</v>
          </cell>
          <cell r="B11944">
            <v>202503</v>
          </cell>
          <cell r="D11944" t="str">
            <v>Seguros Personales (No Vida) Colectivos</v>
          </cell>
          <cell r="G11944" t="str">
            <v>Presupuesto</v>
          </cell>
        </row>
        <row r="11945">
          <cell r="A11945" t="str">
            <v>VEROBROKER</v>
          </cell>
          <cell r="B11945">
            <v>202503</v>
          </cell>
          <cell r="D11945" t="str">
            <v>Seguros Personales (No Vida) Colectivos</v>
          </cell>
          <cell r="G11945" t="str">
            <v>Real</v>
          </cell>
        </row>
        <row r="11946">
          <cell r="A11946" t="str">
            <v>VEROBROKER</v>
          </cell>
          <cell r="B11946">
            <v>202503</v>
          </cell>
          <cell r="D11946" t="str">
            <v>Seguros Personales (No Vida) Particular</v>
          </cell>
          <cell r="G11946" t="str">
            <v>Presupuesto</v>
          </cell>
        </row>
        <row r="11947">
          <cell r="A11947" t="str">
            <v>VEROBROKER</v>
          </cell>
          <cell r="B11947">
            <v>202503</v>
          </cell>
          <cell r="D11947" t="str">
            <v>Seguros Personales (No Vida) Particular</v>
          </cell>
          <cell r="G11947" t="str">
            <v>Real</v>
          </cell>
        </row>
        <row r="11948">
          <cell r="A11948" t="str">
            <v>VEROBROKER</v>
          </cell>
          <cell r="B11948">
            <v>202503</v>
          </cell>
          <cell r="D11948" t="str">
            <v>Transporte</v>
          </cell>
          <cell r="G11948" t="str">
            <v>Presupuesto</v>
          </cell>
        </row>
        <row r="11949">
          <cell r="A11949" t="str">
            <v>VEROBROKER</v>
          </cell>
          <cell r="B11949">
            <v>202503</v>
          </cell>
          <cell r="D11949" t="str">
            <v>Transporte</v>
          </cell>
          <cell r="G11949" t="str">
            <v>Real</v>
          </cell>
        </row>
        <row r="11950">
          <cell r="A11950" t="str">
            <v>VEROBROKER</v>
          </cell>
          <cell r="B11950">
            <v>202503</v>
          </cell>
          <cell r="D11950" t="str">
            <v>Venta Cruzada</v>
          </cell>
          <cell r="G11950" t="str">
            <v>Presupuesto</v>
          </cell>
        </row>
        <row r="11951">
          <cell r="A11951" t="str">
            <v>VEROBROKER</v>
          </cell>
          <cell r="B11951">
            <v>202503</v>
          </cell>
          <cell r="D11951" t="str">
            <v>Vida Ahorro Colectivo</v>
          </cell>
          <cell r="G11951" t="str">
            <v>Presupuesto</v>
          </cell>
        </row>
        <row r="11952">
          <cell r="A11952" t="str">
            <v>VEROBROKER</v>
          </cell>
          <cell r="B11952">
            <v>202503</v>
          </cell>
          <cell r="D11952" t="str">
            <v>Vida Ahorro Particular</v>
          </cell>
          <cell r="G11952" t="str">
            <v>Presupuesto</v>
          </cell>
        </row>
        <row r="11953">
          <cell r="A11953" t="str">
            <v>VEROBROKER</v>
          </cell>
          <cell r="B11953">
            <v>202503</v>
          </cell>
          <cell r="D11953" t="str">
            <v>Vida Ahorro Particular</v>
          </cell>
          <cell r="G11953" t="str">
            <v>Real</v>
          </cell>
        </row>
        <row r="11954">
          <cell r="A11954" t="str">
            <v>VEROBROKER</v>
          </cell>
          <cell r="B11954">
            <v>202503</v>
          </cell>
          <cell r="D11954" t="str">
            <v>Vida Ganado</v>
          </cell>
          <cell r="G11954" t="str">
            <v>Presupuesto</v>
          </cell>
        </row>
        <row r="11955">
          <cell r="A11955" t="str">
            <v>VEROBROKER</v>
          </cell>
          <cell r="B11955">
            <v>202503</v>
          </cell>
          <cell r="D11955" t="str">
            <v>Vida Riesgo Colectivo</v>
          </cell>
          <cell r="G11955" t="str">
            <v>Presupuesto</v>
          </cell>
        </row>
        <row r="11956">
          <cell r="A11956" t="str">
            <v>VEROBROKER</v>
          </cell>
          <cell r="B11956">
            <v>202503</v>
          </cell>
          <cell r="D11956" t="str">
            <v>Vida Riesgo Particular</v>
          </cell>
          <cell r="G11956" t="str">
            <v>Presupuesto</v>
          </cell>
        </row>
        <row r="11957">
          <cell r="A11957" t="str">
            <v>VEROBROKER</v>
          </cell>
          <cell r="B11957">
            <v>202503</v>
          </cell>
          <cell r="D11957" t="str">
            <v>Vida Riesgo Particular</v>
          </cell>
          <cell r="G11957" t="str">
            <v>Real</v>
          </cell>
        </row>
        <row r="11958">
          <cell r="A11958" t="str">
            <v>VEROBROKER</v>
          </cell>
          <cell r="B11958">
            <v>202504</v>
          </cell>
          <cell r="D11958" t="str">
            <v>--</v>
          </cell>
          <cell r="G11958" t="str">
            <v>Presupuesto</v>
          </cell>
        </row>
        <row r="11959">
          <cell r="A11959" t="str">
            <v>VEROBROKER</v>
          </cell>
          <cell r="B11959">
            <v>202504</v>
          </cell>
          <cell r="D11959" t="str">
            <v>Arte</v>
          </cell>
          <cell r="G11959" t="str">
            <v>Presupuesto</v>
          </cell>
        </row>
        <row r="11960">
          <cell r="A11960" t="str">
            <v>VEROBROKER</v>
          </cell>
          <cell r="B11960">
            <v>202504</v>
          </cell>
          <cell r="D11960" t="str">
            <v>Autos</v>
          </cell>
          <cell r="G11960" t="str">
            <v>Presupuesto</v>
          </cell>
        </row>
        <row r="11961">
          <cell r="A11961" t="str">
            <v>VEROBROKER</v>
          </cell>
          <cell r="B11961">
            <v>202504</v>
          </cell>
          <cell r="D11961" t="str">
            <v>Autos</v>
          </cell>
          <cell r="G11961" t="str">
            <v>Real</v>
          </cell>
        </row>
        <row r="11962">
          <cell r="A11962" t="str">
            <v>VEROBROKER</v>
          </cell>
          <cell r="B11962">
            <v>202504</v>
          </cell>
          <cell r="D11962" t="str">
            <v>B2B2C</v>
          </cell>
          <cell r="G11962" t="str">
            <v>Presupuesto</v>
          </cell>
        </row>
        <row r="11963">
          <cell r="A11963" t="str">
            <v>VEROBROKER</v>
          </cell>
          <cell r="B11963">
            <v>202504</v>
          </cell>
          <cell r="D11963" t="str">
            <v>Caución</v>
          </cell>
          <cell r="G11963" t="str">
            <v>Presupuesto</v>
          </cell>
        </row>
        <row r="11964">
          <cell r="A11964" t="str">
            <v>VEROBROKER</v>
          </cell>
          <cell r="B11964">
            <v>202504</v>
          </cell>
          <cell r="D11964" t="str">
            <v>Crédito Nacional</v>
          </cell>
          <cell r="G11964" t="str">
            <v>Real</v>
          </cell>
        </row>
        <row r="11965">
          <cell r="A11965" t="str">
            <v>VEROBROKER</v>
          </cell>
          <cell r="B11965">
            <v>202504</v>
          </cell>
          <cell r="D11965" t="str">
            <v>Crédito Internacional</v>
          </cell>
          <cell r="G11965" t="str">
            <v>Presupuesto</v>
          </cell>
        </row>
        <row r="11966">
          <cell r="A11966" t="str">
            <v>VEROBROKER</v>
          </cell>
          <cell r="B11966">
            <v>202504</v>
          </cell>
          <cell r="D11966" t="str">
            <v>Crédito Nacional</v>
          </cell>
          <cell r="G11966" t="str">
            <v>Presupuesto</v>
          </cell>
        </row>
        <row r="11967">
          <cell r="A11967" t="str">
            <v>VEROBROKER</v>
          </cell>
          <cell r="B11967">
            <v>202504</v>
          </cell>
          <cell r="D11967" t="str">
            <v>Eventos</v>
          </cell>
          <cell r="G11967" t="str">
            <v>Presupuesto</v>
          </cell>
        </row>
        <row r="11968">
          <cell r="A11968" t="str">
            <v>VEROBROKER</v>
          </cell>
          <cell r="B11968">
            <v>202504</v>
          </cell>
          <cell r="D11968" t="str">
            <v>Flotas</v>
          </cell>
          <cell r="G11968" t="str">
            <v>Presupuesto</v>
          </cell>
        </row>
        <row r="11969">
          <cell r="A11969" t="str">
            <v>VEROBROKER</v>
          </cell>
          <cell r="B11969">
            <v>202504</v>
          </cell>
          <cell r="D11969" t="str">
            <v>Hogar</v>
          </cell>
          <cell r="G11969" t="str">
            <v>Presupuesto</v>
          </cell>
        </row>
        <row r="11970">
          <cell r="A11970" t="str">
            <v>VEROBROKER</v>
          </cell>
          <cell r="B11970">
            <v>202504</v>
          </cell>
          <cell r="D11970" t="str">
            <v>Hogar</v>
          </cell>
          <cell r="G11970" t="str">
            <v>Real</v>
          </cell>
        </row>
        <row r="11971">
          <cell r="A11971" t="str">
            <v>VEROBROKER</v>
          </cell>
          <cell r="B11971">
            <v>202504</v>
          </cell>
          <cell r="D11971" t="str">
            <v>Ingeniería</v>
          </cell>
          <cell r="G11971" t="str">
            <v>Presupuesto</v>
          </cell>
        </row>
        <row r="11972">
          <cell r="A11972" t="str">
            <v>VEROBROKER</v>
          </cell>
          <cell r="B11972">
            <v>202504</v>
          </cell>
          <cell r="D11972" t="str">
            <v>Inmobiliario</v>
          </cell>
          <cell r="G11972" t="str">
            <v>Presupuesto</v>
          </cell>
        </row>
        <row r="11973">
          <cell r="A11973" t="str">
            <v>VEROBROKER</v>
          </cell>
          <cell r="B11973">
            <v>202504</v>
          </cell>
          <cell r="D11973" t="str">
            <v>Líneas Financieras</v>
          </cell>
          <cell r="G11973" t="str">
            <v>Presupuesto</v>
          </cell>
        </row>
        <row r="11974">
          <cell r="A11974" t="str">
            <v>VEROBROKER</v>
          </cell>
          <cell r="B11974">
            <v>202504</v>
          </cell>
          <cell r="D11974" t="str">
            <v>Líneas Financieras</v>
          </cell>
          <cell r="G11974" t="str">
            <v>Real</v>
          </cell>
        </row>
        <row r="11975">
          <cell r="A11975" t="str">
            <v>VEROBROKER</v>
          </cell>
          <cell r="B11975">
            <v>202504</v>
          </cell>
          <cell r="D11975" t="str">
            <v>Náutica</v>
          </cell>
          <cell r="G11975" t="str">
            <v>Presupuesto</v>
          </cell>
        </row>
        <row r="11976">
          <cell r="A11976" t="str">
            <v>VEROBROKER</v>
          </cell>
          <cell r="B11976">
            <v>202504</v>
          </cell>
          <cell r="D11976" t="str">
            <v>Particulares Resto</v>
          </cell>
          <cell r="G11976" t="str">
            <v>Presupuesto</v>
          </cell>
        </row>
        <row r="11977">
          <cell r="A11977" t="str">
            <v>VEROBROKER</v>
          </cell>
          <cell r="B11977">
            <v>202504</v>
          </cell>
          <cell r="D11977" t="str">
            <v>Property</v>
          </cell>
          <cell r="G11977" t="str">
            <v>Presupuesto</v>
          </cell>
        </row>
        <row r="11978">
          <cell r="A11978" t="str">
            <v>VEROBROKER</v>
          </cell>
          <cell r="B11978">
            <v>202504</v>
          </cell>
          <cell r="D11978" t="str">
            <v>Property</v>
          </cell>
          <cell r="G11978" t="str">
            <v>Real</v>
          </cell>
        </row>
        <row r="11979">
          <cell r="A11979" t="str">
            <v>VEROBROKER</v>
          </cell>
          <cell r="B11979">
            <v>202504</v>
          </cell>
          <cell r="D11979" t="str">
            <v>RC</v>
          </cell>
          <cell r="G11979" t="str">
            <v>Presupuesto</v>
          </cell>
        </row>
        <row r="11980">
          <cell r="A11980" t="str">
            <v>VEROBROKER</v>
          </cell>
          <cell r="B11980">
            <v>202504</v>
          </cell>
          <cell r="D11980" t="str">
            <v>RC</v>
          </cell>
          <cell r="G11980" t="str">
            <v>Real</v>
          </cell>
        </row>
        <row r="11981">
          <cell r="A11981" t="str">
            <v>VEROBROKER</v>
          </cell>
          <cell r="B11981">
            <v>202504</v>
          </cell>
          <cell r="D11981" t="str">
            <v>Resto de lineas</v>
          </cell>
          <cell r="G11981" t="str">
            <v>Presupuesto</v>
          </cell>
        </row>
        <row r="11982">
          <cell r="A11982" t="str">
            <v>VEROBROKER</v>
          </cell>
          <cell r="B11982">
            <v>202504</v>
          </cell>
          <cell r="D11982" t="str">
            <v>Retirada</v>
          </cell>
          <cell r="G11982" t="str">
            <v>Presupuesto</v>
          </cell>
        </row>
        <row r="11983">
          <cell r="A11983" t="str">
            <v>VEROBROKER</v>
          </cell>
          <cell r="B11983">
            <v>202504</v>
          </cell>
          <cell r="D11983" t="str">
            <v>Seguros Personales (No Vida) Colectivos</v>
          </cell>
          <cell r="G11983" t="str">
            <v>Presupuesto</v>
          </cell>
        </row>
        <row r="11984">
          <cell r="A11984" t="str">
            <v>VEROBROKER</v>
          </cell>
          <cell r="B11984">
            <v>202504</v>
          </cell>
          <cell r="D11984" t="str">
            <v>Seguros Personales (No Vida) Colectivos</v>
          </cell>
          <cell r="G11984" t="str">
            <v>Real</v>
          </cell>
        </row>
        <row r="11985">
          <cell r="A11985" t="str">
            <v>VEROBROKER</v>
          </cell>
          <cell r="B11985">
            <v>202504</v>
          </cell>
          <cell r="D11985" t="str">
            <v>Seguros Personales (No Vida) Particular</v>
          </cell>
          <cell r="G11985" t="str">
            <v>Presupuesto</v>
          </cell>
        </row>
        <row r="11986">
          <cell r="A11986" t="str">
            <v>VEROBROKER</v>
          </cell>
          <cell r="B11986">
            <v>202504</v>
          </cell>
          <cell r="D11986" t="str">
            <v>Seguros Personales (No Vida) Particular</v>
          </cell>
          <cell r="G11986" t="str">
            <v>Real</v>
          </cell>
        </row>
        <row r="11987">
          <cell r="A11987" t="str">
            <v>VEROBROKER</v>
          </cell>
          <cell r="B11987">
            <v>202504</v>
          </cell>
          <cell r="D11987" t="str">
            <v>Transporte</v>
          </cell>
          <cell r="G11987" t="str">
            <v>Presupuesto</v>
          </cell>
        </row>
        <row r="11988">
          <cell r="A11988" t="str">
            <v>VEROBROKER</v>
          </cell>
          <cell r="B11988">
            <v>202504</v>
          </cell>
          <cell r="D11988" t="str">
            <v>Transporte</v>
          </cell>
          <cell r="G11988" t="str">
            <v>Real</v>
          </cell>
        </row>
        <row r="11989">
          <cell r="A11989" t="str">
            <v>VEROBROKER</v>
          </cell>
          <cell r="B11989">
            <v>202504</v>
          </cell>
          <cell r="D11989" t="str">
            <v>Venta Cruzada</v>
          </cell>
          <cell r="G11989" t="str">
            <v>Presupuesto</v>
          </cell>
        </row>
        <row r="11990">
          <cell r="A11990" t="str">
            <v>VEROBROKER</v>
          </cell>
          <cell r="B11990">
            <v>202504</v>
          </cell>
          <cell r="D11990" t="str">
            <v>Vida Ahorro Colectivo</v>
          </cell>
          <cell r="G11990" t="str">
            <v>Presupuesto</v>
          </cell>
        </row>
        <row r="11991">
          <cell r="A11991" t="str">
            <v>VEROBROKER</v>
          </cell>
          <cell r="B11991">
            <v>202504</v>
          </cell>
          <cell r="D11991" t="str">
            <v>Vida Ahorro Particular</v>
          </cell>
          <cell r="G11991" t="str">
            <v>Presupuesto</v>
          </cell>
        </row>
        <row r="11992">
          <cell r="A11992" t="str">
            <v>VEROBROKER</v>
          </cell>
          <cell r="B11992">
            <v>202504</v>
          </cell>
          <cell r="D11992" t="str">
            <v>Vida Ahorro Particular</v>
          </cell>
          <cell r="G11992" t="str">
            <v>Real</v>
          </cell>
        </row>
        <row r="11993">
          <cell r="A11993" t="str">
            <v>VEROBROKER</v>
          </cell>
          <cell r="B11993">
            <v>202504</v>
          </cell>
          <cell r="D11993" t="str">
            <v>Vida Ganado</v>
          </cell>
          <cell r="G11993" t="str">
            <v>Presupuesto</v>
          </cell>
        </row>
        <row r="11994">
          <cell r="A11994" t="str">
            <v>VEROBROKER</v>
          </cell>
          <cell r="B11994">
            <v>202504</v>
          </cell>
          <cell r="D11994" t="str">
            <v>Vida Riesgo Colectivo</v>
          </cell>
          <cell r="G11994" t="str">
            <v>Presupuesto</v>
          </cell>
        </row>
        <row r="11995">
          <cell r="A11995" t="str">
            <v>VEROBROKER</v>
          </cell>
          <cell r="B11995">
            <v>202504</v>
          </cell>
          <cell r="D11995" t="str">
            <v>Vida Riesgo Particular</v>
          </cell>
          <cell r="G11995" t="str">
            <v>Presupuesto</v>
          </cell>
        </row>
        <row r="11996">
          <cell r="A11996" t="str">
            <v>VEROBROKER</v>
          </cell>
          <cell r="B11996">
            <v>202504</v>
          </cell>
          <cell r="D11996" t="str">
            <v>Vida Riesgo Particular</v>
          </cell>
          <cell r="G11996" t="str">
            <v>Real</v>
          </cell>
        </row>
        <row r="11997">
          <cell r="A11997" t="str">
            <v>VEROBROKER</v>
          </cell>
          <cell r="B11997">
            <v>202505</v>
          </cell>
          <cell r="D11997" t="str">
            <v>--</v>
          </cell>
          <cell r="G11997" t="str">
            <v>Presupuesto</v>
          </cell>
        </row>
        <row r="11998">
          <cell r="A11998" t="str">
            <v>VEROBROKER</v>
          </cell>
          <cell r="B11998">
            <v>202505</v>
          </cell>
          <cell r="D11998" t="str">
            <v>Arte</v>
          </cell>
          <cell r="G11998" t="str">
            <v>Presupuesto</v>
          </cell>
        </row>
        <row r="11999">
          <cell r="A11999" t="str">
            <v>VEROBROKER</v>
          </cell>
          <cell r="B11999">
            <v>202505</v>
          </cell>
          <cell r="D11999" t="str">
            <v>Autos</v>
          </cell>
          <cell r="G11999" t="str">
            <v>Presupuesto</v>
          </cell>
        </row>
        <row r="12000">
          <cell r="A12000" t="str">
            <v>VEROBROKER</v>
          </cell>
          <cell r="B12000">
            <v>202505</v>
          </cell>
          <cell r="D12000" t="str">
            <v>Autos</v>
          </cell>
          <cell r="G12000" t="str">
            <v>Real</v>
          </cell>
        </row>
        <row r="12001">
          <cell r="A12001" t="str">
            <v>VEROBROKER</v>
          </cell>
          <cell r="B12001">
            <v>202505</v>
          </cell>
          <cell r="D12001" t="str">
            <v>B2B2C</v>
          </cell>
          <cell r="G12001" t="str">
            <v>Presupuesto</v>
          </cell>
        </row>
        <row r="12002">
          <cell r="A12002" t="str">
            <v>VEROBROKER</v>
          </cell>
          <cell r="B12002">
            <v>202505</v>
          </cell>
          <cell r="D12002" t="str">
            <v>Caución</v>
          </cell>
          <cell r="G12002" t="str">
            <v>Presupuesto</v>
          </cell>
        </row>
        <row r="12003">
          <cell r="A12003" t="str">
            <v>VEROBROKER</v>
          </cell>
          <cell r="B12003">
            <v>202505</v>
          </cell>
          <cell r="D12003" t="str">
            <v>Crédito Nacional</v>
          </cell>
          <cell r="G12003" t="str">
            <v>Real</v>
          </cell>
        </row>
        <row r="12004">
          <cell r="A12004" t="str">
            <v>VEROBROKER</v>
          </cell>
          <cell r="B12004">
            <v>202505</v>
          </cell>
          <cell r="D12004" t="str">
            <v>Crédito Internacional</v>
          </cell>
          <cell r="G12004" t="str">
            <v>Presupuesto</v>
          </cell>
        </row>
        <row r="12005">
          <cell r="A12005" t="str">
            <v>VEROBROKER</v>
          </cell>
          <cell r="B12005">
            <v>202505</v>
          </cell>
          <cell r="D12005" t="str">
            <v>Crédito Nacional</v>
          </cell>
          <cell r="G12005" t="str">
            <v>Presupuesto</v>
          </cell>
        </row>
        <row r="12006">
          <cell r="A12006" t="str">
            <v>VEROBROKER</v>
          </cell>
          <cell r="B12006">
            <v>202505</v>
          </cell>
          <cell r="D12006" t="str">
            <v>Eventos</v>
          </cell>
          <cell r="G12006" t="str">
            <v>Presupuesto</v>
          </cell>
        </row>
        <row r="12007">
          <cell r="A12007" t="str">
            <v>VEROBROKER</v>
          </cell>
          <cell r="B12007">
            <v>202505</v>
          </cell>
          <cell r="D12007" t="str">
            <v>Flotas</v>
          </cell>
          <cell r="G12007" t="str">
            <v>Presupuesto</v>
          </cell>
        </row>
        <row r="12008">
          <cell r="A12008" t="str">
            <v>VEROBROKER</v>
          </cell>
          <cell r="B12008">
            <v>202505</v>
          </cell>
          <cell r="D12008" t="str">
            <v>Hogar</v>
          </cell>
          <cell r="G12008" t="str">
            <v>Presupuesto</v>
          </cell>
        </row>
        <row r="12009">
          <cell r="A12009" t="str">
            <v>VEROBROKER</v>
          </cell>
          <cell r="B12009">
            <v>202505</v>
          </cell>
          <cell r="D12009" t="str">
            <v>Hogar</v>
          </cell>
          <cell r="G12009" t="str">
            <v>Real</v>
          </cell>
        </row>
        <row r="12010">
          <cell r="A12010" t="str">
            <v>VEROBROKER</v>
          </cell>
          <cell r="B12010">
            <v>202505</v>
          </cell>
          <cell r="D12010" t="str">
            <v>Ingeniería</v>
          </cell>
          <cell r="G12010" t="str">
            <v>Presupuesto</v>
          </cell>
        </row>
        <row r="12011">
          <cell r="A12011" t="str">
            <v>VEROBROKER</v>
          </cell>
          <cell r="B12011">
            <v>202505</v>
          </cell>
          <cell r="D12011" t="str">
            <v>Inmobiliario</v>
          </cell>
          <cell r="G12011" t="str">
            <v>Presupuesto</v>
          </cell>
        </row>
        <row r="12012">
          <cell r="A12012" t="str">
            <v>VEROBROKER</v>
          </cell>
          <cell r="B12012">
            <v>202505</v>
          </cell>
          <cell r="D12012" t="str">
            <v>Líneas Financieras</v>
          </cell>
          <cell r="G12012" t="str">
            <v>Presupuesto</v>
          </cell>
        </row>
        <row r="12013">
          <cell r="A12013" t="str">
            <v>VEROBROKER</v>
          </cell>
          <cell r="B12013">
            <v>202505</v>
          </cell>
          <cell r="D12013" t="str">
            <v>Líneas Financieras</v>
          </cell>
          <cell r="G12013" t="str">
            <v>Real</v>
          </cell>
        </row>
        <row r="12014">
          <cell r="A12014" t="str">
            <v>VEROBROKER</v>
          </cell>
          <cell r="B12014">
            <v>202505</v>
          </cell>
          <cell r="D12014" t="str">
            <v>Náutica</v>
          </cell>
          <cell r="G12014" t="str">
            <v>Presupuesto</v>
          </cell>
        </row>
        <row r="12015">
          <cell r="A12015" t="str">
            <v>VEROBROKER</v>
          </cell>
          <cell r="B12015">
            <v>202505</v>
          </cell>
          <cell r="D12015" t="str">
            <v>Particulares Resto</v>
          </cell>
          <cell r="G12015" t="str">
            <v>Presupuesto</v>
          </cell>
        </row>
        <row r="12016">
          <cell r="A12016" t="str">
            <v>VEROBROKER</v>
          </cell>
          <cell r="B12016">
            <v>202505</v>
          </cell>
          <cell r="D12016" t="str">
            <v>Property</v>
          </cell>
          <cell r="G12016" t="str">
            <v>Presupuesto</v>
          </cell>
        </row>
        <row r="12017">
          <cell r="A12017" t="str">
            <v>VEROBROKER</v>
          </cell>
          <cell r="B12017">
            <v>202505</v>
          </cell>
          <cell r="D12017" t="str">
            <v>Property</v>
          </cell>
          <cell r="G12017" t="str">
            <v>Real</v>
          </cell>
        </row>
        <row r="12018">
          <cell r="A12018" t="str">
            <v>VEROBROKER</v>
          </cell>
          <cell r="B12018">
            <v>202505</v>
          </cell>
          <cell r="D12018" t="str">
            <v>RC</v>
          </cell>
          <cell r="G12018" t="str">
            <v>Presupuesto</v>
          </cell>
        </row>
        <row r="12019">
          <cell r="A12019" t="str">
            <v>VEROBROKER</v>
          </cell>
          <cell r="B12019">
            <v>202505</v>
          </cell>
          <cell r="D12019" t="str">
            <v>RC</v>
          </cell>
          <cell r="G12019" t="str">
            <v>Real</v>
          </cell>
        </row>
        <row r="12020">
          <cell r="A12020" t="str">
            <v>VEROBROKER</v>
          </cell>
          <cell r="B12020">
            <v>202505</v>
          </cell>
          <cell r="D12020" t="str">
            <v>Resto de lineas</v>
          </cell>
          <cell r="G12020" t="str">
            <v>Presupuesto</v>
          </cell>
        </row>
        <row r="12021">
          <cell r="A12021" t="str">
            <v>VEROBROKER</v>
          </cell>
          <cell r="B12021">
            <v>202505</v>
          </cell>
          <cell r="D12021" t="str">
            <v>Retirada</v>
          </cell>
          <cell r="G12021" t="str">
            <v>Presupuesto</v>
          </cell>
        </row>
        <row r="12022">
          <cell r="A12022" t="str">
            <v>VEROBROKER</v>
          </cell>
          <cell r="B12022">
            <v>202505</v>
          </cell>
          <cell r="D12022" t="str">
            <v>Seguros Personales (No Vida) Colectivos</v>
          </cell>
          <cell r="G12022" t="str">
            <v>Presupuesto</v>
          </cell>
        </row>
        <row r="12023">
          <cell r="A12023" t="str">
            <v>VEROBROKER</v>
          </cell>
          <cell r="B12023">
            <v>202505</v>
          </cell>
          <cell r="D12023" t="str">
            <v>Seguros Personales (No Vida) Colectivos</v>
          </cell>
          <cell r="G12023" t="str">
            <v>Real</v>
          </cell>
        </row>
        <row r="12024">
          <cell r="A12024" t="str">
            <v>VEROBROKER</v>
          </cell>
          <cell r="B12024">
            <v>202505</v>
          </cell>
          <cell r="D12024" t="str">
            <v>Seguros Personales (No Vida) Particular</v>
          </cell>
          <cell r="G12024" t="str">
            <v>Presupuesto</v>
          </cell>
        </row>
        <row r="12025">
          <cell r="A12025" t="str">
            <v>VEROBROKER</v>
          </cell>
          <cell r="B12025">
            <v>202505</v>
          </cell>
          <cell r="D12025" t="str">
            <v>Seguros Personales (No Vida) Particular</v>
          </cell>
          <cell r="G12025" t="str">
            <v>Real</v>
          </cell>
        </row>
        <row r="12026">
          <cell r="A12026" t="str">
            <v>VEROBROKER</v>
          </cell>
          <cell r="B12026">
            <v>202505</v>
          </cell>
          <cell r="D12026" t="str">
            <v>Transporte</v>
          </cell>
          <cell r="G12026" t="str">
            <v>Presupuesto</v>
          </cell>
        </row>
        <row r="12027">
          <cell r="A12027" t="str">
            <v>VEROBROKER</v>
          </cell>
          <cell r="B12027">
            <v>202505</v>
          </cell>
          <cell r="D12027" t="str">
            <v>Transporte</v>
          </cell>
          <cell r="G12027" t="str">
            <v>Real</v>
          </cell>
        </row>
        <row r="12028">
          <cell r="A12028" t="str">
            <v>VEROBROKER</v>
          </cell>
          <cell r="B12028">
            <v>202505</v>
          </cell>
          <cell r="D12028" t="str">
            <v>Venta Cruzada</v>
          </cell>
          <cell r="G12028" t="str">
            <v>Presupuesto</v>
          </cell>
        </row>
        <row r="12029">
          <cell r="A12029" t="str">
            <v>VEROBROKER</v>
          </cell>
          <cell r="B12029">
            <v>202505</v>
          </cell>
          <cell r="D12029" t="str">
            <v>Vida Ahorro Colectivo</v>
          </cell>
          <cell r="G12029" t="str">
            <v>Presupuesto</v>
          </cell>
        </row>
        <row r="12030">
          <cell r="A12030" t="str">
            <v>VEROBROKER</v>
          </cell>
          <cell r="B12030">
            <v>202505</v>
          </cell>
          <cell r="D12030" t="str">
            <v>Vida Ahorro Particular</v>
          </cell>
          <cell r="G12030" t="str">
            <v>Presupuesto</v>
          </cell>
        </row>
        <row r="12031">
          <cell r="A12031" t="str">
            <v>VEROBROKER</v>
          </cell>
          <cell r="B12031">
            <v>202505</v>
          </cell>
          <cell r="D12031" t="str">
            <v>Vida Ahorro Particular</v>
          </cell>
          <cell r="G12031" t="str">
            <v>Real</v>
          </cell>
        </row>
        <row r="12032">
          <cell r="A12032" t="str">
            <v>VEROBROKER</v>
          </cell>
          <cell r="B12032">
            <v>202505</v>
          </cell>
          <cell r="D12032" t="str">
            <v>Vida Ganado</v>
          </cell>
          <cell r="G12032" t="str">
            <v>Presupuesto</v>
          </cell>
        </row>
        <row r="12033">
          <cell r="A12033" t="str">
            <v>VEROBROKER</v>
          </cell>
          <cell r="B12033">
            <v>202505</v>
          </cell>
          <cell r="D12033" t="str">
            <v>Vida Riesgo Colectivo</v>
          </cell>
          <cell r="G12033" t="str">
            <v>Presupuesto</v>
          </cell>
        </row>
        <row r="12034">
          <cell r="A12034" t="str">
            <v>VEROBROKER</v>
          </cell>
          <cell r="B12034">
            <v>202505</v>
          </cell>
          <cell r="D12034" t="str">
            <v>Vida Riesgo Particular</v>
          </cell>
          <cell r="G12034" t="str">
            <v>Presupuesto</v>
          </cell>
        </row>
        <row r="12035">
          <cell r="A12035" t="str">
            <v>VEROBROKER</v>
          </cell>
          <cell r="B12035">
            <v>202505</v>
          </cell>
          <cell r="D12035" t="str">
            <v>Vida Riesgo Particular</v>
          </cell>
          <cell r="G12035" t="str">
            <v>Real</v>
          </cell>
        </row>
        <row r="12036">
          <cell r="A12036" t="str">
            <v>VEROBROKER</v>
          </cell>
          <cell r="B12036">
            <v>202506</v>
          </cell>
          <cell r="D12036" t="str">
            <v>--</v>
          </cell>
          <cell r="G12036" t="str">
            <v>Presupuesto</v>
          </cell>
        </row>
        <row r="12037">
          <cell r="A12037" t="str">
            <v>VEROBROKER</v>
          </cell>
          <cell r="B12037">
            <v>202506</v>
          </cell>
          <cell r="D12037" t="str">
            <v>Arte</v>
          </cell>
          <cell r="G12037" t="str">
            <v>Presupuesto</v>
          </cell>
        </row>
        <row r="12038">
          <cell r="A12038" t="str">
            <v>VEROBROKER</v>
          </cell>
          <cell r="B12038">
            <v>202506</v>
          </cell>
          <cell r="D12038" t="str">
            <v>Autos</v>
          </cell>
          <cell r="G12038" t="str">
            <v>Presupuesto</v>
          </cell>
        </row>
        <row r="12039">
          <cell r="A12039" t="str">
            <v>VEROBROKER</v>
          </cell>
          <cell r="B12039">
            <v>202506</v>
          </cell>
          <cell r="D12039" t="str">
            <v>Autos</v>
          </cell>
          <cell r="G12039" t="str">
            <v>Real</v>
          </cell>
        </row>
        <row r="12040">
          <cell r="A12040" t="str">
            <v>VEROBROKER</v>
          </cell>
          <cell r="B12040">
            <v>202506</v>
          </cell>
          <cell r="D12040" t="str">
            <v>B2B2C</v>
          </cell>
          <cell r="G12040" t="str">
            <v>Presupuesto</v>
          </cell>
        </row>
        <row r="12041">
          <cell r="A12041" t="str">
            <v>VEROBROKER</v>
          </cell>
          <cell r="B12041">
            <v>202506</v>
          </cell>
          <cell r="D12041" t="str">
            <v>Caución</v>
          </cell>
          <cell r="G12041" t="str">
            <v>Presupuesto</v>
          </cell>
        </row>
        <row r="12042">
          <cell r="A12042" t="str">
            <v>VEROBROKER</v>
          </cell>
          <cell r="B12042">
            <v>202506</v>
          </cell>
          <cell r="D12042" t="str">
            <v>Crédito Nacional</v>
          </cell>
          <cell r="G12042" t="str">
            <v>Real</v>
          </cell>
        </row>
        <row r="12043">
          <cell r="A12043" t="str">
            <v>VEROBROKER</v>
          </cell>
          <cell r="B12043">
            <v>202506</v>
          </cell>
          <cell r="D12043" t="str">
            <v>Crédito Internacional</v>
          </cell>
          <cell r="G12043" t="str">
            <v>Presupuesto</v>
          </cell>
        </row>
        <row r="12044">
          <cell r="A12044" t="str">
            <v>VEROBROKER</v>
          </cell>
          <cell r="B12044">
            <v>202506</v>
          </cell>
          <cell r="D12044" t="str">
            <v>Crédito Nacional</v>
          </cell>
          <cell r="G12044" t="str">
            <v>Presupuesto</v>
          </cell>
        </row>
        <row r="12045">
          <cell r="A12045" t="str">
            <v>VEROBROKER</v>
          </cell>
          <cell r="B12045">
            <v>202506</v>
          </cell>
          <cell r="D12045" t="str">
            <v>Eventos</v>
          </cell>
          <cell r="G12045" t="str">
            <v>Presupuesto</v>
          </cell>
        </row>
        <row r="12046">
          <cell r="A12046" t="str">
            <v>VEROBROKER</v>
          </cell>
          <cell r="B12046">
            <v>202506</v>
          </cell>
          <cell r="D12046" t="str">
            <v>Flotas</v>
          </cell>
          <cell r="G12046" t="str">
            <v>Presupuesto</v>
          </cell>
        </row>
        <row r="12047">
          <cell r="A12047" t="str">
            <v>VEROBROKER</v>
          </cell>
          <cell r="B12047">
            <v>202506</v>
          </cell>
          <cell r="D12047" t="str">
            <v>Hogar</v>
          </cell>
          <cell r="G12047" t="str">
            <v>Presupuesto</v>
          </cell>
        </row>
        <row r="12048">
          <cell r="A12048" t="str">
            <v>VEROBROKER</v>
          </cell>
          <cell r="B12048">
            <v>202506</v>
          </cell>
          <cell r="D12048" t="str">
            <v>Hogar</v>
          </cell>
          <cell r="G12048" t="str">
            <v>Real</v>
          </cell>
        </row>
        <row r="12049">
          <cell r="A12049" t="str">
            <v>VEROBROKER</v>
          </cell>
          <cell r="B12049">
            <v>202506</v>
          </cell>
          <cell r="D12049" t="str">
            <v>Ingeniería</v>
          </cell>
          <cell r="G12049" t="str">
            <v>Presupuesto</v>
          </cell>
        </row>
        <row r="12050">
          <cell r="A12050" t="str">
            <v>VEROBROKER</v>
          </cell>
          <cell r="B12050">
            <v>202506</v>
          </cell>
          <cell r="D12050" t="str">
            <v>Inmobiliario</v>
          </cell>
          <cell r="G12050" t="str">
            <v>Presupuesto</v>
          </cell>
        </row>
        <row r="12051">
          <cell r="A12051" t="str">
            <v>VEROBROKER</v>
          </cell>
          <cell r="B12051">
            <v>202506</v>
          </cell>
          <cell r="D12051" t="str">
            <v>Líneas Financieras</v>
          </cell>
          <cell r="G12051" t="str">
            <v>Presupuesto</v>
          </cell>
        </row>
        <row r="12052">
          <cell r="A12052" t="str">
            <v>VEROBROKER</v>
          </cell>
          <cell r="B12052">
            <v>202506</v>
          </cell>
          <cell r="D12052" t="str">
            <v>Líneas Financieras</v>
          </cell>
          <cell r="G12052" t="str">
            <v>Real</v>
          </cell>
        </row>
        <row r="12053">
          <cell r="A12053" t="str">
            <v>VEROBROKER</v>
          </cell>
          <cell r="B12053">
            <v>202506</v>
          </cell>
          <cell r="D12053" t="str">
            <v>Náutica</v>
          </cell>
          <cell r="G12053" t="str">
            <v>Presupuesto</v>
          </cell>
        </row>
        <row r="12054">
          <cell r="A12054" t="str">
            <v>VEROBROKER</v>
          </cell>
          <cell r="B12054">
            <v>202506</v>
          </cell>
          <cell r="D12054" t="str">
            <v>Particulares Resto</v>
          </cell>
          <cell r="G12054" t="str">
            <v>Presupuesto</v>
          </cell>
        </row>
        <row r="12055">
          <cell r="A12055" t="str">
            <v>VEROBROKER</v>
          </cell>
          <cell r="B12055">
            <v>202506</v>
          </cell>
          <cell r="D12055" t="str">
            <v>Property</v>
          </cell>
          <cell r="G12055" t="str">
            <v>Presupuesto</v>
          </cell>
        </row>
        <row r="12056">
          <cell r="A12056" t="str">
            <v>VEROBROKER</v>
          </cell>
          <cell r="B12056">
            <v>202506</v>
          </cell>
          <cell r="D12056" t="str">
            <v>Property</v>
          </cell>
          <cell r="G12056" t="str">
            <v>Real</v>
          </cell>
        </row>
        <row r="12057">
          <cell r="A12057" t="str">
            <v>VEROBROKER</v>
          </cell>
          <cell r="B12057">
            <v>202506</v>
          </cell>
          <cell r="D12057" t="str">
            <v>RC</v>
          </cell>
          <cell r="G12057" t="str">
            <v>Presupuesto</v>
          </cell>
        </row>
        <row r="12058">
          <cell r="A12058" t="str">
            <v>VEROBROKER</v>
          </cell>
          <cell r="B12058">
            <v>202506</v>
          </cell>
          <cell r="D12058" t="str">
            <v>RC</v>
          </cell>
          <cell r="G12058" t="str">
            <v>Real</v>
          </cell>
        </row>
        <row r="12059">
          <cell r="A12059" t="str">
            <v>VEROBROKER</v>
          </cell>
          <cell r="B12059">
            <v>202506</v>
          </cell>
          <cell r="D12059" t="str">
            <v>Resto de lineas</v>
          </cell>
          <cell r="G12059" t="str">
            <v>Presupuesto</v>
          </cell>
        </row>
        <row r="12060">
          <cell r="A12060" t="str">
            <v>VEROBROKER</v>
          </cell>
          <cell r="B12060">
            <v>202506</v>
          </cell>
          <cell r="D12060" t="str">
            <v>Retirada</v>
          </cell>
          <cell r="G12060" t="str">
            <v>Presupuesto</v>
          </cell>
        </row>
        <row r="12061">
          <cell r="A12061" t="str">
            <v>VEROBROKER</v>
          </cell>
          <cell r="B12061">
            <v>202506</v>
          </cell>
          <cell r="D12061" t="str">
            <v>Seguros Personales (No Vida) Colectivos</v>
          </cell>
          <cell r="G12061" t="str">
            <v>Presupuesto</v>
          </cell>
        </row>
        <row r="12062">
          <cell r="A12062" t="str">
            <v>VEROBROKER</v>
          </cell>
          <cell r="B12062">
            <v>202506</v>
          </cell>
          <cell r="D12062" t="str">
            <v>Seguros Personales (No Vida) Colectivos</v>
          </cell>
          <cell r="G12062" t="str">
            <v>Real</v>
          </cell>
        </row>
        <row r="12063">
          <cell r="A12063" t="str">
            <v>VEROBROKER</v>
          </cell>
          <cell r="B12063">
            <v>202506</v>
          </cell>
          <cell r="D12063" t="str">
            <v>Seguros Personales (No Vida) Particular</v>
          </cell>
          <cell r="G12063" t="str">
            <v>Presupuesto</v>
          </cell>
        </row>
        <row r="12064">
          <cell r="A12064" t="str">
            <v>VEROBROKER</v>
          </cell>
          <cell r="B12064">
            <v>202506</v>
          </cell>
          <cell r="D12064" t="str">
            <v>Seguros Personales (No Vida) Particular</v>
          </cell>
          <cell r="G12064" t="str">
            <v>Real</v>
          </cell>
        </row>
        <row r="12065">
          <cell r="A12065" t="str">
            <v>VEROBROKER</v>
          </cell>
          <cell r="B12065">
            <v>202506</v>
          </cell>
          <cell r="D12065" t="str">
            <v>Transporte</v>
          </cell>
          <cell r="G12065" t="str">
            <v>Presupuesto</v>
          </cell>
        </row>
        <row r="12066">
          <cell r="A12066" t="str">
            <v>VEROBROKER</v>
          </cell>
          <cell r="B12066">
            <v>202506</v>
          </cell>
          <cell r="D12066" t="str">
            <v>Transporte</v>
          </cell>
          <cell r="G12066" t="str">
            <v>Real</v>
          </cell>
        </row>
        <row r="12067">
          <cell r="A12067" t="str">
            <v>VEROBROKER</v>
          </cell>
          <cell r="B12067">
            <v>202506</v>
          </cell>
          <cell r="D12067" t="str">
            <v>Venta Cruzada</v>
          </cell>
          <cell r="G12067" t="str">
            <v>Presupuesto</v>
          </cell>
        </row>
        <row r="12068">
          <cell r="A12068" t="str">
            <v>VEROBROKER</v>
          </cell>
          <cell r="B12068">
            <v>202506</v>
          </cell>
          <cell r="D12068" t="str">
            <v>Vida Ahorro Colectivo</v>
          </cell>
          <cell r="G12068" t="str">
            <v>Presupuesto</v>
          </cell>
        </row>
        <row r="12069">
          <cell r="A12069" t="str">
            <v>VEROBROKER</v>
          </cell>
          <cell r="B12069">
            <v>202506</v>
          </cell>
          <cell r="D12069" t="str">
            <v>Vida Ahorro Particular</v>
          </cell>
          <cell r="G12069" t="str">
            <v>Presupuesto</v>
          </cell>
        </row>
        <row r="12070">
          <cell r="A12070" t="str">
            <v>VEROBROKER</v>
          </cell>
          <cell r="B12070">
            <v>202506</v>
          </cell>
          <cell r="D12070" t="str">
            <v>Vida Ahorro Particular</v>
          </cell>
          <cell r="G12070" t="str">
            <v>Real</v>
          </cell>
        </row>
        <row r="12071">
          <cell r="A12071" t="str">
            <v>VEROBROKER</v>
          </cell>
          <cell r="B12071">
            <v>202506</v>
          </cell>
          <cell r="D12071" t="str">
            <v>Vida Ganado</v>
          </cell>
          <cell r="G12071" t="str">
            <v>Presupuesto</v>
          </cell>
        </row>
        <row r="12072">
          <cell r="A12072" t="str">
            <v>VEROBROKER</v>
          </cell>
          <cell r="B12072">
            <v>202506</v>
          </cell>
          <cell r="D12072" t="str">
            <v>Vida Riesgo Colectivo</v>
          </cell>
          <cell r="G12072" t="str">
            <v>Presupuesto</v>
          </cell>
        </row>
        <row r="12073">
          <cell r="A12073" t="str">
            <v>VEROBROKER</v>
          </cell>
          <cell r="B12073">
            <v>202506</v>
          </cell>
          <cell r="D12073" t="str">
            <v>Vida Riesgo Particular</v>
          </cell>
          <cell r="G12073" t="str">
            <v>Presupuesto</v>
          </cell>
        </row>
        <row r="12074">
          <cell r="A12074" t="str">
            <v>VEROBROKER</v>
          </cell>
          <cell r="B12074">
            <v>202506</v>
          </cell>
          <cell r="D12074" t="str">
            <v>Vida Riesgo Particular</v>
          </cell>
          <cell r="G12074" t="str">
            <v>Real</v>
          </cell>
        </row>
        <row r="12075">
          <cell r="A12075" t="str">
            <v>VEROBROKER</v>
          </cell>
          <cell r="B12075">
            <v>202507</v>
          </cell>
          <cell r="D12075" t="str">
            <v>--</v>
          </cell>
          <cell r="G12075" t="str">
            <v>Presupuesto</v>
          </cell>
        </row>
        <row r="12076">
          <cell r="A12076" t="str">
            <v>VEROBROKER</v>
          </cell>
          <cell r="B12076">
            <v>202507</v>
          </cell>
          <cell r="D12076" t="str">
            <v>--</v>
          </cell>
          <cell r="G12076" t="str">
            <v>Real</v>
          </cell>
        </row>
        <row r="12077">
          <cell r="A12077" t="str">
            <v>VEROBROKER</v>
          </cell>
          <cell r="B12077">
            <v>202507</v>
          </cell>
          <cell r="D12077" t="str">
            <v>Arte</v>
          </cell>
          <cell r="G12077" t="str">
            <v>Presupuesto</v>
          </cell>
        </row>
        <row r="12078">
          <cell r="A12078" t="str">
            <v>VEROBROKER</v>
          </cell>
          <cell r="B12078">
            <v>202507</v>
          </cell>
          <cell r="D12078" t="str">
            <v>Autos</v>
          </cell>
          <cell r="G12078" t="str">
            <v>Presupuesto</v>
          </cell>
        </row>
        <row r="12079">
          <cell r="A12079" t="str">
            <v>VEROBROKER</v>
          </cell>
          <cell r="B12079">
            <v>202507</v>
          </cell>
          <cell r="D12079" t="str">
            <v>Autos</v>
          </cell>
          <cell r="G12079" t="str">
            <v>Real</v>
          </cell>
        </row>
        <row r="12080">
          <cell r="A12080" t="str">
            <v>VEROBROKER</v>
          </cell>
          <cell r="B12080">
            <v>202507</v>
          </cell>
          <cell r="D12080" t="str">
            <v>B2B2C</v>
          </cell>
          <cell r="G12080" t="str">
            <v>Presupuesto</v>
          </cell>
        </row>
        <row r="12081">
          <cell r="A12081" t="str">
            <v>VEROBROKER</v>
          </cell>
          <cell r="B12081">
            <v>202507</v>
          </cell>
          <cell r="D12081" t="str">
            <v>Caución</v>
          </cell>
          <cell r="G12081" t="str">
            <v>Presupuesto</v>
          </cell>
        </row>
        <row r="12082">
          <cell r="A12082" t="str">
            <v>VEROBROKER</v>
          </cell>
          <cell r="B12082">
            <v>202507</v>
          </cell>
          <cell r="D12082" t="str">
            <v>Crédito Nacional</v>
          </cell>
          <cell r="G12082" t="str">
            <v>Real</v>
          </cell>
        </row>
        <row r="12083">
          <cell r="A12083" t="str">
            <v>VEROBROKER</v>
          </cell>
          <cell r="B12083">
            <v>202507</v>
          </cell>
          <cell r="D12083" t="str">
            <v>Crédito Internacional</v>
          </cell>
          <cell r="G12083" t="str">
            <v>Presupuesto</v>
          </cell>
        </row>
        <row r="12084">
          <cell r="A12084" t="str">
            <v>VEROBROKER</v>
          </cell>
          <cell r="B12084">
            <v>202507</v>
          </cell>
          <cell r="D12084" t="str">
            <v>Crédito Nacional</v>
          </cell>
          <cell r="G12084" t="str">
            <v>Presupuesto</v>
          </cell>
        </row>
        <row r="12085">
          <cell r="A12085" t="str">
            <v>VEROBROKER</v>
          </cell>
          <cell r="B12085">
            <v>202507</v>
          </cell>
          <cell r="D12085" t="str">
            <v>Eventos</v>
          </cell>
          <cell r="G12085" t="str">
            <v>Presupuesto</v>
          </cell>
        </row>
        <row r="12086">
          <cell r="A12086" t="str">
            <v>VEROBROKER</v>
          </cell>
          <cell r="B12086">
            <v>202507</v>
          </cell>
          <cell r="D12086" t="str">
            <v>Flotas</v>
          </cell>
          <cell r="G12086" t="str">
            <v>Presupuesto</v>
          </cell>
        </row>
        <row r="12087">
          <cell r="A12087" t="str">
            <v>VEROBROKER</v>
          </cell>
          <cell r="B12087">
            <v>202507</v>
          </cell>
          <cell r="D12087" t="str">
            <v>Hogar</v>
          </cell>
          <cell r="G12087" t="str">
            <v>Presupuesto</v>
          </cell>
        </row>
        <row r="12088">
          <cell r="A12088" t="str">
            <v>VEROBROKER</v>
          </cell>
          <cell r="B12088">
            <v>202507</v>
          </cell>
          <cell r="D12088" t="str">
            <v>Hogar</v>
          </cell>
          <cell r="G12088" t="str">
            <v>Real</v>
          </cell>
        </row>
        <row r="12089">
          <cell r="A12089" t="str">
            <v>VEROBROKER</v>
          </cell>
          <cell r="B12089">
            <v>202507</v>
          </cell>
          <cell r="D12089" t="str">
            <v>Ingeniería</v>
          </cell>
          <cell r="G12089" t="str">
            <v>Presupuesto</v>
          </cell>
        </row>
        <row r="12090">
          <cell r="A12090" t="str">
            <v>VEROBROKER</v>
          </cell>
          <cell r="B12090">
            <v>202507</v>
          </cell>
          <cell r="D12090" t="str">
            <v>Inmobiliario</v>
          </cell>
          <cell r="G12090" t="str">
            <v>Presupuesto</v>
          </cell>
        </row>
        <row r="12091">
          <cell r="A12091" t="str">
            <v>VEROBROKER</v>
          </cell>
          <cell r="B12091">
            <v>202507</v>
          </cell>
          <cell r="D12091" t="str">
            <v>Líneas Financieras</v>
          </cell>
          <cell r="G12091" t="str">
            <v>Presupuesto</v>
          </cell>
        </row>
        <row r="12092">
          <cell r="A12092" t="str">
            <v>VEROBROKER</v>
          </cell>
          <cell r="B12092">
            <v>202507</v>
          </cell>
          <cell r="D12092" t="str">
            <v>Náutica</v>
          </cell>
          <cell r="G12092" t="str">
            <v>Presupuesto</v>
          </cell>
        </row>
        <row r="12093">
          <cell r="A12093" t="str">
            <v>VEROBROKER</v>
          </cell>
          <cell r="B12093">
            <v>202507</v>
          </cell>
          <cell r="D12093" t="str">
            <v>Particulares Resto</v>
          </cell>
          <cell r="G12093" t="str">
            <v>Presupuesto</v>
          </cell>
        </row>
        <row r="12094">
          <cell r="A12094" t="str">
            <v>VEROBROKER</v>
          </cell>
          <cell r="B12094">
            <v>202507</v>
          </cell>
          <cell r="D12094" t="str">
            <v>Property</v>
          </cell>
          <cell r="G12094" t="str">
            <v>Presupuesto</v>
          </cell>
        </row>
        <row r="12095">
          <cell r="A12095" t="str">
            <v>VEROBROKER</v>
          </cell>
          <cell r="B12095">
            <v>202507</v>
          </cell>
          <cell r="D12095" t="str">
            <v>Property</v>
          </cell>
          <cell r="G12095" t="str">
            <v>Real</v>
          </cell>
        </row>
        <row r="12096">
          <cell r="A12096" t="str">
            <v>VEROBROKER</v>
          </cell>
          <cell r="B12096">
            <v>202507</v>
          </cell>
          <cell r="D12096" t="str">
            <v>RC</v>
          </cell>
          <cell r="G12096" t="str">
            <v>Presupuesto</v>
          </cell>
        </row>
        <row r="12097">
          <cell r="A12097" t="str">
            <v>VEROBROKER</v>
          </cell>
          <cell r="B12097">
            <v>202507</v>
          </cell>
          <cell r="D12097" t="str">
            <v>Resto de lineas</v>
          </cell>
          <cell r="G12097" t="str">
            <v>Presupuesto</v>
          </cell>
        </row>
        <row r="12098">
          <cell r="A12098" t="str">
            <v>VEROBROKER</v>
          </cell>
          <cell r="B12098">
            <v>202507</v>
          </cell>
          <cell r="D12098" t="str">
            <v>Retirada</v>
          </cell>
          <cell r="G12098" t="str">
            <v>Presupuesto</v>
          </cell>
        </row>
        <row r="12099">
          <cell r="A12099" t="str">
            <v>VEROBROKER</v>
          </cell>
          <cell r="B12099">
            <v>202507</v>
          </cell>
          <cell r="D12099" t="str">
            <v>Seguros Personales (No Vida) Colectivos</v>
          </cell>
          <cell r="G12099" t="str">
            <v>Presupuesto</v>
          </cell>
        </row>
        <row r="12100">
          <cell r="A12100" t="str">
            <v>VEROBROKER</v>
          </cell>
          <cell r="B12100">
            <v>202507</v>
          </cell>
          <cell r="D12100" t="str">
            <v>Seguros Personales (No Vida) Colectivos</v>
          </cell>
          <cell r="G12100" t="str">
            <v>Real</v>
          </cell>
        </row>
        <row r="12101">
          <cell r="A12101" t="str">
            <v>VEROBROKER</v>
          </cell>
          <cell r="B12101">
            <v>202507</v>
          </cell>
          <cell r="D12101" t="str">
            <v>Seguros Personales (No Vida) Particular</v>
          </cell>
          <cell r="G12101" t="str">
            <v>Presupuesto</v>
          </cell>
        </row>
        <row r="12102">
          <cell r="A12102" t="str">
            <v>VEROBROKER</v>
          </cell>
          <cell r="B12102">
            <v>202507</v>
          </cell>
          <cell r="D12102" t="str">
            <v>Seguros Personales (No Vida) Particular</v>
          </cell>
          <cell r="G12102" t="str">
            <v>Real</v>
          </cell>
        </row>
        <row r="12103">
          <cell r="A12103" t="str">
            <v>VEROBROKER</v>
          </cell>
          <cell r="B12103">
            <v>202507</v>
          </cell>
          <cell r="D12103" t="str">
            <v>Transporte</v>
          </cell>
          <cell r="G12103" t="str">
            <v>Presupuesto</v>
          </cell>
        </row>
        <row r="12104">
          <cell r="A12104" t="str">
            <v>VEROBROKER</v>
          </cell>
          <cell r="B12104">
            <v>202507</v>
          </cell>
          <cell r="D12104" t="str">
            <v>Transporte</v>
          </cell>
          <cell r="G12104" t="str">
            <v>Real</v>
          </cell>
        </row>
        <row r="12105">
          <cell r="A12105" t="str">
            <v>VEROBROKER</v>
          </cell>
          <cell r="B12105">
            <v>202507</v>
          </cell>
          <cell r="D12105" t="str">
            <v>Venta Cruzada</v>
          </cell>
          <cell r="G12105" t="str">
            <v>Presupuesto</v>
          </cell>
        </row>
        <row r="12106">
          <cell r="A12106" t="str">
            <v>VEROBROKER</v>
          </cell>
          <cell r="B12106">
            <v>202507</v>
          </cell>
          <cell r="D12106" t="str">
            <v>Vida Ahorro Colectivo</v>
          </cell>
          <cell r="G12106" t="str">
            <v>Presupuesto</v>
          </cell>
        </row>
        <row r="12107">
          <cell r="A12107" t="str">
            <v>VEROBROKER</v>
          </cell>
          <cell r="B12107">
            <v>202507</v>
          </cell>
          <cell r="D12107" t="str">
            <v>Vida Ahorro Particular</v>
          </cell>
          <cell r="G12107" t="str">
            <v>Presupuesto</v>
          </cell>
        </row>
        <row r="12108">
          <cell r="A12108" t="str">
            <v>VEROBROKER</v>
          </cell>
          <cell r="B12108">
            <v>202507</v>
          </cell>
          <cell r="D12108" t="str">
            <v>Vida Ganado</v>
          </cell>
          <cell r="G12108" t="str">
            <v>Presupuesto</v>
          </cell>
        </row>
        <row r="12109">
          <cell r="A12109" t="str">
            <v>VEROBROKER</v>
          </cell>
          <cell r="B12109">
            <v>202507</v>
          </cell>
          <cell r="D12109" t="str">
            <v>Vida Riesgo Colectivo</v>
          </cell>
          <cell r="G12109" t="str">
            <v>Presupuesto</v>
          </cell>
        </row>
        <row r="12110">
          <cell r="A12110" t="str">
            <v>VEROBROKER</v>
          </cell>
          <cell r="B12110">
            <v>202507</v>
          </cell>
          <cell r="D12110" t="str">
            <v>Vida Riesgo Particular</v>
          </cell>
          <cell r="G12110" t="str">
            <v>Presupuesto</v>
          </cell>
        </row>
        <row r="12111">
          <cell r="A12111" t="str">
            <v>VEROBROKER</v>
          </cell>
          <cell r="B12111">
            <v>202508</v>
          </cell>
          <cell r="D12111" t="str">
            <v>--</v>
          </cell>
          <cell r="G12111" t="str">
            <v>Presupuesto</v>
          </cell>
        </row>
        <row r="12112">
          <cell r="A12112" t="str">
            <v>VEROBROKER</v>
          </cell>
          <cell r="B12112">
            <v>202508</v>
          </cell>
          <cell r="D12112" t="str">
            <v>--</v>
          </cell>
          <cell r="G12112" t="str">
            <v>Real</v>
          </cell>
        </row>
        <row r="12113">
          <cell r="A12113" t="str">
            <v>VEROBROKER</v>
          </cell>
          <cell r="B12113">
            <v>202508</v>
          </cell>
          <cell r="D12113" t="str">
            <v>Arte</v>
          </cell>
          <cell r="G12113" t="str">
            <v>Presupuesto</v>
          </cell>
        </row>
        <row r="12114">
          <cell r="A12114" t="str">
            <v>VEROBROKER</v>
          </cell>
          <cell r="B12114">
            <v>202508</v>
          </cell>
          <cell r="D12114" t="str">
            <v>Autos</v>
          </cell>
          <cell r="G12114" t="str">
            <v>Presupuesto</v>
          </cell>
        </row>
        <row r="12115">
          <cell r="A12115" t="str">
            <v>VEROBROKER</v>
          </cell>
          <cell r="B12115">
            <v>202508</v>
          </cell>
          <cell r="D12115" t="str">
            <v>B2B2C</v>
          </cell>
          <cell r="G12115" t="str">
            <v>Presupuesto</v>
          </cell>
        </row>
        <row r="12116">
          <cell r="A12116" t="str">
            <v>VEROBROKER</v>
          </cell>
          <cell r="B12116">
            <v>202508</v>
          </cell>
          <cell r="D12116" t="str">
            <v>Caución</v>
          </cell>
          <cell r="G12116" t="str">
            <v>Presupuesto</v>
          </cell>
        </row>
        <row r="12117">
          <cell r="A12117" t="str">
            <v>VEROBROKER</v>
          </cell>
          <cell r="B12117">
            <v>202508</v>
          </cell>
          <cell r="D12117" t="str">
            <v>Crédito Internacional</v>
          </cell>
          <cell r="G12117" t="str">
            <v>Presupuesto</v>
          </cell>
        </row>
        <row r="12118">
          <cell r="A12118" t="str">
            <v>VEROBROKER</v>
          </cell>
          <cell r="B12118">
            <v>202508</v>
          </cell>
          <cell r="D12118" t="str">
            <v>Crédito Nacional</v>
          </cell>
          <cell r="G12118" t="str">
            <v>Presupuesto</v>
          </cell>
        </row>
        <row r="12119">
          <cell r="A12119" t="str">
            <v>VEROBROKER</v>
          </cell>
          <cell r="B12119">
            <v>202508</v>
          </cell>
          <cell r="D12119" t="str">
            <v>Eventos</v>
          </cell>
          <cell r="G12119" t="str">
            <v>Presupuesto</v>
          </cell>
        </row>
        <row r="12120">
          <cell r="A12120" t="str">
            <v>VEROBROKER</v>
          </cell>
          <cell r="B12120">
            <v>202508</v>
          </cell>
          <cell r="D12120" t="str">
            <v>Flotas</v>
          </cell>
          <cell r="G12120" t="str">
            <v>Presupuesto</v>
          </cell>
        </row>
        <row r="12121">
          <cell r="A12121" t="str">
            <v>VEROBROKER</v>
          </cell>
          <cell r="B12121">
            <v>202508</v>
          </cell>
          <cell r="D12121" t="str">
            <v>Hogar</v>
          </cell>
          <cell r="G12121" t="str">
            <v>Presupuesto</v>
          </cell>
        </row>
        <row r="12122">
          <cell r="A12122" t="str">
            <v>VEROBROKER</v>
          </cell>
          <cell r="B12122">
            <v>202508</v>
          </cell>
          <cell r="D12122" t="str">
            <v>Ingeniería</v>
          </cell>
          <cell r="G12122" t="str">
            <v>Presupuesto</v>
          </cell>
        </row>
        <row r="12123">
          <cell r="A12123" t="str">
            <v>VEROBROKER</v>
          </cell>
          <cell r="B12123">
            <v>202508</v>
          </cell>
          <cell r="D12123" t="str">
            <v>Ingeniería</v>
          </cell>
          <cell r="G12123" t="str">
            <v>Real</v>
          </cell>
        </row>
        <row r="12124">
          <cell r="A12124" t="str">
            <v>VEROBROKER</v>
          </cell>
          <cell r="B12124">
            <v>202508</v>
          </cell>
          <cell r="D12124" t="str">
            <v>Inmobiliario</v>
          </cell>
          <cell r="G12124" t="str">
            <v>Presupuesto</v>
          </cell>
        </row>
        <row r="12125">
          <cell r="A12125" t="str">
            <v>VEROBROKER</v>
          </cell>
          <cell r="B12125">
            <v>202508</v>
          </cell>
          <cell r="D12125" t="str">
            <v>Líneas Financieras</v>
          </cell>
          <cell r="G12125" t="str">
            <v>Presupuesto</v>
          </cell>
        </row>
        <row r="12126">
          <cell r="A12126" t="str">
            <v>VEROBROKER</v>
          </cell>
          <cell r="B12126">
            <v>202508</v>
          </cell>
          <cell r="D12126" t="str">
            <v>Náutica</v>
          </cell>
          <cell r="G12126" t="str">
            <v>Presupuesto</v>
          </cell>
        </row>
        <row r="12127">
          <cell r="A12127" t="str">
            <v>VEROBROKER</v>
          </cell>
          <cell r="B12127">
            <v>202508</v>
          </cell>
          <cell r="D12127" t="str">
            <v>Particulares Resto</v>
          </cell>
          <cell r="G12127" t="str">
            <v>Presupuesto</v>
          </cell>
        </row>
        <row r="12128">
          <cell r="A12128" t="str">
            <v>VEROBROKER</v>
          </cell>
          <cell r="B12128">
            <v>202508</v>
          </cell>
          <cell r="D12128" t="str">
            <v>Property</v>
          </cell>
          <cell r="G12128" t="str">
            <v>Presupuesto</v>
          </cell>
        </row>
        <row r="12129">
          <cell r="A12129" t="str">
            <v>VEROBROKER</v>
          </cell>
          <cell r="B12129">
            <v>202508</v>
          </cell>
          <cell r="D12129" t="str">
            <v>Property</v>
          </cell>
          <cell r="G12129" t="str">
            <v>Real</v>
          </cell>
        </row>
        <row r="12130">
          <cell r="A12130" t="str">
            <v>VEROBROKER</v>
          </cell>
          <cell r="B12130">
            <v>202508</v>
          </cell>
          <cell r="D12130" t="str">
            <v>RC</v>
          </cell>
          <cell r="G12130" t="str">
            <v>Presupuesto</v>
          </cell>
        </row>
        <row r="12131">
          <cell r="A12131" t="str">
            <v>VEROBROKER</v>
          </cell>
          <cell r="B12131">
            <v>202508</v>
          </cell>
          <cell r="D12131" t="str">
            <v>Resto de lineas</v>
          </cell>
          <cell r="G12131" t="str">
            <v>Presupuesto</v>
          </cell>
        </row>
        <row r="12132">
          <cell r="A12132" t="str">
            <v>VEROBROKER</v>
          </cell>
          <cell r="B12132">
            <v>202508</v>
          </cell>
          <cell r="D12132" t="str">
            <v>Retirada</v>
          </cell>
          <cell r="G12132" t="str">
            <v>Presupuesto</v>
          </cell>
        </row>
        <row r="12133">
          <cell r="A12133" t="str">
            <v>VEROBROKER</v>
          </cell>
          <cell r="B12133">
            <v>202508</v>
          </cell>
          <cell r="D12133" t="str">
            <v>Seguros Personales (No Vida) Colectivos</v>
          </cell>
          <cell r="G12133" t="str">
            <v>Presupuesto</v>
          </cell>
        </row>
        <row r="12134">
          <cell r="A12134" t="str">
            <v>VEROBROKER</v>
          </cell>
          <cell r="B12134">
            <v>202508</v>
          </cell>
          <cell r="D12134" t="str">
            <v>Seguros Personales (No Vida) Colectivos</v>
          </cell>
          <cell r="G12134" t="str">
            <v>Real</v>
          </cell>
        </row>
        <row r="12135">
          <cell r="A12135" t="str">
            <v>VEROBROKER</v>
          </cell>
          <cell r="B12135">
            <v>202508</v>
          </cell>
          <cell r="D12135" t="str">
            <v>Seguros Personales (No Vida) Particular</v>
          </cell>
          <cell r="G12135" t="str">
            <v>Presupuesto</v>
          </cell>
        </row>
        <row r="12136">
          <cell r="A12136" t="str">
            <v>VEROBROKER</v>
          </cell>
          <cell r="B12136">
            <v>202508</v>
          </cell>
          <cell r="D12136" t="str">
            <v>Transporte</v>
          </cell>
          <cell r="G12136" t="str">
            <v>Presupuesto</v>
          </cell>
        </row>
        <row r="12137">
          <cell r="A12137" t="str">
            <v>VEROBROKER</v>
          </cell>
          <cell r="B12137">
            <v>202508</v>
          </cell>
          <cell r="D12137" t="str">
            <v>Venta Cruzada</v>
          </cell>
          <cell r="G12137" t="str">
            <v>Presupuesto</v>
          </cell>
        </row>
        <row r="12138">
          <cell r="A12138" t="str">
            <v>VEROBROKER</v>
          </cell>
          <cell r="B12138">
            <v>202508</v>
          </cell>
          <cell r="D12138" t="str">
            <v>Vida Ahorro Colectivo</v>
          </cell>
          <cell r="G12138" t="str">
            <v>Presupuesto</v>
          </cell>
        </row>
        <row r="12139">
          <cell r="A12139" t="str">
            <v>VEROBROKER</v>
          </cell>
          <cell r="B12139">
            <v>202508</v>
          </cell>
          <cell r="D12139" t="str">
            <v>Vida Ahorro Particular</v>
          </cell>
          <cell r="G12139" t="str">
            <v>Presupuesto</v>
          </cell>
        </row>
        <row r="12140">
          <cell r="A12140" t="str">
            <v>VEROBROKER</v>
          </cell>
          <cell r="B12140">
            <v>202508</v>
          </cell>
          <cell r="D12140" t="str">
            <v>Vida Ganado</v>
          </cell>
          <cell r="G12140" t="str">
            <v>Presupuesto</v>
          </cell>
        </row>
        <row r="12141">
          <cell r="A12141" t="str">
            <v>VEROBROKER</v>
          </cell>
          <cell r="B12141">
            <v>202508</v>
          </cell>
          <cell r="D12141" t="str">
            <v>Vida Riesgo Colectivo</v>
          </cell>
          <cell r="G12141" t="str">
            <v>Presupuesto</v>
          </cell>
        </row>
        <row r="12142">
          <cell r="A12142" t="str">
            <v>VEROBROKER</v>
          </cell>
          <cell r="B12142">
            <v>202508</v>
          </cell>
          <cell r="D12142" t="str">
            <v>Vida Riesgo Particular</v>
          </cell>
          <cell r="G12142" t="str">
            <v>Presupuesto</v>
          </cell>
        </row>
        <row r="12143">
          <cell r="A12143" t="str">
            <v>VEROBROKER</v>
          </cell>
          <cell r="B12143">
            <v>202509</v>
          </cell>
          <cell r="D12143" t="str">
            <v>--</v>
          </cell>
          <cell r="G12143" t="str">
            <v>Presupuesto</v>
          </cell>
        </row>
        <row r="12144">
          <cell r="A12144" t="str">
            <v>VEROBROKER</v>
          </cell>
          <cell r="B12144">
            <v>202509</v>
          </cell>
          <cell r="D12144" t="str">
            <v>--</v>
          </cell>
          <cell r="G12144" t="str">
            <v>Real</v>
          </cell>
        </row>
        <row r="12145">
          <cell r="A12145" t="str">
            <v>VEROBROKER</v>
          </cell>
          <cell r="B12145">
            <v>202509</v>
          </cell>
          <cell r="D12145" t="str">
            <v>Arte</v>
          </cell>
          <cell r="G12145" t="str">
            <v>Presupuesto</v>
          </cell>
        </row>
        <row r="12146">
          <cell r="A12146" t="str">
            <v>VEROBROKER</v>
          </cell>
          <cell r="B12146">
            <v>202509</v>
          </cell>
          <cell r="D12146" t="str">
            <v>Autos</v>
          </cell>
          <cell r="G12146" t="str">
            <v>Presupuesto</v>
          </cell>
        </row>
        <row r="12147">
          <cell r="A12147" t="str">
            <v>VEROBROKER</v>
          </cell>
          <cell r="B12147">
            <v>202509</v>
          </cell>
          <cell r="D12147" t="str">
            <v>Autos</v>
          </cell>
          <cell r="G12147" t="str">
            <v>Real</v>
          </cell>
        </row>
        <row r="12148">
          <cell r="A12148" t="str">
            <v>VEROBROKER</v>
          </cell>
          <cell r="B12148">
            <v>202509</v>
          </cell>
          <cell r="D12148" t="str">
            <v>B2B2C</v>
          </cell>
          <cell r="G12148" t="str">
            <v>Presupuesto</v>
          </cell>
        </row>
        <row r="12149">
          <cell r="A12149" t="str">
            <v>VEROBROKER</v>
          </cell>
          <cell r="B12149">
            <v>202509</v>
          </cell>
          <cell r="D12149" t="str">
            <v>Caución</v>
          </cell>
          <cell r="G12149" t="str">
            <v>Presupuesto</v>
          </cell>
        </row>
        <row r="12150">
          <cell r="A12150" t="str">
            <v>VEROBROKER</v>
          </cell>
          <cell r="B12150">
            <v>202509</v>
          </cell>
          <cell r="D12150" t="str">
            <v>Caución</v>
          </cell>
          <cell r="G12150" t="str">
            <v>Real</v>
          </cell>
        </row>
        <row r="12151">
          <cell r="A12151" t="str">
            <v>VEROBROKER</v>
          </cell>
          <cell r="B12151">
            <v>202509</v>
          </cell>
          <cell r="D12151" t="str">
            <v>Crédito Nacional</v>
          </cell>
          <cell r="G12151" t="str">
            <v>Real</v>
          </cell>
        </row>
        <row r="12152">
          <cell r="A12152" t="str">
            <v>VEROBROKER</v>
          </cell>
          <cell r="B12152">
            <v>202509</v>
          </cell>
          <cell r="D12152" t="str">
            <v>Crédito Internacional</v>
          </cell>
          <cell r="G12152" t="str">
            <v>Presupuesto</v>
          </cell>
        </row>
        <row r="12153">
          <cell r="A12153" t="str">
            <v>VEROBROKER</v>
          </cell>
          <cell r="B12153">
            <v>202509</v>
          </cell>
          <cell r="D12153" t="str">
            <v>Crédito Nacional</v>
          </cell>
          <cell r="G12153" t="str">
            <v>Presupuesto</v>
          </cell>
        </row>
        <row r="12154">
          <cell r="A12154" t="str">
            <v>VEROBROKER</v>
          </cell>
          <cell r="B12154">
            <v>202509</v>
          </cell>
          <cell r="D12154" t="str">
            <v>Eventos</v>
          </cell>
          <cell r="G12154" t="str">
            <v>Presupuesto</v>
          </cell>
        </row>
        <row r="12155">
          <cell r="A12155" t="str">
            <v>VEROBROKER</v>
          </cell>
          <cell r="B12155">
            <v>202509</v>
          </cell>
          <cell r="D12155" t="str">
            <v>Flotas</v>
          </cell>
          <cell r="G12155" t="str">
            <v>Presupuesto</v>
          </cell>
        </row>
        <row r="12156">
          <cell r="A12156" t="str">
            <v>VEROBROKER</v>
          </cell>
          <cell r="B12156">
            <v>202509</v>
          </cell>
          <cell r="D12156" t="str">
            <v>Hogar</v>
          </cell>
          <cell r="G12156" t="str">
            <v>Presupuesto</v>
          </cell>
        </row>
        <row r="12157">
          <cell r="A12157" t="str">
            <v>VEROBROKER</v>
          </cell>
          <cell r="B12157">
            <v>202509</v>
          </cell>
          <cell r="D12157" t="str">
            <v>Hogar</v>
          </cell>
          <cell r="G12157" t="str">
            <v>Real</v>
          </cell>
        </row>
        <row r="12158">
          <cell r="A12158" t="str">
            <v>VEROBROKER</v>
          </cell>
          <cell r="B12158">
            <v>202509</v>
          </cell>
          <cell r="D12158" t="str">
            <v>Ingeniería</v>
          </cell>
          <cell r="G12158" t="str">
            <v>Presupuesto</v>
          </cell>
        </row>
        <row r="12159">
          <cell r="A12159" t="str">
            <v>VEROBROKER</v>
          </cell>
          <cell r="B12159">
            <v>202509</v>
          </cell>
          <cell r="D12159" t="str">
            <v>Ingeniería</v>
          </cell>
          <cell r="G12159" t="str">
            <v>Real</v>
          </cell>
        </row>
        <row r="12160">
          <cell r="A12160" t="str">
            <v>VEROBROKER</v>
          </cell>
          <cell r="B12160">
            <v>202509</v>
          </cell>
          <cell r="D12160" t="str">
            <v>Inmobiliario</v>
          </cell>
          <cell r="G12160" t="str">
            <v>Presupuesto</v>
          </cell>
        </row>
        <row r="12161">
          <cell r="A12161" t="str">
            <v>VEROBROKER</v>
          </cell>
          <cell r="B12161">
            <v>202509</v>
          </cell>
          <cell r="D12161" t="str">
            <v>Líneas Financieras</v>
          </cell>
          <cell r="G12161" t="str">
            <v>Presupuesto</v>
          </cell>
        </row>
        <row r="12162">
          <cell r="A12162" t="str">
            <v>VEROBROKER</v>
          </cell>
          <cell r="B12162">
            <v>202509</v>
          </cell>
          <cell r="D12162" t="str">
            <v>Líneas Financieras</v>
          </cell>
          <cell r="G12162" t="str">
            <v>Real</v>
          </cell>
        </row>
        <row r="12163">
          <cell r="A12163" t="str">
            <v>VEROBROKER</v>
          </cell>
          <cell r="B12163">
            <v>202509</v>
          </cell>
          <cell r="D12163" t="str">
            <v>Náutica</v>
          </cell>
          <cell r="G12163" t="str">
            <v>Presupuesto</v>
          </cell>
        </row>
        <row r="12164">
          <cell r="A12164" t="str">
            <v>VEROBROKER</v>
          </cell>
          <cell r="B12164">
            <v>202509</v>
          </cell>
          <cell r="D12164" t="str">
            <v>Particulares Resto</v>
          </cell>
          <cell r="G12164" t="str">
            <v>Presupuesto</v>
          </cell>
        </row>
        <row r="12165">
          <cell r="A12165" t="str">
            <v>VEROBROKER</v>
          </cell>
          <cell r="B12165">
            <v>202509</v>
          </cell>
          <cell r="D12165" t="str">
            <v>Property</v>
          </cell>
          <cell r="G12165" t="str">
            <v>Presupuesto</v>
          </cell>
        </row>
        <row r="12166">
          <cell r="A12166" t="str">
            <v>VEROBROKER</v>
          </cell>
          <cell r="B12166">
            <v>202509</v>
          </cell>
          <cell r="D12166" t="str">
            <v>Property</v>
          </cell>
          <cell r="G12166" t="str">
            <v>Real</v>
          </cell>
        </row>
        <row r="12167">
          <cell r="A12167" t="str">
            <v>VEROBROKER</v>
          </cell>
          <cell r="B12167">
            <v>202509</v>
          </cell>
          <cell r="D12167" t="str">
            <v>RC</v>
          </cell>
          <cell r="G12167" t="str">
            <v>Presupuesto</v>
          </cell>
        </row>
        <row r="12168">
          <cell r="A12168" t="str">
            <v>VEROBROKER</v>
          </cell>
          <cell r="B12168">
            <v>202509</v>
          </cell>
          <cell r="D12168" t="str">
            <v>RC</v>
          </cell>
          <cell r="G12168" t="str">
            <v>Real</v>
          </cell>
        </row>
        <row r="12169">
          <cell r="A12169" t="str">
            <v>VEROBROKER</v>
          </cell>
          <cell r="B12169">
            <v>202509</v>
          </cell>
          <cell r="D12169" t="str">
            <v>Resto de lineas</v>
          </cell>
          <cell r="G12169" t="str">
            <v>Presupuesto</v>
          </cell>
        </row>
        <row r="12170">
          <cell r="A12170" t="str">
            <v>VEROBROKER</v>
          </cell>
          <cell r="B12170">
            <v>202509</v>
          </cell>
          <cell r="D12170" t="str">
            <v>Retirada</v>
          </cell>
          <cell r="G12170" t="str">
            <v>Presupuesto</v>
          </cell>
        </row>
        <row r="12171">
          <cell r="A12171" t="str">
            <v>VEROBROKER</v>
          </cell>
          <cell r="B12171">
            <v>202509</v>
          </cell>
          <cell r="D12171" t="str">
            <v>Seguros Personales (No Vida) Colectivos</v>
          </cell>
          <cell r="G12171" t="str">
            <v>Presupuesto</v>
          </cell>
        </row>
        <row r="12172">
          <cell r="A12172" t="str">
            <v>VEROBROKER</v>
          </cell>
          <cell r="B12172">
            <v>202509</v>
          </cell>
          <cell r="D12172" t="str">
            <v>Seguros Personales (No Vida) Colectivos</v>
          </cell>
          <cell r="G12172" t="str">
            <v>Real</v>
          </cell>
        </row>
        <row r="12173">
          <cell r="A12173" t="str">
            <v>VEROBROKER</v>
          </cell>
          <cell r="B12173">
            <v>202509</v>
          </cell>
          <cell r="D12173" t="str">
            <v>Seguros Personales (No Vida) Particular</v>
          </cell>
          <cell r="G12173" t="str">
            <v>Presupuesto</v>
          </cell>
        </row>
        <row r="12174">
          <cell r="A12174" t="str">
            <v>VEROBROKER</v>
          </cell>
          <cell r="B12174">
            <v>202509</v>
          </cell>
          <cell r="D12174" t="str">
            <v>Seguros Personales (No Vida) Particular</v>
          </cell>
          <cell r="G12174" t="str">
            <v>Real</v>
          </cell>
        </row>
        <row r="12175">
          <cell r="A12175" t="str">
            <v>VEROBROKER</v>
          </cell>
          <cell r="B12175">
            <v>202509</v>
          </cell>
          <cell r="D12175" t="str">
            <v>Transporte</v>
          </cell>
          <cell r="G12175" t="str">
            <v>Presupuesto</v>
          </cell>
        </row>
        <row r="12176">
          <cell r="A12176" t="str">
            <v>VEROBROKER</v>
          </cell>
          <cell r="B12176">
            <v>202509</v>
          </cell>
          <cell r="D12176" t="str">
            <v>Transporte</v>
          </cell>
          <cell r="G12176" t="str">
            <v>Real</v>
          </cell>
        </row>
        <row r="12177">
          <cell r="A12177" t="str">
            <v>VEROBROKER</v>
          </cell>
          <cell r="B12177">
            <v>202509</v>
          </cell>
          <cell r="D12177" t="str">
            <v>Venta Cruzada</v>
          </cell>
          <cell r="G12177" t="str">
            <v>Presupuesto</v>
          </cell>
        </row>
        <row r="12178">
          <cell r="A12178" t="str">
            <v>VEROBROKER</v>
          </cell>
          <cell r="B12178">
            <v>202509</v>
          </cell>
          <cell r="D12178" t="str">
            <v>Vida Ahorro Colectivo</v>
          </cell>
          <cell r="G12178" t="str">
            <v>Presupuesto</v>
          </cell>
        </row>
        <row r="12179">
          <cell r="A12179" t="str">
            <v>VEROBROKER</v>
          </cell>
          <cell r="B12179">
            <v>202509</v>
          </cell>
          <cell r="D12179" t="str">
            <v>Vida Ahorro Particular</v>
          </cell>
          <cell r="G12179" t="str">
            <v>Presupuesto</v>
          </cell>
        </row>
        <row r="12180">
          <cell r="A12180" t="str">
            <v>VEROBROKER</v>
          </cell>
          <cell r="B12180">
            <v>202509</v>
          </cell>
          <cell r="D12180" t="str">
            <v>Vida Ahorro Particular</v>
          </cell>
          <cell r="G12180" t="str">
            <v>Real</v>
          </cell>
        </row>
        <row r="12181">
          <cell r="A12181" t="str">
            <v>VEROBROKER</v>
          </cell>
          <cell r="B12181">
            <v>202509</v>
          </cell>
          <cell r="D12181" t="str">
            <v>Vida Ganado</v>
          </cell>
          <cell r="G12181" t="str">
            <v>Presupuesto</v>
          </cell>
        </row>
        <row r="12182">
          <cell r="A12182" t="str">
            <v>VEROBROKER</v>
          </cell>
          <cell r="B12182">
            <v>202509</v>
          </cell>
          <cell r="D12182" t="str">
            <v>Vida Riesgo Colectivo</v>
          </cell>
          <cell r="G12182" t="str">
            <v>Presupuesto</v>
          </cell>
        </row>
        <row r="12183">
          <cell r="A12183" t="str">
            <v>VEROBROKER</v>
          </cell>
          <cell r="B12183">
            <v>202509</v>
          </cell>
          <cell r="D12183" t="str">
            <v>Vida Riesgo Particular</v>
          </cell>
          <cell r="G12183" t="str">
            <v>Presupuesto</v>
          </cell>
        </row>
        <row r="12184">
          <cell r="A12184" t="str">
            <v>VEROBROKER</v>
          </cell>
          <cell r="B12184">
            <v>202509</v>
          </cell>
          <cell r="D12184" t="str">
            <v>Vida Riesgo Particular</v>
          </cell>
          <cell r="G12184" t="str">
            <v>Real</v>
          </cell>
        </row>
        <row r="12185">
          <cell r="A12185" t="str">
            <v>VEROBROKER</v>
          </cell>
          <cell r="B12185">
            <v>202510</v>
          </cell>
          <cell r="D12185" t="str">
            <v>--</v>
          </cell>
          <cell r="G12185" t="str">
            <v>Presupuesto</v>
          </cell>
        </row>
        <row r="12186">
          <cell r="A12186" t="str">
            <v>VEROBROKER</v>
          </cell>
          <cell r="B12186">
            <v>202510</v>
          </cell>
          <cell r="D12186" t="str">
            <v>--</v>
          </cell>
          <cell r="G12186" t="str">
            <v>Real</v>
          </cell>
        </row>
        <row r="12187">
          <cell r="A12187" t="str">
            <v>VEROBROKER</v>
          </cell>
          <cell r="B12187">
            <v>202510</v>
          </cell>
          <cell r="D12187" t="str">
            <v>Arte</v>
          </cell>
          <cell r="G12187" t="str">
            <v>Presupuesto</v>
          </cell>
        </row>
        <row r="12188">
          <cell r="A12188" t="str">
            <v>VEROBROKER</v>
          </cell>
          <cell r="B12188">
            <v>202510</v>
          </cell>
          <cell r="D12188" t="str">
            <v>Autos</v>
          </cell>
          <cell r="G12188" t="str">
            <v>Presupuesto</v>
          </cell>
        </row>
        <row r="12189">
          <cell r="A12189" t="str">
            <v>VEROBROKER</v>
          </cell>
          <cell r="B12189">
            <v>202510</v>
          </cell>
          <cell r="D12189" t="str">
            <v>Autos</v>
          </cell>
          <cell r="G12189" t="str">
            <v>Real</v>
          </cell>
        </row>
        <row r="12190">
          <cell r="A12190" t="str">
            <v>VEROBROKER</v>
          </cell>
          <cell r="B12190">
            <v>202510</v>
          </cell>
          <cell r="D12190" t="str">
            <v>B2B2C</v>
          </cell>
          <cell r="G12190" t="str">
            <v>Presupuesto</v>
          </cell>
        </row>
        <row r="12191">
          <cell r="A12191" t="str">
            <v>VEROBROKER</v>
          </cell>
          <cell r="B12191">
            <v>202510</v>
          </cell>
          <cell r="D12191" t="str">
            <v>Caución</v>
          </cell>
          <cell r="G12191" t="str">
            <v>Presupuesto</v>
          </cell>
        </row>
        <row r="12192">
          <cell r="A12192" t="str">
            <v>VEROBROKER</v>
          </cell>
          <cell r="B12192">
            <v>202510</v>
          </cell>
          <cell r="D12192" t="str">
            <v>Crédito Nacional</v>
          </cell>
          <cell r="G12192" t="str">
            <v>Real</v>
          </cell>
        </row>
        <row r="12193">
          <cell r="A12193" t="str">
            <v>VEROBROKER</v>
          </cell>
          <cell r="B12193">
            <v>202510</v>
          </cell>
          <cell r="D12193" t="str">
            <v>Crédito Internacional</v>
          </cell>
          <cell r="G12193" t="str">
            <v>Presupuesto</v>
          </cell>
        </row>
        <row r="12194">
          <cell r="A12194" t="str">
            <v>VEROBROKER</v>
          </cell>
          <cell r="B12194">
            <v>202510</v>
          </cell>
          <cell r="D12194" t="str">
            <v>Crédito Nacional</v>
          </cell>
          <cell r="G12194" t="str">
            <v>Presupuesto</v>
          </cell>
        </row>
        <row r="12195">
          <cell r="A12195" t="str">
            <v>VEROBROKER</v>
          </cell>
          <cell r="B12195">
            <v>202510</v>
          </cell>
          <cell r="D12195" t="str">
            <v>Eventos</v>
          </cell>
          <cell r="G12195" t="str">
            <v>Presupuesto</v>
          </cell>
        </row>
        <row r="12196">
          <cell r="A12196" t="str">
            <v>VEROBROKER</v>
          </cell>
          <cell r="B12196">
            <v>202510</v>
          </cell>
          <cell r="D12196" t="str">
            <v>Flotas</v>
          </cell>
          <cell r="G12196" t="str">
            <v>Presupuesto</v>
          </cell>
        </row>
        <row r="12197">
          <cell r="A12197" t="str">
            <v>VEROBROKER</v>
          </cell>
          <cell r="B12197">
            <v>202510</v>
          </cell>
          <cell r="D12197" t="str">
            <v>Flotas</v>
          </cell>
          <cell r="G12197" t="str">
            <v>Real</v>
          </cell>
        </row>
        <row r="12198">
          <cell r="A12198" t="str">
            <v>VEROBROKER</v>
          </cell>
          <cell r="B12198">
            <v>202510</v>
          </cell>
          <cell r="D12198" t="str">
            <v>Hogar</v>
          </cell>
          <cell r="G12198" t="str">
            <v>Presupuesto</v>
          </cell>
        </row>
        <row r="12199">
          <cell r="A12199" t="str">
            <v>VEROBROKER</v>
          </cell>
          <cell r="B12199">
            <v>202510</v>
          </cell>
          <cell r="D12199" t="str">
            <v>Hogar</v>
          </cell>
          <cell r="G12199" t="str">
            <v>Real</v>
          </cell>
        </row>
        <row r="12200">
          <cell r="A12200" t="str">
            <v>VEROBROKER</v>
          </cell>
          <cell r="B12200">
            <v>202510</v>
          </cell>
          <cell r="D12200" t="str">
            <v>Ingeniería</v>
          </cell>
          <cell r="G12200" t="str">
            <v>Presupuesto</v>
          </cell>
        </row>
        <row r="12201">
          <cell r="A12201" t="str">
            <v>VEROBROKER</v>
          </cell>
          <cell r="B12201">
            <v>202510</v>
          </cell>
          <cell r="D12201" t="str">
            <v>Inmobiliario</v>
          </cell>
          <cell r="G12201" t="str">
            <v>Presupuesto</v>
          </cell>
        </row>
        <row r="12202">
          <cell r="A12202" t="str">
            <v>VEROBROKER</v>
          </cell>
          <cell r="B12202">
            <v>202510</v>
          </cell>
          <cell r="D12202" t="str">
            <v>Líneas Financieras</v>
          </cell>
          <cell r="G12202" t="str">
            <v>Presupuesto</v>
          </cell>
        </row>
        <row r="12203">
          <cell r="A12203" t="str">
            <v>VEROBROKER</v>
          </cell>
          <cell r="B12203">
            <v>202510</v>
          </cell>
          <cell r="D12203" t="str">
            <v>Náutica</v>
          </cell>
          <cell r="G12203" t="str">
            <v>Presupuesto</v>
          </cell>
        </row>
        <row r="12204">
          <cell r="A12204" t="str">
            <v>VEROBROKER</v>
          </cell>
          <cell r="B12204">
            <v>202510</v>
          </cell>
          <cell r="D12204" t="str">
            <v>Náutica</v>
          </cell>
          <cell r="G12204" t="str">
            <v>Real</v>
          </cell>
        </row>
        <row r="12205">
          <cell r="A12205" t="str">
            <v>VEROBROKER</v>
          </cell>
          <cell r="B12205">
            <v>202510</v>
          </cell>
          <cell r="D12205" t="str">
            <v>Particulares Resto</v>
          </cell>
          <cell r="G12205" t="str">
            <v>Presupuesto</v>
          </cell>
        </row>
        <row r="12206">
          <cell r="A12206" t="str">
            <v>VEROBROKER</v>
          </cell>
          <cell r="B12206">
            <v>202510</v>
          </cell>
          <cell r="D12206" t="str">
            <v>Property</v>
          </cell>
          <cell r="G12206" t="str">
            <v>Presupuesto</v>
          </cell>
        </row>
        <row r="12207">
          <cell r="A12207" t="str">
            <v>VEROBROKER</v>
          </cell>
          <cell r="B12207">
            <v>202510</v>
          </cell>
          <cell r="D12207" t="str">
            <v>Property</v>
          </cell>
          <cell r="G12207" t="str">
            <v>Real</v>
          </cell>
        </row>
        <row r="12208">
          <cell r="A12208" t="str">
            <v>VEROBROKER</v>
          </cell>
          <cell r="B12208">
            <v>202510</v>
          </cell>
          <cell r="D12208" t="str">
            <v>RC</v>
          </cell>
          <cell r="G12208" t="str">
            <v>Presupuesto</v>
          </cell>
        </row>
        <row r="12209">
          <cell r="A12209" t="str">
            <v>VEROBROKER</v>
          </cell>
          <cell r="B12209">
            <v>202510</v>
          </cell>
          <cell r="D12209" t="str">
            <v>RC</v>
          </cell>
          <cell r="G12209" t="str">
            <v>Real</v>
          </cell>
        </row>
        <row r="12210">
          <cell r="A12210" t="str">
            <v>VEROBROKER</v>
          </cell>
          <cell r="B12210">
            <v>202510</v>
          </cell>
          <cell r="D12210" t="str">
            <v>Resto de lineas</v>
          </cell>
          <cell r="G12210" t="str">
            <v>Presupuesto</v>
          </cell>
        </row>
        <row r="12211">
          <cell r="A12211" t="str">
            <v>VEROBROKER</v>
          </cell>
          <cell r="B12211">
            <v>202510</v>
          </cell>
          <cell r="D12211" t="str">
            <v>Retirada</v>
          </cell>
          <cell r="G12211" t="str">
            <v>Presupuesto</v>
          </cell>
        </row>
        <row r="12212">
          <cell r="A12212" t="str">
            <v>VEROBROKER</v>
          </cell>
          <cell r="B12212">
            <v>202510</v>
          </cell>
          <cell r="D12212" t="str">
            <v>Seguros Personales (No Vida) Colectivos</v>
          </cell>
          <cell r="G12212" t="str">
            <v>Presupuesto</v>
          </cell>
        </row>
        <row r="12213">
          <cell r="A12213" t="str">
            <v>VEROBROKER</v>
          </cell>
          <cell r="B12213">
            <v>202510</v>
          </cell>
          <cell r="D12213" t="str">
            <v>Seguros Personales (No Vida) Colectivos</v>
          </cell>
          <cell r="G12213" t="str">
            <v>Real</v>
          </cell>
        </row>
        <row r="12214">
          <cell r="A12214" t="str">
            <v>VEROBROKER</v>
          </cell>
          <cell r="B12214">
            <v>202510</v>
          </cell>
          <cell r="D12214" t="str">
            <v>Seguros Personales (No Vida) Particular</v>
          </cell>
          <cell r="G12214" t="str">
            <v>Presupuesto</v>
          </cell>
        </row>
        <row r="12215">
          <cell r="A12215" t="str">
            <v>VEROBROKER</v>
          </cell>
          <cell r="B12215">
            <v>202510</v>
          </cell>
          <cell r="D12215" t="str">
            <v>Seguros Personales (No Vida) Particular</v>
          </cell>
          <cell r="G12215" t="str">
            <v>Real</v>
          </cell>
        </row>
        <row r="12216">
          <cell r="A12216" t="str">
            <v>VEROBROKER</v>
          </cell>
          <cell r="B12216">
            <v>202510</v>
          </cell>
          <cell r="D12216" t="str">
            <v>Transporte</v>
          </cell>
          <cell r="G12216" t="str">
            <v>Presupuesto</v>
          </cell>
        </row>
        <row r="12217">
          <cell r="A12217" t="str">
            <v>VEROBROKER</v>
          </cell>
          <cell r="B12217">
            <v>202510</v>
          </cell>
          <cell r="D12217" t="str">
            <v>Transporte</v>
          </cell>
          <cell r="G12217" t="str">
            <v>Real</v>
          </cell>
        </row>
        <row r="12218">
          <cell r="A12218" t="str">
            <v>VEROBROKER</v>
          </cell>
          <cell r="B12218">
            <v>202510</v>
          </cell>
          <cell r="D12218" t="str">
            <v>Venta Cruzada</v>
          </cell>
          <cell r="G12218" t="str">
            <v>Presupuesto</v>
          </cell>
        </row>
        <row r="12219">
          <cell r="A12219" t="str">
            <v>VEROBROKER</v>
          </cell>
          <cell r="B12219">
            <v>202510</v>
          </cell>
          <cell r="D12219" t="str">
            <v>Vida Ahorro Colectivo</v>
          </cell>
          <cell r="G12219" t="str">
            <v>Presupuesto</v>
          </cell>
        </row>
        <row r="12220">
          <cell r="A12220" t="str">
            <v>VEROBROKER</v>
          </cell>
          <cell r="B12220">
            <v>202510</v>
          </cell>
          <cell r="D12220" t="str">
            <v>Vida Ahorro Particular</v>
          </cell>
          <cell r="G12220" t="str">
            <v>Presupuesto</v>
          </cell>
        </row>
        <row r="12221">
          <cell r="A12221" t="str">
            <v>VEROBROKER</v>
          </cell>
          <cell r="B12221">
            <v>202510</v>
          </cell>
          <cell r="D12221" t="str">
            <v>Vida Ganado</v>
          </cell>
          <cell r="G12221" t="str">
            <v>Presupuesto</v>
          </cell>
        </row>
        <row r="12222">
          <cell r="A12222" t="str">
            <v>VEROBROKER</v>
          </cell>
          <cell r="B12222">
            <v>202510</v>
          </cell>
          <cell r="D12222" t="str">
            <v>Vida Riesgo Colectivo</v>
          </cell>
          <cell r="G12222" t="str">
            <v>Presupuesto</v>
          </cell>
        </row>
        <row r="12223">
          <cell r="A12223" t="str">
            <v>VEROBROKER</v>
          </cell>
          <cell r="B12223">
            <v>202510</v>
          </cell>
          <cell r="D12223" t="str">
            <v>Vida Riesgo Particular</v>
          </cell>
          <cell r="G12223" t="str">
            <v>Presupuesto</v>
          </cell>
        </row>
        <row r="12224">
          <cell r="A12224" t="str">
            <v>VEROBROKER</v>
          </cell>
          <cell r="B12224">
            <v>202510</v>
          </cell>
          <cell r="D12224" t="str">
            <v>Vida Riesgo Particular</v>
          </cell>
          <cell r="G12224" t="str">
            <v>Real</v>
          </cell>
        </row>
        <row r="12225">
          <cell r="A12225" t="str">
            <v>VEROBROKER</v>
          </cell>
          <cell r="B12225">
            <v>202511</v>
          </cell>
          <cell r="D12225" t="str">
            <v>--</v>
          </cell>
          <cell r="G12225" t="str">
            <v>Presupuesto</v>
          </cell>
        </row>
        <row r="12226">
          <cell r="A12226" t="str">
            <v>VEROBROKER</v>
          </cell>
          <cell r="B12226">
            <v>202511</v>
          </cell>
          <cell r="D12226" t="str">
            <v>--</v>
          </cell>
          <cell r="G12226" t="str">
            <v>Real</v>
          </cell>
        </row>
        <row r="12227">
          <cell r="A12227" t="str">
            <v>VEROBROKER</v>
          </cell>
          <cell r="B12227">
            <v>202511</v>
          </cell>
          <cell r="D12227" t="str">
            <v>Arte</v>
          </cell>
          <cell r="G12227" t="str">
            <v>Presupuesto</v>
          </cell>
        </row>
        <row r="12228">
          <cell r="A12228" t="str">
            <v>VEROBROKER</v>
          </cell>
          <cell r="B12228">
            <v>202511</v>
          </cell>
          <cell r="D12228" t="str">
            <v>Autos</v>
          </cell>
          <cell r="G12228" t="str">
            <v>Presupuesto</v>
          </cell>
        </row>
        <row r="12229">
          <cell r="A12229" t="str">
            <v>VEROBROKER</v>
          </cell>
          <cell r="B12229">
            <v>202511</v>
          </cell>
          <cell r="D12229" t="str">
            <v>Autos</v>
          </cell>
          <cell r="G12229" t="str">
            <v>Real</v>
          </cell>
        </row>
        <row r="12230">
          <cell r="A12230" t="str">
            <v>VEROBROKER</v>
          </cell>
          <cell r="B12230">
            <v>202511</v>
          </cell>
          <cell r="D12230" t="str">
            <v>B2B2C</v>
          </cell>
          <cell r="G12230" t="str">
            <v>Presupuesto</v>
          </cell>
        </row>
        <row r="12231">
          <cell r="A12231" t="str">
            <v>VEROBROKER</v>
          </cell>
          <cell r="B12231">
            <v>202511</v>
          </cell>
          <cell r="D12231" t="str">
            <v>Caución</v>
          </cell>
          <cell r="G12231" t="str">
            <v>Presupuesto</v>
          </cell>
        </row>
        <row r="12232">
          <cell r="A12232" t="str">
            <v>VEROBROKER</v>
          </cell>
          <cell r="B12232">
            <v>202511</v>
          </cell>
          <cell r="D12232" t="str">
            <v>Crédito Nacional</v>
          </cell>
          <cell r="G12232" t="str">
            <v>Real</v>
          </cell>
        </row>
        <row r="12233">
          <cell r="A12233" t="str">
            <v>VEROBROKER</v>
          </cell>
          <cell r="B12233">
            <v>202511</v>
          </cell>
          <cell r="D12233" t="str">
            <v>Crédito Internacional</v>
          </cell>
          <cell r="G12233" t="str">
            <v>Presupuesto</v>
          </cell>
        </row>
        <row r="12234">
          <cell r="A12234" t="str">
            <v>VEROBROKER</v>
          </cell>
          <cell r="B12234">
            <v>202511</v>
          </cell>
          <cell r="D12234" t="str">
            <v>Crédito Nacional</v>
          </cell>
          <cell r="G12234" t="str">
            <v>Presupuesto</v>
          </cell>
        </row>
        <row r="12235">
          <cell r="A12235" t="str">
            <v>VEROBROKER</v>
          </cell>
          <cell r="B12235">
            <v>202511</v>
          </cell>
          <cell r="D12235" t="str">
            <v>Eventos</v>
          </cell>
          <cell r="G12235" t="str">
            <v>Presupuesto</v>
          </cell>
        </row>
        <row r="12236">
          <cell r="A12236" t="str">
            <v>VEROBROKER</v>
          </cell>
          <cell r="B12236">
            <v>202511</v>
          </cell>
          <cell r="D12236" t="str">
            <v>Flotas</v>
          </cell>
          <cell r="G12236" t="str">
            <v>Presupuesto</v>
          </cell>
        </row>
        <row r="12237">
          <cell r="A12237" t="str">
            <v>VEROBROKER</v>
          </cell>
          <cell r="B12237">
            <v>202511</v>
          </cell>
          <cell r="D12237" t="str">
            <v>Hogar</v>
          </cell>
          <cell r="G12237" t="str">
            <v>Presupuesto</v>
          </cell>
        </row>
        <row r="12238">
          <cell r="A12238" t="str">
            <v>VEROBROKER</v>
          </cell>
          <cell r="B12238">
            <v>202511</v>
          </cell>
          <cell r="D12238" t="str">
            <v>Hogar</v>
          </cell>
          <cell r="G12238" t="str">
            <v>Real</v>
          </cell>
        </row>
        <row r="12239">
          <cell r="A12239" t="str">
            <v>VEROBROKER</v>
          </cell>
          <cell r="B12239">
            <v>202511</v>
          </cell>
          <cell r="D12239" t="str">
            <v>Ingeniería</v>
          </cell>
          <cell r="G12239" t="str">
            <v>Presupuesto</v>
          </cell>
        </row>
        <row r="12240">
          <cell r="A12240" t="str">
            <v>VEROBROKER</v>
          </cell>
          <cell r="B12240">
            <v>202511</v>
          </cell>
          <cell r="D12240" t="str">
            <v>Inmobiliario</v>
          </cell>
          <cell r="G12240" t="str">
            <v>Presupuesto</v>
          </cell>
        </row>
        <row r="12241">
          <cell r="A12241" t="str">
            <v>VEROBROKER</v>
          </cell>
          <cell r="B12241">
            <v>202511</v>
          </cell>
          <cell r="D12241" t="str">
            <v>Líneas Financieras</v>
          </cell>
          <cell r="G12241" t="str">
            <v>Presupuesto</v>
          </cell>
        </row>
        <row r="12242">
          <cell r="A12242" t="str">
            <v>VEROBROKER</v>
          </cell>
          <cell r="B12242">
            <v>202511</v>
          </cell>
          <cell r="D12242" t="str">
            <v>Náutica</v>
          </cell>
          <cell r="G12242" t="str">
            <v>Presupuesto</v>
          </cell>
        </row>
        <row r="12243">
          <cell r="A12243" t="str">
            <v>VEROBROKER</v>
          </cell>
          <cell r="B12243">
            <v>202511</v>
          </cell>
          <cell r="D12243" t="str">
            <v>Particulares Resto</v>
          </cell>
          <cell r="G12243" t="str">
            <v>Presupuesto</v>
          </cell>
        </row>
        <row r="12244">
          <cell r="A12244" t="str">
            <v>VEROBROKER</v>
          </cell>
          <cell r="B12244">
            <v>202511</v>
          </cell>
          <cell r="D12244" t="str">
            <v>Property</v>
          </cell>
          <cell r="G12244" t="str">
            <v>Presupuesto</v>
          </cell>
        </row>
        <row r="12245">
          <cell r="A12245" t="str">
            <v>VEROBROKER</v>
          </cell>
          <cell r="B12245">
            <v>202511</v>
          </cell>
          <cell r="D12245" t="str">
            <v>RC</v>
          </cell>
          <cell r="G12245" t="str">
            <v>Presupuesto</v>
          </cell>
        </row>
        <row r="12246">
          <cell r="A12246" t="str">
            <v>VEROBROKER</v>
          </cell>
          <cell r="B12246">
            <v>202511</v>
          </cell>
          <cell r="D12246" t="str">
            <v>RC</v>
          </cell>
          <cell r="G12246" t="str">
            <v>Real</v>
          </cell>
        </row>
        <row r="12247">
          <cell r="A12247" t="str">
            <v>VEROBROKER</v>
          </cell>
          <cell r="B12247">
            <v>202511</v>
          </cell>
          <cell r="D12247" t="str">
            <v>Resto de lineas</v>
          </cell>
          <cell r="G12247" t="str">
            <v>Presupuesto</v>
          </cell>
        </row>
        <row r="12248">
          <cell r="A12248" t="str">
            <v>VEROBROKER</v>
          </cell>
          <cell r="B12248">
            <v>202511</v>
          </cell>
          <cell r="D12248" t="str">
            <v>Retirada</v>
          </cell>
          <cell r="G12248" t="str">
            <v>Presupuesto</v>
          </cell>
        </row>
        <row r="12249">
          <cell r="A12249" t="str">
            <v>VEROBROKER</v>
          </cell>
          <cell r="B12249">
            <v>202511</v>
          </cell>
          <cell r="D12249" t="str">
            <v>Seguros Personales (No Vida) Colectivos</v>
          </cell>
          <cell r="G12249" t="str">
            <v>Presupuesto</v>
          </cell>
        </row>
        <row r="12250">
          <cell r="A12250" t="str">
            <v>VEROBROKER</v>
          </cell>
          <cell r="B12250">
            <v>202511</v>
          </cell>
          <cell r="D12250" t="str">
            <v>Seguros Personales (No Vida) Colectivos</v>
          </cell>
          <cell r="G12250" t="str">
            <v>Real</v>
          </cell>
        </row>
        <row r="12251">
          <cell r="A12251" t="str">
            <v>VEROBROKER</v>
          </cell>
          <cell r="B12251">
            <v>202511</v>
          </cell>
          <cell r="D12251" t="str">
            <v>Seguros Personales (No Vida) Particular</v>
          </cell>
          <cell r="G12251" t="str">
            <v>Presupuesto</v>
          </cell>
        </row>
        <row r="12252">
          <cell r="A12252" t="str">
            <v>VEROBROKER</v>
          </cell>
          <cell r="B12252">
            <v>202511</v>
          </cell>
          <cell r="D12252" t="str">
            <v>Seguros Personales (No Vida) Particular</v>
          </cell>
          <cell r="G12252" t="str">
            <v>Real</v>
          </cell>
        </row>
        <row r="12253">
          <cell r="A12253" t="str">
            <v>VEROBROKER</v>
          </cell>
          <cell r="B12253">
            <v>202511</v>
          </cell>
          <cell r="D12253" t="str">
            <v>Transporte</v>
          </cell>
          <cell r="G12253" t="str">
            <v>Presupuesto</v>
          </cell>
        </row>
        <row r="12254">
          <cell r="A12254" t="str">
            <v>VEROBROKER</v>
          </cell>
          <cell r="B12254">
            <v>202511</v>
          </cell>
          <cell r="D12254" t="str">
            <v>Transporte</v>
          </cell>
          <cell r="G12254" t="str">
            <v>Real</v>
          </cell>
        </row>
        <row r="12255">
          <cell r="A12255" t="str">
            <v>VEROBROKER</v>
          </cell>
          <cell r="B12255">
            <v>202511</v>
          </cell>
          <cell r="D12255" t="str">
            <v>Venta Cruzada</v>
          </cell>
          <cell r="G12255" t="str">
            <v>Presupuesto</v>
          </cell>
        </row>
        <row r="12256">
          <cell r="A12256" t="str">
            <v>VEROBROKER</v>
          </cell>
          <cell r="B12256">
            <v>202511</v>
          </cell>
          <cell r="D12256" t="str">
            <v>Vida Ahorro Colectivo</v>
          </cell>
          <cell r="G12256" t="str">
            <v>Presupuesto</v>
          </cell>
        </row>
        <row r="12257">
          <cell r="A12257" t="str">
            <v>VEROBROKER</v>
          </cell>
          <cell r="B12257">
            <v>202511</v>
          </cell>
          <cell r="D12257" t="str">
            <v>Vida Ahorro Particular</v>
          </cell>
          <cell r="G12257" t="str">
            <v>Presupuesto</v>
          </cell>
        </row>
        <row r="12258">
          <cell r="A12258" t="str">
            <v>VEROBROKER</v>
          </cell>
          <cell r="B12258">
            <v>202511</v>
          </cell>
          <cell r="D12258" t="str">
            <v>Vida Ganado</v>
          </cell>
          <cell r="G12258" t="str">
            <v>Presupuesto</v>
          </cell>
        </row>
        <row r="12259">
          <cell r="A12259" t="str">
            <v>VEROBROKER</v>
          </cell>
          <cell r="B12259">
            <v>202511</v>
          </cell>
          <cell r="D12259" t="str">
            <v>Vida Riesgo Colectivo</v>
          </cell>
          <cell r="G12259" t="str">
            <v>Presupuesto</v>
          </cell>
        </row>
        <row r="12260">
          <cell r="A12260" t="str">
            <v>VEROBROKER</v>
          </cell>
          <cell r="B12260">
            <v>202511</v>
          </cell>
          <cell r="D12260" t="str">
            <v>Vida Riesgo Particular</v>
          </cell>
          <cell r="G12260" t="str">
            <v>Presupuesto</v>
          </cell>
        </row>
        <row r="12261">
          <cell r="A12261" t="str">
            <v>VEROBROKER</v>
          </cell>
          <cell r="B12261">
            <v>202511</v>
          </cell>
          <cell r="D12261" t="str">
            <v>Vida Riesgo Particular</v>
          </cell>
          <cell r="G12261" t="str">
            <v>Real</v>
          </cell>
        </row>
        <row r="12262">
          <cell r="A12262" t="str">
            <v>VEROBROKER</v>
          </cell>
          <cell r="B12262">
            <v>202512</v>
          </cell>
          <cell r="D12262" t="str">
            <v>--</v>
          </cell>
          <cell r="G12262" t="str">
            <v>Presupuesto</v>
          </cell>
        </row>
        <row r="12263">
          <cell r="A12263" t="str">
            <v>VEROBROKER</v>
          </cell>
          <cell r="B12263">
            <v>202512</v>
          </cell>
          <cell r="D12263" t="str">
            <v>--</v>
          </cell>
          <cell r="G12263" t="str">
            <v>Real</v>
          </cell>
        </row>
        <row r="12264">
          <cell r="A12264" t="str">
            <v>VEROBROKER</v>
          </cell>
          <cell r="B12264">
            <v>202512</v>
          </cell>
          <cell r="D12264" t="str">
            <v>Arte</v>
          </cell>
          <cell r="G12264" t="str">
            <v>Presupuesto</v>
          </cell>
        </row>
        <row r="12265">
          <cell r="A12265" t="str">
            <v>VEROBROKER</v>
          </cell>
          <cell r="B12265">
            <v>202512</v>
          </cell>
          <cell r="D12265" t="str">
            <v>Autos</v>
          </cell>
          <cell r="G12265" t="str">
            <v>Presupuesto</v>
          </cell>
        </row>
        <row r="12266">
          <cell r="A12266" t="str">
            <v>VEROBROKER</v>
          </cell>
          <cell r="B12266">
            <v>202512</v>
          </cell>
          <cell r="D12266" t="str">
            <v>Autos</v>
          </cell>
          <cell r="G12266" t="str">
            <v>Real</v>
          </cell>
        </row>
        <row r="12267">
          <cell r="A12267" t="str">
            <v>VEROBROKER</v>
          </cell>
          <cell r="B12267">
            <v>202512</v>
          </cell>
          <cell r="D12267" t="str">
            <v>B2B2C</v>
          </cell>
          <cell r="G12267" t="str">
            <v>Presupuesto</v>
          </cell>
        </row>
        <row r="12268">
          <cell r="A12268" t="str">
            <v>VEROBROKER</v>
          </cell>
          <cell r="B12268">
            <v>202512</v>
          </cell>
          <cell r="D12268" t="str">
            <v>Caución</v>
          </cell>
          <cell r="G12268" t="str">
            <v>Presupuesto</v>
          </cell>
        </row>
        <row r="12269">
          <cell r="A12269" t="str">
            <v>VEROBROKER</v>
          </cell>
          <cell r="B12269">
            <v>202512</v>
          </cell>
          <cell r="D12269" t="str">
            <v>Caución</v>
          </cell>
          <cell r="G12269" t="str">
            <v>Real</v>
          </cell>
        </row>
        <row r="12270">
          <cell r="A12270" t="str">
            <v>VEROBROKER</v>
          </cell>
          <cell r="B12270">
            <v>202512</v>
          </cell>
          <cell r="D12270" t="str">
            <v>Crédito Nacional</v>
          </cell>
          <cell r="G12270" t="str">
            <v>Real</v>
          </cell>
        </row>
        <row r="12271">
          <cell r="A12271" t="str">
            <v>VEROBROKER</v>
          </cell>
          <cell r="B12271">
            <v>202512</v>
          </cell>
          <cell r="D12271" t="str">
            <v>Crédito Internacional</v>
          </cell>
          <cell r="G12271" t="str">
            <v>Presupuesto</v>
          </cell>
        </row>
        <row r="12272">
          <cell r="A12272" t="str">
            <v>VEROBROKER</v>
          </cell>
          <cell r="B12272">
            <v>202512</v>
          </cell>
          <cell r="D12272" t="str">
            <v>Crédito Nacional</v>
          </cell>
          <cell r="G12272" t="str">
            <v>Presupuesto</v>
          </cell>
        </row>
        <row r="12273">
          <cell r="A12273" t="str">
            <v>VEROBROKER</v>
          </cell>
          <cell r="B12273">
            <v>202512</v>
          </cell>
          <cell r="D12273" t="str">
            <v>Eventos</v>
          </cell>
          <cell r="G12273" t="str">
            <v>Presupuesto</v>
          </cell>
        </row>
        <row r="12274">
          <cell r="A12274" t="str">
            <v>VEROBROKER</v>
          </cell>
          <cell r="B12274">
            <v>202512</v>
          </cell>
          <cell r="D12274" t="str">
            <v>Flotas</v>
          </cell>
          <cell r="G12274" t="str">
            <v>Presupuesto</v>
          </cell>
        </row>
        <row r="12275">
          <cell r="A12275" t="str">
            <v>VEROBROKER</v>
          </cell>
          <cell r="B12275">
            <v>202512</v>
          </cell>
          <cell r="D12275" t="str">
            <v>Flotas</v>
          </cell>
          <cell r="G12275" t="str">
            <v>Real</v>
          </cell>
        </row>
        <row r="12276">
          <cell r="A12276" t="str">
            <v>VEROBROKER</v>
          </cell>
          <cell r="B12276">
            <v>202512</v>
          </cell>
          <cell r="D12276" t="str">
            <v>Hogar</v>
          </cell>
          <cell r="G12276" t="str">
            <v>Presupuesto</v>
          </cell>
        </row>
        <row r="12277">
          <cell r="A12277" t="str">
            <v>VEROBROKER</v>
          </cell>
          <cell r="B12277">
            <v>202512</v>
          </cell>
          <cell r="D12277" t="str">
            <v>Hogar</v>
          </cell>
          <cell r="G12277" t="str">
            <v>Real</v>
          </cell>
        </row>
        <row r="12278">
          <cell r="A12278" t="str">
            <v>VEROBROKER</v>
          </cell>
          <cell r="B12278">
            <v>202512</v>
          </cell>
          <cell r="D12278" t="str">
            <v>Ingeniería</v>
          </cell>
          <cell r="G12278" t="str">
            <v>Presupuesto</v>
          </cell>
        </row>
        <row r="12279">
          <cell r="A12279" t="str">
            <v>VEROBROKER</v>
          </cell>
          <cell r="B12279">
            <v>202512</v>
          </cell>
          <cell r="D12279" t="str">
            <v>Inmobiliario</v>
          </cell>
          <cell r="G12279" t="str">
            <v>Presupuesto</v>
          </cell>
        </row>
        <row r="12280">
          <cell r="A12280" t="str">
            <v>VEROBROKER</v>
          </cell>
          <cell r="B12280">
            <v>202512</v>
          </cell>
          <cell r="D12280" t="str">
            <v>Líneas Financieras</v>
          </cell>
          <cell r="G12280" t="str">
            <v>Presupuesto</v>
          </cell>
        </row>
        <row r="12281">
          <cell r="A12281" t="str">
            <v>VEROBROKER</v>
          </cell>
          <cell r="B12281">
            <v>202512</v>
          </cell>
          <cell r="D12281" t="str">
            <v>Líneas Financieras</v>
          </cell>
          <cell r="G12281" t="str">
            <v>Real</v>
          </cell>
        </row>
        <row r="12282">
          <cell r="A12282" t="str">
            <v>VEROBROKER</v>
          </cell>
          <cell r="B12282">
            <v>202512</v>
          </cell>
          <cell r="D12282" t="str">
            <v>Náutica</v>
          </cell>
          <cell r="G12282" t="str">
            <v>Presupuesto</v>
          </cell>
        </row>
        <row r="12283">
          <cell r="A12283" t="str">
            <v>VEROBROKER</v>
          </cell>
          <cell r="B12283">
            <v>202512</v>
          </cell>
          <cell r="D12283" t="str">
            <v>Particulares Resto</v>
          </cell>
          <cell r="G12283" t="str">
            <v>Presupuesto</v>
          </cell>
        </row>
        <row r="12284">
          <cell r="A12284" t="str">
            <v>VEROBROKER</v>
          </cell>
          <cell r="B12284">
            <v>202512</v>
          </cell>
          <cell r="D12284" t="str">
            <v>Particulares Resto</v>
          </cell>
          <cell r="G12284" t="str">
            <v>Real</v>
          </cell>
        </row>
        <row r="12285">
          <cell r="A12285" t="str">
            <v>VEROBROKER</v>
          </cell>
          <cell r="B12285">
            <v>202512</v>
          </cell>
          <cell r="D12285" t="str">
            <v>Property</v>
          </cell>
          <cell r="G12285" t="str">
            <v>Presupuesto</v>
          </cell>
        </row>
        <row r="12286">
          <cell r="A12286" t="str">
            <v>VEROBROKER</v>
          </cell>
          <cell r="B12286">
            <v>202512</v>
          </cell>
          <cell r="D12286" t="str">
            <v>RC</v>
          </cell>
          <cell r="G12286" t="str">
            <v>Presupuesto</v>
          </cell>
        </row>
        <row r="12287">
          <cell r="A12287" t="str">
            <v>VEROBROKER</v>
          </cell>
          <cell r="B12287">
            <v>202512</v>
          </cell>
          <cell r="D12287" t="str">
            <v>RC</v>
          </cell>
          <cell r="G12287" t="str">
            <v>Real</v>
          </cell>
        </row>
        <row r="12288">
          <cell r="A12288" t="str">
            <v>VEROBROKER</v>
          </cell>
          <cell r="B12288">
            <v>202512</v>
          </cell>
          <cell r="D12288" t="str">
            <v>Resto de lineas</v>
          </cell>
          <cell r="G12288" t="str">
            <v>Presupuesto</v>
          </cell>
        </row>
        <row r="12289">
          <cell r="A12289" t="str">
            <v>VEROBROKER</v>
          </cell>
          <cell r="B12289">
            <v>202512</v>
          </cell>
          <cell r="D12289" t="str">
            <v>Retirada</v>
          </cell>
          <cell r="G12289" t="str">
            <v>Presupuesto</v>
          </cell>
        </row>
        <row r="12290">
          <cell r="A12290" t="str">
            <v>VEROBROKER</v>
          </cell>
          <cell r="B12290">
            <v>202512</v>
          </cell>
          <cell r="D12290" t="str">
            <v>Seguros Personales (No Vida) Colectivos</v>
          </cell>
          <cell r="G12290" t="str">
            <v>Presupuesto</v>
          </cell>
        </row>
        <row r="12291">
          <cell r="A12291" t="str">
            <v>VEROBROKER</v>
          </cell>
          <cell r="B12291">
            <v>202512</v>
          </cell>
          <cell r="D12291" t="str">
            <v>Seguros Personales (No Vida) Colectivos</v>
          </cell>
          <cell r="G12291" t="str">
            <v>Real</v>
          </cell>
        </row>
        <row r="12292">
          <cell r="A12292" t="str">
            <v>VEROBROKER</v>
          </cell>
          <cell r="B12292">
            <v>202512</v>
          </cell>
          <cell r="D12292" t="str">
            <v>Seguros Personales (No Vida) Particular</v>
          </cell>
          <cell r="G12292" t="str">
            <v>Presupuesto</v>
          </cell>
        </row>
        <row r="12293">
          <cell r="A12293" t="str">
            <v>VEROBROKER</v>
          </cell>
          <cell r="B12293">
            <v>202512</v>
          </cell>
          <cell r="D12293" t="str">
            <v>Seguros Personales (No Vida) Particular</v>
          </cell>
          <cell r="G12293" t="str">
            <v>Real</v>
          </cell>
        </row>
        <row r="12294">
          <cell r="A12294" t="str">
            <v>VEROBROKER</v>
          </cell>
          <cell r="B12294">
            <v>202512</v>
          </cell>
          <cell r="D12294" t="str">
            <v>Transporte</v>
          </cell>
          <cell r="G12294" t="str">
            <v>Presupuesto</v>
          </cell>
        </row>
        <row r="12295">
          <cell r="A12295" t="str">
            <v>VEROBROKER</v>
          </cell>
          <cell r="B12295">
            <v>202512</v>
          </cell>
          <cell r="D12295" t="str">
            <v>Transporte</v>
          </cell>
          <cell r="G12295" t="str">
            <v>Real</v>
          </cell>
        </row>
        <row r="12296">
          <cell r="A12296" t="str">
            <v>VEROBROKER</v>
          </cell>
          <cell r="B12296">
            <v>202512</v>
          </cell>
          <cell r="D12296" t="str">
            <v>Venta Cruzada</v>
          </cell>
          <cell r="G12296" t="str">
            <v>Presupuesto</v>
          </cell>
        </row>
        <row r="12297">
          <cell r="A12297" t="str">
            <v>VEROBROKER</v>
          </cell>
          <cell r="B12297">
            <v>202512</v>
          </cell>
          <cell r="D12297" t="str">
            <v>Vida Ahorro Colectivo</v>
          </cell>
          <cell r="G12297" t="str">
            <v>Presupuesto</v>
          </cell>
        </row>
        <row r="12298">
          <cell r="A12298" t="str">
            <v>VEROBROKER</v>
          </cell>
          <cell r="B12298">
            <v>202512</v>
          </cell>
          <cell r="D12298" t="str">
            <v>Vida Ahorro Particular</v>
          </cell>
          <cell r="G12298" t="str">
            <v>Presupuesto</v>
          </cell>
        </row>
        <row r="12299">
          <cell r="A12299" t="str">
            <v>VEROBROKER</v>
          </cell>
          <cell r="B12299">
            <v>202512</v>
          </cell>
          <cell r="D12299" t="str">
            <v>Vida Ahorro Particular</v>
          </cell>
          <cell r="G12299" t="str">
            <v>Real</v>
          </cell>
        </row>
        <row r="12300">
          <cell r="A12300" t="str">
            <v>VEROBROKER</v>
          </cell>
          <cell r="B12300">
            <v>202512</v>
          </cell>
          <cell r="D12300" t="str">
            <v>Vida Ganado</v>
          </cell>
          <cell r="G12300" t="str">
            <v>Presupuesto</v>
          </cell>
        </row>
        <row r="12301">
          <cell r="A12301" t="str">
            <v>VEROBROKER</v>
          </cell>
          <cell r="B12301">
            <v>202512</v>
          </cell>
          <cell r="D12301" t="str">
            <v>Vida Riesgo Colectivo</v>
          </cell>
          <cell r="G12301" t="str">
            <v>Presupuesto</v>
          </cell>
        </row>
        <row r="12302">
          <cell r="A12302" t="str">
            <v>VEROBROKER</v>
          </cell>
          <cell r="B12302">
            <v>202512</v>
          </cell>
          <cell r="D12302" t="str">
            <v>Vida Riesgo Particular</v>
          </cell>
          <cell r="G12302" t="str">
            <v>Presupuesto</v>
          </cell>
        </row>
        <row r="12303">
          <cell r="A12303" t="str">
            <v>VEROBROKER</v>
          </cell>
          <cell r="B12303">
            <v>202512</v>
          </cell>
          <cell r="D12303" t="str">
            <v>Vida Riesgo Particular</v>
          </cell>
          <cell r="G12303" t="str">
            <v>Real</v>
          </cell>
        </row>
        <row r="12304">
          <cell r="A12304" t="str">
            <v>ZURRIOLA</v>
          </cell>
          <cell r="B12304">
            <v>202401</v>
          </cell>
          <cell r="D12304" t="str">
            <v>--</v>
          </cell>
          <cell r="G12304" t="str">
            <v>Presupuesto</v>
          </cell>
        </row>
        <row r="12305">
          <cell r="A12305" t="str">
            <v>ZURRIOLA</v>
          </cell>
          <cell r="B12305">
            <v>202401</v>
          </cell>
          <cell r="D12305" t="str">
            <v>--</v>
          </cell>
          <cell r="G12305" t="str">
            <v>Real</v>
          </cell>
        </row>
        <row r="12306">
          <cell r="A12306" t="str">
            <v>ZURRIOLA</v>
          </cell>
          <cell r="B12306">
            <v>202401</v>
          </cell>
          <cell r="D12306" t="str">
            <v>Autos</v>
          </cell>
          <cell r="G12306" t="str">
            <v>Real</v>
          </cell>
        </row>
        <row r="12307">
          <cell r="A12307" t="str">
            <v>ZURRIOLA</v>
          </cell>
          <cell r="B12307">
            <v>202401</v>
          </cell>
          <cell r="D12307" t="str">
            <v>Flotas</v>
          </cell>
          <cell r="G12307" t="str">
            <v>Real</v>
          </cell>
        </row>
        <row r="12308">
          <cell r="A12308" t="str">
            <v>ZURRIOLA</v>
          </cell>
          <cell r="B12308">
            <v>202401</v>
          </cell>
          <cell r="D12308" t="str">
            <v>Hogar</v>
          </cell>
          <cell r="G12308" t="str">
            <v>Real</v>
          </cell>
        </row>
        <row r="12309">
          <cell r="A12309" t="str">
            <v>ZURRIOLA</v>
          </cell>
          <cell r="B12309">
            <v>202401</v>
          </cell>
          <cell r="D12309" t="str">
            <v>Ingeniería</v>
          </cell>
          <cell r="G12309" t="str">
            <v>Real</v>
          </cell>
        </row>
        <row r="12310">
          <cell r="A12310" t="str">
            <v>ZURRIOLA</v>
          </cell>
          <cell r="B12310">
            <v>202401</v>
          </cell>
          <cell r="D12310" t="str">
            <v>Particulares Resto</v>
          </cell>
          <cell r="G12310" t="str">
            <v>Real</v>
          </cell>
        </row>
        <row r="12311">
          <cell r="A12311" t="str">
            <v>ZURRIOLA</v>
          </cell>
          <cell r="B12311">
            <v>202401</v>
          </cell>
          <cell r="D12311" t="str">
            <v>Property</v>
          </cell>
          <cell r="G12311" t="str">
            <v>Real</v>
          </cell>
        </row>
        <row r="12312">
          <cell r="A12312" t="str">
            <v>ZURRIOLA</v>
          </cell>
          <cell r="B12312">
            <v>202401</v>
          </cell>
          <cell r="D12312" t="str">
            <v>RC</v>
          </cell>
          <cell r="G12312" t="str">
            <v>Real</v>
          </cell>
        </row>
        <row r="12313">
          <cell r="A12313" t="str">
            <v>ZURRIOLA</v>
          </cell>
          <cell r="B12313">
            <v>202401</v>
          </cell>
          <cell r="D12313" t="str">
            <v>Seguros Personales (No Vida) Colectivos</v>
          </cell>
          <cell r="G12313" t="str">
            <v>Real</v>
          </cell>
        </row>
        <row r="12314">
          <cell r="A12314" t="str">
            <v>ZURRIOLA</v>
          </cell>
          <cell r="B12314">
            <v>202401</v>
          </cell>
          <cell r="D12314" t="str">
            <v>Seguros Personales (No Vida) Particular</v>
          </cell>
          <cell r="G12314" t="str">
            <v>Real</v>
          </cell>
        </row>
        <row r="12315">
          <cell r="A12315" t="str">
            <v>ZURRIOLA</v>
          </cell>
          <cell r="B12315">
            <v>202401</v>
          </cell>
          <cell r="D12315" t="str">
            <v>Transporte</v>
          </cell>
          <cell r="G12315" t="str">
            <v>Real</v>
          </cell>
        </row>
        <row r="12316">
          <cell r="A12316" t="str">
            <v>ZURRIOLA</v>
          </cell>
          <cell r="B12316">
            <v>202401</v>
          </cell>
          <cell r="D12316" t="str">
            <v>Vida Ahorro Particular</v>
          </cell>
          <cell r="G12316" t="str">
            <v>Real</v>
          </cell>
        </row>
        <row r="12317">
          <cell r="A12317" t="str">
            <v>ZURRIOLA</v>
          </cell>
          <cell r="B12317">
            <v>202401</v>
          </cell>
          <cell r="D12317" t="str">
            <v>Vida Riesgo Particular</v>
          </cell>
          <cell r="G12317" t="str">
            <v>Real</v>
          </cell>
        </row>
        <row r="12318">
          <cell r="A12318" t="str">
            <v>ZURRIOLA</v>
          </cell>
          <cell r="B12318">
            <v>202402</v>
          </cell>
          <cell r="D12318" t="str">
            <v>--</v>
          </cell>
          <cell r="G12318" t="str">
            <v>Presupuesto</v>
          </cell>
        </row>
        <row r="12319">
          <cell r="A12319" t="str">
            <v>ZURRIOLA</v>
          </cell>
          <cell r="B12319">
            <v>202402</v>
          </cell>
          <cell r="D12319" t="str">
            <v>--</v>
          </cell>
          <cell r="G12319" t="str">
            <v>Real</v>
          </cell>
        </row>
        <row r="12320">
          <cell r="A12320" t="str">
            <v>ZURRIOLA</v>
          </cell>
          <cell r="B12320">
            <v>202402</v>
          </cell>
          <cell r="D12320" t="str">
            <v>Autos</v>
          </cell>
          <cell r="G12320" t="str">
            <v>Real</v>
          </cell>
        </row>
        <row r="12321">
          <cell r="A12321" t="str">
            <v>ZURRIOLA</v>
          </cell>
          <cell r="B12321">
            <v>202402</v>
          </cell>
          <cell r="D12321" t="str">
            <v>Flotas</v>
          </cell>
          <cell r="G12321" t="str">
            <v>Real</v>
          </cell>
        </row>
        <row r="12322">
          <cell r="A12322" t="str">
            <v>ZURRIOLA</v>
          </cell>
          <cell r="B12322">
            <v>202402</v>
          </cell>
          <cell r="D12322" t="str">
            <v>Hogar</v>
          </cell>
          <cell r="G12322" t="str">
            <v>Real</v>
          </cell>
        </row>
        <row r="12323">
          <cell r="A12323" t="str">
            <v>ZURRIOLA</v>
          </cell>
          <cell r="B12323">
            <v>202402</v>
          </cell>
          <cell r="D12323" t="str">
            <v>Ingeniería</v>
          </cell>
          <cell r="G12323" t="str">
            <v>Real</v>
          </cell>
        </row>
        <row r="12324">
          <cell r="A12324" t="str">
            <v>ZURRIOLA</v>
          </cell>
          <cell r="B12324">
            <v>202402</v>
          </cell>
          <cell r="D12324" t="str">
            <v>Particulares Resto</v>
          </cell>
          <cell r="G12324" t="str">
            <v>Real</v>
          </cell>
        </row>
        <row r="12325">
          <cell r="A12325" t="str">
            <v>ZURRIOLA</v>
          </cell>
          <cell r="B12325">
            <v>202402</v>
          </cell>
          <cell r="D12325" t="str">
            <v>Property</v>
          </cell>
          <cell r="G12325" t="str">
            <v>Real</v>
          </cell>
        </row>
        <row r="12326">
          <cell r="A12326" t="str">
            <v>ZURRIOLA</v>
          </cell>
          <cell r="B12326">
            <v>202402</v>
          </cell>
          <cell r="D12326" t="str">
            <v>RC</v>
          </cell>
          <cell r="G12326" t="str">
            <v>Real</v>
          </cell>
        </row>
        <row r="12327">
          <cell r="A12327" t="str">
            <v>ZURRIOLA</v>
          </cell>
          <cell r="B12327">
            <v>202402</v>
          </cell>
          <cell r="D12327" t="str">
            <v>Seguros Personales (No Vida) Colectivos</v>
          </cell>
          <cell r="G12327" t="str">
            <v>Real</v>
          </cell>
        </row>
        <row r="12328">
          <cell r="A12328" t="str">
            <v>ZURRIOLA</v>
          </cell>
          <cell r="B12328">
            <v>202402</v>
          </cell>
          <cell r="D12328" t="str">
            <v>Seguros Personales (No Vida) Particular</v>
          </cell>
          <cell r="G12328" t="str">
            <v>Real</v>
          </cell>
        </row>
        <row r="12329">
          <cell r="A12329" t="str">
            <v>ZURRIOLA</v>
          </cell>
          <cell r="B12329">
            <v>202402</v>
          </cell>
          <cell r="D12329" t="str">
            <v>Transporte</v>
          </cell>
          <cell r="G12329" t="str">
            <v>Real</v>
          </cell>
        </row>
        <row r="12330">
          <cell r="A12330" t="str">
            <v>ZURRIOLA</v>
          </cell>
          <cell r="B12330">
            <v>202402</v>
          </cell>
          <cell r="D12330" t="str">
            <v>Vida Ahorro Particular</v>
          </cell>
          <cell r="G12330" t="str">
            <v>Real</v>
          </cell>
        </row>
        <row r="12331">
          <cell r="A12331" t="str">
            <v>ZURRIOLA</v>
          </cell>
          <cell r="B12331">
            <v>202402</v>
          </cell>
          <cell r="D12331" t="str">
            <v>Vida Riesgo Colectivo</v>
          </cell>
          <cell r="G12331" t="str">
            <v>Real</v>
          </cell>
        </row>
        <row r="12332">
          <cell r="A12332" t="str">
            <v>ZURRIOLA</v>
          </cell>
          <cell r="B12332">
            <v>202402</v>
          </cell>
          <cell r="D12332" t="str">
            <v>Vida Riesgo Particular</v>
          </cell>
          <cell r="G12332" t="str">
            <v>Real</v>
          </cell>
        </row>
        <row r="12333">
          <cell r="A12333" t="str">
            <v>ZURRIOLA</v>
          </cell>
          <cell r="B12333">
            <v>202403</v>
          </cell>
          <cell r="D12333" t="str">
            <v>--</v>
          </cell>
          <cell r="G12333" t="str">
            <v>Presupuesto</v>
          </cell>
        </row>
        <row r="12334">
          <cell r="A12334" t="str">
            <v>ZURRIOLA</v>
          </cell>
          <cell r="B12334">
            <v>202403</v>
          </cell>
          <cell r="D12334" t="str">
            <v>--</v>
          </cell>
          <cell r="G12334" t="str">
            <v>Real</v>
          </cell>
        </row>
        <row r="12335">
          <cell r="A12335" t="str">
            <v>ZURRIOLA</v>
          </cell>
          <cell r="B12335">
            <v>202403</v>
          </cell>
          <cell r="D12335" t="str">
            <v>Autos</v>
          </cell>
          <cell r="G12335" t="str">
            <v>Real</v>
          </cell>
        </row>
        <row r="12336">
          <cell r="A12336" t="str">
            <v>ZURRIOLA</v>
          </cell>
          <cell r="B12336">
            <v>202403</v>
          </cell>
          <cell r="D12336" t="str">
            <v>Flotas</v>
          </cell>
          <cell r="G12336" t="str">
            <v>Real</v>
          </cell>
        </row>
        <row r="12337">
          <cell r="A12337" t="str">
            <v>ZURRIOLA</v>
          </cell>
          <cell r="B12337">
            <v>202403</v>
          </cell>
          <cell r="D12337" t="str">
            <v>Hogar</v>
          </cell>
          <cell r="G12337" t="str">
            <v>Real</v>
          </cell>
        </row>
        <row r="12338">
          <cell r="A12338" t="str">
            <v>ZURRIOLA</v>
          </cell>
          <cell r="B12338">
            <v>202403</v>
          </cell>
          <cell r="D12338" t="str">
            <v>Ingeniería</v>
          </cell>
          <cell r="G12338" t="str">
            <v>Real</v>
          </cell>
        </row>
        <row r="12339">
          <cell r="A12339" t="str">
            <v>ZURRIOLA</v>
          </cell>
          <cell r="B12339">
            <v>202403</v>
          </cell>
          <cell r="D12339" t="str">
            <v>Líneas Financieras</v>
          </cell>
          <cell r="G12339" t="str">
            <v>Real</v>
          </cell>
        </row>
        <row r="12340">
          <cell r="A12340" t="str">
            <v>ZURRIOLA</v>
          </cell>
          <cell r="B12340">
            <v>202403</v>
          </cell>
          <cell r="D12340" t="str">
            <v>Particulares Resto</v>
          </cell>
          <cell r="G12340" t="str">
            <v>Real</v>
          </cell>
        </row>
        <row r="12341">
          <cell r="A12341" t="str">
            <v>ZURRIOLA</v>
          </cell>
          <cell r="B12341">
            <v>202403</v>
          </cell>
          <cell r="D12341" t="str">
            <v>Property</v>
          </cell>
          <cell r="G12341" t="str">
            <v>Real</v>
          </cell>
        </row>
        <row r="12342">
          <cell r="A12342" t="str">
            <v>ZURRIOLA</v>
          </cell>
          <cell r="B12342">
            <v>202403</v>
          </cell>
          <cell r="D12342" t="str">
            <v>RC</v>
          </cell>
          <cell r="G12342" t="str">
            <v>Real</v>
          </cell>
        </row>
        <row r="12343">
          <cell r="A12343" t="str">
            <v>ZURRIOLA</v>
          </cell>
          <cell r="B12343">
            <v>202403</v>
          </cell>
          <cell r="D12343" t="str">
            <v>Seguros Personales (No Vida) Colectivos</v>
          </cell>
          <cell r="G12343" t="str">
            <v>Real</v>
          </cell>
        </row>
        <row r="12344">
          <cell r="A12344" t="str">
            <v>ZURRIOLA</v>
          </cell>
          <cell r="B12344">
            <v>202403</v>
          </cell>
          <cell r="D12344" t="str">
            <v>Seguros Personales (No Vida) Particular</v>
          </cell>
          <cell r="G12344" t="str">
            <v>Real</v>
          </cell>
        </row>
        <row r="12345">
          <cell r="A12345" t="str">
            <v>ZURRIOLA</v>
          </cell>
          <cell r="B12345">
            <v>202403</v>
          </cell>
          <cell r="D12345" t="str">
            <v>Transporte</v>
          </cell>
          <cell r="G12345" t="str">
            <v>Real</v>
          </cell>
        </row>
        <row r="12346">
          <cell r="A12346" t="str">
            <v>ZURRIOLA</v>
          </cell>
          <cell r="B12346">
            <v>202403</v>
          </cell>
          <cell r="D12346" t="str">
            <v>Vida Ahorro Particular</v>
          </cell>
          <cell r="G12346" t="str">
            <v>Real</v>
          </cell>
        </row>
        <row r="12347">
          <cell r="A12347" t="str">
            <v>ZURRIOLA</v>
          </cell>
          <cell r="B12347">
            <v>202403</v>
          </cell>
          <cell r="D12347" t="str">
            <v>Vida Riesgo Colectivo</v>
          </cell>
          <cell r="G12347" t="str">
            <v>Real</v>
          </cell>
        </row>
        <row r="12348">
          <cell r="A12348" t="str">
            <v>ZURRIOLA</v>
          </cell>
          <cell r="B12348">
            <v>202403</v>
          </cell>
          <cell r="D12348" t="str">
            <v>Vida Riesgo Particular</v>
          </cell>
          <cell r="G12348" t="str">
            <v>Real</v>
          </cell>
        </row>
        <row r="12349">
          <cell r="A12349" t="str">
            <v>ZURRIOLA</v>
          </cell>
          <cell r="B12349">
            <v>202404</v>
          </cell>
          <cell r="D12349" t="str">
            <v>--</v>
          </cell>
          <cell r="G12349" t="str">
            <v>Presupuesto</v>
          </cell>
        </row>
        <row r="12350">
          <cell r="A12350" t="str">
            <v>ZURRIOLA</v>
          </cell>
          <cell r="B12350">
            <v>202404</v>
          </cell>
          <cell r="D12350" t="str">
            <v>--</v>
          </cell>
          <cell r="G12350" t="str">
            <v>Real</v>
          </cell>
        </row>
        <row r="12351">
          <cell r="A12351" t="str">
            <v>ZURRIOLA</v>
          </cell>
          <cell r="B12351">
            <v>202404</v>
          </cell>
          <cell r="D12351" t="str">
            <v>Autos</v>
          </cell>
          <cell r="G12351" t="str">
            <v>Real</v>
          </cell>
        </row>
        <row r="12352">
          <cell r="A12352" t="str">
            <v>ZURRIOLA</v>
          </cell>
          <cell r="B12352">
            <v>202404</v>
          </cell>
          <cell r="D12352" t="str">
            <v>Flotas</v>
          </cell>
          <cell r="G12352" t="str">
            <v>Real</v>
          </cell>
        </row>
        <row r="12353">
          <cell r="A12353" t="str">
            <v>ZURRIOLA</v>
          </cell>
          <cell r="B12353">
            <v>202404</v>
          </cell>
          <cell r="D12353" t="str">
            <v>Hogar</v>
          </cell>
          <cell r="G12353" t="str">
            <v>Real</v>
          </cell>
        </row>
        <row r="12354">
          <cell r="A12354" t="str">
            <v>ZURRIOLA</v>
          </cell>
          <cell r="B12354">
            <v>202404</v>
          </cell>
          <cell r="D12354" t="str">
            <v>Ingeniería</v>
          </cell>
          <cell r="G12354" t="str">
            <v>Real</v>
          </cell>
        </row>
        <row r="12355">
          <cell r="A12355" t="str">
            <v>ZURRIOLA</v>
          </cell>
          <cell r="B12355">
            <v>202404</v>
          </cell>
          <cell r="D12355" t="str">
            <v>Líneas Financieras</v>
          </cell>
          <cell r="G12355" t="str">
            <v>Real</v>
          </cell>
        </row>
        <row r="12356">
          <cell r="A12356" t="str">
            <v>ZURRIOLA</v>
          </cell>
          <cell r="B12356">
            <v>202404</v>
          </cell>
          <cell r="D12356" t="str">
            <v>Náutica</v>
          </cell>
          <cell r="G12356" t="str">
            <v>Real</v>
          </cell>
        </row>
        <row r="12357">
          <cell r="A12357" t="str">
            <v>ZURRIOLA</v>
          </cell>
          <cell r="B12357">
            <v>202404</v>
          </cell>
          <cell r="D12357" t="str">
            <v>Particulares Resto</v>
          </cell>
          <cell r="G12357" t="str">
            <v>Real</v>
          </cell>
        </row>
        <row r="12358">
          <cell r="A12358" t="str">
            <v>ZURRIOLA</v>
          </cell>
          <cell r="B12358">
            <v>202404</v>
          </cell>
          <cell r="D12358" t="str">
            <v>Property</v>
          </cell>
          <cell r="G12358" t="str">
            <v>Real</v>
          </cell>
        </row>
        <row r="12359">
          <cell r="A12359" t="str">
            <v>ZURRIOLA</v>
          </cell>
          <cell r="B12359">
            <v>202404</v>
          </cell>
          <cell r="D12359" t="str">
            <v>RC</v>
          </cell>
          <cell r="G12359" t="str">
            <v>Real</v>
          </cell>
        </row>
        <row r="12360">
          <cell r="A12360" t="str">
            <v>ZURRIOLA</v>
          </cell>
          <cell r="B12360">
            <v>202404</v>
          </cell>
          <cell r="D12360" t="str">
            <v>Seguros Personales (No Vida) Colectivos</v>
          </cell>
          <cell r="G12360" t="str">
            <v>Real</v>
          </cell>
        </row>
        <row r="12361">
          <cell r="A12361" t="str">
            <v>ZURRIOLA</v>
          </cell>
          <cell r="B12361">
            <v>202404</v>
          </cell>
          <cell r="D12361" t="str">
            <v>Seguros Personales (No Vida) Particular</v>
          </cell>
          <cell r="G12361" t="str">
            <v>Real</v>
          </cell>
        </row>
        <row r="12362">
          <cell r="A12362" t="str">
            <v>ZURRIOLA</v>
          </cell>
          <cell r="B12362">
            <v>202404</v>
          </cell>
          <cell r="D12362" t="str">
            <v>Transporte</v>
          </cell>
          <cell r="G12362" t="str">
            <v>Real</v>
          </cell>
        </row>
        <row r="12363">
          <cell r="A12363" t="str">
            <v>ZURRIOLA</v>
          </cell>
          <cell r="B12363">
            <v>202404</v>
          </cell>
          <cell r="D12363" t="str">
            <v>Vida Ahorro Particular</v>
          </cell>
          <cell r="G12363" t="str">
            <v>Real</v>
          </cell>
        </row>
        <row r="12364">
          <cell r="A12364" t="str">
            <v>ZURRIOLA</v>
          </cell>
          <cell r="B12364">
            <v>202404</v>
          </cell>
          <cell r="D12364" t="str">
            <v>Vida Riesgo Colectivo</v>
          </cell>
          <cell r="G12364" t="str">
            <v>Real</v>
          </cell>
        </row>
        <row r="12365">
          <cell r="A12365" t="str">
            <v>ZURRIOLA</v>
          </cell>
          <cell r="B12365">
            <v>202404</v>
          </cell>
          <cell r="D12365" t="str">
            <v>Vida Riesgo Particular</v>
          </cell>
          <cell r="G12365" t="str">
            <v>Real</v>
          </cell>
        </row>
        <row r="12366">
          <cell r="A12366" t="str">
            <v>ZURRIOLA</v>
          </cell>
          <cell r="B12366">
            <v>202405</v>
          </cell>
          <cell r="D12366" t="str">
            <v>--</v>
          </cell>
          <cell r="G12366" t="str">
            <v>Presupuesto</v>
          </cell>
        </row>
        <row r="12367">
          <cell r="A12367" t="str">
            <v>ZURRIOLA</v>
          </cell>
          <cell r="B12367">
            <v>202405</v>
          </cell>
          <cell r="D12367" t="str">
            <v>--</v>
          </cell>
          <cell r="G12367" t="str">
            <v>Real</v>
          </cell>
        </row>
        <row r="12368">
          <cell r="A12368" t="str">
            <v>ZURRIOLA</v>
          </cell>
          <cell r="B12368">
            <v>202405</v>
          </cell>
          <cell r="D12368" t="str">
            <v>Autos</v>
          </cell>
          <cell r="G12368" t="str">
            <v>Real</v>
          </cell>
        </row>
        <row r="12369">
          <cell r="A12369" t="str">
            <v>ZURRIOLA</v>
          </cell>
          <cell r="B12369">
            <v>202405</v>
          </cell>
          <cell r="D12369" t="str">
            <v>Flotas</v>
          </cell>
          <cell r="G12369" t="str">
            <v>Real</v>
          </cell>
        </row>
        <row r="12370">
          <cell r="A12370" t="str">
            <v>ZURRIOLA</v>
          </cell>
          <cell r="B12370">
            <v>202405</v>
          </cell>
          <cell r="D12370" t="str">
            <v>Hogar</v>
          </cell>
          <cell r="G12370" t="str">
            <v>Real</v>
          </cell>
        </row>
        <row r="12371">
          <cell r="A12371" t="str">
            <v>ZURRIOLA</v>
          </cell>
          <cell r="B12371">
            <v>202405</v>
          </cell>
          <cell r="D12371" t="str">
            <v>Ingeniería</v>
          </cell>
          <cell r="G12371" t="str">
            <v>Real</v>
          </cell>
        </row>
        <row r="12372">
          <cell r="A12372" t="str">
            <v>ZURRIOLA</v>
          </cell>
          <cell r="B12372">
            <v>202405</v>
          </cell>
          <cell r="D12372" t="str">
            <v>Líneas Financieras</v>
          </cell>
          <cell r="G12372" t="str">
            <v>Real</v>
          </cell>
        </row>
        <row r="12373">
          <cell r="A12373" t="str">
            <v>ZURRIOLA</v>
          </cell>
          <cell r="B12373">
            <v>202405</v>
          </cell>
          <cell r="D12373" t="str">
            <v>Náutica</v>
          </cell>
          <cell r="G12373" t="str">
            <v>Real</v>
          </cell>
        </row>
        <row r="12374">
          <cell r="A12374" t="str">
            <v>ZURRIOLA</v>
          </cell>
          <cell r="B12374">
            <v>202405</v>
          </cell>
          <cell r="D12374" t="str">
            <v>Particulares Resto</v>
          </cell>
          <cell r="G12374" t="str">
            <v>Real</v>
          </cell>
        </row>
        <row r="12375">
          <cell r="A12375" t="str">
            <v>ZURRIOLA</v>
          </cell>
          <cell r="B12375">
            <v>202405</v>
          </cell>
          <cell r="D12375" t="str">
            <v>Property</v>
          </cell>
          <cell r="G12375" t="str">
            <v>Real</v>
          </cell>
        </row>
        <row r="12376">
          <cell r="A12376" t="str">
            <v>ZURRIOLA</v>
          </cell>
          <cell r="B12376">
            <v>202405</v>
          </cell>
          <cell r="D12376" t="str">
            <v>RC</v>
          </cell>
          <cell r="G12376" t="str">
            <v>Real</v>
          </cell>
        </row>
        <row r="12377">
          <cell r="A12377" t="str">
            <v>ZURRIOLA</v>
          </cell>
          <cell r="B12377">
            <v>202405</v>
          </cell>
          <cell r="D12377" t="str">
            <v>Seguros Personales (No Vida) Colectivos</v>
          </cell>
          <cell r="G12377" t="str">
            <v>Real</v>
          </cell>
        </row>
        <row r="12378">
          <cell r="A12378" t="str">
            <v>ZURRIOLA</v>
          </cell>
          <cell r="B12378">
            <v>202405</v>
          </cell>
          <cell r="D12378" t="str">
            <v>Seguros Personales (No Vida) Particular</v>
          </cell>
          <cell r="G12378" t="str">
            <v>Real</v>
          </cell>
        </row>
        <row r="12379">
          <cell r="A12379" t="str">
            <v>ZURRIOLA</v>
          </cell>
          <cell r="B12379">
            <v>202405</v>
          </cell>
          <cell r="D12379" t="str">
            <v>Transporte</v>
          </cell>
          <cell r="G12379" t="str">
            <v>Real</v>
          </cell>
        </row>
        <row r="12380">
          <cell r="A12380" t="str">
            <v>ZURRIOLA</v>
          </cell>
          <cell r="B12380">
            <v>202405</v>
          </cell>
          <cell r="D12380" t="str">
            <v>Vida Ahorro Particular</v>
          </cell>
          <cell r="G12380" t="str">
            <v>Real</v>
          </cell>
        </row>
        <row r="12381">
          <cell r="A12381" t="str">
            <v>ZURRIOLA</v>
          </cell>
          <cell r="B12381">
            <v>202405</v>
          </cell>
          <cell r="D12381" t="str">
            <v>Vida Riesgo Particular</v>
          </cell>
          <cell r="G12381" t="str">
            <v>Real</v>
          </cell>
        </row>
        <row r="12382">
          <cell r="A12382" t="str">
            <v>ZURRIOLA</v>
          </cell>
          <cell r="B12382">
            <v>202406</v>
          </cell>
          <cell r="D12382" t="str">
            <v>--</v>
          </cell>
          <cell r="G12382" t="str">
            <v>Presupuesto</v>
          </cell>
        </row>
        <row r="12383">
          <cell r="A12383" t="str">
            <v>ZURRIOLA</v>
          </cell>
          <cell r="B12383">
            <v>202406</v>
          </cell>
          <cell r="D12383" t="str">
            <v>--</v>
          </cell>
          <cell r="G12383" t="str">
            <v>Real</v>
          </cell>
        </row>
        <row r="12384">
          <cell r="A12384" t="str">
            <v>ZURRIOLA</v>
          </cell>
          <cell r="B12384">
            <v>202406</v>
          </cell>
          <cell r="D12384" t="str">
            <v>Autos</v>
          </cell>
          <cell r="G12384" t="str">
            <v>Real</v>
          </cell>
        </row>
        <row r="12385">
          <cell r="A12385" t="str">
            <v>ZURRIOLA</v>
          </cell>
          <cell r="B12385">
            <v>202406</v>
          </cell>
          <cell r="D12385" t="str">
            <v>Flotas</v>
          </cell>
          <cell r="G12385" t="str">
            <v>Real</v>
          </cell>
        </row>
        <row r="12386">
          <cell r="A12386" t="str">
            <v>ZURRIOLA</v>
          </cell>
          <cell r="B12386">
            <v>202406</v>
          </cell>
          <cell r="D12386" t="str">
            <v>Hogar</v>
          </cell>
          <cell r="G12386" t="str">
            <v>Real</v>
          </cell>
        </row>
        <row r="12387">
          <cell r="A12387" t="str">
            <v>ZURRIOLA</v>
          </cell>
          <cell r="B12387">
            <v>202406</v>
          </cell>
          <cell r="D12387" t="str">
            <v>Ingeniería</v>
          </cell>
          <cell r="G12387" t="str">
            <v>Real</v>
          </cell>
        </row>
        <row r="12388">
          <cell r="A12388" t="str">
            <v>ZURRIOLA</v>
          </cell>
          <cell r="B12388">
            <v>202406</v>
          </cell>
          <cell r="D12388" t="str">
            <v>Líneas Financieras</v>
          </cell>
          <cell r="G12388" t="str">
            <v>Real</v>
          </cell>
        </row>
        <row r="12389">
          <cell r="A12389" t="str">
            <v>ZURRIOLA</v>
          </cell>
          <cell r="B12389">
            <v>202406</v>
          </cell>
          <cell r="D12389" t="str">
            <v>Náutica</v>
          </cell>
          <cell r="G12389" t="str">
            <v>Real</v>
          </cell>
        </row>
        <row r="12390">
          <cell r="A12390" t="str">
            <v>ZURRIOLA</v>
          </cell>
          <cell r="B12390">
            <v>202406</v>
          </cell>
          <cell r="D12390" t="str">
            <v>Particulares Resto</v>
          </cell>
          <cell r="G12390" t="str">
            <v>Real</v>
          </cell>
        </row>
        <row r="12391">
          <cell r="A12391" t="str">
            <v>ZURRIOLA</v>
          </cell>
          <cell r="B12391">
            <v>202406</v>
          </cell>
          <cell r="D12391" t="str">
            <v>Property</v>
          </cell>
          <cell r="G12391" t="str">
            <v>Real</v>
          </cell>
        </row>
        <row r="12392">
          <cell r="A12392" t="str">
            <v>ZURRIOLA</v>
          </cell>
          <cell r="B12392">
            <v>202406</v>
          </cell>
          <cell r="D12392" t="str">
            <v>RC</v>
          </cell>
          <cell r="G12392" t="str">
            <v>Real</v>
          </cell>
        </row>
        <row r="12393">
          <cell r="A12393" t="str">
            <v>ZURRIOLA</v>
          </cell>
          <cell r="B12393">
            <v>202406</v>
          </cell>
          <cell r="D12393" t="str">
            <v>Seguros Personales (No Vida) Colectivos</v>
          </cell>
          <cell r="G12393" t="str">
            <v>Real</v>
          </cell>
        </row>
        <row r="12394">
          <cell r="A12394" t="str">
            <v>ZURRIOLA</v>
          </cell>
          <cell r="B12394">
            <v>202406</v>
          </cell>
          <cell r="D12394" t="str">
            <v>Seguros Personales (No Vida) Particular</v>
          </cell>
          <cell r="G12394" t="str">
            <v>Real</v>
          </cell>
        </row>
        <row r="12395">
          <cell r="A12395" t="str">
            <v>ZURRIOLA</v>
          </cell>
          <cell r="B12395">
            <v>202406</v>
          </cell>
          <cell r="D12395" t="str">
            <v>Transporte</v>
          </cell>
          <cell r="G12395" t="str">
            <v>Real</v>
          </cell>
        </row>
        <row r="12396">
          <cell r="A12396" t="str">
            <v>ZURRIOLA</v>
          </cell>
          <cell r="B12396">
            <v>202406</v>
          </cell>
          <cell r="D12396" t="str">
            <v>Vida Ahorro Particular</v>
          </cell>
          <cell r="G12396" t="str">
            <v>Real</v>
          </cell>
        </row>
        <row r="12397">
          <cell r="A12397" t="str">
            <v>ZURRIOLA</v>
          </cell>
          <cell r="B12397">
            <v>202406</v>
          </cell>
          <cell r="D12397" t="str">
            <v>Vida Riesgo Particular</v>
          </cell>
          <cell r="G12397" t="str">
            <v>Real</v>
          </cell>
        </row>
        <row r="12398">
          <cell r="A12398" t="str">
            <v>ZURRIOLA</v>
          </cell>
          <cell r="B12398">
            <v>202407</v>
          </cell>
          <cell r="D12398" t="str">
            <v>--</v>
          </cell>
          <cell r="G12398" t="str">
            <v>Presupuesto</v>
          </cell>
        </row>
        <row r="12399">
          <cell r="A12399" t="str">
            <v>ZURRIOLA</v>
          </cell>
          <cell r="B12399">
            <v>202407</v>
          </cell>
          <cell r="D12399" t="str">
            <v>--</v>
          </cell>
          <cell r="G12399" t="str">
            <v>Real</v>
          </cell>
        </row>
        <row r="12400">
          <cell r="A12400" t="str">
            <v>ZURRIOLA</v>
          </cell>
          <cell r="B12400">
            <v>202407</v>
          </cell>
          <cell r="D12400" t="str">
            <v>Autos</v>
          </cell>
          <cell r="G12400" t="str">
            <v>Real</v>
          </cell>
        </row>
        <row r="12401">
          <cell r="A12401" t="str">
            <v>ZURRIOLA</v>
          </cell>
          <cell r="B12401">
            <v>202407</v>
          </cell>
          <cell r="D12401" t="str">
            <v>Flotas</v>
          </cell>
          <cell r="G12401" t="str">
            <v>Real</v>
          </cell>
        </row>
        <row r="12402">
          <cell r="A12402" t="str">
            <v>ZURRIOLA</v>
          </cell>
          <cell r="B12402">
            <v>202407</v>
          </cell>
          <cell r="D12402" t="str">
            <v>Hogar</v>
          </cell>
          <cell r="G12402" t="str">
            <v>Real</v>
          </cell>
        </row>
        <row r="12403">
          <cell r="A12403" t="str">
            <v>ZURRIOLA</v>
          </cell>
          <cell r="B12403">
            <v>202407</v>
          </cell>
          <cell r="D12403" t="str">
            <v>Ingeniería</v>
          </cell>
          <cell r="G12403" t="str">
            <v>Real</v>
          </cell>
        </row>
        <row r="12404">
          <cell r="A12404" t="str">
            <v>ZURRIOLA</v>
          </cell>
          <cell r="B12404">
            <v>202407</v>
          </cell>
          <cell r="D12404" t="str">
            <v>Líneas Financieras</v>
          </cell>
          <cell r="G12404" t="str">
            <v>Real</v>
          </cell>
        </row>
        <row r="12405">
          <cell r="A12405" t="str">
            <v>ZURRIOLA</v>
          </cell>
          <cell r="B12405">
            <v>202407</v>
          </cell>
          <cell r="D12405" t="str">
            <v>Náutica</v>
          </cell>
          <cell r="G12405" t="str">
            <v>Real</v>
          </cell>
        </row>
        <row r="12406">
          <cell r="A12406" t="str">
            <v>ZURRIOLA</v>
          </cell>
          <cell r="B12406">
            <v>202407</v>
          </cell>
          <cell r="D12406" t="str">
            <v>Particulares Resto</v>
          </cell>
          <cell r="G12406" t="str">
            <v>Real</v>
          </cell>
        </row>
        <row r="12407">
          <cell r="A12407" t="str">
            <v>ZURRIOLA</v>
          </cell>
          <cell r="B12407">
            <v>202407</v>
          </cell>
          <cell r="D12407" t="str">
            <v>Property</v>
          </cell>
          <cell r="G12407" t="str">
            <v>Real</v>
          </cell>
        </row>
        <row r="12408">
          <cell r="A12408" t="str">
            <v>ZURRIOLA</v>
          </cell>
          <cell r="B12408">
            <v>202407</v>
          </cell>
          <cell r="D12408" t="str">
            <v>RC</v>
          </cell>
          <cell r="G12408" t="str">
            <v>Real</v>
          </cell>
        </row>
        <row r="12409">
          <cell r="A12409" t="str">
            <v>ZURRIOLA</v>
          </cell>
          <cell r="B12409">
            <v>202407</v>
          </cell>
          <cell r="D12409" t="str">
            <v>Seguros Personales (No Vida) Colectivos</v>
          </cell>
          <cell r="G12409" t="str">
            <v>Real</v>
          </cell>
        </row>
        <row r="12410">
          <cell r="A12410" t="str">
            <v>ZURRIOLA</v>
          </cell>
          <cell r="B12410">
            <v>202407</v>
          </cell>
          <cell r="D12410" t="str">
            <v>Seguros Personales (No Vida) Particular</v>
          </cell>
          <cell r="G12410" t="str">
            <v>Real</v>
          </cell>
        </row>
        <row r="12411">
          <cell r="A12411" t="str">
            <v>ZURRIOLA</v>
          </cell>
          <cell r="B12411">
            <v>202407</v>
          </cell>
          <cell r="D12411" t="str">
            <v>Transporte</v>
          </cell>
          <cell r="G12411" t="str">
            <v>Real</v>
          </cell>
        </row>
        <row r="12412">
          <cell r="A12412" t="str">
            <v>ZURRIOLA</v>
          </cell>
          <cell r="B12412">
            <v>202407</v>
          </cell>
          <cell r="D12412" t="str">
            <v>Vida Ahorro Particular</v>
          </cell>
          <cell r="G12412" t="str">
            <v>Real</v>
          </cell>
        </row>
        <row r="12413">
          <cell r="A12413" t="str">
            <v>ZURRIOLA</v>
          </cell>
          <cell r="B12413">
            <v>202407</v>
          </cell>
          <cell r="D12413" t="str">
            <v>Vida Riesgo Colectivo</v>
          </cell>
          <cell r="G12413" t="str">
            <v>Real</v>
          </cell>
        </row>
        <row r="12414">
          <cell r="A12414" t="str">
            <v>ZURRIOLA</v>
          </cell>
          <cell r="B12414">
            <v>202407</v>
          </cell>
          <cell r="D12414" t="str">
            <v>Vida Riesgo Particular</v>
          </cell>
          <cell r="G12414" t="str">
            <v>Real</v>
          </cell>
        </row>
        <row r="12415">
          <cell r="A12415" t="str">
            <v>ZURRIOLA</v>
          </cell>
          <cell r="B12415">
            <v>202408</v>
          </cell>
          <cell r="D12415" t="str">
            <v>--</v>
          </cell>
          <cell r="G12415" t="str">
            <v>Presupuesto</v>
          </cell>
        </row>
        <row r="12416">
          <cell r="A12416" t="str">
            <v>ZURRIOLA</v>
          </cell>
          <cell r="B12416">
            <v>202408</v>
          </cell>
          <cell r="D12416" t="str">
            <v>--</v>
          </cell>
          <cell r="G12416" t="str">
            <v>Real</v>
          </cell>
        </row>
        <row r="12417">
          <cell r="A12417" t="str">
            <v>ZURRIOLA</v>
          </cell>
          <cell r="B12417">
            <v>202408</v>
          </cell>
          <cell r="D12417" t="str">
            <v>Autos</v>
          </cell>
          <cell r="G12417" t="str">
            <v>Real</v>
          </cell>
        </row>
        <row r="12418">
          <cell r="A12418" t="str">
            <v>ZURRIOLA</v>
          </cell>
          <cell r="B12418">
            <v>202408</v>
          </cell>
          <cell r="D12418" t="str">
            <v>Flotas</v>
          </cell>
          <cell r="G12418" t="str">
            <v>Real</v>
          </cell>
        </row>
        <row r="12419">
          <cell r="A12419" t="str">
            <v>ZURRIOLA</v>
          </cell>
          <cell r="B12419">
            <v>202408</v>
          </cell>
          <cell r="D12419" t="str">
            <v>Hogar</v>
          </cell>
          <cell r="G12419" t="str">
            <v>Real</v>
          </cell>
        </row>
        <row r="12420">
          <cell r="A12420" t="str">
            <v>ZURRIOLA</v>
          </cell>
          <cell r="B12420">
            <v>202408</v>
          </cell>
          <cell r="D12420" t="str">
            <v>Ingeniería</v>
          </cell>
          <cell r="G12420" t="str">
            <v>Real</v>
          </cell>
        </row>
        <row r="12421">
          <cell r="A12421" t="str">
            <v>ZURRIOLA</v>
          </cell>
          <cell r="B12421">
            <v>202408</v>
          </cell>
          <cell r="D12421" t="str">
            <v>Líneas Financieras</v>
          </cell>
          <cell r="G12421" t="str">
            <v>Real</v>
          </cell>
        </row>
        <row r="12422">
          <cell r="A12422" t="str">
            <v>ZURRIOLA</v>
          </cell>
          <cell r="B12422">
            <v>202408</v>
          </cell>
          <cell r="D12422" t="str">
            <v>Náutica</v>
          </cell>
          <cell r="G12422" t="str">
            <v>Real</v>
          </cell>
        </row>
        <row r="12423">
          <cell r="A12423" t="str">
            <v>ZURRIOLA</v>
          </cell>
          <cell r="B12423">
            <v>202408</v>
          </cell>
          <cell r="D12423" t="str">
            <v>Particulares Resto</v>
          </cell>
          <cell r="G12423" t="str">
            <v>Real</v>
          </cell>
        </row>
        <row r="12424">
          <cell r="A12424" t="str">
            <v>ZURRIOLA</v>
          </cell>
          <cell r="B12424">
            <v>202408</v>
          </cell>
          <cell r="D12424" t="str">
            <v>Property</v>
          </cell>
          <cell r="G12424" t="str">
            <v>Real</v>
          </cell>
        </row>
        <row r="12425">
          <cell r="A12425" t="str">
            <v>ZURRIOLA</v>
          </cell>
          <cell r="B12425">
            <v>202408</v>
          </cell>
          <cell r="D12425" t="str">
            <v>RC</v>
          </cell>
          <cell r="G12425" t="str">
            <v>Real</v>
          </cell>
        </row>
        <row r="12426">
          <cell r="A12426" t="str">
            <v>ZURRIOLA</v>
          </cell>
          <cell r="B12426">
            <v>202408</v>
          </cell>
          <cell r="D12426" t="str">
            <v>Seguros Personales (No Vida) Colectivos</v>
          </cell>
          <cell r="G12426" t="str">
            <v>Real</v>
          </cell>
        </row>
        <row r="12427">
          <cell r="A12427" t="str">
            <v>ZURRIOLA</v>
          </cell>
          <cell r="B12427">
            <v>202408</v>
          </cell>
          <cell r="D12427" t="str">
            <v>Seguros Personales (No Vida) Particular</v>
          </cell>
          <cell r="G12427" t="str">
            <v>Real</v>
          </cell>
        </row>
        <row r="12428">
          <cell r="A12428" t="str">
            <v>ZURRIOLA</v>
          </cell>
          <cell r="B12428">
            <v>202408</v>
          </cell>
          <cell r="D12428" t="str">
            <v>Transporte</v>
          </cell>
          <cell r="G12428" t="str">
            <v>Real</v>
          </cell>
        </row>
        <row r="12429">
          <cell r="A12429" t="str">
            <v>ZURRIOLA</v>
          </cell>
          <cell r="B12429">
            <v>202408</v>
          </cell>
          <cell r="D12429" t="str">
            <v>Vida Ahorro Particular</v>
          </cell>
          <cell r="G12429" t="str">
            <v>Real</v>
          </cell>
        </row>
        <row r="12430">
          <cell r="A12430" t="str">
            <v>ZURRIOLA</v>
          </cell>
          <cell r="B12430">
            <v>202408</v>
          </cell>
          <cell r="D12430" t="str">
            <v>Vida Riesgo Particular</v>
          </cell>
          <cell r="G12430" t="str">
            <v>Real</v>
          </cell>
        </row>
        <row r="12431">
          <cell r="A12431" t="str">
            <v>ZURRIOLA</v>
          </cell>
          <cell r="B12431">
            <v>202409</v>
          </cell>
          <cell r="D12431" t="str">
            <v>--</v>
          </cell>
          <cell r="G12431" t="str">
            <v>Presupuesto</v>
          </cell>
        </row>
        <row r="12432">
          <cell r="A12432" t="str">
            <v>ZURRIOLA</v>
          </cell>
          <cell r="B12432">
            <v>202409</v>
          </cell>
          <cell r="D12432" t="str">
            <v>--</v>
          </cell>
          <cell r="G12432" t="str">
            <v>Real</v>
          </cell>
        </row>
        <row r="12433">
          <cell r="A12433" t="str">
            <v>ZURRIOLA</v>
          </cell>
          <cell r="B12433">
            <v>202409</v>
          </cell>
          <cell r="D12433" t="str">
            <v>Autos</v>
          </cell>
          <cell r="G12433" t="str">
            <v>Real</v>
          </cell>
        </row>
        <row r="12434">
          <cell r="A12434" t="str">
            <v>ZURRIOLA</v>
          </cell>
          <cell r="B12434">
            <v>202409</v>
          </cell>
          <cell r="D12434" t="str">
            <v>Flotas</v>
          </cell>
          <cell r="G12434" t="str">
            <v>Real</v>
          </cell>
        </row>
        <row r="12435">
          <cell r="A12435" t="str">
            <v>ZURRIOLA</v>
          </cell>
          <cell r="B12435">
            <v>202409</v>
          </cell>
          <cell r="D12435" t="str">
            <v>Hogar</v>
          </cell>
          <cell r="G12435" t="str">
            <v>Real</v>
          </cell>
        </row>
        <row r="12436">
          <cell r="A12436" t="str">
            <v>ZURRIOLA</v>
          </cell>
          <cell r="B12436">
            <v>202409</v>
          </cell>
          <cell r="D12436" t="str">
            <v>Ingeniería</v>
          </cell>
          <cell r="G12436" t="str">
            <v>Real</v>
          </cell>
        </row>
        <row r="12437">
          <cell r="A12437" t="str">
            <v>ZURRIOLA</v>
          </cell>
          <cell r="B12437">
            <v>202409</v>
          </cell>
          <cell r="D12437" t="str">
            <v>Náutica</v>
          </cell>
          <cell r="G12437" t="str">
            <v>Real</v>
          </cell>
        </row>
        <row r="12438">
          <cell r="A12438" t="str">
            <v>ZURRIOLA</v>
          </cell>
          <cell r="B12438">
            <v>202409</v>
          </cell>
          <cell r="D12438" t="str">
            <v>Particulares Resto</v>
          </cell>
          <cell r="G12438" t="str">
            <v>Real</v>
          </cell>
        </row>
        <row r="12439">
          <cell r="A12439" t="str">
            <v>ZURRIOLA</v>
          </cell>
          <cell r="B12439">
            <v>202409</v>
          </cell>
          <cell r="D12439" t="str">
            <v>Property</v>
          </cell>
          <cell r="G12439" t="str">
            <v>Real</v>
          </cell>
        </row>
        <row r="12440">
          <cell r="A12440" t="str">
            <v>ZURRIOLA</v>
          </cell>
          <cell r="B12440">
            <v>202409</v>
          </cell>
          <cell r="D12440" t="str">
            <v>RC</v>
          </cell>
          <cell r="G12440" t="str">
            <v>Real</v>
          </cell>
        </row>
        <row r="12441">
          <cell r="A12441" t="str">
            <v>ZURRIOLA</v>
          </cell>
          <cell r="B12441">
            <v>202409</v>
          </cell>
          <cell r="D12441" t="str">
            <v>Seguros Personales (No Vida) Colectivos</v>
          </cell>
          <cell r="G12441" t="str">
            <v>Real</v>
          </cell>
        </row>
        <row r="12442">
          <cell r="A12442" t="str">
            <v>ZURRIOLA</v>
          </cell>
          <cell r="B12442">
            <v>202409</v>
          </cell>
          <cell r="D12442" t="str">
            <v>Seguros Personales (No Vida) Particular</v>
          </cell>
          <cell r="G12442" t="str">
            <v>Real</v>
          </cell>
        </row>
        <row r="12443">
          <cell r="A12443" t="str">
            <v>ZURRIOLA</v>
          </cell>
          <cell r="B12443">
            <v>202409</v>
          </cell>
          <cell r="D12443" t="str">
            <v>Transporte</v>
          </cell>
          <cell r="G12443" t="str">
            <v>Real</v>
          </cell>
        </row>
        <row r="12444">
          <cell r="A12444" t="str">
            <v>ZURRIOLA</v>
          </cell>
          <cell r="B12444">
            <v>202409</v>
          </cell>
          <cell r="D12444" t="str">
            <v>Vida Ahorro Particular</v>
          </cell>
          <cell r="G12444" t="str">
            <v>Real</v>
          </cell>
        </row>
        <row r="12445">
          <cell r="A12445" t="str">
            <v>ZURRIOLA</v>
          </cell>
          <cell r="B12445">
            <v>202409</v>
          </cell>
          <cell r="D12445" t="str">
            <v>Vida Riesgo Particular</v>
          </cell>
          <cell r="G12445" t="str">
            <v>Real</v>
          </cell>
        </row>
        <row r="12446">
          <cell r="A12446" t="str">
            <v>ZURRIOLA</v>
          </cell>
          <cell r="B12446">
            <v>202410</v>
          </cell>
          <cell r="D12446" t="str">
            <v>--</v>
          </cell>
          <cell r="G12446" t="str">
            <v>Presupuesto</v>
          </cell>
        </row>
        <row r="12447">
          <cell r="A12447" t="str">
            <v>ZURRIOLA</v>
          </cell>
          <cell r="B12447">
            <v>202410</v>
          </cell>
          <cell r="D12447" t="str">
            <v>--</v>
          </cell>
          <cell r="G12447" t="str">
            <v>Real</v>
          </cell>
        </row>
        <row r="12448">
          <cell r="A12448" t="str">
            <v>ZURRIOLA</v>
          </cell>
          <cell r="B12448">
            <v>202410</v>
          </cell>
          <cell r="D12448" t="str">
            <v>Autos</v>
          </cell>
          <cell r="G12448" t="str">
            <v>Real</v>
          </cell>
        </row>
        <row r="12449">
          <cell r="A12449" t="str">
            <v>ZURRIOLA</v>
          </cell>
          <cell r="B12449">
            <v>202410</v>
          </cell>
          <cell r="D12449" t="str">
            <v>Flotas</v>
          </cell>
          <cell r="G12449" t="str">
            <v>Real</v>
          </cell>
        </row>
        <row r="12450">
          <cell r="A12450" t="str">
            <v>ZURRIOLA</v>
          </cell>
          <cell r="B12450">
            <v>202410</v>
          </cell>
          <cell r="D12450" t="str">
            <v>Hogar</v>
          </cell>
          <cell r="G12450" t="str">
            <v>Real</v>
          </cell>
        </row>
        <row r="12451">
          <cell r="A12451" t="str">
            <v>ZURRIOLA</v>
          </cell>
          <cell r="B12451">
            <v>202410</v>
          </cell>
          <cell r="D12451" t="str">
            <v>Ingeniería</v>
          </cell>
          <cell r="G12451" t="str">
            <v>Real</v>
          </cell>
        </row>
        <row r="12452">
          <cell r="A12452" t="str">
            <v>ZURRIOLA</v>
          </cell>
          <cell r="B12452">
            <v>202410</v>
          </cell>
          <cell r="D12452" t="str">
            <v>Particulares Resto</v>
          </cell>
          <cell r="G12452" t="str">
            <v>Real</v>
          </cell>
        </row>
        <row r="12453">
          <cell r="A12453" t="str">
            <v>ZURRIOLA</v>
          </cell>
          <cell r="B12453">
            <v>202410</v>
          </cell>
          <cell r="D12453" t="str">
            <v>Property</v>
          </cell>
          <cell r="G12453" t="str">
            <v>Real</v>
          </cell>
        </row>
        <row r="12454">
          <cell r="A12454" t="str">
            <v>ZURRIOLA</v>
          </cell>
          <cell r="B12454">
            <v>202410</v>
          </cell>
          <cell r="D12454" t="str">
            <v>RC</v>
          </cell>
          <cell r="G12454" t="str">
            <v>Real</v>
          </cell>
        </row>
        <row r="12455">
          <cell r="A12455" t="str">
            <v>ZURRIOLA</v>
          </cell>
          <cell r="B12455">
            <v>202410</v>
          </cell>
          <cell r="D12455" t="str">
            <v>Seguros Personales (No Vida) Colectivos</v>
          </cell>
          <cell r="G12455" t="str">
            <v>Real</v>
          </cell>
        </row>
        <row r="12456">
          <cell r="A12456" t="str">
            <v>ZURRIOLA</v>
          </cell>
          <cell r="B12456">
            <v>202410</v>
          </cell>
          <cell r="D12456" t="str">
            <v>Seguros Personales (No Vida) Particular</v>
          </cell>
          <cell r="G12456" t="str">
            <v>Real</v>
          </cell>
        </row>
        <row r="12457">
          <cell r="A12457" t="str">
            <v>ZURRIOLA</v>
          </cell>
          <cell r="B12457">
            <v>202410</v>
          </cell>
          <cell r="D12457" t="str">
            <v>Transporte</v>
          </cell>
          <cell r="G12457" t="str">
            <v>Real</v>
          </cell>
        </row>
        <row r="12458">
          <cell r="A12458" t="str">
            <v>ZURRIOLA</v>
          </cell>
          <cell r="B12458">
            <v>202410</v>
          </cell>
          <cell r="D12458" t="str">
            <v>Vida Ahorro Particular</v>
          </cell>
          <cell r="G12458" t="str">
            <v>Real</v>
          </cell>
        </row>
        <row r="12459">
          <cell r="A12459" t="str">
            <v>ZURRIOLA</v>
          </cell>
          <cell r="B12459">
            <v>202410</v>
          </cell>
          <cell r="D12459" t="str">
            <v>Vida Riesgo Particular</v>
          </cell>
          <cell r="G12459" t="str">
            <v>Real</v>
          </cell>
        </row>
        <row r="12460">
          <cell r="A12460" t="str">
            <v>ZURRIOLA</v>
          </cell>
          <cell r="B12460">
            <v>202411</v>
          </cell>
          <cell r="D12460" t="str">
            <v>--</v>
          </cell>
          <cell r="G12460" t="str">
            <v>Presupuesto</v>
          </cell>
        </row>
        <row r="12461">
          <cell r="A12461" t="str">
            <v>ZURRIOLA</v>
          </cell>
          <cell r="B12461">
            <v>202411</v>
          </cell>
          <cell r="D12461" t="str">
            <v>--</v>
          </cell>
          <cell r="G12461" t="str">
            <v>Real</v>
          </cell>
        </row>
        <row r="12462">
          <cell r="A12462" t="str">
            <v>ZURRIOLA</v>
          </cell>
          <cell r="B12462">
            <v>202411</v>
          </cell>
          <cell r="D12462" t="str">
            <v>Autos</v>
          </cell>
          <cell r="G12462" t="str">
            <v>Real</v>
          </cell>
        </row>
        <row r="12463">
          <cell r="A12463" t="str">
            <v>ZURRIOLA</v>
          </cell>
          <cell r="B12463">
            <v>202411</v>
          </cell>
          <cell r="D12463" t="str">
            <v>Flotas</v>
          </cell>
          <cell r="G12463" t="str">
            <v>Real</v>
          </cell>
        </row>
        <row r="12464">
          <cell r="A12464" t="str">
            <v>ZURRIOLA</v>
          </cell>
          <cell r="B12464">
            <v>202411</v>
          </cell>
          <cell r="D12464" t="str">
            <v>Hogar</v>
          </cell>
          <cell r="G12464" t="str">
            <v>Real</v>
          </cell>
        </row>
        <row r="12465">
          <cell r="A12465" t="str">
            <v>ZURRIOLA</v>
          </cell>
          <cell r="B12465">
            <v>202411</v>
          </cell>
          <cell r="D12465" t="str">
            <v>Ingeniería</v>
          </cell>
          <cell r="G12465" t="str">
            <v>Real</v>
          </cell>
        </row>
        <row r="12466">
          <cell r="A12466" t="str">
            <v>ZURRIOLA</v>
          </cell>
          <cell r="B12466">
            <v>202411</v>
          </cell>
          <cell r="D12466" t="str">
            <v>Líneas Financieras</v>
          </cell>
          <cell r="G12466" t="str">
            <v>Real</v>
          </cell>
        </row>
        <row r="12467">
          <cell r="A12467" t="str">
            <v>ZURRIOLA</v>
          </cell>
          <cell r="B12467">
            <v>202411</v>
          </cell>
          <cell r="D12467" t="str">
            <v>Náutica</v>
          </cell>
          <cell r="G12467" t="str">
            <v>Real</v>
          </cell>
        </row>
        <row r="12468">
          <cell r="A12468" t="str">
            <v>ZURRIOLA</v>
          </cell>
          <cell r="B12468">
            <v>202411</v>
          </cell>
          <cell r="D12468" t="str">
            <v>Particulares Resto</v>
          </cell>
          <cell r="G12468" t="str">
            <v>Real</v>
          </cell>
        </row>
        <row r="12469">
          <cell r="A12469" t="str">
            <v>ZURRIOLA</v>
          </cell>
          <cell r="B12469">
            <v>202411</v>
          </cell>
          <cell r="D12469" t="str">
            <v>Property</v>
          </cell>
          <cell r="G12469" t="str">
            <v>Real</v>
          </cell>
        </row>
        <row r="12470">
          <cell r="A12470" t="str">
            <v>ZURRIOLA</v>
          </cell>
          <cell r="B12470">
            <v>202411</v>
          </cell>
          <cell r="D12470" t="str">
            <v>RC</v>
          </cell>
          <cell r="G12470" t="str">
            <v>Real</v>
          </cell>
        </row>
        <row r="12471">
          <cell r="A12471" t="str">
            <v>ZURRIOLA</v>
          </cell>
          <cell r="B12471">
            <v>202411</v>
          </cell>
          <cell r="D12471" t="str">
            <v>Seguros Personales (No Vida) Colectivos</v>
          </cell>
          <cell r="G12471" t="str">
            <v>Real</v>
          </cell>
        </row>
        <row r="12472">
          <cell r="A12472" t="str">
            <v>ZURRIOLA</v>
          </cell>
          <cell r="B12472">
            <v>202411</v>
          </cell>
          <cell r="D12472" t="str">
            <v>Seguros Personales (No Vida) Particular</v>
          </cell>
          <cell r="G12472" t="str">
            <v>Real</v>
          </cell>
        </row>
        <row r="12473">
          <cell r="A12473" t="str">
            <v>ZURRIOLA</v>
          </cell>
          <cell r="B12473">
            <v>202411</v>
          </cell>
          <cell r="D12473" t="str">
            <v>Transporte</v>
          </cell>
          <cell r="G12473" t="str">
            <v>Real</v>
          </cell>
        </row>
        <row r="12474">
          <cell r="A12474" t="str">
            <v>ZURRIOLA</v>
          </cell>
          <cell r="B12474">
            <v>202411</v>
          </cell>
          <cell r="D12474" t="str">
            <v>Vida Ahorro Particular</v>
          </cell>
          <cell r="G12474" t="str">
            <v>Real</v>
          </cell>
        </row>
        <row r="12475">
          <cell r="A12475" t="str">
            <v>ZURRIOLA</v>
          </cell>
          <cell r="B12475">
            <v>202411</v>
          </cell>
          <cell r="D12475" t="str">
            <v>Vida Riesgo Colectivo</v>
          </cell>
          <cell r="G12475" t="str">
            <v>Real</v>
          </cell>
        </row>
        <row r="12476">
          <cell r="A12476" t="str">
            <v>ZURRIOLA</v>
          </cell>
          <cell r="B12476">
            <v>202411</v>
          </cell>
          <cell r="D12476" t="str">
            <v>Vida Riesgo Particular</v>
          </cell>
          <cell r="G12476" t="str">
            <v>Real</v>
          </cell>
        </row>
        <row r="12477">
          <cell r="A12477" t="str">
            <v>ZURRIOLA</v>
          </cell>
          <cell r="B12477">
            <v>202412</v>
          </cell>
          <cell r="D12477" t="str">
            <v>--</v>
          </cell>
          <cell r="G12477" t="str">
            <v>Presupuesto</v>
          </cell>
        </row>
        <row r="12478">
          <cell r="A12478" t="str">
            <v>ZURRIOLA</v>
          </cell>
          <cell r="B12478">
            <v>202412</v>
          </cell>
          <cell r="D12478" t="str">
            <v>--</v>
          </cell>
          <cell r="G12478" t="str">
            <v>Real</v>
          </cell>
        </row>
        <row r="12479">
          <cell r="A12479" t="str">
            <v>ZURRIOLA</v>
          </cell>
          <cell r="B12479">
            <v>202412</v>
          </cell>
          <cell r="D12479" t="str">
            <v>Autos</v>
          </cell>
          <cell r="G12479" t="str">
            <v>Real</v>
          </cell>
        </row>
        <row r="12480">
          <cell r="A12480" t="str">
            <v>ZURRIOLA</v>
          </cell>
          <cell r="B12480">
            <v>202412</v>
          </cell>
          <cell r="D12480" t="str">
            <v>Flotas</v>
          </cell>
          <cell r="G12480" t="str">
            <v>Real</v>
          </cell>
        </row>
        <row r="12481">
          <cell r="A12481" t="str">
            <v>ZURRIOLA</v>
          </cell>
          <cell r="B12481">
            <v>202412</v>
          </cell>
          <cell r="D12481" t="str">
            <v>Hogar</v>
          </cell>
          <cell r="G12481" t="str">
            <v>Real</v>
          </cell>
        </row>
        <row r="12482">
          <cell r="A12482" t="str">
            <v>ZURRIOLA</v>
          </cell>
          <cell r="B12482">
            <v>202412</v>
          </cell>
          <cell r="D12482" t="str">
            <v>Ingeniería</v>
          </cell>
          <cell r="G12482" t="str">
            <v>Real</v>
          </cell>
        </row>
        <row r="12483">
          <cell r="A12483" t="str">
            <v>ZURRIOLA</v>
          </cell>
          <cell r="B12483">
            <v>202412</v>
          </cell>
          <cell r="D12483" t="str">
            <v>Líneas Financieras</v>
          </cell>
          <cell r="G12483" t="str">
            <v>Real</v>
          </cell>
        </row>
        <row r="12484">
          <cell r="A12484" t="str">
            <v>ZURRIOLA</v>
          </cell>
          <cell r="B12484">
            <v>202412</v>
          </cell>
          <cell r="D12484" t="str">
            <v>Particulares Resto</v>
          </cell>
          <cell r="G12484" t="str">
            <v>Real</v>
          </cell>
        </row>
        <row r="12485">
          <cell r="A12485" t="str">
            <v>ZURRIOLA</v>
          </cell>
          <cell r="B12485">
            <v>202412</v>
          </cell>
          <cell r="D12485" t="str">
            <v>Property</v>
          </cell>
          <cell r="G12485" t="str">
            <v>Real</v>
          </cell>
        </row>
        <row r="12486">
          <cell r="A12486" t="str">
            <v>ZURRIOLA</v>
          </cell>
          <cell r="B12486">
            <v>202412</v>
          </cell>
          <cell r="D12486" t="str">
            <v>RC</v>
          </cell>
          <cell r="G12486" t="str">
            <v>Real</v>
          </cell>
        </row>
        <row r="12487">
          <cell r="A12487" t="str">
            <v>ZURRIOLA</v>
          </cell>
          <cell r="B12487">
            <v>202412</v>
          </cell>
          <cell r="D12487" t="str">
            <v>Seguros Personales (No Vida) Colectivos</v>
          </cell>
          <cell r="G12487" t="str">
            <v>Real</v>
          </cell>
        </row>
        <row r="12488">
          <cell r="A12488" t="str">
            <v>ZURRIOLA</v>
          </cell>
          <cell r="B12488">
            <v>202412</v>
          </cell>
          <cell r="D12488" t="str">
            <v>Seguros Personales (No Vida) Particular</v>
          </cell>
          <cell r="G12488" t="str">
            <v>Real</v>
          </cell>
        </row>
        <row r="12489">
          <cell r="A12489" t="str">
            <v>ZURRIOLA</v>
          </cell>
          <cell r="B12489">
            <v>202412</v>
          </cell>
          <cell r="D12489" t="str">
            <v>Transporte</v>
          </cell>
          <cell r="G12489" t="str">
            <v>Real</v>
          </cell>
        </row>
        <row r="12490">
          <cell r="A12490" t="str">
            <v>ZURRIOLA</v>
          </cell>
          <cell r="B12490">
            <v>202412</v>
          </cell>
          <cell r="D12490" t="str">
            <v>Vida Ahorro Particular</v>
          </cell>
          <cell r="G12490" t="str">
            <v>Real</v>
          </cell>
        </row>
        <row r="12491">
          <cell r="A12491" t="str">
            <v>ZURRIOLA</v>
          </cell>
          <cell r="B12491">
            <v>202412</v>
          </cell>
          <cell r="D12491" t="str">
            <v>Vida Riesgo Particular</v>
          </cell>
          <cell r="G12491" t="str">
            <v>Real</v>
          </cell>
        </row>
        <row r="12492">
          <cell r="A12492" t="str">
            <v>ZURRIOLA</v>
          </cell>
          <cell r="B12492">
            <v>202501</v>
          </cell>
          <cell r="D12492" t="str">
            <v>--</v>
          </cell>
          <cell r="G12492" t="str">
            <v>Presupuesto</v>
          </cell>
        </row>
        <row r="12493">
          <cell r="A12493" t="str">
            <v>ZURRIOLA</v>
          </cell>
          <cell r="B12493">
            <v>202501</v>
          </cell>
          <cell r="D12493" t="str">
            <v>--</v>
          </cell>
          <cell r="G12493" t="str">
            <v>Real</v>
          </cell>
        </row>
        <row r="12494">
          <cell r="A12494" t="str">
            <v>ZURRIOLA</v>
          </cell>
          <cell r="B12494">
            <v>202501</v>
          </cell>
          <cell r="D12494" t="str">
            <v>Autos</v>
          </cell>
          <cell r="G12494" t="str">
            <v>Presupuesto</v>
          </cell>
        </row>
        <row r="12495">
          <cell r="A12495" t="str">
            <v>ZURRIOLA</v>
          </cell>
          <cell r="B12495">
            <v>202501</v>
          </cell>
          <cell r="D12495" t="str">
            <v>Autos</v>
          </cell>
          <cell r="G12495" t="str">
            <v>Real</v>
          </cell>
        </row>
        <row r="12496">
          <cell r="A12496" t="str">
            <v>ZURRIOLA</v>
          </cell>
          <cell r="B12496">
            <v>202501</v>
          </cell>
          <cell r="D12496" t="str">
            <v>Property</v>
          </cell>
          <cell r="G12496" t="str">
            <v>Presupuesto</v>
          </cell>
        </row>
        <row r="12497">
          <cell r="A12497" t="str">
            <v>ZURRIOLA</v>
          </cell>
          <cell r="B12497">
            <v>202501</v>
          </cell>
          <cell r="D12497" t="str">
            <v>Flotas</v>
          </cell>
          <cell r="G12497" t="str">
            <v>Real</v>
          </cell>
        </row>
        <row r="12498">
          <cell r="A12498" t="str">
            <v>ZURRIOLA</v>
          </cell>
          <cell r="B12498">
            <v>202501</v>
          </cell>
          <cell r="D12498" t="str">
            <v>Hogar</v>
          </cell>
          <cell r="G12498" t="str">
            <v>Presupuesto</v>
          </cell>
        </row>
        <row r="12499">
          <cell r="A12499" t="str">
            <v>ZURRIOLA</v>
          </cell>
          <cell r="B12499">
            <v>202501</v>
          </cell>
          <cell r="D12499" t="str">
            <v>Hogar</v>
          </cell>
          <cell r="G12499" t="str">
            <v>Real</v>
          </cell>
        </row>
        <row r="12500">
          <cell r="A12500" t="str">
            <v>ZURRIOLA</v>
          </cell>
          <cell r="B12500">
            <v>202501</v>
          </cell>
          <cell r="D12500" t="str">
            <v>Ingeniería</v>
          </cell>
          <cell r="G12500" t="str">
            <v>Real</v>
          </cell>
        </row>
        <row r="12501">
          <cell r="A12501" t="str">
            <v>ZURRIOLA</v>
          </cell>
          <cell r="B12501">
            <v>202501</v>
          </cell>
          <cell r="D12501" t="str">
            <v>Líneas Financieras</v>
          </cell>
          <cell r="G12501" t="str">
            <v>Real</v>
          </cell>
        </row>
        <row r="12502">
          <cell r="A12502" t="str">
            <v>ZURRIOLA</v>
          </cell>
          <cell r="B12502">
            <v>202501</v>
          </cell>
          <cell r="D12502" t="str">
            <v>Property</v>
          </cell>
          <cell r="G12502" t="str">
            <v>Presupuesto</v>
          </cell>
        </row>
        <row r="12503">
          <cell r="A12503" t="str">
            <v>ZURRIOLA</v>
          </cell>
          <cell r="B12503">
            <v>202501</v>
          </cell>
          <cell r="D12503" t="str">
            <v>Particulares Resto</v>
          </cell>
          <cell r="G12503" t="str">
            <v>Real</v>
          </cell>
        </row>
        <row r="12504">
          <cell r="A12504" t="str">
            <v>ZURRIOLA</v>
          </cell>
          <cell r="B12504">
            <v>202501</v>
          </cell>
          <cell r="D12504" t="str">
            <v>Property</v>
          </cell>
          <cell r="G12504" t="str">
            <v>Real</v>
          </cell>
        </row>
        <row r="12505">
          <cell r="A12505" t="str">
            <v>ZURRIOLA</v>
          </cell>
          <cell r="B12505">
            <v>202501</v>
          </cell>
          <cell r="D12505" t="str">
            <v>RC</v>
          </cell>
          <cell r="G12505" t="str">
            <v>Presupuesto</v>
          </cell>
        </row>
        <row r="12506">
          <cell r="A12506" t="str">
            <v>ZURRIOLA</v>
          </cell>
          <cell r="B12506">
            <v>202501</v>
          </cell>
          <cell r="D12506" t="str">
            <v>RC</v>
          </cell>
          <cell r="G12506" t="str">
            <v>Real</v>
          </cell>
        </row>
        <row r="12507">
          <cell r="A12507" t="str">
            <v>ZURRIOLA</v>
          </cell>
          <cell r="B12507">
            <v>202501</v>
          </cell>
          <cell r="D12507" t="str">
            <v>Seguros Personales (No Vida) Particular</v>
          </cell>
          <cell r="G12507" t="str">
            <v>Presupuesto</v>
          </cell>
        </row>
        <row r="12508">
          <cell r="A12508" t="str">
            <v>ZURRIOLA</v>
          </cell>
          <cell r="B12508">
            <v>202501</v>
          </cell>
          <cell r="D12508" t="str">
            <v>Seguros Personales (No Vida) Colectivos</v>
          </cell>
          <cell r="G12508" t="str">
            <v>Real</v>
          </cell>
        </row>
        <row r="12509">
          <cell r="A12509" t="str">
            <v>ZURRIOLA</v>
          </cell>
          <cell r="B12509">
            <v>202501</v>
          </cell>
          <cell r="D12509" t="str">
            <v>Seguros Personales (No Vida) Particular</v>
          </cell>
          <cell r="G12509" t="str">
            <v>Real</v>
          </cell>
        </row>
        <row r="12510">
          <cell r="A12510" t="str">
            <v>ZURRIOLA</v>
          </cell>
          <cell r="B12510">
            <v>202501</v>
          </cell>
          <cell r="D12510" t="str">
            <v>Transporte</v>
          </cell>
          <cell r="G12510" t="str">
            <v>Presupuesto</v>
          </cell>
        </row>
        <row r="12511">
          <cell r="A12511" t="str">
            <v>ZURRIOLA</v>
          </cell>
          <cell r="B12511">
            <v>202501</v>
          </cell>
          <cell r="D12511" t="str">
            <v>Transporte</v>
          </cell>
          <cell r="G12511" t="str">
            <v>Real</v>
          </cell>
        </row>
        <row r="12512">
          <cell r="A12512" t="str">
            <v>ZURRIOLA</v>
          </cell>
          <cell r="B12512">
            <v>202501</v>
          </cell>
          <cell r="D12512" t="str">
            <v>Vida Riesgo Particular</v>
          </cell>
          <cell r="G12512" t="str">
            <v>Presupuesto</v>
          </cell>
        </row>
        <row r="12513">
          <cell r="A12513" t="str">
            <v>ZURRIOLA</v>
          </cell>
          <cell r="B12513">
            <v>202501</v>
          </cell>
          <cell r="D12513" t="str">
            <v>Vida Ahorro Particular</v>
          </cell>
          <cell r="G12513" t="str">
            <v>Real</v>
          </cell>
        </row>
        <row r="12514">
          <cell r="A12514" t="str">
            <v>ZURRIOLA</v>
          </cell>
          <cell r="B12514">
            <v>202501</v>
          </cell>
          <cell r="D12514" t="str">
            <v>Vida Riesgo Particular</v>
          </cell>
          <cell r="G12514" t="str">
            <v>Real</v>
          </cell>
        </row>
        <row r="12515">
          <cell r="A12515" t="str">
            <v>ZURRIOLA</v>
          </cell>
          <cell r="B12515">
            <v>202501</v>
          </cell>
          <cell r="D12515" t="str">
            <v>Vida Ahorro Particular</v>
          </cell>
          <cell r="G12515" t="str">
            <v>Presupuesto</v>
          </cell>
        </row>
        <row r="12516">
          <cell r="A12516" t="str">
            <v>ZURRIOLA</v>
          </cell>
          <cell r="B12516">
            <v>202502</v>
          </cell>
          <cell r="D12516" t="str">
            <v>--</v>
          </cell>
          <cell r="G12516" t="str">
            <v>Presupuesto</v>
          </cell>
        </row>
        <row r="12517">
          <cell r="A12517" t="str">
            <v>ZURRIOLA</v>
          </cell>
          <cell r="B12517">
            <v>202502</v>
          </cell>
          <cell r="D12517" t="str">
            <v>--</v>
          </cell>
          <cell r="G12517" t="str">
            <v>Real</v>
          </cell>
        </row>
        <row r="12518">
          <cell r="A12518" t="str">
            <v>ZURRIOLA</v>
          </cell>
          <cell r="B12518">
            <v>202502</v>
          </cell>
          <cell r="D12518" t="str">
            <v>Autos</v>
          </cell>
          <cell r="G12518" t="str">
            <v>Presupuesto</v>
          </cell>
        </row>
        <row r="12519">
          <cell r="A12519" t="str">
            <v>ZURRIOLA</v>
          </cell>
          <cell r="B12519">
            <v>202502</v>
          </cell>
          <cell r="D12519" t="str">
            <v>Autos</v>
          </cell>
          <cell r="G12519" t="str">
            <v>Real</v>
          </cell>
        </row>
        <row r="12520">
          <cell r="A12520" t="str">
            <v>ZURRIOLA</v>
          </cell>
          <cell r="B12520">
            <v>202502</v>
          </cell>
          <cell r="D12520" t="str">
            <v>Property</v>
          </cell>
          <cell r="G12520" t="str">
            <v>Presupuesto</v>
          </cell>
        </row>
        <row r="12521">
          <cell r="A12521" t="str">
            <v>ZURRIOLA</v>
          </cell>
          <cell r="B12521">
            <v>202502</v>
          </cell>
          <cell r="D12521" t="str">
            <v>Flotas</v>
          </cell>
          <cell r="G12521" t="str">
            <v>Real</v>
          </cell>
        </row>
        <row r="12522">
          <cell r="A12522" t="str">
            <v>ZURRIOLA</v>
          </cell>
          <cell r="B12522">
            <v>202502</v>
          </cell>
          <cell r="D12522" t="str">
            <v>Hogar</v>
          </cell>
          <cell r="G12522" t="str">
            <v>Presupuesto</v>
          </cell>
        </row>
        <row r="12523">
          <cell r="A12523" t="str">
            <v>ZURRIOLA</v>
          </cell>
          <cell r="B12523">
            <v>202502</v>
          </cell>
          <cell r="D12523" t="str">
            <v>Hogar</v>
          </cell>
          <cell r="G12523" t="str">
            <v>Real</v>
          </cell>
        </row>
        <row r="12524">
          <cell r="A12524" t="str">
            <v>ZURRIOLA</v>
          </cell>
          <cell r="B12524">
            <v>202502</v>
          </cell>
          <cell r="D12524" t="str">
            <v>Ingeniería</v>
          </cell>
          <cell r="G12524" t="str">
            <v>Real</v>
          </cell>
        </row>
        <row r="12525">
          <cell r="A12525" t="str">
            <v>ZURRIOLA</v>
          </cell>
          <cell r="B12525">
            <v>202502</v>
          </cell>
          <cell r="D12525" t="str">
            <v>Líneas Financieras</v>
          </cell>
          <cell r="G12525" t="str">
            <v>Real</v>
          </cell>
        </row>
        <row r="12526">
          <cell r="A12526" t="str">
            <v>ZURRIOLA</v>
          </cell>
          <cell r="B12526">
            <v>202502</v>
          </cell>
          <cell r="D12526" t="str">
            <v>Property</v>
          </cell>
          <cell r="G12526" t="str">
            <v>Presupuesto</v>
          </cell>
        </row>
        <row r="12527">
          <cell r="A12527" t="str">
            <v>ZURRIOLA</v>
          </cell>
          <cell r="B12527">
            <v>202502</v>
          </cell>
          <cell r="D12527" t="str">
            <v>Particulares Resto</v>
          </cell>
          <cell r="G12527" t="str">
            <v>Real</v>
          </cell>
        </row>
        <row r="12528">
          <cell r="A12528" t="str">
            <v>ZURRIOLA</v>
          </cell>
          <cell r="B12528">
            <v>202502</v>
          </cell>
          <cell r="D12528" t="str">
            <v>Property</v>
          </cell>
          <cell r="G12528" t="str">
            <v>Real</v>
          </cell>
        </row>
        <row r="12529">
          <cell r="A12529" t="str">
            <v>ZURRIOLA</v>
          </cell>
          <cell r="B12529">
            <v>202502</v>
          </cell>
          <cell r="D12529" t="str">
            <v>RC</v>
          </cell>
          <cell r="G12529" t="str">
            <v>Presupuesto</v>
          </cell>
        </row>
        <row r="12530">
          <cell r="A12530" t="str">
            <v>ZURRIOLA</v>
          </cell>
          <cell r="B12530">
            <v>202502</v>
          </cell>
          <cell r="D12530" t="str">
            <v>RC</v>
          </cell>
          <cell r="G12530" t="str">
            <v>Real</v>
          </cell>
        </row>
        <row r="12531">
          <cell r="A12531" t="str">
            <v>ZURRIOLA</v>
          </cell>
          <cell r="B12531">
            <v>202502</v>
          </cell>
          <cell r="D12531" t="str">
            <v>Seguros Personales (No Vida) Particular</v>
          </cell>
          <cell r="G12531" t="str">
            <v>Presupuesto</v>
          </cell>
        </row>
        <row r="12532">
          <cell r="A12532" t="str">
            <v>ZURRIOLA</v>
          </cell>
          <cell r="B12532">
            <v>202502</v>
          </cell>
          <cell r="D12532" t="str">
            <v>Seguros Personales (No Vida) Colectivos</v>
          </cell>
          <cell r="G12532" t="str">
            <v>Real</v>
          </cell>
        </row>
        <row r="12533">
          <cell r="A12533" t="str">
            <v>ZURRIOLA</v>
          </cell>
          <cell r="B12533">
            <v>202502</v>
          </cell>
          <cell r="D12533" t="str">
            <v>Seguros Personales (No Vida) Particular</v>
          </cell>
          <cell r="G12533" t="str">
            <v>Real</v>
          </cell>
        </row>
        <row r="12534">
          <cell r="A12534" t="str">
            <v>ZURRIOLA</v>
          </cell>
          <cell r="B12534">
            <v>202502</v>
          </cell>
          <cell r="D12534" t="str">
            <v>Transporte</v>
          </cell>
          <cell r="G12534" t="str">
            <v>Presupuesto</v>
          </cell>
        </row>
        <row r="12535">
          <cell r="A12535" t="str">
            <v>ZURRIOLA</v>
          </cell>
          <cell r="B12535">
            <v>202502</v>
          </cell>
          <cell r="D12535" t="str">
            <v>Transporte</v>
          </cell>
          <cell r="G12535" t="str">
            <v>Real</v>
          </cell>
        </row>
        <row r="12536">
          <cell r="A12536" t="str">
            <v>ZURRIOLA</v>
          </cell>
          <cell r="B12536">
            <v>202502</v>
          </cell>
          <cell r="D12536" t="str">
            <v>Vida Riesgo Particular</v>
          </cell>
          <cell r="G12536" t="str">
            <v>Presupuesto</v>
          </cell>
        </row>
        <row r="12537">
          <cell r="A12537" t="str">
            <v>ZURRIOLA</v>
          </cell>
          <cell r="B12537">
            <v>202502</v>
          </cell>
          <cell r="D12537" t="str">
            <v>Vida Ahorro Particular</v>
          </cell>
          <cell r="G12537" t="str">
            <v>Real</v>
          </cell>
        </row>
        <row r="12538">
          <cell r="A12538" t="str">
            <v>ZURRIOLA</v>
          </cell>
          <cell r="B12538">
            <v>202502</v>
          </cell>
          <cell r="D12538" t="str">
            <v>Vida Riesgo Particular</v>
          </cell>
          <cell r="G12538" t="str">
            <v>Real</v>
          </cell>
        </row>
        <row r="12539">
          <cell r="A12539" t="str">
            <v>ZURRIOLA</v>
          </cell>
          <cell r="B12539">
            <v>202502</v>
          </cell>
          <cell r="D12539" t="str">
            <v>Vida Ahorro Particular</v>
          </cell>
          <cell r="G12539" t="str">
            <v>Presupuesto</v>
          </cell>
        </row>
        <row r="12540">
          <cell r="A12540" t="str">
            <v>ZURRIOLA</v>
          </cell>
          <cell r="B12540">
            <v>202503</v>
          </cell>
          <cell r="D12540" t="str">
            <v>--</v>
          </cell>
          <cell r="G12540" t="str">
            <v>Presupuesto</v>
          </cell>
        </row>
        <row r="12541">
          <cell r="A12541" t="str">
            <v>ZURRIOLA</v>
          </cell>
          <cell r="B12541">
            <v>202503</v>
          </cell>
          <cell r="D12541" t="str">
            <v>--</v>
          </cell>
          <cell r="G12541" t="str">
            <v>Real</v>
          </cell>
        </row>
        <row r="12542">
          <cell r="A12542" t="str">
            <v>ZURRIOLA</v>
          </cell>
          <cell r="B12542">
            <v>202503</v>
          </cell>
          <cell r="D12542" t="str">
            <v>Autos</v>
          </cell>
          <cell r="G12542" t="str">
            <v>Presupuesto</v>
          </cell>
        </row>
        <row r="12543">
          <cell r="A12543" t="str">
            <v>ZURRIOLA</v>
          </cell>
          <cell r="B12543">
            <v>202503</v>
          </cell>
          <cell r="D12543" t="str">
            <v>Autos</v>
          </cell>
          <cell r="G12543" t="str">
            <v>Real</v>
          </cell>
        </row>
        <row r="12544">
          <cell r="A12544" t="str">
            <v>ZURRIOLA</v>
          </cell>
          <cell r="B12544">
            <v>202503</v>
          </cell>
          <cell r="D12544" t="str">
            <v>Property</v>
          </cell>
          <cell r="G12544" t="str">
            <v>Presupuesto</v>
          </cell>
        </row>
        <row r="12545">
          <cell r="A12545" t="str">
            <v>ZURRIOLA</v>
          </cell>
          <cell r="B12545">
            <v>202503</v>
          </cell>
          <cell r="D12545" t="str">
            <v>Flotas</v>
          </cell>
          <cell r="G12545" t="str">
            <v>Presupuesto</v>
          </cell>
        </row>
        <row r="12546">
          <cell r="A12546" t="str">
            <v>ZURRIOLA</v>
          </cell>
          <cell r="B12546">
            <v>202503</v>
          </cell>
          <cell r="D12546" t="str">
            <v>Flotas</v>
          </cell>
          <cell r="G12546" t="str">
            <v>Real</v>
          </cell>
        </row>
        <row r="12547">
          <cell r="A12547" t="str">
            <v>ZURRIOLA</v>
          </cell>
          <cell r="B12547">
            <v>202503</v>
          </cell>
          <cell r="D12547" t="str">
            <v>Hogar</v>
          </cell>
          <cell r="G12547" t="str">
            <v>Presupuesto</v>
          </cell>
        </row>
        <row r="12548">
          <cell r="A12548" t="str">
            <v>ZURRIOLA</v>
          </cell>
          <cell r="B12548">
            <v>202503</v>
          </cell>
          <cell r="D12548" t="str">
            <v>Hogar</v>
          </cell>
          <cell r="G12548" t="str">
            <v>Real</v>
          </cell>
        </row>
        <row r="12549">
          <cell r="A12549" t="str">
            <v>ZURRIOLA</v>
          </cell>
          <cell r="B12549">
            <v>202503</v>
          </cell>
          <cell r="D12549" t="str">
            <v>Ingeniería</v>
          </cell>
          <cell r="G12549" t="str">
            <v>Real</v>
          </cell>
        </row>
        <row r="12550">
          <cell r="A12550" t="str">
            <v>ZURRIOLA</v>
          </cell>
          <cell r="B12550">
            <v>202503</v>
          </cell>
          <cell r="D12550" t="str">
            <v>Líneas Financieras</v>
          </cell>
          <cell r="G12550" t="str">
            <v>Real</v>
          </cell>
        </row>
        <row r="12551">
          <cell r="A12551" t="str">
            <v>ZURRIOLA</v>
          </cell>
          <cell r="B12551">
            <v>202503</v>
          </cell>
          <cell r="D12551" t="str">
            <v>Property</v>
          </cell>
          <cell r="G12551" t="str">
            <v>Presupuesto</v>
          </cell>
        </row>
        <row r="12552">
          <cell r="A12552" t="str">
            <v>ZURRIOLA</v>
          </cell>
          <cell r="B12552">
            <v>202503</v>
          </cell>
          <cell r="D12552" t="str">
            <v>Particulares Resto</v>
          </cell>
          <cell r="G12552" t="str">
            <v>Presupuesto</v>
          </cell>
        </row>
        <row r="12553">
          <cell r="A12553" t="str">
            <v>ZURRIOLA</v>
          </cell>
          <cell r="B12553">
            <v>202503</v>
          </cell>
          <cell r="D12553" t="str">
            <v>Particulares Resto</v>
          </cell>
          <cell r="G12553" t="str">
            <v>Real</v>
          </cell>
        </row>
        <row r="12554">
          <cell r="A12554" t="str">
            <v>ZURRIOLA</v>
          </cell>
          <cell r="B12554">
            <v>202503</v>
          </cell>
          <cell r="D12554" t="str">
            <v>Property</v>
          </cell>
          <cell r="G12554" t="str">
            <v>Real</v>
          </cell>
        </row>
        <row r="12555">
          <cell r="A12555" t="str">
            <v>ZURRIOLA</v>
          </cell>
          <cell r="B12555">
            <v>202503</v>
          </cell>
          <cell r="D12555" t="str">
            <v>RC</v>
          </cell>
          <cell r="G12555" t="str">
            <v>Presupuesto</v>
          </cell>
        </row>
        <row r="12556">
          <cell r="A12556" t="str">
            <v>ZURRIOLA</v>
          </cell>
          <cell r="B12556">
            <v>202503</v>
          </cell>
          <cell r="D12556" t="str">
            <v>RC</v>
          </cell>
          <cell r="G12556" t="str">
            <v>Real</v>
          </cell>
        </row>
        <row r="12557">
          <cell r="A12557" t="str">
            <v>ZURRIOLA</v>
          </cell>
          <cell r="B12557">
            <v>202503</v>
          </cell>
          <cell r="D12557" t="str">
            <v>Seguros Personales (No Vida) Particular</v>
          </cell>
          <cell r="G12557" t="str">
            <v>Presupuesto</v>
          </cell>
        </row>
        <row r="12558">
          <cell r="A12558" t="str">
            <v>ZURRIOLA</v>
          </cell>
          <cell r="B12558">
            <v>202503</v>
          </cell>
          <cell r="D12558" t="str">
            <v>Seguros Personales (No Vida) Colectivos</v>
          </cell>
          <cell r="G12558" t="str">
            <v>Real</v>
          </cell>
        </row>
        <row r="12559">
          <cell r="A12559" t="str">
            <v>ZURRIOLA</v>
          </cell>
          <cell r="B12559">
            <v>202503</v>
          </cell>
          <cell r="D12559" t="str">
            <v>Seguros Personales (No Vida) Particular</v>
          </cell>
          <cell r="G12559" t="str">
            <v>Real</v>
          </cell>
        </row>
        <row r="12560">
          <cell r="A12560" t="str">
            <v>ZURRIOLA</v>
          </cell>
          <cell r="B12560">
            <v>202503</v>
          </cell>
          <cell r="D12560" t="str">
            <v>Transporte</v>
          </cell>
          <cell r="G12560" t="str">
            <v>Presupuesto</v>
          </cell>
        </row>
        <row r="12561">
          <cell r="A12561" t="str">
            <v>ZURRIOLA</v>
          </cell>
          <cell r="B12561">
            <v>202503</v>
          </cell>
          <cell r="D12561" t="str">
            <v>Transporte</v>
          </cell>
          <cell r="G12561" t="str">
            <v>Real</v>
          </cell>
        </row>
        <row r="12562">
          <cell r="A12562" t="str">
            <v>ZURRIOLA</v>
          </cell>
          <cell r="B12562">
            <v>202503</v>
          </cell>
          <cell r="D12562" t="str">
            <v>Vida Riesgo Particular</v>
          </cell>
          <cell r="G12562" t="str">
            <v>Presupuesto</v>
          </cell>
        </row>
        <row r="12563">
          <cell r="A12563" t="str">
            <v>ZURRIOLA</v>
          </cell>
          <cell r="B12563">
            <v>202503</v>
          </cell>
          <cell r="D12563" t="str">
            <v>Vida Ahorro Particular</v>
          </cell>
          <cell r="G12563" t="str">
            <v>Real</v>
          </cell>
        </row>
        <row r="12564">
          <cell r="A12564" t="str">
            <v>ZURRIOLA</v>
          </cell>
          <cell r="B12564">
            <v>202503</v>
          </cell>
          <cell r="D12564" t="str">
            <v>Vida Riesgo Particular</v>
          </cell>
          <cell r="G12564" t="str">
            <v>Real</v>
          </cell>
        </row>
        <row r="12565">
          <cell r="A12565" t="str">
            <v>ZURRIOLA</v>
          </cell>
          <cell r="B12565">
            <v>202503</v>
          </cell>
          <cell r="D12565" t="str">
            <v>Vida Ahorro Particular</v>
          </cell>
          <cell r="G12565" t="str">
            <v>Presupuesto</v>
          </cell>
        </row>
        <row r="12566">
          <cell r="A12566" t="str">
            <v>ZURRIOLA</v>
          </cell>
          <cell r="B12566">
            <v>202504</v>
          </cell>
          <cell r="D12566" t="str">
            <v>--</v>
          </cell>
          <cell r="G12566" t="str">
            <v>Presupuesto</v>
          </cell>
        </row>
        <row r="12567">
          <cell r="A12567" t="str">
            <v>ZURRIOLA</v>
          </cell>
          <cell r="B12567">
            <v>202504</v>
          </cell>
          <cell r="D12567" t="str">
            <v>--</v>
          </cell>
          <cell r="G12567" t="str">
            <v>Real</v>
          </cell>
        </row>
        <row r="12568">
          <cell r="A12568" t="str">
            <v>ZURRIOLA</v>
          </cell>
          <cell r="B12568">
            <v>202504</v>
          </cell>
          <cell r="D12568" t="str">
            <v>Autos</v>
          </cell>
          <cell r="G12568" t="str">
            <v>Presupuesto</v>
          </cell>
        </row>
        <row r="12569">
          <cell r="A12569" t="str">
            <v>ZURRIOLA</v>
          </cell>
          <cell r="B12569">
            <v>202504</v>
          </cell>
          <cell r="D12569" t="str">
            <v>Autos</v>
          </cell>
          <cell r="G12569" t="str">
            <v>Real</v>
          </cell>
        </row>
        <row r="12570">
          <cell r="A12570" t="str">
            <v>ZURRIOLA</v>
          </cell>
          <cell r="B12570">
            <v>202504</v>
          </cell>
          <cell r="D12570" t="str">
            <v>Property</v>
          </cell>
          <cell r="G12570" t="str">
            <v>Presupuesto</v>
          </cell>
        </row>
        <row r="12571">
          <cell r="A12571" t="str">
            <v>ZURRIOLA</v>
          </cell>
          <cell r="B12571">
            <v>202504</v>
          </cell>
          <cell r="D12571" t="str">
            <v>Flotas</v>
          </cell>
          <cell r="G12571" t="str">
            <v>Presupuesto</v>
          </cell>
        </row>
        <row r="12572">
          <cell r="A12572" t="str">
            <v>ZURRIOLA</v>
          </cell>
          <cell r="B12572">
            <v>202504</v>
          </cell>
          <cell r="D12572" t="str">
            <v>Flotas</v>
          </cell>
          <cell r="G12572" t="str">
            <v>Real</v>
          </cell>
        </row>
        <row r="12573">
          <cell r="A12573" t="str">
            <v>ZURRIOLA</v>
          </cell>
          <cell r="B12573">
            <v>202504</v>
          </cell>
          <cell r="D12573" t="str">
            <v>Hogar</v>
          </cell>
          <cell r="G12573" t="str">
            <v>Presupuesto</v>
          </cell>
        </row>
        <row r="12574">
          <cell r="A12574" t="str">
            <v>ZURRIOLA</v>
          </cell>
          <cell r="B12574">
            <v>202504</v>
          </cell>
          <cell r="D12574" t="str">
            <v>Hogar</v>
          </cell>
          <cell r="G12574" t="str">
            <v>Real</v>
          </cell>
        </row>
        <row r="12575">
          <cell r="A12575" t="str">
            <v>ZURRIOLA</v>
          </cell>
          <cell r="B12575">
            <v>202504</v>
          </cell>
          <cell r="D12575" t="str">
            <v>Ingeniería</v>
          </cell>
          <cell r="G12575" t="str">
            <v>Real</v>
          </cell>
        </row>
        <row r="12576">
          <cell r="A12576" t="str">
            <v>ZURRIOLA</v>
          </cell>
          <cell r="B12576">
            <v>202504</v>
          </cell>
          <cell r="D12576" t="str">
            <v>Líneas Financieras</v>
          </cell>
          <cell r="G12576" t="str">
            <v>Real</v>
          </cell>
        </row>
        <row r="12577">
          <cell r="A12577" t="str">
            <v>ZURRIOLA</v>
          </cell>
          <cell r="B12577">
            <v>202504</v>
          </cell>
          <cell r="D12577" t="str">
            <v>Property</v>
          </cell>
          <cell r="G12577" t="str">
            <v>Presupuesto</v>
          </cell>
        </row>
        <row r="12578">
          <cell r="A12578" t="str">
            <v>ZURRIOLA</v>
          </cell>
          <cell r="B12578">
            <v>202504</v>
          </cell>
          <cell r="D12578" t="str">
            <v>Náutica</v>
          </cell>
          <cell r="G12578" t="str">
            <v>Presupuesto</v>
          </cell>
        </row>
        <row r="12579">
          <cell r="A12579" t="str">
            <v>ZURRIOLA</v>
          </cell>
          <cell r="B12579">
            <v>202504</v>
          </cell>
          <cell r="D12579" t="str">
            <v>Náutica</v>
          </cell>
          <cell r="G12579" t="str">
            <v>Real</v>
          </cell>
        </row>
        <row r="12580">
          <cell r="A12580" t="str">
            <v>ZURRIOLA</v>
          </cell>
          <cell r="B12580">
            <v>202504</v>
          </cell>
          <cell r="D12580" t="str">
            <v>Particulares Resto</v>
          </cell>
          <cell r="G12580" t="str">
            <v>Presupuesto</v>
          </cell>
        </row>
        <row r="12581">
          <cell r="A12581" t="str">
            <v>ZURRIOLA</v>
          </cell>
          <cell r="B12581">
            <v>202504</v>
          </cell>
          <cell r="D12581" t="str">
            <v>Particulares Resto</v>
          </cell>
          <cell r="G12581" t="str">
            <v>Real</v>
          </cell>
        </row>
        <row r="12582">
          <cell r="A12582" t="str">
            <v>ZURRIOLA</v>
          </cell>
          <cell r="B12582">
            <v>202504</v>
          </cell>
          <cell r="D12582" t="str">
            <v>Property</v>
          </cell>
          <cell r="G12582" t="str">
            <v>Real</v>
          </cell>
        </row>
        <row r="12583">
          <cell r="A12583" t="str">
            <v>ZURRIOLA</v>
          </cell>
          <cell r="B12583">
            <v>202504</v>
          </cell>
          <cell r="D12583" t="str">
            <v>RC</v>
          </cell>
          <cell r="G12583" t="str">
            <v>Presupuesto</v>
          </cell>
        </row>
        <row r="12584">
          <cell r="A12584" t="str">
            <v>ZURRIOLA</v>
          </cell>
          <cell r="B12584">
            <v>202504</v>
          </cell>
          <cell r="D12584" t="str">
            <v>RC</v>
          </cell>
          <cell r="G12584" t="str">
            <v>Real</v>
          </cell>
        </row>
        <row r="12585">
          <cell r="A12585" t="str">
            <v>ZURRIOLA</v>
          </cell>
          <cell r="B12585">
            <v>202504</v>
          </cell>
          <cell r="D12585" t="str">
            <v>Seguros Personales (No Vida) Particular</v>
          </cell>
          <cell r="G12585" t="str">
            <v>Presupuesto</v>
          </cell>
        </row>
        <row r="12586">
          <cell r="A12586" t="str">
            <v>ZURRIOLA</v>
          </cell>
          <cell r="B12586">
            <v>202504</v>
          </cell>
          <cell r="D12586" t="str">
            <v>Seguros Personales (No Vida) Colectivos</v>
          </cell>
          <cell r="G12586" t="str">
            <v>Real</v>
          </cell>
        </row>
        <row r="12587">
          <cell r="A12587" t="str">
            <v>ZURRIOLA</v>
          </cell>
          <cell r="B12587">
            <v>202504</v>
          </cell>
          <cell r="D12587" t="str">
            <v>Seguros Personales (No Vida) Particular</v>
          </cell>
          <cell r="G12587" t="str">
            <v>Real</v>
          </cell>
        </row>
        <row r="12588">
          <cell r="A12588" t="str">
            <v>ZURRIOLA</v>
          </cell>
          <cell r="B12588">
            <v>202504</v>
          </cell>
          <cell r="D12588" t="str">
            <v>Transporte</v>
          </cell>
          <cell r="G12588" t="str">
            <v>Presupuesto</v>
          </cell>
        </row>
        <row r="12589">
          <cell r="A12589" t="str">
            <v>ZURRIOLA</v>
          </cell>
          <cell r="B12589">
            <v>202504</v>
          </cell>
          <cell r="D12589" t="str">
            <v>Transporte</v>
          </cell>
          <cell r="G12589" t="str">
            <v>Real</v>
          </cell>
        </row>
        <row r="12590">
          <cell r="A12590" t="str">
            <v>ZURRIOLA</v>
          </cell>
          <cell r="B12590">
            <v>202504</v>
          </cell>
          <cell r="D12590" t="str">
            <v>Vida Riesgo Particular</v>
          </cell>
          <cell r="G12590" t="str">
            <v>Presupuesto</v>
          </cell>
        </row>
        <row r="12591">
          <cell r="A12591" t="str">
            <v>ZURRIOLA</v>
          </cell>
          <cell r="B12591">
            <v>202504</v>
          </cell>
          <cell r="D12591" t="str">
            <v>Vida Ahorro Particular</v>
          </cell>
          <cell r="G12591" t="str">
            <v>Real</v>
          </cell>
        </row>
        <row r="12592">
          <cell r="A12592" t="str">
            <v>ZURRIOLA</v>
          </cell>
          <cell r="B12592">
            <v>202504</v>
          </cell>
          <cell r="D12592" t="str">
            <v>Vida Riesgo Particular</v>
          </cell>
          <cell r="G12592" t="str">
            <v>Real</v>
          </cell>
        </row>
        <row r="12593">
          <cell r="A12593" t="str">
            <v>ZURRIOLA</v>
          </cell>
          <cell r="B12593">
            <v>202504</v>
          </cell>
          <cell r="D12593" t="str">
            <v>Vida Ahorro Particular</v>
          </cell>
          <cell r="G12593" t="str">
            <v>Presupuesto</v>
          </cell>
        </row>
        <row r="12594">
          <cell r="A12594" t="str">
            <v>ZURRIOLA</v>
          </cell>
          <cell r="B12594">
            <v>202505</v>
          </cell>
          <cell r="D12594" t="str">
            <v>--</v>
          </cell>
          <cell r="G12594" t="str">
            <v>Presupuesto</v>
          </cell>
        </row>
        <row r="12595">
          <cell r="A12595" t="str">
            <v>ZURRIOLA</v>
          </cell>
          <cell r="B12595">
            <v>202505</v>
          </cell>
          <cell r="D12595" t="str">
            <v>--</v>
          </cell>
          <cell r="G12595" t="str">
            <v>Real</v>
          </cell>
        </row>
        <row r="12596">
          <cell r="A12596" t="str">
            <v>ZURRIOLA</v>
          </cell>
          <cell r="B12596">
            <v>202505</v>
          </cell>
          <cell r="D12596" t="str">
            <v>Autos</v>
          </cell>
          <cell r="G12596" t="str">
            <v>Presupuesto</v>
          </cell>
        </row>
        <row r="12597">
          <cell r="A12597" t="str">
            <v>ZURRIOLA</v>
          </cell>
          <cell r="B12597">
            <v>202505</v>
          </cell>
          <cell r="D12597" t="str">
            <v>Autos</v>
          </cell>
          <cell r="G12597" t="str">
            <v>Real</v>
          </cell>
        </row>
        <row r="12598">
          <cell r="A12598" t="str">
            <v>ZURRIOLA</v>
          </cell>
          <cell r="B12598">
            <v>202505</v>
          </cell>
          <cell r="D12598" t="str">
            <v>Ingeniería</v>
          </cell>
          <cell r="G12598" t="str">
            <v>Presupuesto</v>
          </cell>
        </row>
        <row r="12599">
          <cell r="A12599" t="str">
            <v>ZURRIOLA</v>
          </cell>
          <cell r="B12599">
            <v>202505</v>
          </cell>
          <cell r="D12599" t="str">
            <v>Property</v>
          </cell>
          <cell r="G12599" t="str">
            <v>Presupuesto</v>
          </cell>
        </row>
        <row r="12600">
          <cell r="A12600" t="str">
            <v>ZURRIOLA</v>
          </cell>
          <cell r="B12600">
            <v>202505</v>
          </cell>
          <cell r="D12600" t="str">
            <v>Flotas</v>
          </cell>
          <cell r="G12600" t="str">
            <v>Real</v>
          </cell>
        </row>
        <row r="12601">
          <cell r="A12601" t="str">
            <v>ZURRIOLA</v>
          </cell>
          <cell r="B12601">
            <v>202505</v>
          </cell>
          <cell r="D12601" t="str">
            <v>Hogar</v>
          </cell>
          <cell r="G12601" t="str">
            <v>Real</v>
          </cell>
        </row>
        <row r="12602">
          <cell r="A12602" t="str">
            <v>ZURRIOLA</v>
          </cell>
          <cell r="B12602">
            <v>202505</v>
          </cell>
          <cell r="D12602" t="str">
            <v>Ingeniería</v>
          </cell>
          <cell r="G12602" t="str">
            <v>Real</v>
          </cell>
        </row>
        <row r="12603">
          <cell r="A12603" t="str">
            <v>ZURRIOLA</v>
          </cell>
          <cell r="B12603">
            <v>202505</v>
          </cell>
          <cell r="D12603" t="str">
            <v>Líneas Financieras</v>
          </cell>
          <cell r="G12603" t="str">
            <v>Real</v>
          </cell>
        </row>
        <row r="12604">
          <cell r="A12604" t="str">
            <v>ZURRIOLA</v>
          </cell>
          <cell r="B12604">
            <v>202505</v>
          </cell>
          <cell r="D12604" t="str">
            <v>Property</v>
          </cell>
          <cell r="G12604" t="str">
            <v>Presupuesto</v>
          </cell>
        </row>
        <row r="12605">
          <cell r="A12605" t="str">
            <v>ZURRIOLA</v>
          </cell>
          <cell r="B12605">
            <v>202505</v>
          </cell>
          <cell r="D12605" t="str">
            <v>Náutica</v>
          </cell>
          <cell r="G12605" t="str">
            <v>Presupuesto</v>
          </cell>
        </row>
        <row r="12606">
          <cell r="A12606" t="str">
            <v>ZURRIOLA</v>
          </cell>
          <cell r="B12606">
            <v>202505</v>
          </cell>
          <cell r="D12606" t="str">
            <v>Náutica</v>
          </cell>
          <cell r="G12606" t="str">
            <v>Real</v>
          </cell>
        </row>
        <row r="12607">
          <cell r="A12607" t="str">
            <v>ZURRIOLA</v>
          </cell>
          <cell r="B12607">
            <v>202505</v>
          </cell>
          <cell r="D12607" t="str">
            <v>Particulares Resto</v>
          </cell>
          <cell r="G12607" t="str">
            <v>Presupuesto</v>
          </cell>
        </row>
        <row r="12608">
          <cell r="A12608" t="str">
            <v>ZURRIOLA</v>
          </cell>
          <cell r="B12608">
            <v>202505</v>
          </cell>
          <cell r="D12608" t="str">
            <v>Particulares Resto</v>
          </cell>
          <cell r="G12608" t="str">
            <v>Real</v>
          </cell>
        </row>
        <row r="12609">
          <cell r="A12609" t="str">
            <v>ZURRIOLA</v>
          </cell>
          <cell r="B12609">
            <v>202505</v>
          </cell>
          <cell r="D12609" t="str">
            <v>Property</v>
          </cell>
          <cell r="G12609" t="str">
            <v>Real</v>
          </cell>
        </row>
        <row r="12610">
          <cell r="A12610" t="str">
            <v>ZURRIOLA</v>
          </cell>
          <cell r="B12610">
            <v>202505</v>
          </cell>
          <cell r="D12610" t="str">
            <v>RC</v>
          </cell>
          <cell r="G12610" t="str">
            <v>Presupuesto</v>
          </cell>
        </row>
        <row r="12611">
          <cell r="A12611" t="str">
            <v>ZURRIOLA</v>
          </cell>
          <cell r="B12611">
            <v>202505</v>
          </cell>
          <cell r="D12611" t="str">
            <v>RC</v>
          </cell>
          <cell r="G12611" t="str">
            <v>Real</v>
          </cell>
        </row>
        <row r="12612">
          <cell r="A12612" t="str">
            <v>ZURRIOLA</v>
          </cell>
          <cell r="B12612">
            <v>202505</v>
          </cell>
          <cell r="D12612" t="str">
            <v>Seguros Personales (No Vida) Particular</v>
          </cell>
          <cell r="G12612" t="str">
            <v>Presupuesto</v>
          </cell>
        </row>
        <row r="12613">
          <cell r="A12613" t="str">
            <v>ZURRIOLA</v>
          </cell>
          <cell r="B12613">
            <v>202505</v>
          </cell>
          <cell r="D12613" t="str">
            <v>Seguros Personales (No Vida) Colectivos</v>
          </cell>
          <cell r="G12613" t="str">
            <v>Real</v>
          </cell>
        </row>
        <row r="12614">
          <cell r="A12614" t="str">
            <v>ZURRIOLA</v>
          </cell>
          <cell r="B12614">
            <v>202505</v>
          </cell>
          <cell r="D12614" t="str">
            <v>Seguros Personales (No Vida) Particular</v>
          </cell>
          <cell r="G12614" t="str">
            <v>Real</v>
          </cell>
        </row>
        <row r="12615">
          <cell r="A12615" t="str">
            <v>ZURRIOLA</v>
          </cell>
          <cell r="B12615">
            <v>202505</v>
          </cell>
          <cell r="D12615" t="str">
            <v>Transporte</v>
          </cell>
          <cell r="G12615" t="str">
            <v>Presupuesto</v>
          </cell>
        </row>
        <row r="12616">
          <cell r="A12616" t="str">
            <v>ZURRIOLA</v>
          </cell>
          <cell r="B12616">
            <v>202505</v>
          </cell>
          <cell r="D12616" t="str">
            <v>Transporte</v>
          </cell>
          <cell r="G12616" t="str">
            <v>Real</v>
          </cell>
        </row>
        <row r="12617">
          <cell r="A12617" t="str">
            <v>ZURRIOLA</v>
          </cell>
          <cell r="B12617">
            <v>202505</v>
          </cell>
          <cell r="D12617" t="str">
            <v>Vida Riesgo Particular</v>
          </cell>
          <cell r="G12617" t="str">
            <v>Presupuesto</v>
          </cell>
        </row>
        <row r="12618">
          <cell r="A12618" t="str">
            <v>ZURRIOLA</v>
          </cell>
          <cell r="B12618">
            <v>202505</v>
          </cell>
          <cell r="D12618" t="str">
            <v>Vida Ahorro Particular</v>
          </cell>
          <cell r="G12618" t="str">
            <v>Real</v>
          </cell>
        </row>
        <row r="12619">
          <cell r="A12619" t="str">
            <v>ZURRIOLA</v>
          </cell>
          <cell r="B12619">
            <v>202505</v>
          </cell>
          <cell r="D12619" t="str">
            <v>Vida Riesgo Colectivo</v>
          </cell>
          <cell r="G12619" t="str">
            <v>Real</v>
          </cell>
        </row>
        <row r="12620">
          <cell r="A12620" t="str">
            <v>ZURRIOLA</v>
          </cell>
          <cell r="B12620">
            <v>202505</v>
          </cell>
          <cell r="D12620" t="str">
            <v>Vida Riesgo Particular</v>
          </cell>
          <cell r="G12620" t="str">
            <v>Real</v>
          </cell>
        </row>
        <row r="12621">
          <cell r="A12621" t="str">
            <v>ZURRIOLA</v>
          </cell>
          <cell r="B12621">
            <v>202505</v>
          </cell>
          <cell r="D12621" t="str">
            <v>Vida Ahorro Particular</v>
          </cell>
          <cell r="G12621" t="str">
            <v>Presupuesto</v>
          </cell>
        </row>
        <row r="12622">
          <cell r="A12622" t="str">
            <v>ZURRIOLA</v>
          </cell>
          <cell r="B12622">
            <v>202506</v>
          </cell>
          <cell r="D12622" t="str">
            <v>--</v>
          </cell>
          <cell r="G12622" t="str">
            <v>Presupuesto</v>
          </cell>
        </row>
        <row r="12623">
          <cell r="A12623" t="str">
            <v>ZURRIOLA</v>
          </cell>
          <cell r="B12623">
            <v>202506</v>
          </cell>
          <cell r="D12623" t="str">
            <v>--</v>
          </cell>
          <cell r="G12623" t="str">
            <v>Real</v>
          </cell>
        </row>
        <row r="12624">
          <cell r="A12624" t="str">
            <v>ZURRIOLA</v>
          </cell>
          <cell r="B12624">
            <v>202506</v>
          </cell>
          <cell r="D12624" t="str">
            <v>Autos</v>
          </cell>
          <cell r="G12624" t="str">
            <v>Presupuesto</v>
          </cell>
        </row>
        <row r="12625">
          <cell r="A12625" t="str">
            <v>ZURRIOLA</v>
          </cell>
          <cell r="B12625">
            <v>202506</v>
          </cell>
          <cell r="D12625" t="str">
            <v>Autos</v>
          </cell>
          <cell r="G12625" t="str">
            <v>Real</v>
          </cell>
        </row>
        <row r="12626">
          <cell r="A12626" t="str">
            <v>ZURRIOLA</v>
          </cell>
          <cell r="B12626">
            <v>202506</v>
          </cell>
          <cell r="D12626" t="str">
            <v>Ingeniería</v>
          </cell>
          <cell r="G12626" t="str">
            <v>Presupuesto</v>
          </cell>
        </row>
        <row r="12627">
          <cell r="A12627" t="str">
            <v>ZURRIOLA</v>
          </cell>
          <cell r="B12627">
            <v>202506</v>
          </cell>
          <cell r="D12627" t="str">
            <v>Líneas Financieras</v>
          </cell>
          <cell r="G12627" t="str">
            <v>Presupuesto</v>
          </cell>
        </row>
        <row r="12628">
          <cell r="A12628" t="str">
            <v>ZURRIOLA</v>
          </cell>
          <cell r="B12628">
            <v>202506</v>
          </cell>
          <cell r="D12628" t="str">
            <v>Property</v>
          </cell>
          <cell r="G12628" t="str">
            <v>Presupuesto</v>
          </cell>
        </row>
        <row r="12629">
          <cell r="A12629" t="str">
            <v>ZURRIOLA</v>
          </cell>
          <cell r="B12629">
            <v>202506</v>
          </cell>
          <cell r="D12629" t="str">
            <v>Flotas</v>
          </cell>
          <cell r="G12629" t="str">
            <v>Presupuesto</v>
          </cell>
        </row>
        <row r="12630">
          <cell r="A12630" t="str">
            <v>ZURRIOLA</v>
          </cell>
          <cell r="B12630">
            <v>202506</v>
          </cell>
          <cell r="D12630" t="str">
            <v>Flotas</v>
          </cell>
          <cell r="G12630" t="str">
            <v>Real</v>
          </cell>
        </row>
        <row r="12631">
          <cell r="A12631" t="str">
            <v>ZURRIOLA</v>
          </cell>
          <cell r="B12631">
            <v>202506</v>
          </cell>
          <cell r="D12631" t="str">
            <v>Hogar</v>
          </cell>
          <cell r="G12631" t="str">
            <v>Presupuesto</v>
          </cell>
        </row>
        <row r="12632">
          <cell r="A12632" t="str">
            <v>ZURRIOLA</v>
          </cell>
          <cell r="B12632">
            <v>202506</v>
          </cell>
          <cell r="D12632" t="str">
            <v>Hogar</v>
          </cell>
          <cell r="G12632" t="str">
            <v>Real</v>
          </cell>
        </row>
        <row r="12633">
          <cell r="A12633" t="str">
            <v>ZURRIOLA</v>
          </cell>
          <cell r="B12633">
            <v>202506</v>
          </cell>
          <cell r="D12633" t="str">
            <v>Ingeniería</v>
          </cell>
          <cell r="G12633" t="str">
            <v>Real</v>
          </cell>
        </row>
        <row r="12634">
          <cell r="A12634" t="str">
            <v>ZURRIOLA</v>
          </cell>
          <cell r="B12634">
            <v>202506</v>
          </cell>
          <cell r="D12634" t="str">
            <v>Inmobiliario</v>
          </cell>
          <cell r="G12634" t="str">
            <v>Presupuesto</v>
          </cell>
        </row>
        <row r="12635">
          <cell r="A12635" t="str">
            <v>ZURRIOLA</v>
          </cell>
          <cell r="B12635">
            <v>202506</v>
          </cell>
          <cell r="D12635" t="str">
            <v>Líneas Financieras</v>
          </cell>
          <cell r="G12635" t="str">
            <v>Real</v>
          </cell>
        </row>
        <row r="12636">
          <cell r="A12636" t="str">
            <v>ZURRIOLA</v>
          </cell>
          <cell r="B12636">
            <v>202506</v>
          </cell>
          <cell r="D12636" t="str">
            <v>Property</v>
          </cell>
          <cell r="G12636" t="str">
            <v>Presupuesto</v>
          </cell>
        </row>
        <row r="12637">
          <cell r="A12637" t="str">
            <v>ZURRIOLA</v>
          </cell>
          <cell r="B12637">
            <v>202506</v>
          </cell>
          <cell r="D12637" t="str">
            <v>Náutica</v>
          </cell>
          <cell r="G12637" t="str">
            <v>Presupuesto</v>
          </cell>
        </row>
        <row r="12638">
          <cell r="A12638" t="str">
            <v>ZURRIOLA</v>
          </cell>
          <cell r="B12638">
            <v>202506</v>
          </cell>
          <cell r="D12638" t="str">
            <v>Náutica</v>
          </cell>
          <cell r="G12638" t="str">
            <v>Real</v>
          </cell>
        </row>
        <row r="12639">
          <cell r="A12639" t="str">
            <v>ZURRIOLA</v>
          </cell>
          <cell r="B12639">
            <v>202506</v>
          </cell>
          <cell r="D12639" t="str">
            <v>Particulares Resto</v>
          </cell>
          <cell r="G12639" t="str">
            <v>Presupuesto</v>
          </cell>
        </row>
        <row r="12640">
          <cell r="A12640" t="str">
            <v>ZURRIOLA</v>
          </cell>
          <cell r="B12640">
            <v>202506</v>
          </cell>
          <cell r="D12640" t="str">
            <v>Particulares Resto</v>
          </cell>
          <cell r="G12640" t="str">
            <v>Real</v>
          </cell>
        </row>
        <row r="12641">
          <cell r="A12641" t="str">
            <v>ZURRIOLA</v>
          </cell>
          <cell r="B12641">
            <v>202506</v>
          </cell>
          <cell r="D12641" t="str">
            <v>Property</v>
          </cell>
          <cell r="G12641" t="str">
            <v>Real</v>
          </cell>
        </row>
        <row r="12642">
          <cell r="A12642" t="str">
            <v>ZURRIOLA</v>
          </cell>
          <cell r="B12642">
            <v>202506</v>
          </cell>
          <cell r="D12642" t="str">
            <v>RC</v>
          </cell>
          <cell r="G12642" t="str">
            <v>Presupuesto</v>
          </cell>
        </row>
        <row r="12643">
          <cell r="A12643" t="str">
            <v>ZURRIOLA</v>
          </cell>
          <cell r="B12643">
            <v>202506</v>
          </cell>
          <cell r="D12643" t="str">
            <v>RC</v>
          </cell>
          <cell r="G12643" t="str">
            <v>Real</v>
          </cell>
        </row>
        <row r="12644">
          <cell r="A12644" t="str">
            <v>ZURRIOLA</v>
          </cell>
          <cell r="B12644">
            <v>202506</v>
          </cell>
          <cell r="D12644" t="str">
            <v>Seguros Personales (No Vida) Particular</v>
          </cell>
          <cell r="G12644" t="str">
            <v>Presupuesto</v>
          </cell>
        </row>
        <row r="12645">
          <cell r="A12645" t="str">
            <v>ZURRIOLA</v>
          </cell>
          <cell r="B12645">
            <v>202506</v>
          </cell>
          <cell r="D12645" t="str">
            <v>Seguros Personales (No Vida) Colectivos</v>
          </cell>
          <cell r="G12645" t="str">
            <v>Real</v>
          </cell>
        </row>
        <row r="12646">
          <cell r="A12646" t="str">
            <v>ZURRIOLA</v>
          </cell>
          <cell r="B12646">
            <v>202506</v>
          </cell>
          <cell r="D12646" t="str">
            <v>Seguros Personales (No Vida) Particular</v>
          </cell>
          <cell r="G12646" t="str">
            <v>Real</v>
          </cell>
        </row>
        <row r="12647">
          <cell r="A12647" t="str">
            <v>ZURRIOLA</v>
          </cell>
          <cell r="B12647">
            <v>202506</v>
          </cell>
          <cell r="D12647" t="str">
            <v>Transporte</v>
          </cell>
          <cell r="G12647" t="str">
            <v>Presupuesto</v>
          </cell>
        </row>
        <row r="12648">
          <cell r="A12648" t="str">
            <v>ZURRIOLA</v>
          </cell>
          <cell r="B12648">
            <v>202506</v>
          </cell>
          <cell r="D12648" t="str">
            <v>Transporte</v>
          </cell>
          <cell r="G12648" t="str">
            <v>Real</v>
          </cell>
        </row>
        <row r="12649">
          <cell r="A12649" t="str">
            <v>ZURRIOLA</v>
          </cell>
          <cell r="B12649">
            <v>202506</v>
          </cell>
          <cell r="D12649" t="str">
            <v>Vida Riesgo Particular</v>
          </cell>
          <cell r="G12649" t="str">
            <v>Presupuesto</v>
          </cell>
        </row>
        <row r="12650">
          <cell r="A12650" t="str">
            <v>ZURRIOLA</v>
          </cell>
          <cell r="B12650">
            <v>202506</v>
          </cell>
          <cell r="D12650" t="str">
            <v>Vida Ahorro Particular</v>
          </cell>
          <cell r="G12650" t="str">
            <v>Real</v>
          </cell>
        </row>
        <row r="12651">
          <cell r="A12651" t="str">
            <v>ZURRIOLA</v>
          </cell>
          <cell r="B12651">
            <v>202506</v>
          </cell>
          <cell r="D12651" t="str">
            <v>Vida Riesgo Colectivo</v>
          </cell>
          <cell r="G12651" t="str">
            <v>Real</v>
          </cell>
        </row>
        <row r="12652">
          <cell r="A12652" t="str">
            <v>ZURRIOLA</v>
          </cell>
          <cell r="B12652">
            <v>202506</v>
          </cell>
          <cell r="D12652" t="str">
            <v>Vida Riesgo Particular</v>
          </cell>
          <cell r="G12652" t="str">
            <v>Real</v>
          </cell>
        </row>
        <row r="12653">
          <cell r="A12653" t="str">
            <v>ZURRIOLA</v>
          </cell>
          <cell r="B12653">
            <v>202506</v>
          </cell>
          <cell r="D12653" t="str">
            <v>Vida Ahorro Particular</v>
          </cell>
          <cell r="G12653" t="str">
            <v>Presupuesto</v>
          </cell>
        </row>
        <row r="12654">
          <cell r="A12654" t="str">
            <v>ZURRIOLA</v>
          </cell>
          <cell r="B12654">
            <v>202507</v>
          </cell>
          <cell r="D12654" t="str">
            <v>--</v>
          </cell>
          <cell r="G12654" t="str">
            <v>Presupuesto</v>
          </cell>
        </row>
        <row r="12655">
          <cell r="A12655" t="str">
            <v>ZURRIOLA</v>
          </cell>
          <cell r="B12655">
            <v>202507</v>
          </cell>
          <cell r="D12655" t="str">
            <v>--</v>
          </cell>
          <cell r="G12655" t="str">
            <v>Real</v>
          </cell>
        </row>
        <row r="12656">
          <cell r="A12656" t="str">
            <v>ZURRIOLA</v>
          </cell>
          <cell r="B12656">
            <v>202507</v>
          </cell>
          <cell r="D12656" t="str">
            <v>Autos</v>
          </cell>
          <cell r="G12656" t="str">
            <v>Presupuesto</v>
          </cell>
        </row>
        <row r="12657">
          <cell r="A12657" t="str">
            <v>ZURRIOLA</v>
          </cell>
          <cell r="B12657">
            <v>202507</v>
          </cell>
          <cell r="D12657" t="str">
            <v>Autos</v>
          </cell>
          <cell r="G12657" t="str">
            <v>Real</v>
          </cell>
        </row>
        <row r="12658">
          <cell r="A12658" t="str">
            <v>ZURRIOLA</v>
          </cell>
          <cell r="B12658">
            <v>202507</v>
          </cell>
          <cell r="D12658" t="str">
            <v>Flotas</v>
          </cell>
          <cell r="G12658" t="str">
            <v>Presupuesto</v>
          </cell>
        </row>
        <row r="12659">
          <cell r="A12659" t="str">
            <v>ZURRIOLA</v>
          </cell>
          <cell r="B12659">
            <v>202507</v>
          </cell>
          <cell r="D12659" t="str">
            <v>Flotas</v>
          </cell>
          <cell r="G12659" t="str">
            <v>Real</v>
          </cell>
        </row>
        <row r="12660">
          <cell r="A12660" t="str">
            <v>ZURRIOLA</v>
          </cell>
          <cell r="B12660">
            <v>202507</v>
          </cell>
          <cell r="D12660" t="str">
            <v>Hogar</v>
          </cell>
          <cell r="G12660" t="str">
            <v>Presupuesto</v>
          </cell>
        </row>
        <row r="12661">
          <cell r="A12661" t="str">
            <v>ZURRIOLA</v>
          </cell>
          <cell r="B12661">
            <v>202507</v>
          </cell>
          <cell r="D12661" t="str">
            <v>Hogar</v>
          </cell>
          <cell r="G12661" t="str">
            <v>Real</v>
          </cell>
        </row>
        <row r="12662">
          <cell r="A12662" t="str">
            <v>ZURRIOLA</v>
          </cell>
          <cell r="B12662">
            <v>202507</v>
          </cell>
          <cell r="D12662" t="str">
            <v>Ingeniería</v>
          </cell>
          <cell r="G12662" t="str">
            <v>Presupuesto</v>
          </cell>
        </row>
        <row r="12663">
          <cell r="A12663" t="str">
            <v>ZURRIOLA</v>
          </cell>
          <cell r="B12663">
            <v>202507</v>
          </cell>
          <cell r="D12663" t="str">
            <v>Ingeniería</v>
          </cell>
          <cell r="G12663" t="str">
            <v>Real</v>
          </cell>
        </row>
        <row r="12664">
          <cell r="A12664" t="str">
            <v>ZURRIOLA</v>
          </cell>
          <cell r="B12664">
            <v>202507</v>
          </cell>
          <cell r="D12664" t="str">
            <v>Líneas Financieras</v>
          </cell>
          <cell r="G12664" t="str">
            <v>Presupuesto</v>
          </cell>
        </row>
        <row r="12665">
          <cell r="A12665" t="str">
            <v>ZURRIOLA</v>
          </cell>
          <cell r="B12665">
            <v>202507</v>
          </cell>
          <cell r="D12665" t="str">
            <v>Líneas Financieras</v>
          </cell>
          <cell r="G12665" t="str">
            <v>Real</v>
          </cell>
        </row>
        <row r="12666">
          <cell r="A12666" t="str">
            <v>ZURRIOLA</v>
          </cell>
          <cell r="B12666">
            <v>202507</v>
          </cell>
          <cell r="D12666" t="str">
            <v>Náutica</v>
          </cell>
          <cell r="G12666" t="str">
            <v>Presupuesto</v>
          </cell>
        </row>
        <row r="12667">
          <cell r="A12667" t="str">
            <v>ZURRIOLA</v>
          </cell>
          <cell r="B12667">
            <v>202507</v>
          </cell>
          <cell r="D12667" t="str">
            <v>Náutica</v>
          </cell>
          <cell r="G12667" t="str">
            <v>Real</v>
          </cell>
        </row>
        <row r="12668">
          <cell r="A12668" t="str">
            <v>ZURRIOLA</v>
          </cell>
          <cell r="B12668">
            <v>202507</v>
          </cell>
          <cell r="D12668" t="str">
            <v>Particulares Resto</v>
          </cell>
          <cell r="G12668" t="str">
            <v>Presupuesto</v>
          </cell>
        </row>
        <row r="12669">
          <cell r="A12669" t="str">
            <v>ZURRIOLA</v>
          </cell>
          <cell r="B12669">
            <v>202507</v>
          </cell>
          <cell r="D12669" t="str">
            <v>Particulares Resto</v>
          </cell>
          <cell r="G12669" t="str">
            <v>Real</v>
          </cell>
        </row>
        <row r="12670">
          <cell r="A12670" t="str">
            <v>ZURRIOLA</v>
          </cell>
          <cell r="B12670">
            <v>202507</v>
          </cell>
          <cell r="D12670" t="str">
            <v>Property</v>
          </cell>
          <cell r="G12670" t="str">
            <v>Presupuesto</v>
          </cell>
        </row>
        <row r="12671">
          <cell r="A12671" t="str">
            <v>ZURRIOLA</v>
          </cell>
          <cell r="B12671">
            <v>202507</v>
          </cell>
          <cell r="D12671" t="str">
            <v>Property</v>
          </cell>
          <cell r="G12671" t="str">
            <v>Real</v>
          </cell>
        </row>
        <row r="12672">
          <cell r="A12672" t="str">
            <v>ZURRIOLA</v>
          </cell>
          <cell r="B12672">
            <v>202507</v>
          </cell>
          <cell r="D12672" t="str">
            <v>RC</v>
          </cell>
          <cell r="G12672" t="str">
            <v>Presupuesto</v>
          </cell>
        </row>
        <row r="12673">
          <cell r="A12673" t="str">
            <v>ZURRIOLA</v>
          </cell>
          <cell r="B12673">
            <v>202507</v>
          </cell>
          <cell r="D12673" t="str">
            <v>--</v>
          </cell>
          <cell r="G12673" t="str">
            <v>Real</v>
          </cell>
        </row>
        <row r="12674">
          <cell r="A12674" t="str">
            <v>ZURRIOLA</v>
          </cell>
          <cell r="B12674">
            <v>202507</v>
          </cell>
          <cell r="D12674" t="str">
            <v>RC</v>
          </cell>
          <cell r="G12674" t="str">
            <v>Real</v>
          </cell>
        </row>
        <row r="12675">
          <cell r="A12675" t="str">
            <v>ZURRIOLA</v>
          </cell>
          <cell r="B12675">
            <v>202507</v>
          </cell>
          <cell r="D12675" t="str">
            <v>Seguros Personales (No Vida) Colectivos</v>
          </cell>
          <cell r="G12675" t="str">
            <v>Presupuesto</v>
          </cell>
        </row>
        <row r="12676">
          <cell r="A12676" t="str">
            <v>ZURRIOLA</v>
          </cell>
          <cell r="B12676">
            <v>202507</v>
          </cell>
          <cell r="D12676" t="str">
            <v>Seguros Personales (No Vida) Colectivos</v>
          </cell>
          <cell r="G12676" t="str">
            <v>Real</v>
          </cell>
        </row>
        <row r="12677">
          <cell r="A12677" t="str">
            <v>ZURRIOLA</v>
          </cell>
          <cell r="B12677">
            <v>202507</v>
          </cell>
          <cell r="D12677" t="str">
            <v>Seguros Personales (No Vida) Particular</v>
          </cell>
          <cell r="G12677" t="str">
            <v>Presupuesto</v>
          </cell>
        </row>
        <row r="12678">
          <cell r="A12678" t="str">
            <v>ZURRIOLA</v>
          </cell>
          <cell r="B12678">
            <v>202507</v>
          </cell>
          <cell r="D12678" t="str">
            <v>Seguros Personales (No Vida) Particular</v>
          </cell>
          <cell r="G12678" t="str">
            <v>Real</v>
          </cell>
        </row>
        <row r="12679">
          <cell r="A12679" t="str">
            <v>ZURRIOLA</v>
          </cell>
          <cell r="B12679">
            <v>202507</v>
          </cell>
          <cell r="D12679" t="str">
            <v>Transporte</v>
          </cell>
          <cell r="G12679" t="str">
            <v>Presupuesto</v>
          </cell>
        </row>
        <row r="12680">
          <cell r="A12680" t="str">
            <v>ZURRIOLA</v>
          </cell>
          <cell r="B12680">
            <v>202507</v>
          </cell>
          <cell r="D12680" t="str">
            <v>Transporte</v>
          </cell>
          <cell r="G12680" t="str">
            <v>Real</v>
          </cell>
        </row>
        <row r="12681">
          <cell r="A12681" t="str">
            <v>ZURRIOLA</v>
          </cell>
          <cell r="B12681">
            <v>202507</v>
          </cell>
          <cell r="D12681" t="str">
            <v>Vida Ahorro Colectivo</v>
          </cell>
          <cell r="G12681" t="str">
            <v>Real</v>
          </cell>
        </row>
        <row r="12682">
          <cell r="A12682" t="str">
            <v>ZURRIOLA</v>
          </cell>
          <cell r="B12682">
            <v>202507</v>
          </cell>
          <cell r="D12682" t="str">
            <v>Vida Ahorro Particular</v>
          </cell>
          <cell r="G12682" t="str">
            <v>Presupuesto</v>
          </cell>
        </row>
        <row r="12683">
          <cell r="A12683" t="str">
            <v>ZURRIOLA</v>
          </cell>
          <cell r="B12683">
            <v>202507</v>
          </cell>
          <cell r="D12683" t="str">
            <v>Vida Ahorro Particular</v>
          </cell>
          <cell r="G12683" t="str">
            <v>Real</v>
          </cell>
        </row>
        <row r="12684">
          <cell r="A12684" t="str">
            <v>ZURRIOLA</v>
          </cell>
          <cell r="B12684">
            <v>202507</v>
          </cell>
          <cell r="D12684" t="str">
            <v>Vida Riesgo Colectivo</v>
          </cell>
          <cell r="G12684" t="str">
            <v>Presupuesto</v>
          </cell>
        </row>
        <row r="12685">
          <cell r="A12685" t="str">
            <v>ZURRIOLA</v>
          </cell>
          <cell r="B12685">
            <v>202507</v>
          </cell>
          <cell r="D12685" t="str">
            <v>Vida Riesgo Colectivo</v>
          </cell>
          <cell r="G12685" t="str">
            <v>Real</v>
          </cell>
        </row>
        <row r="12686">
          <cell r="A12686" t="str">
            <v>ZURRIOLA</v>
          </cell>
          <cell r="B12686">
            <v>202507</v>
          </cell>
          <cell r="D12686" t="str">
            <v>Vida Riesgo Particular</v>
          </cell>
          <cell r="G12686" t="str">
            <v>Presupuesto</v>
          </cell>
        </row>
        <row r="12687">
          <cell r="A12687" t="str">
            <v>ZURRIOLA</v>
          </cell>
          <cell r="B12687">
            <v>202507</v>
          </cell>
          <cell r="D12687" t="str">
            <v>Vida Riesgo Particular</v>
          </cell>
          <cell r="G12687" t="str">
            <v>Real</v>
          </cell>
        </row>
        <row r="12688">
          <cell r="A12688" t="str">
            <v>ZURRIOLA</v>
          </cell>
          <cell r="B12688">
            <v>202508</v>
          </cell>
          <cell r="D12688" t="str">
            <v>--</v>
          </cell>
          <cell r="G12688" t="str">
            <v>Real</v>
          </cell>
        </row>
        <row r="12689">
          <cell r="A12689" t="str">
            <v>ZURRIOLA</v>
          </cell>
          <cell r="B12689">
            <v>202508</v>
          </cell>
          <cell r="D12689" t="str">
            <v>Autos</v>
          </cell>
          <cell r="G12689" t="str">
            <v>Presupuesto</v>
          </cell>
        </row>
        <row r="12690">
          <cell r="A12690" t="str">
            <v>ZURRIOLA</v>
          </cell>
          <cell r="B12690">
            <v>202508</v>
          </cell>
          <cell r="D12690" t="str">
            <v>Autos</v>
          </cell>
          <cell r="G12690" t="str">
            <v>Real</v>
          </cell>
        </row>
        <row r="12691">
          <cell r="A12691" t="str">
            <v>ZURRIOLA</v>
          </cell>
          <cell r="B12691">
            <v>202508</v>
          </cell>
          <cell r="D12691" t="str">
            <v>Flotas</v>
          </cell>
          <cell r="G12691" t="str">
            <v>Presupuesto</v>
          </cell>
        </row>
        <row r="12692">
          <cell r="A12692" t="str">
            <v>ZURRIOLA</v>
          </cell>
          <cell r="B12692">
            <v>202508</v>
          </cell>
          <cell r="D12692" t="str">
            <v>Flotas</v>
          </cell>
          <cell r="G12692" t="str">
            <v>Real</v>
          </cell>
        </row>
        <row r="12693">
          <cell r="A12693" t="str">
            <v>ZURRIOLA</v>
          </cell>
          <cell r="B12693">
            <v>202508</v>
          </cell>
          <cell r="D12693" t="str">
            <v>Hogar</v>
          </cell>
          <cell r="G12693" t="str">
            <v>Presupuesto</v>
          </cell>
        </row>
        <row r="12694">
          <cell r="A12694" t="str">
            <v>ZURRIOLA</v>
          </cell>
          <cell r="B12694">
            <v>202508</v>
          </cell>
          <cell r="D12694" t="str">
            <v>Hogar</v>
          </cell>
          <cell r="G12694" t="str">
            <v>Real</v>
          </cell>
        </row>
        <row r="12695">
          <cell r="A12695" t="str">
            <v>ZURRIOLA</v>
          </cell>
          <cell r="B12695">
            <v>202508</v>
          </cell>
          <cell r="D12695" t="str">
            <v>Ingeniería</v>
          </cell>
          <cell r="G12695" t="str">
            <v>Presupuesto</v>
          </cell>
        </row>
        <row r="12696">
          <cell r="A12696" t="str">
            <v>ZURRIOLA</v>
          </cell>
          <cell r="B12696">
            <v>202508</v>
          </cell>
          <cell r="D12696" t="str">
            <v>Ingeniería</v>
          </cell>
          <cell r="G12696" t="str">
            <v>Real</v>
          </cell>
        </row>
        <row r="12697">
          <cell r="A12697" t="str">
            <v>ZURRIOLA</v>
          </cell>
          <cell r="B12697">
            <v>202508</v>
          </cell>
          <cell r="D12697" t="str">
            <v>Líneas Financieras</v>
          </cell>
          <cell r="G12697" t="str">
            <v>Presupuesto</v>
          </cell>
        </row>
        <row r="12698">
          <cell r="A12698" t="str">
            <v>ZURRIOLA</v>
          </cell>
          <cell r="B12698">
            <v>202508</v>
          </cell>
          <cell r="D12698" t="str">
            <v>Líneas Financieras</v>
          </cell>
          <cell r="G12698" t="str">
            <v>Real</v>
          </cell>
        </row>
        <row r="12699">
          <cell r="A12699" t="str">
            <v>ZURRIOLA</v>
          </cell>
          <cell r="B12699">
            <v>202508</v>
          </cell>
          <cell r="D12699" t="str">
            <v>Náutica</v>
          </cell>
          <cell r="G12699" t="str">
            <v>Presupuesto</v>
          </cell>
        </row>
        <row r="12700">
          <cell r="A12700" t="str">
            <v>ZURRIOLA</v>
          </cell>
          <cell r="B12700">
            <v>202508</v>
          </cell>
          <cell r="D12700" t="str">
            <v>Náutica</v>
          </cell>
          <cell r="G12700" t="str">
            <v>Real</v>
          </cell>
        </row>
        <row r="12701">
          <cell r="A12701" t="str">
            <v>ZURRIOLA</v>
          </cell>
          <cell r="B12701">
            <v>202508</v>
          </cell>
          <cell r="D12701" t="str">
            <v>Particulares Resto</v>
          </cell>
          <cell r="G12701" t="str">
            <v>Presupuesto</v>
          </cell>
        </row>
        <row r="12702">
          <cell r="A12702" t="str">
            <v>ZURRIOLA</v>
          </cell>
          <cell r="B12702">
            <v>202508</v>
          </cell>
          <cell r="D12702" t="str">
            <v>Particulares Resto</v>
          </cell>
          <cell r="G12702" t="str">
            <v>Real</v>
          </cell>
        </row>
        <row r="12703">
          <cell r="A12703" t="str">
            <v>ZURRIOLA</v>
          </cell>
          <cell r="B12703">
            <v>202508</v>
          </cell>
          <cell r="D12703" t="str">
            <v>Property</v>
          </cell>
          <cell r="G12703" t="str">
            <v>Presupuesto</v>
          </cell>
        </row>
        <row r="12704">
          <cell r="A12704" t="str">
            <v>ZURRIOLA</v>
          </cell>
          <cell r="B12704">
            <v>202508</v>
          </cell>
          <cell r="D12704" t="str">
            <v>Property</v>
          </cell>
          <cell r="G12704" t="str">
            <v>Real</v>
          </cell>
        </row>
        <row r="12705">
          <cell r="A12705" t="str">
            <v>ZURRIOLA</v>
          </cell>
          <cell r="B12705">
            <v>202508</v>
          </cell>
          <cell r="D12705" t="str">
            <v>RC</v>
          </cell>
          <cell r="G12705" t="str">
            <v>Presupuesto</v>
          </cell>
        </row>
        <row r="12706">
          <cell r="A12706" t="str">
            <v>ZURRIOLA</v>
          </cell>
          <cell r="B12706">
            <v>202508</v>
          </cell>
          <cell r="D12706" t="str">
            <v>RC</v>
          </cell>
          <cell r="G12706" t="str">
            <v>Real</v>
          </cell>
        </row>
        <row r="12707">
          <cell r="A12707" t="str">
            <v>ZURRIOLA</v>
          </cell>
          <cell r="B12707">
            <v>202508</v>
          </cell>
          <cell r="D12707" t="str">
            <v>Seguros Personales (No Vida) Colectivos</v>
          </cell>
          <cell r="G12707" t="str">
            <v>Presupuesto</v>
          </cell>
        </row>
        <row r="12708">
          <cell r="A12708" t="str">
            <v>ZURRIOLA</v>
          </cell>
          <cell r="B12708">
            <v>202508</v>
          </cell>
          <cell r="D12708" t="str">
            <v>Seguros Personales (No Vida) Colectivos</v>
          </cell>
          <cell r="G12708" t="str">
            <v>Real</v>
          </cell>
        </row>
        <row r="12709">
          <cell r="A12709" t="str">
            <v>ZURRIOLA</v>
          </cell>
          <cell r="B12709">
            <v>202508</v>
          </cell>
          <cell r="D12709" t="str">
            <v>Seguros Personales (No Vida) Particular</v>
          </cell>
          <cell r="G12709" t="str">
            <v>Presupuesto</v>
          </cell>
        </row>
        <row r="12710">
          <cell r="A12710" t="str">
            <v>ZURRIOLA</v>
          </cell>
          <cell r="B12710">
            <v>202508</v>
          </cell>
          <cell r="D12710" t="str">
            <v>Seguros Personales (No Vida) Particular</v>
          </cell>
          <cell r="G12710" t="str">
            <v>Real</v>
          </cell>
        </row>
        <row r="12711">
          <cell r="A12711" t="str">
            <v>ZURRIOLA</v>
          </cell>
          <cell r="B12711">
            <v>202508</v>
          </cell>
          <cell r="D12711" t="str">
            <v>Transporte</v>
          </cell>
          <cell r="G12711" t="str">
            <v>Presupuesto</v>
          </cell>
        </row>
        <row r="12712">
          <cell r="A12712" t="str">
            <v>ZURRIOLA</v>
          </cell>
          <cell r="B12712">
            <v>202508</v>
          </cell>
          <cell r="D12712" t="str">
            <v>Transporte</v>
          </cell>
          <cell r="G12712" t="str">
            <v>Real</v>
          </cell>
        </row>
        <row r="12713">
          <cell r="A12713" t="str">
            <v>ZURRIOLA</v>
          </cell>
          <cell r="B12713">
            <v>202508</v>
          </cell>
          <cell r="D12713" t="str">
            <v>Vida Ahorro Particular</v>
          </cell>
          <cell r="G12713" t="str">
            <v>Presupuesto</v>
          </cell>
        </row>
        <row r="12714">
          <cell r="A12714" t="str">
            <v>ZURRIOLA</v>
          </cell>
          <cell r="B12714">
            <v>202508</v>
          </cell>
          <cell r="D12714" t="str">
            <v>Vida Ahorro Particular</v>
          </cell>
          <cell r="G12714" t="str">
            <v>Real</v>
          </cell>
        </row>
        <row r="12715">
          <cell r="A12715" t="str">
            <v>ZURRIOLA</v>
          </cell>
          <cell r="B12715">
            <v>202508</v>
          </cell>
          <cell r="D12715" t="str">
            <v>Vida Riesgo Particular</v>
          </cell>
          <cell r="G12715" t="str">
            <v>Presupuesto</v>
          </cell>
        </row>
        <row r="12716">
          <cell r="A12716" t="str">
            <v>ZURRIOLA</v>
          </cell>
          <cell r="B12716">
            <v>202508</v>
          </cell>
          <cell r="D12716" t="str">
            <v>Vida Riesgo Particular</v>
          </cell>
          <cell r="G12716" t="str">
            <v>Real</v>
          </cell>
        </row>
        <row r="12717">
          <cell r="A12717" t="str">
            <v>ZURRIOLA</v>
          </cell>
          <cell r="B12717">
            <v>202509</v>
          </cell>
          <cell r="D12717" t="str">
            <v>--</v>
          </cell>
          <cell r="G12717" t="str">
            <v>Presupuesto</v>
          </cell>
        </row>
        <row r="12718">
          <cell r="A12718" t="str">
            <v>ZURRIOLA</v>
          </cell>
          <cell r="B12718">
            <v>202509</v>
          </cell>
          <cell r="D12718" t="str">
            <v>--</v>
          </cell>
          <cell r="G12718" t="str">
            <v>Real</v>
          </cell>
        </row>
        <row r="12719">
          <cell r="A12719" t="str">
            <v>ZURRIOLA</v>
          </cell>
          <cell r="B12719">
            <v>202509</v>
          </cell>
          <cell r="D12719" t="str">
            <v>Autos</v>
          </cell>
          <cell r="G12719" t="str">
            <v>Presupuesto</v>
          </cell>
        </row>
        <row r="12720">
          <cell r="A12720" t="str">
            <v>ZURRIOLA</v>
          </cell>
          <cell r="B12720">
            <v>202509</v>
          </cell>
          <cell r="D12720" t="str">
            <v>Autos</v>
          </cell>
          <cell r="G12720" t="str">
            <v>Real</v>
          </cell>
        </row>
        <row r="12721">
          <cell r="A12721" t="str">
            <v>ZURRIOLA</v>
          </cell>
          <cell r="B12721">
            <v>202509</v>
          </cell>
          <cell r="D12721" t="str">
            <v>Flotas</v>
          </cell>
          <cell r="G12721" t="str">
            <v>Presupuesto</v>
          </cell>
        </row>
        <row r="12722">
          <cell r="A12722" t="str">
            <v>ZURRIOLA</v>
          </cell>
          <cell r="B12722">
            <v>202509</v>
          </cell>
          <cell r="D12722" t="str">
            <v>Flotas</v>
          </cell>
          <cell r="G12722" t="str">
            <v>Real</v>
          </cell>
        </row>
        <row r="12723">
          <cell r="A12723" t="str">
            <v>ZURRIOLA</v>
          </cell>
          <cell r="B12723">
            <v>202509</v>
          </cell>
          <cell r="D12723" t="str">
            <v>Hogar</v>
          </cell>
          <cell r="G12723" t="str">
            <v>Presupuesto</v>
          </cell>
        </row>
        <row r="12724">
          <cell r="A12724" t="str">
            <v>ZURRIOLA</v>
          </cell>
          <cell r="B12724">
            <v>202509</v>
          </cell>
          <cell r="D12724" t="str">
            <v>Hogar</v>
          </cell>
          <cell r="G12724" t="str">
            <v>Real</v>
          </cell>
        </row>
        <row r="12725">
          <cell r="A12725" t="str">
            <v>ZURRIOLA</v>
          </cell>
          <cell r="B12725">
            <v>202509</v>
          </cell>
          <cell r="D12725" t="str">
            <v>Ingeniería</v>
          </cell>
          <cell r="G12725" t="str">
            <v>Presupuesto</v>
          </cell>
        </row>
        <row r="12726">
          <cell r="A12726" t="str">
            <v>ZURRIOLA</v>
          </cell>
          <cell r="B12726">
            <v>202509</v>
          </cell>
          <cell r="D12726" t="str">
            <v>Ingeniería</v>
          </cell>
          <cell r="G12726" t="str">
            <v>Real</v>
          </cell>
        </row>
        <row r="12727">
          <cell r="A12727" t="str">
            <v>ZURRIOLA</v>
          </cell>
          <cell r="B12727">
            <v>202509</v>
          </cell>
          <cell r="D12727" t="str">
            <v>Líneas Financieras</v>
          </cell>
          <cell r="G12727" t="str">
            <v>Presupuesto</v>
          </cell>
        </row>
        <row r="12728">
          <cell r="A12728" t="str">
            <v>ZURRIOLA</v>
          </cell>
          <cell r="B12728">
            <v>202509</v>
          </cell>
          <cell r="D12728" t="str">
            <v>Líneas Financieras</v>
          </cell>
          <cell r="G12728" t="str">
            <v>Real</v>
          </cell>
        </row>
        <row r="12729">
          <cell r="A12729" t="str">
            <v>ZURRIOLA</v>
          </cell>
          <cell r="B12729">
            <v>202509</v>
          </cell>
          <cell r="D12729" t="str">
            <v>Náutica</v>
          </cell>
          <cell r="G12729" t="str">
            <v>Presupuesto</v>
          </cell>
        </row>
        <row r="12730">
          <cell r="A12730" t="str">
            <v>ZURRIOLA</v>
          </cell>
          <cell r="B12730">
            <v>202509</v>
          </cell>
          <cell r="D12730" t="str">
            <v>Náutica</v>
          </cell>
          <cell r="G12730" t="str">
            <v>Real</v>
          </cell>
        </row>
        <row r="12731">
          <cell r="A12731" t="str">
            <v>ZURRIOLA</v>
          </cell>
          <cell r="B12731">
            <v>202509</v>
          </cell>
          <cell r="D12731" t="str">
            <v>Particulares Resto</v>
          </cell>
          <cell r="G12731" t="str">
            <v>Presupuesto</v>
          </cell>
        </row>
        <row r="12732">
          <cell r="A12732" t="str">
            <v>ZURRIOLA</v>
          </cell>
          <cell r="B12732">
            <v>202509</v>
          </cell>
          <cell r="D12732" t="str">
            <v>Particulares Resto</v>
          </cell>
          <cell r="G12732" t="str">
            <v>Real</v>
          </cell>
        </row>
        <row r="12733">
          <cell r="A12733" t="str">
            <v>ZURRIOLA</v>
          </cell>
          <cell r="B12733">
            <v>202509</v>
          </cell>
          <cell r="D12733" t="str">
            <v>Property</v>
          </cell>
          <cell r="G12733" t="str">
            <v>Presupuesto</v>
          </cell>
        </row>
        <row r="12734">
          <cell r="A12734" t="str">
            <v>ZURRIOLA</v>
          </cell>
          <cell r="B12734">
            <v>202509</v>
          </cell>
          <cell r="D12734" t="str">
            <v>Property</v>
          </cell>
          <cell r="G12734" t="str">
            <v>Real</v>
          </cell>
        </row>
        <row r="12735">
          <cell r="A12735" t="str">
            <v>ZURRIOLA</v>
          </cell>
          <cell r="B12735">
            <v>202509</v>
          </cell>
          <cell r="D12735" t="str">
            <v>RC</v>
          </cell>
          <cell r="G12735" t="str">
            <v>Presupuesto</v>
          </cell>
        </row>
        <row r="12736">
          <cell r="A12736" t="str">
            <v>ZURRIOLA</v>
          </cell>
          <cell r="B12736">
            <v>202509</v>
          </cell>
          <cell r="D12736" t="str">
            <v>RC</v>
          </cell>
          <cell r="G12736" t="str">
            <v>Real</v>
          </cell>
        </row>
        <row r="12737">
          <cell r="A12737" t="str">
            <v>ZURRIOLA</v>
          </cell>
          <cell r="B12737">
            <v>202509</v>
          </cell>
          <cell r="D12737" t="str">
            <v>Seguros Personales (No Vida) Colectivos</v>
          </cell>
          <cell r="G12737" t="str">
            <v>Presupuesto</v>
          </cell>
        </row>
        <row r="12738">
          <cell r="A12738" t="str">
            <v>ZURRIOLA</v>
          </cell>
          <cell r="B12738">
            <v>202509</v>
          </cell>
          <cell r="D12738" t="str">
            <v>Seguros Personales (No Vida) Colectivos</v>
          </cell>
          <cell r="G12738" t="str">
            <v>Real</v>
          </cell>
        </row>
        <row r="12739">
          <cell r="A12739" t="str">
            <v>ZURRIOLA</v>
          </cell>
          <cell r="B12739">
            <v>202509</v>
          </cell>
          <cell r="D12739" t="str">
            <v>Seguros Personales (No Vida) Particular</v>
          </cell>
          <cell r="G12739" t="str">
            <v>Presupuesto</v>
          </cell>
        </row>
        <row r="12740">
          <cell r="A12740" t="str">
            <v>ZURRIOLA</v>
          </cell>
          <cell r="B12740">
            <v>202509</v>
          </cell>
          <cell r="D12740" t="str">
            <v>Seguros Personales (No Vida) Particular</v>
          </cell>
          <cell r="G12740" t="str">
            <v>Real</v>
          </cell>
        </row>
        <row r="12741">
          <cell r="A12741" t="str">
            <v>ZURRIOLA</v>
          </cell>
          <cell r="B12741">
            <v>202509</v>
          </cell>
          <cell r="D12741" t="str">
            <v>Transporte</v>
          </cell>
          <cell r="G12741" t="str">
            <v>Presupuesto</v>
          </cell>
        </row>
        <row r="12742">
          <cell r="A12742" t="str">
            <v>ZURRIOLA</v>
          </cell>
          <cell r="B12742">
            <v>202509</v>
          </cell>
          <cell r="D12742" t="str">
            <v>Transporte</v>
          </cell>
          <cell r="G12742" t="str">
            <v>Real</v>
          </cell>
        </row>
        <row r="12743">
          <cell r="A12743" t="str">
            <v>ZURRIOLA</v>
          </cell>
          <cell r="B12743">
            <v>202509</v>
          </cell>
          <cell r="D12743" t="str">
            <v>Vida Ahorro Colectivo</v>
          </cell>
          <cell r="G12743" t="str">
            <v>Presupuesto</v>
          </cell>
        </row>
        <row r="12744">
          <cell r="A12744" t="str">
            <v>ZURRIOLA</v>
          </cell>
          <cell r="B12744">
            <v>202509</v>
          </cell>
          <cell r="D12744" t="str">
            <v>Vida Ahorro Colectivo</v>
          </cell>
          <cell r="G12744" t="str">
            <v>Real</v>
          </cell>
        </row>
        <row r="12745">
          <cell r="A12745" t="str">
            <v>ZURRIOLA</v>
          </cell>
          <cell r="B12745">
            <v>202509</v>
          </cell>
          <cell r="D12745" t="str">
            <v>Vida Ahorro Particular</v>
          </cell>
          <cell r="G12745" t="str">
            <v>Presupuesto</v>
          </cell>
        </row>
        <row r="12746">
          <cell r="A12746" t="str">
            <v>ZURRIOLA</v>
          </cell>
          <cell r="B12746">
            <v>202509</v>
          </cell>
          <cell r="D12746" t="str">
            <v>Vida Ahorro Particular</v>
          </cell>
          <cell r="G12746" t="str">
            <v>Real</v>
          </cell>
        </row>
        <row r="12747">
          <cell r="A12747" t="str">
            <v>ZURRIOLA</v>
          </cell>
          <cell r="B12747">
            <v>202509</v>
          </cell>
          <cell r="D12747" t="str">
            <v>Vida Riesgo Colectivo</v>
          </cell>
          <cell r="G12747" t="str">
            <v>Presupuesto</v>
          </cell>
        </row>
        <row r="12748">
          <cell r="A12748" t="str">
            <v>ZURRIOLA</v>
          </cell>
          <cell r="B12748">
            <v>202509</v>
          </cell>
          <cell r="D12748" t="str">
            <v>Vida Riesgo Colectivo</v>
          </cell>
          <cell r="G12748" t="str">
            <v>Real</v>
          </cell>
        </row>
        <row r="12749">
          <cell r="A12749" t="str">
            <v>ZURRIOLA</v>
          </cell>
          <cell r="B12749">
            <v>202509</v>
          </cell>
          <cell r="D12749" t="str">
            <v>Vida Riesgo Particular</v>
          </cell>
          <cell r="G12749" t="str">
            <v>Presupuesto</v>
          </cell>
        </row>
        <row r="12750">
          <cell r="A12750" t="str">
            <v>ZURRIOLA</v>
          </cell>
          <cell r="B12750">
            <v>202509</v>
          </cell>
          <cell r="D12750" t="str">
            <v>Vida Riesgo Particular</v>
          </cell>
          <cell r="G12750" t="str">
            <v>Real</v>
          </cell>
        </row>
        <row r="12751">
          <cell r="A12751" t="str">
            <v>ZURRIOLA</v>
          </cell>
          <cell r="B12751">
            <v>202510</v>
          </cell>
          <cell r="D12751" t="str">
            <v>--</v>
          </cell>
          <cell r="G12751" t="str">
            <v>Presupuesto</v>
          </cell>
        </row>
        <row r="12752">
          <cell r="A12752" t="str">
            <v>ZURRIOLA</v>
          </cell>
          <cell r="B12752">
            <v>202510</v>
          </cell>
          <cell r="D12752" t="str">
            <v>--</v>
          </cell>
          <cell r="G12752" t="str">
            <v>Real</v>
          </cell>
        </row>
        <row r="12753">
          <cell r="A12753" t="str">
            <v>ZURRIOLA</v>
          </cell>
          <cell r="B12753">
            <v>202510</v>
          </cell>
          <cell r="D12753" t="str">
            <v>Autos</v>
          </cell>
          <cell r="G12753" t="str">
            <v>Presupuesto</v>
          </cell>
        </row>
        <row r="12754">
          <cell r="A12754" t="str">
            <v>ZURRIOLA</v>
          </cell>
          <cell r="B12754">
            <v>202510</v>
          </cell>
          <cell r="D12754" t="str">
            <v>Autos</v>
          </cell>
          <cell r="G12754" t="str">
            <v>Real</v>
          </cell>
        </row>
        <row r="12755">
          <cell r="A12755" t="str">
            <v>ZURRIOLA</v>
          </cell>
          <cell r="B12755">
            <v>202510</v>
          </cell>
          <cell r="D12755" t="str">
            <v>Flotas</v>
          </cell>
          <cell r="G12755" t="str">
            <v>Presupuesto</v>
          </cell>
        </row>
        <row r="12756">
          <cell r="A12756" t="str">
            <v>ZURRIOLA</v>
          </cell>
          <cell r="B12756">
            <v>202510</v>
          </cell>
          <cell r="D12756" t="str">
            <v>Flotas</v>
          </cell>
          <cell r="G12756" t="str">
            <v>Real</v>
          </cell>
        </row>
        <row r="12757">
          <cell r="A12757" t="str">
            <v>ZURRIOLA</v>
          </cell>
          <cell r="B12757">
            <v>202510</v>
          </cell>
          <cell r="D12757" t="str">
            <v>Hogar</v>
          </cell>
          <cell r="G12757" t="str">
            <v>Presupuesto</v>
          </cell>
        </row>
        <row r="12758">
          <cell r="A12758" t="str">
            <v>ZURRIOLA</v>
          </cell>
          <cell r="B12758">
            <v>202510</v>
          </cell>
          <cell r="D12758" t="str">
            <v>Hogar</v>
          </cell>
          <cell r="G12758" t="str">
            <v>Real</v>
          </cell>
        </row>
        <row r="12759">
          <cell r="A12759" t="str">
            <v>ZURRIOLA</v>
          </cell>
          <cell r="B12759">
            <v>202510</v>
          </cell>
          <cell r="D12759" t="str">
            <v>Ingeniería</v>
          </cell>
          <cell r="G12759" t="str">
            <v>Presupuesto</v>
          </cell>
        </row>
        <row r="12760">
          <cell r="A12760" t="str">
            <v>ZURRIOLA</v>
          </cell>
          <cell r="B12760">
            <v>202510</v>
          </cell>
          <cell r="D12760" t="str">
            <v>Ingeniería</v>
          </cell>
          <cell r="G12760" t="str">
            <v>Real</v>
          </cell>
        </row>
        <row r="12761">
          <cell r="A12761" t="str">
            <v>ZURRIOLA</v>
          </cell>
          <cell r="B12761">
            <v>202510</v>
          </cell>
          <cell r="D12761" t="str">
            <v>Líneas Financieras</v>
          </cell>
          <cell r="G12761" t="str">
            <v>Presupuesto</v>
          </cell>
        </row>
        <row r="12762">
          <cell r="A12762" t="str">
            <v>ZURRIOLA</v>
          </cell>
          <cell r="B12762">
            <v>202510</v>
          </cell>
          <cell r="D12762" t="str">
            <v>Líneas Financieras</v>
          </cell>
          <cell r="G12762" t="str">
            <v>Real</v>
          </cell>
        </row>
        <row r="12763">
          <cell r="A12763" t="str">
            <v>ZURRIOLA</v>
          </cell>
          <cell r="B12763">
            <v>202510</v>
          </cell>
          <cell r="D12763" t="str">
            <v>Particulares Resto</v>
          </cell>
          <cell r="G12763" t="str">
            <v>Presupuesto</v>
          </cell>
        </row>
        <row r="12764">
          <cell r="A12764" t="str">
            <v>ZURRIOLA</v>
          </cell>
          <cell r="B12764">
            <v>202510</v>
          </cell>
          <cell r="D12764" t="str">
            <v>Particulares Resto</v>
          </cell>
          <cell r="G12764" t="str">
            <v>Real</v>
          </cell>
        </row>
        <row r="12765">
          <cell r="A12765" t="str">
            <v>ZURRIOLA</v>
          </cell>
          <cell r="B12765">
            <v>202510</v>
          </cell>
          <cell r="D12765" t="str">
            <v>Property</v>
          </cell>
          <cell r="G12765" t="str">
            <v>Presupuesto</v>
          </cell>
        </row>
        <row r="12766">
          <cell r="A12766" t="str">
            <v>ZURRIOLA</v>
          </cell>
          <cell r="B12766">
            <v>202510</v>
          </cell>
          <cell r="D12766" t="str">
            <v>Property</v>
          </cell>
          <cell r="G12766" t="str">
            <v>Real</v>
          </cell>
        </row>
        <row r="12767">
          <cell r="A12767" t="str">
            <v>ZURRIOLA</v>
          </cell>
          <cell r="B12767">
            <v>202510</v>
          </cell>
          <cell r="D12767" t="str">
            <v>--</v>
          </cell>
          <cell r="G12767" t="str">
            <v>Real</v>
          </cell>
        </row>
        <row r="12768">
          <cell r="A12768" t="str">
            <v>ZURRIOLA</v>
          </cell>
          <cell r="B12768">
            <v>202510</v>
          </cell>
          <cell r="D12768" t="str">
            <v>RC</v>
          </cell>
          <cell r="G12768" t="str">
            <v>Presupuesto</v>
          </cell>
        </row>
        <row r="12769">
          <cell r="A12769" t="str">
            <v>ZURRIOLA</v>
          </cell>
          <cell r="B12769">
            <v>202510</v>
          </cell>
          <cell r="D12769" t="str">
            <v>RC</v>
          </cell>
          <cell r="G12769" t="str">
            <v>Real</v>
          </cell>
        </row>
        <row r="12770">
          <cell r="A12770" t="str">
            <v>ZURRIOLA</v>
          </cell>
          <cell r="B12770">
            <v>202510</v>
          </cell>
          <cell r="D12770" t="str">
            <v>Seguros Personales (No Vida) Colectivos</v>
          </cell>
          <cell r="G12770" t="str">
            <v>Presupuesto</v>
          </cell>
        </row>
        <row r="12771">
          <cell r="A12771" t="str">
            <v>ZURRIOLA</v>
          </cell>
          <cell r="B12771">
            <v>202510</v>
          </cell>
          <cell r="D12771" t="str">
            <v>Seguros Personales (No Vida) Colectivos</v>
          </cell>
          <cell r="G12771" t="str">
            <v>Real</v>
          </cell>
        </row>
        <row r="12772">
          <cell r="A12772" t="str">
            <v>ZURRIOLA</v>
          </cell>
          <cell r="B12772">
            <v>202510</v>
          </cell>
          <cell r="D12772" t="str">
            <v>Seguros Personales (No Vida) Particular</v>
          </cell>
          <cell r="G12772" t="str">
            <v>Presupuesto</v>
          </cell>
        </row>
        <row r="12773">
          <cell r="A12773" t="str">
            <v>ZURRIOLA</v>
          </cell>
          <cell r="B12773">
            <v>202510</v>
          </cell>
          <cell r="D12773" t="str">
            <v>Seguros Personales (No Vida) Particular</v>
          </cell>
          <cell r="G12773" t="str">
            <v>Real</v>
          </cell>
        </row>
        <row r="12774">
          <cell r="A12774" t="str">
            <v>ZURRIOLA</v>
          </cell>
          <cell r="B12774">
            <v>202510</v>
          </cell>
          <cell r="D12774" t="str">
            <v>Transporte</v>
          </cell>
          <cell r="G12774" t="str">
            <v>Presupuesto</v>
          </cell>
        </row>
        <row r="12775">
          <cell r="A12775" t="str">
            <v>ZURRIOLA</v>
          </cell>
          <cell r="B12775">
            <v>202510</v>
          </cell>
          <cell r="D12775" t="str">
            <v>Transporte</v>
          </cell>
          <cell r="G12775" t="str">
            <v>Real</v>
          </cell>
        </row>
        <row r="12776">
          <cell r="A12776" t="str">
            <v>ZURRIOLA</v>
          </cell>
          <cell r="B12776">
            <v>202510</v>
          </cell>
          <cell r="D12776" t="str">
            <v>Vida Ahorro Particular</v>
          </cell>
          <cell r="G12776" t="str">
            <v>Presupuesto</v>
          </cell>
        </row>
        <row r="12777">
          <cell r="A12777" t="str">
            <v>ZURRIOLA</v>
          </cell>
          <cell r="B12777">
            <v>202510</v>
          </cell>
          <cell r="D12777" t="str">
            <v>Vida Ahorro Particular</v>
          </cell>
          <cell r="G12777" t="str">
            <v>Real</v>
          </cell>
        </row>
        <row r="12778">
          <cell r="A12778" t="str">
            <v>ZURRIOLA</v>
          </cell>
          <cell r="B12778">
            <v>202510</v>
          </cell>
          <cell r="D12778" t="str">
            <v>Vida Riesgo Colectivo</v>
          </cell>
          <cell r="G12778" t="str">
            <v>Presupuesto</v>
          </cell>
        </row>
        <row r="12779">
          <cell r="A12779" t="str">
            <v>ZURRIOLA</v>
          </cell>
          <cell r="B12779">
            <v>202510</v>
          </cell>
          <cell r="D12779" t="str">
            <v>Vida Riesgo Colectivo</v>
          </cell>
          <cell r="G12779" t="str">
            <v>Real</v>
          </cell>
        </row>
        <row r="12780">
          <cell r="A12780" t="str">
            <v>ZURRIOLA</v>
          </cell>
          <cell r="B12780">
            <v>202510</v>
          </cell>
          <cell r="D12780" t="str">
            <v>Vida Riesgo Particular</v>
          </cell>
          <cell r="G12780" t="str">
            <v>Presupuesto</v>
          </cell>
        </row>
        <row r="12781">
          <cell r="A12781" t="str">
            <v>ZURRIOLA</v>
          </cell>
          <cell r="B12781">
            <v>202510</v>
          </cell>
          <cell r="D12781" t="str">
            <v>Vida Riesgo Particular</v>
          </cell>
          <cell r="G12781" t="str">
            <v>Real</v>
          </cell>
        </row>
        <row r="12782">
          <cell r="A12782" t="str">
            <v>ZURRIOLA</v>
          </cell>
          <cell r="B12782">
            <v>202511</v>
          </cell>
          <cell r="D12782" t="str">
            <v>--</v>
          </cell>
          <cell r="G12782" t="str">
            <v>Presupuesto</v>
          </cell>
        </row>
        <row r="12783">
          <cell r="A12783" t="str">
            <v>ZURRIOLA</v>
          </cell>
          <cell r="B12783">
            <v>202511</v>
          </cell>
          <cell r="D12783" t="str">
            <v>--</v>
          </cell>
          <cell r="G12783" t="str">
            <v>Real</v>
          </cell>
        </row>
        <row r="12784">
          <cell r="A12784" t="str">
            <v>ZURRIOLA</v>
          </cell>
          <cell r="B12784">
            <v>202511</v>
          </cell>
          <cell r="D12784" t="str">
            <v>Autos</v>
          </cell>
          <cell r="G12784" t="str">
            <v>Presupuesto</v>
          </cell>
        </row>
        <row r="12785">
          <cell r="A12785" t="str">
            <v>ZURRIOLA</v>
          </cell>
          <cell r="B12785">
            <v>202511</v>
          </cell>
          <cell r="D12785" t="str">
            <v>Autos</v>
          </cell>
          <cell r="G12785" t="str">
            <v>Real</v>
          </cell>
        </row>
        <row r="12786">
          <cell r="A12786" t="str">
            <v>ZURRIOLA</v>
          </cell>
          <cell r="B12786">
            <v>202511</v>
          </cell>
          <cell r="D12786" t="str">
            <v>Flotas</v>
          </cell>
          <cell r="G12786" t="str">
            <v>Presupuesto</v>
          </cell>
        </row>
        <row r="12787">
          <cell r="A12787" t="str">
            <v>ZURRIOLA</v>
          </cell>
          <cell r="B12787">
            <v>202511</v>
          </cell>
          <cell r="D12787" t="str">
            <v>Flotas</v>
          </cell>
          <cell r="G12787" t="str">
            <v>Real</v>
          </cell>
        </row>
        <row r="12788">
          <cell r="A12788" t="str">
            <v>ZURRIOLA</v>
          </cell>
          <cell r="B12788">
            <v>202511</v>
          </cell>
          <cell r="D12788" t="str">
            <v>Hogar</v>
          </cell>
          <cell r="G12788" t="str">
            <v>Presupuesto</v>
          </cell>
        </row>
        <row r="12789">
          <cell r="A12789" t="str">
            <v>ZURRIOLA</v>
          </cell>
          <cell r="B12789">
            <v>202511</v>
          </cell>
          <cell r="D12789" t="str">
            <v>Hogar</v>
          </cell>
          <cell r="G12789" t="str">
            <v>Real</v>
          </cell>
        </row>
        <row r="12790">
          <cell r="A12790" t="str">
            <v>ZURRIOLA</v>
          </cell>
          <cell r="B12790">
            <v>202511</v>
          </cell>
          <cell r="D12790" t="str">
            <v>Ingeniería</v>
          </cell>
          <cell r="G12790" t="str">
            <v>Presupuesto</v>
          </cell>
        </row>
        <row r="12791">
          <cell r="A12791" t="str">
            <v>ZURRIOLA</v>
          </cell>
          <cell r="B12791">
            <v>202511</v>
          </cell>
          <cell r="D12791" t="str">
            <v>Ingeniería</v>
          </cell>
          <cell r="G12791" t="str">
            <v>Real</v>
          </cell>
        </row>
        <row r="12792">
          <cell r="A12792" t="str">
            <v>ZURRIOLA</v>
          </cell>
          <cell r="B12792">
            <v>202511</v>
          </cell>
          <cell r="D12792" t="str">
            <v>Líneas Financieras</v>
          </cell>
          <cell r="G12792" t="str">
            <v>Presupuesto</v>
          </cell>
        </row>
        <row r="12793">
          <cell r="A12793" t="str">
            <v>ZURRIOLA</v>
          </cell>
          <cell r="B12793">
            <v>202511</v>
          </cell>
          <cell r="D12793" t="str">
            <v>Líneas Financieras</v>
          </cell>
          <cell r="G12793" t="str">
            <v>Real</v>
          </cell>
        </row>
        <row r="12794">
          <cell r="A12794" t="str">
            <v>ZURRIOLA</v>
          </cell>
          <cell r="B12794">
            <v>202511</v>
          </cell>
          <cell r="D12794" t="str">
            <v>Náutica</v>
          </cell>
          <cell r="G12794" t="str">
            <v>Presupuesto</v>
          </cell>
        </row>
        <row r="12795">
          <cell r="A12795" t="str">
            <v>ZURRIOLA</v>
          </cell>
          <cell r="B12795">
            <v>202511</v>
          </cell>
          <cell r="D12795" t="str">
            <v>Náutica</v>
          </cell>
          <cell r="G12795" t="str">
            <v>Real</v>
          </cell>
        </row>
        <row r="12796">
          <cell r="A12796" t="str">
            <v>ZURRIOLA</v>
          </cell>
          <cell r="B12796">
            <v>202511</v>
          </cell>
          <cell r="D12796" t="str">
            <v>Particulares Resto</v>
          </cell>
          <cell r="G12796" t="str">
            <v>Presupuesto</v>
          </cell>
        </row>
        <row r="12797">
          <cell r="A12797" t="str">
            <v>ZURRIOLA</v>
          </cell>
          <cell r="B12797">
            <v>202511</v>
          </cell>
          <cell r="D12797" t="str">
            <v>Particulares Resto</v>
          </cell>
          <cell r="G12797" t="str">
            <v>Real</v>
          </cell>
        </row>
        <row r="12798">
          <cell r="A12798" t="str">
            <v>ZURRIOLA</v>
          </cell>
          <cell r="B12798">
            <v>202511</v>
          </cell>
          <cell r="D12798" t="str">
            <v>Property</v>
          </cell>
          <cell r="G12798" t="str">
            <v>Presupuesto</v>
          </cell>
        </row>
        <row r="12799">
          <cell r="A12799" t="str">
            <v>ZURRIOLA</v>
          </cell>
          <cell r="B12799">
            <v>202511</v>
          </cell>
          <cell r="D12799" t="str">
            <v>Property</v>
          </cell>
          <cell r="G12799" t="str">
            <v>Real</v>
          </cell>
        </row>
        <row r="12800">
          <cell r="A12800" t="str">
            <v>ZURRIOLA</v>
          </cell>
          <cell r="B12800">
            <v>202511</v>
          </cell>
          <cell r="D12800" t="str">
            <v>RC</v>
          </cell>
          <cell r="G12800" t="str">
            <v>Presupuesto</v>
          </cell>
        </row>
        <row r="12801">
          <cell r="A12801" t="str">
            <v>ZURRIOLA</v>
          </cell>
          <cell r="B12801">
            <v>202511</v>
          </cell>
          <cell r="D12801" t="str">
            <v>RC</v>
          </cell>
          <cell r="G12801" t="str">
            <v>Real</v>
          </cell>
        </row>
        <row r="12802">
          <cell r="A12802" t="str">
            <v>ZURRIOLA</v>
          </cell>
          <cell r="B12802">
            <v>202511</v>
          </cell>
          <cell r="D12802" t="str">
            <v>Seguros Personales (No Vida) Colectivos</v>
          </cell>
          <cell r="G12802" t="str">
            <v>Presupuesto</v>
          </cell>
        </row>
        <row r="12803">
          <cell r="A12803" t="str">
            <v>ZURRIOLA</v>
          </cell>
          <cell r="B12803">
            <v>202511</v>
          </cell>
          <cell r="D12803" t="str">
            <v>Seguros Personales (No Vida) Colectivos</v>
          </cell>
          <cell r="G12803" t="str">
            <v>Real</v>
          </cell>
        </row>
        <row r="12804">
          <cell r="A12804" t="str">
            <v>ZURRIOLA</v>
          </cell>
          <cell r="B12804">
            <v>202511</v>
          </cell>
          <cell r="D12804" t="str">
            <v>Seguros Personales (No Vida) Particular</v>
          </cell>
          <cell r="G12804" t="str">
            <v>Presupuesto</v>
          </cell>
        </row>
        <row r="12805">
          <cell r="A12805" t="str">
            <v>ZURRIOLA</v>
          </cell>
          <cell r="B12805">
            <v>202511</v>
          </cell>
          <cell r="D12805" t="str">
            <v>Seguros Personales (No Vida) Particular</v>
          </cell>
          <cell r="G12805" t="str">
            <v>Real</v>
          </cell>
        </row>
        <row r="12806">
          <cell r="A12806" t="str">
            <v>ZURRIOLA</v>
          </cell>
          <cell r="B12806">
            <v>202511</v>
          </cell>
          <cell r="D12806" t="str">
            <v>Transporte</v>
          </cell>
          <cell r="G12806" t="str">
            <v>Presupuesto</v>
          </cell>
        </row>
        <row r="12807">
          <cell r="A12807" t="str">
            <v>ZURRIOLA</v>
          </cell>
          <cell r="B12807">
            <v>202511</v>
          </cell>
          <cell r="D12807" t="str">
            <v>Transporte</v>
          </cell>
          <cell r="G12807" t="str">
            <v>Real</v>
          </cell>
        </row>
        <row r="12808">
          <cell r="A12808" t="str">
            <v>ZURRIOLA</v>
          </cell>
          <cell r="B12808">
            <v>202511</v>
          </cell>
          <cell r="D12808" t="str">
            <v>Vida Ahorro Particular</v>
          </cell>
          <cell r="G12808" t="str">
            <v>Presupuesto</v>
          </cell>
        </row>
        <row r="12809">
          <cell r="A12809" t="str">
            <v>ZURRIOLA</v>
          </cell>
          <cell r="B12809">
            <v>202511</v>
          </cell>
          <cell r="D12809" t="str">
            <v>Vida Ahorro Particular</v>
          </cell>
          <cell r="G12809" t="str">
            <v>Real</v>
          </cell>
        </row>
        <row r="12810">
          <cell r="A12810" t="str">
            <v>ZURRIOLA</v>
          </cell>
          <cell r="B12810">
            <v>202511</v>
          </cell>
          <cell r="D12810" t="str">
            <v>Vida Riesgo Particular</v>
          </cell>
          <cell r="G12810" t="str">
            <v>Presupuesto</v>
          </cell>
        </row>
        <row r="12811">
          <cell r="A12811" t="str">
            <v>ZURRIOLA</v>
          </cell>
          <cell r="B12811">
            <v>202511</v>
          </cell>
          <cell r="D12811" t="str">
            <v>Vida Riesgo Particular</v>
          </cell>
          <cell r="G12811" t="str">
            <v>Real</v>
          </cell>
        </row>
        <row r="12812">
          <cell r="A12812" t="str">
            <v>ZURRIOLA</v>
          </cell>
          <cell r="B12812">
            <v>202512</v>
          </cell>
          <cell r="D12812" t="str">
            <v>--</v>
          </cell>
          <cell r="G12812" t="str">
            <v>Presupuesto</v>
          </cell>
        </row>
        <row r="12813">
          <cell r="A12813" t="str">
            <v>ZURRIOLA</v>
          </cell>
          <cell r="B12813">
            <v>202512</v>
          </cell>
          <cell r="D12813" t="str">
            <v>--</v>
          </cell>
          <cell r="G12813" t="str">
            <v>Real</v>
          </cell>
        </row>
        <row r="12814">
          <cell r="A12814" t="str">
            <v>ZURRIOLA</v>
          </cell>
          <cell r="B12814">
            <v>202512</v>
          </cell>
          <cell r="D12814" t="str">
            <v>Autos</v>
          </cell>
          <cell r="G12814" t="str">
            <v>Presupuesto</v>
          </cell>
        </row>
        <row r="12815">
          <cell r="A12815" t="str">
            <v>ZURRIOLA</v>
          </cell>
          <cell r="B12815">
            <v>202512</v>
          </cell>
          <cell r="D12815" t="str">
            <v>Autos</v>
          </cell>
          <cell r="G12815" t="str">
            <v>Real</v>
          </cell>
        </row>
        <row r="12816">
          <cell r="A12816" t="str">
            <v>ZURRIOLA</v>
          </cell>
          <cell r="B12816">
            <v>202512</v>
          </cell>
          <cell r="D12816" t="str">
            <v>Flotas</v>
          </cell>
          <cell r="G12816" t="str">
            <v>Presupuesto</v>
          </cell>
        </row>
        <row r="12817">
          <cell r="A12817" t="str">
            <v>ZURRIOLA</v>
          </cell>
          <cell r="B12817">
            <v>202512</v>
          </cell>
          <cell r="D12817" t="str">
            <v>Flotas</v>
          </cell>
          <cell r="G12817" t="str">
            <v>Real</v>
          </cell>
        </row>
        <row r="12818">
          <cell r="A12818" t="str">
            <v>ZURRIOLA</v>
          </cell>
          <cell r="B12818">
            <v>202512</v>
          </cell>
          <cell r="D12818" t="str">
            <v>Hogar</v>
          </cell>
          <cell r="G12818" t="str">
            <v>Presupuesto</v>
          </cell>
        </row>
        <row r="12819">
          <cell r="A12819" t="str">
            <v>ZURRIOLA</v>
          </cell>
          <cell r="B12819">
            <v>202512</v>
          </cell>
          <cell r="D12819" t="str">
            <v>Hogar</v>
          </cell>
          <cell r="G12819" t="str">
            <v>Real</v>
          </cell>
        </row>
        <row r="12820">
          <cell r="A12820" t="str">
            <v>ZURRIOLA</v>
          </cell>
          <cell r="B12820">
            <v>202512</v>
          </cell>
          <cell r="D12820" t="str">
            <v>Ingeniería</v>
          </cell>
          <cell r="G12820" t="str">
            <v>Presupuesto</v>
          </cell>
        </row>
        <row r="12821">
          <cell r="A12821" t="str">
            <v>ZURRIOLA</v>
          </cell>
          <cell r="B12821">
            <v>202512</v>
          </cell>
          <cell r="D12821" t="str">
            <v>Ingeniería</v>
          </cell>
          <cell r="G12821" t="str">
            <v>Real</v>
          </cell>
        </row>
        <row r="12822">
          <cell r="A12822" t="str">
            <v>ZURRIOLA</v>
          </cell>
          <cell r="B12822">
            <v>202512</v>
          </cell>
          <cell r="D12822" t="str">
            <v>Líneas Financieras</v>
          </cell>
          <cell r="G12822" t="str">
            <v>Presupuesto</v>
          </cell>
        </row>
        <row r="12823">
          <cell r="A12823" t="str">
            <v>ZURRIOLA</v>
          </cell>
          <cell r="B12823">
            <v>202512</v>
          </cell>
          <cell r="D12823" t="str">
            <v>Líneas Financieras</v>
          </cell>
          <cell r="G12823" t="str">
            <v>Real</v>
          </cell>
        </row>
        <row r="12824">
          <cell r="A12824" t="str">
            <v>ZURRIOLA</v>
          </cell>
          <cell r="B12824">
            <v>202512</v>
          </cell>
          <cell r="D12824" t="str">
            <v>Náutica</v>
          </cell>
          <cell r="G12824" t="str">
            <v>Real</v>
          </cell>
        </row>
        <row r="12825">
          <cell r="A12825" t="str">
            <v>ZURRIOLA</v>
          </cell>
          <cell r="B12825">
            <v>202512</v>
          </cell>
          <cell r="D12825" t="str">
            <v>Particulares Resto</v>
          </cell>
          <cell r="G12825" t="str">
            <v>Presupuesto</v>
          </cell>
        </row>
        <row r="12826">
          <cell r="A12826" t="str">
            <v>ZURRIOLA</v>
          </cell>
          <cell r="B12826">
            <v>202512</v>
          </cell>
          <cell r="D12826" t="str">
            <v>Particulares Resto</v>
          </cell>
          <cell r="G12826" t="str">
            <v>Real</v>
          </cell>
        </row>
        <row r="12827">
          <cell r="A12827" t="str">
            <v>ZURRIOLA</v>
          </cell>
          <cell r="B12827">
            <v>202512</v>
          </cell>
          <cell r="D12827" t="str">
            <v>Property</v>
          </cell>
          <cell r="G12827" t="str">
            <v>Presupuesto</v>
          </cell>
        </row>
        <row r="12828">
          <cell r="A12828" t="str">
            <v>ZURRIOLA</v>
          </cell>
          <cell r="B12828">
            <v>202512</v>
          </cell>
          <cell r="D12828" t="str">
            <v>Property</v>
          </cell>
          <cell r="G12828" t="str">
            <v>Real</v>
          </cell>
        </row>
        <row r="12829">
          <cell r="A12829" t="str">
            <v>ZURRIOLA</v>
          </cell>
          <cell r="B12829">
            <v>202512</v>
          </cell>
          <cell r="D12829" t="str">
            <v>--</v>
          </cell>
          <cell r="G12829" t="str">
            <v>Real</v>
          </cell>
        </row>
        <row r="12830">
          <cell r="A12830" t="str">
            <v>ZURRIOLA</v>
          </cell>
          <cell r="B12830">
            <v>202512</v>
          </cell>
          <cell r="D12830" t="str">
            <v>RC</v>
          </cell>
          <cell r="G12830" t="str">
            <v>Presupuesto</v>
          </cell>
        </row>
        <row r="12831">
          <cell r="A12831" t="str">
            <v>ZURRIOLA</v>
          </cell>
          <cell r="B12831">
            <v>202512</v>
          </cell>
          <cell r="D12831" t="str">
            <v>RC</v>
          </cell>
          <cell r="G12831" t="str">
            <v>Real</v>
          </cell>
        </row>
        <row r="12832">
          <cell r="A12832" t="str">
            <v>ZURRIOLA</v>
          </cell>
          <cell r="B12832">
            <v>202512</v>
          </cell>
          <cell r="D12832" t="str">
            <v>Seguros Personales (No Vida) Colectivos</v>
          </cell>
          <cell r="G12832" t="str">
            <v>Presupuesto</v>
          </cell>
        </row>
        <row r="12833">
          <cell r="A12833" t="str">
            <v>ZURRIOLA</v>
          </cell>
          <cell r="B12833">
            <v>202512</v>
          </cell>
          <cell r="D12833" t="str">
            <v>Seguros Personales (No Vida) Colectivos</v>
          </cell>
          <cell r="G12833" t="str">
            <v>Real</v>
          </cell>
        </row>
        <row r="12834">
          <cell r="A12834" t="str">
            <v>ZURRIOLA</v>
          </cell>
          <cell r="B12834">
            <v>202512</v>
          </cell>
          <cell r="D12834" t="str">
            <v>Seguros Personales (No Vida) Particular</v>
          </cell>
          <cell r="G12834" t="str">
            <v>Presupuesto</v>
          </cell>
        </row>
        <row r="12835">
          <cell r="A12835" t="str">
            <v>ZURRIOLA</v>
          </cell>
          <cell r="B12835">
            <v>202512</v>
          </cell>
          <cell r="D12835" t="str">
            <v>Seguros Personales (No Vida) Particular</v>
          </cell>
          <cell r="G12835" t="str">
            <v>Real</v>
          </cell>
        </row>
        <row r="12836">
          <cell r="A12836" t="str">
            <v>ZURRIOLA</v>
          </cell>
          <cell r="B12836">
            <v>202512</v>
          </cell>
          <cell r="D12836" t="str">
            <v>Transporte</v>
          </cell>
          <cell r="G12836" t="str">
            <v>Presupuesto</v>
          </cell>
        </row>
        <row r="12837">
          <cell r="A12837" t="str">
            <v>ZURRIOLA</v>
          </cell>
          <cell r="B12837">
            <v>202512</v>
          </cell>
          <cell r="D12837" t="str">
            <v>Transporte</v>
          </cell>
          <cell r="G12837" t="str">
            <v>Real</v>
          </cell>
        </row>
        <row r="12838">
          <cell r="A12838" t="str">
            <v>ZURRIOLA</v>
          </cell>
          <cell r="B12838">
            <v>202512</v>
          </cell>
          <cell r="D12838" t="str">
            <v>Vida Ahorro Particular</v>
          </cell>
          <cell r="G12838" t="str">
            <v>Presupuesto</v>
          </cell>
        </row>
        <row r="12839">
          <cell r="A12839" t="str">
            <v>ZURRIOLA</v>
          </cell>
          <cell r="B12839">
            <v>202512</v>
          </cell>
          <cell r="D12839" t="str">
            <v>Vida Ahorro Particular</v>
          </cell>
          <cell r="G12839" t="str">
            <v>Real</v>
          </cell>
        </row>
        <row r="12840">
          <cell r="A12840" t="str">
            <v>ZURRIOLA</v>
          </cell>
          <cell r="B12840">
            <v>202512</v>
          </cell>
          <cell r="D12840" t="str">
            <v>Vida Riesgo Colectivo</v>
          </cell>
          <cell r="G12840" t="str">
            <v>Presupuesto</v>
          </cell>
        </row>
        <row r="12841">
          <cell r="A12841" t="str">
            <v>ZURRIOLA</v>
          </cell>
          <cell r="B12841">
            <v>202512</v>
          </cell>
          <cell r="D12841" t="str">
            <v>Vida Riesgo Colectivo</v>
          </cell>
          <cell r="G12841" t="str">
            <v>Real</v>
          </cell>
        </row>
        <row r="12842">
          <cell r="A12842" t="str">
            <v>ZURRIOLA</v>
          </cell>
          <cell r="B12842">
            <v>202512</v>
          </cell>
          <cell r="D12842" t="str">
            <v>Vida Riesgo Particular</v>
          </cell>
          <cell r="G12842" t="str">
            <v>Presupuesto</v>
          </cell>
        </row>
        <row r="12843">
          <cell r="A12843" t="str">
            <v>ZURRIOLA</v>
          </cell>
          <cell r="B12843">
            <v>202512</v>
          </cell>
          <cell r="D12843" t="str">
            <v>Vida Riesgo Particular</v>
          </cell>
          <cell r="G12843" t="str">
            <v>Real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Anadon" refreshedDate="46093.406311342595" createdVersion="8" refreshedVersion="8" minRefreshableVersion="3" recordCount="1213" xr:uid="{DB2273F8-C315-409E-A7E6-085E5495C183}">
  <cacheSource type="worksheet">
    <worksheetSource ref="A1:AI1048576" sheet="Plantilla Report Recibos"/>
  </cacheSource>
  <cacheFields count="35">
    <cacheField name="Correduria" numFmtId="0">
      <sharedItems containsBlank="1"/>
    </cacheField>
    <cacheField name="NIF" numFmtId="0">
      <sharedItems containsBlank="1"/>
    </cacheField>
    <cacheField name="NumeroPolizaCompania" numFmtId="0">
      <sharedItems containsBlank="1"/>
    </cacheField>
    <cacheField name="NumeroPolizaInterno" numFmtId="0">
      <sharedItems containsString="0" containsBlank="1" containsNumber="1" containsInteger="1" minValue="194" maxValue="32741"/>
    </cacheField>
    <cacheField name="NumeroReciboCompania" numFmtId="0">
      <sharedItems containsBlank="1"/>
    </cacheField>
    <cacheField name="NumeroReciboInterno" numFmtId="0">
      <sharedItems containsBlank="1"/>
    </cacheField>
    <cacheField name="Tipo" numFmtId="0">
      <sharedItems containsBlank="1"/>
    </cacheField>
    <cacheField name="Gestion" numFmtId="0">
      <sharedItems containsBlank="1"/>
    </cacheField>
    <cacheField name="Duracion" numFmtId="0">
      <sharedItems containsBlank="1"/>
    </cacheField>
    <cacheField name="Situacion" numFmtId="0">
      <sharedItems containsBlank="1"/>
    </cacheField>
    <cacheField name="FechaFacturacion" numFmtId="14">
      <sharedItems containsNonDate="0" containsDate="1" containsString="0" containsBlank="1" minDate="2024-04-10T00:00:00" maxDate="2026-03-03T00:00:00" count="396">
        <d v="2025-09-19T00:00:00"/>
        <d v="2025-09-22T00:00:00"/>
        <d v="2025-10-12T00:00:00"/>
        <d v="2025-10-19T00:00:00"/>
        <d v="2025-11-15T00:00:00"/>
        <d v="2025-11-21T00:00:00"/>
        <d v="2025-11-22T00:00:00"/>
        <d v="2025-12-02T00:00:00"/>
        <d v="2025-12-11T00:00:00"/>
        <d v="2025-12-12T00:00:00"/>
        <d v="2025-12-20T00:00:00"/>
        <d v="2025-12-22T00:00:00"/>
        <d v="2025-12-29T00:00:00"/>
        <d v="2026-01-02T00:00:00"/>
        <d v="2026-01-05T00:00:00"/>
        <d v="2026-01-06T00:00:00"/>
        <d v="2026-01-07T00:00:00"/>
        <d v="2026-01-08T00:00:00"/>
        <d v="2026-01-09T00:00:00"/>
        <d v="2026-01-11T00:00:00"/>
        <d v="2026-01-12T00:00:00"/>
        <d v="2026-01-13T00:00:00"/>
        <d v="2026-01-14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m/>
        <d v="2024-04-10T00:00:00" u="1"/>
        <d v="2024-08-06T00:00:00" u="1"/>
        <d v="2024-08-23T00:00:00" u="1"/>
        <d v="2024-09-22T00:00:00" u="1"/>
        <d v="2024-10-19T00:00:00" u="1"/>
        <d v="2024-10-23T00:00:00" u="1"/>
        <d v="2024-10-27T00:00:00" u="1"/>
        <d v="2024-11-09T00:00:00" u="1"/>
        <d v="2024-11-15T00:00:00" u="1"/>
        <d v="2024-11-17T00:00:00" u="1"/>
        <d v="2024-11-24T00:00:00" u="1"/>
        <d v="2024-12-06T00:00:00" u="1"/>
        <d v="2024-12-07T00:00:00" u="1"/>
        <d v="2024-12-09T00:00:00" u="1"/>
        <d v="2024-12-10T00:00:00" u="1"/>
        <d v="2024-12-12T00:00:00" u="1"/>
        <d v="2024-12-13T00:00:00" u="1"/>
        <d v="2024-12-14T00:00:00" u="1"/>
        <d v="2024-12-17T00:00:00" u="1"/>
        <d v="2024-12-19T00:00:00" u="1"/>
        <d v="2024-12-21T00:00:00" u="1"/>
        <d v="2024-12-22T00:00:00" u="1"/>
        <d v="2024-12-27T00:00:00" u="1"/>
        <d v="2024-12-31T00:00:00" u="1"/>
        <d v="2025-01-02T00:00:00" u="1"/>
        <d v="2025-01-03T00:00:00" u="1"/>
        <d v="2025-01-05T00:00:00" u="1"/>
        <d v="2025-01-07T00:00:00" u="1"/>
        <d v="2025-01-08T00:00:00" u="1"/>
        <d v="2025-01-09T00:00:00" u="1"/>
        <d v="2025-01-10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5-02-01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3T00:00:00" u="1"/>
        <d v="2025-03-04T00:00:00" u="1"/>
        <d v="2025-03-05T00:00:00" u="1"/>
        <d v="2025-03-06T00:00:00" u="1"/>
        <d v="2025-03-07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7T00:00:00" u="1"/>
        <d v="2025-04-08T00:00:00" u="1"/>
        <d v="2025-04-09T00:00:00" u="1"/>
        <d v="2025-04-10T00:00:00" u="1"/>
        <d v="2025-04-11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3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3T00:00:00" u="1"/>
        <d v="2025-08-05T00:00:00" u="1"/>
        <d v="2025-08-06T00:00:00" u="1"/>
        <d v="2025-08-07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9T00:00:00" u="1"/>
        <d v="2025-08-20T00:00:00" u="1"/>
        <d v="2025-08-23T00:00:00" u="1"/>
        <d v="2025-08-24T00:00:00" u="1"/>
        <d v="2025-08-25T00:00:00" u="1"/>
        <d v="2025-08-27T00:00:00" u="1"/>
        <d v="2025-08-28T00:00:00" u="1"/>
        <d v="2025-08-29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6T00:00:00" u="1"/>
        <d v="2025-09-17T00:00:00" u="1"/>
        <d v="2025-09-18T00:00:00" u="1"/>
        <d v="2025-09-20T00:00:00" u="1"/>
        <d v="2025-09-21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4T00:00:00" u="1"/>
        <d v="2025-10-15T00:00:00" u="1"/>
        <d v="2025-10-16T00:00:00" u="1"/>
        <d v="2025-10-17T00:00:00" u="1"/>
        <d v="2025-10-18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6T00:00:00" u="1"/>
        <d v="2025-11-18T00:00:00" u="1"/>
        <d v="2025-11-19T00:00:00" u="1"/>
        <d v="2025-11-20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2-01T00:00:00" u="1"/>
        <d v="2025-12-03T00:00:00" u="1"/>
        <d v="2025-12-04T00:00:00" u="1"/>
        <d v="2025-12-05T00:00:00" u="1"/>
        <d v="2025-12-07T00:00:00" u="1"/>
        <d v="2025-12-08T00:00:00" u="1"/>
        <d v="2025-12-09T00:00:00" u="1"/>
        <d v="2025-12-10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1T00:00:00" u="1"/>
        <d v="2025-12-23T00:00:00" u="1"/>
        <d v="2025-12-24T00:00:00" u="1"/>
        <d v="2025-12-30T00:00:00" u="1"/>
        <d v="2025-12-31T00:00:00" u="1"/>
        <d v="2026-03-01T00:00:00" u="1"/>
        <d v="2026-03-02T00:00:00" u="1"/>
      </sharedItems>
    </cacheField>
    <cacheField name="FechaEfecto" numFmtId="14">
      <sharedItems containsNonDate="0" containsDate="1" containsString="0" containsBlank="1" minDate="2022-01-01T00:00:00" maxDate="2026-05-08T00:00:00"/>
    </cacheField>
    <cacheField name="FechaCobro" numFmtId="14">
      <sharedItems containsNonDate="0" containsDate="1" containsString="0" containsBlank="1" minDate="2026-01-01T00:00:00" maxDate="2026-04-02T00:00:00"/>
    </cacheField>
    <cacheField name="FechaDevolucion" numFmtId="14">
      <sharedItems containsNonDate="0" containsDate="1" containsString="0" containsBlank="1" minDate="2026-01-12T00:00:00" maxDate="2026-04-02T00:00:00"/>
    </cacheField>
    <cacheField name="FechaAnulacion" numFmtId="14">
      <sharedItems containsNonDate="0" containsDate="1" containsString="0" containsBlank="1" minDate="2026-01-01T00:00:00" maxDate="2026-02-28T00:00:00"/>
    </cacheField>
    <cacheField name="FechaLiquidacionColaborador" numFmtId="14">
      <sharedItems containsNonDate="0" containsDate="1" containsString="0" containsBlank="1" minDate="2026-01-22T00:00:00" maxDate="2026-03-02T00:00:00"/>
    </cacheField>
    <cacheField name="FechaLiquidación" numFmtId="14">
      <sharedItems containsNonDate="0" containsDate="1" containsString="0" containsBlank="1" minDate="2025-12-31T00:00:00" maxDate="2026-04-02T00:00:00"/>
    </cacheField>
    <cacheField name="Fracciones" numFmtId="0">
      <sharedItems containsBlank="1"/>
    </cacheField>
    <cacheField name="Producto" numFmtId="0">
      <sharedItems containsBlank="1"/>
    </cacheField>
    <cacheField name="Ramo" numFmtId="0">
      <sharedItems containsBlank="1"/>
    </cacheField>
    <cacheField name="GrupoDeRamos" numFmtId="0">
      <sharedItems containsBlank="1" count="19">
        <s v="Responsabilidad Civil"/>
        <s v="Autos"/>
        <s v="Hogar"/>
        <s v="Property"/>
        <s v="Seguros Personales (No Vida) Particular"/>
        <s v="Vida Riesgo Particular"/>
        <s v="Transporte"/>
        <s v="Particulares Resto"/>
        <s v="Líneas Financieras"/>
        <s v="Eventos"/>
        <s v="Seguros Personales (No Vida) Colectivos"/>
        <s v="Vida Riesgo Colectivo"/>
        <s v="Náutica"/>
        <s v="Vida Ahorro Particular"/>
        <s v="Flotas"/>
        <s v="Ingeniería"/>
        <m/>
        <s v="Arte" u="1"/>
        <s v="Caución" u="1"/>
      </sharedItems>
    </cacheField>
    <cacheField name="Compania" numFmtId="0">
      <sharedItems containsBlank="1"/>
    </cacheField>
    <cacheField name="Moneda" numFmtId="0">
      <sharedItems containsBlank="1"/>
    </cacheField>
    <cacheField name="PrimaNeta" numFmtId="0">
      <sharedItems containsString="0" containsBlank="1" containsNumber="1" minValue="-18675.88" maxValue="93379.41"/>
    </cacheField>
    <cacheField name="ComisionCorreduria" numFmtId="0">
      <sharedItems containsString="0" containsBlank="1" containsNumber="1" minValue="-3395.62" maxValue="16078.07"/>
    </cacheField>
    <cacheField name="ComisionPrimaNeta" numFmtId="0">
      <sharedItems containsString="0" containsBlank="1" containsNumber="1" minValue="-3395.62" maxValue="16078.07"/>
    </cacheField>
    <cacheField name="ComisionComplementaria" numFmtId="0">
      <sharedItems containsString="0" containsBlank="1" containsNumber="1" containsInteger="1" minValue="0" maxValue="0"/>
    </cacheField>
    <cacheField name="ColaboradorSupervisor" numFmtId="0">
      <sharedItems containsNonDate="0" containsString="0" containsBlank="1"/>
    </cacheField>
    <cacheField name="ComisionColaboradorSupervisor" numFmtId="0">
      <sharedItems containsString="0" containsBlank="1" containsNumber="1" containsInteger="1" minValue="0" maxValue="0"/>
    </cacheField>
    <cacheField name="Colaborador1" numFmtId="0">
      <sharedItems containsBlank="1"/>
    </cacheField>
    <cacheField name="ComisionColaborador1" numFmtId="0">
      <sharedItems containsString="0" containsBlank="1" containsNumber="1" minValue="-412.45" maxValue="4383.5200000000004"/>
    </cacheField>
    <cacheField name="Colaborador2" numFmtId="0">
      <sharedItems containsNonDate="0" containsString="0" containsBlank="1"/>
    </cacheField>
    <cacheField name="ComisionColaborador2" numFmtId="0">
      <sharedItems containsString="0" containsBlank="1" containsNumber="1" containsInteger="1" minValue="0" maxValue="0"/>
    </cacheField>
    <cacheField name="Colaborador3" numFmtId="0">
      <sharedItems containsNonDate="0" containsString="0" containsBlank="1"/>
    </cacheField>
    <cacheField name="ComisionColaborador3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3">
  <r>
    <s v="ARAYTOR"/>
    <s v="B72606304"/>
    <s v="8-11.049.632-G"/>
    <n v="29177"/>
    <s v="466744833-T"/>
    <s v="2025009637"/>
    <s v="Cartera"/>
    <s v="Correduría"/>
    <s v="Renovable"/>
    <s v="Anulado"/>
    <x v="0"/>
    <d v="2025-11-07T00:00:00"/>
    <m/>
    <d v="2026-01-31T00:00:00"/>
    <d v="2026-01-16T00:00:00"/>
    <m/>
    <m/>
    <s v="Anual"/>
    <s v="01242 - RC comercio, cultura, ocio"/>
    <s v="RC General"/>
    <x v="0"/>
    <s v="OCCIDENT GCO, S.A.U."/>
    <s v="Euros"/>
    <n v="-1031.1300000000001"/>
    <n v="-154.66999999999999"/>
    <n v="-154.66999999999999"/>
    <n v="0"/>
    <m/>
    <n v="0"/>
    <m/>
    <n v="0"/>
    <m/>
    <n v="0"/>
    <m/>
    <n v="0"/>
  </r>
  <r>
    <s v="ARAYTOR"/>
    <s v="B72606304"/>
    <s v="8-11.236.541-N"/>
    <n v="31813"/>
    <s v="467074625-A"/>
    <s v="2025009680"/>
    <s v="Produccion"/>
    <s v="Correduría"/>
    <s v="Renovable"/>
    <s v="Anulado"/>
    <x v="1"/>
    <d v="2025-11-28T00:00:00"/>
    <m/>
    <d v="2026-01-31T00:00:00"/>
    <d v="2026-01-21T00:00:00"/>
    <m/>
    <m/>
    <s v="Trimestral"/>
    <s v="01242 - RC comercio, cultura, ocio"/>
    <s v="RC General"/>
    <x v="0"/>
    <s v="OCCIDENT GCO, S.A.U."/>
    <s v="Euros"/>
    <n v="-643.79"/>
    <n v="-96.57"/>
    <n v="-96.57"/>
    <n v="0"/>
    <m/>
    <n v="0"/>
    <m/>
    <n v="0"/>
    <m/>
    <n v="0"/>
    <m/>
    <n v="0"/>
  </r>
  <r>
    <s v="ARAYTOR"/>
    <s v="B27740117"/>
    <s v="UYG782000467"/>
    <n v="28086"/>
    <s v="5620092799"/>
    <s v="2025010036"/>
    <s v="Ajustes"/>
    <s v="Compañía"/>
    <s v="Renovable"/>
    <s v="Anulado"/>
    <x v="2"/>
    <d v="2025-10-14T00:00:00"/>
    <m/>
    <m/>
    <d v="2026-02-10T00:00:00"/>
    <m/>
    <m/>
    <s v="Anual"/>
    <s v="Vehículos Industriales"/>
    <s v="Furgonetas"/>
    <x v="1"/>
    <s v="GENERALI ESPAÑA"/>
    <s v="Euros"/>
    <n v="434.57"/>
    <n v="52.15"/>
    <n v="52.15"/>
    <n v="0"/>
    <m/>
    <n v="0"/>
    <m/>
    <n v="0"/>
    <m/>
    <n v="0"/>
    <m/>
    <n v="0"/>
  </r>
  <r>
    <s v="ARAYTOR"/>
    <s v="A08339103"/>
    <s v="8-10.450.510-R"/>
    <n v="24089"/>
    <s v="468158811-E"/>
    <s v="2025010233"/>
    <s v="Cartera"/>
    <s v="Correduría"/>
    <s v="Renovable"/>
    <s v="Anulado"/>
    <x v="3"/>
    <d v="2025-12-31T00:00:00"/>
    <m/>
    <d v="2026-03-01T00:00:00"/>
    <d v="2026-02-12T00:00:00"/>
    <m/>
    <m/>
    <s v="Anual"/>
    <s v="01244 - Resp.Civil Construccion"/>
    <s v="RC Construcción"/>
    <x v="0"/>
    <s v="OCCIDENT GCO, S.A.U."/>
    <s v="Euros"/>
    <n v="-11169.29"/>
    <n v="-1675.39"/>
    <n v="-1675.39"/>
    <n v="0"/>
    <m/>
    <n v="0"/>
    <m/>
    <n v="0"/>
    <m/>
    <n v="0"/>
    <m/>
    <n v="0"/>
  </r>
  <r>
    <s v="ARAYTOR"/>
    <s v="B14847503"/>
    <s v="40/5031276"/>
    <n v="12861"/>
    <s v="250730784"/>
    <s v="2025010777"/>
    <s v="Cartera"/>
    <s v="Correduría"/>
    <s v="Renovable"/>
    <s v="Anulado"/>
    <x v="4"/>
    <d v="2025-12-19T00:00:00"/>
    <m/>
    <d v="2026-03-01T00:00:00"/>
    <d v="2026-01-13T00:00:00"/>
    <m/>
    <m/>
    <s v="Anual"/>
    <s v="RC Promotor Musica"/>
    <s v="RC Promotor Musica"/>
    <x v="0"/>
    <s v="FIATC "/>
    <s v="Euros"/>
    <n v="-1339.03"/>
    <n v="-267.81"/>
    <n v="-267.81"/>
    <n v="0"/>
    <m/>
    <n v="0"/>
    <m/>
    <n v="0"/>
    <m/>
    <n v="0"/>
    <m/>
    <n v="0"/>
  </r>
  <r>
    <s v="ARAYTOR"/>
    <s v="37685792Q"/>
    <s v="8-6.264.545-K"/>
    <n v="17865"/>
    <s v="469618244-B"/>
    <s v="2025011116"/>
    <s v="Cartera"/>
    <s v="Correduría"/>
    <s v="Renovable"/>
    <s v="Anulado"/>
    <x v="5"/>
    <d v="2026-01-19T00:00:00"/>
    <m/>
    <d v="2026-01-12T00:00:00"/>
    <d v="2026-01-01T00:00:00"/>
    <m/>
    <m/>
    <s v="Anual"/>
    <s v="01685 Hogar"/>
    <s v="Hogar"/>
    <x v="2"/>
    <s v="OCCIDENT GCO, S.A.U."/>
    <s v="Euros"/>
    <n v="-269.08999999999997"/>
    <n v="-64.040000000000006"/>
    <n v="-64.040000000000006"/>
    <n v="0"/>
    <m/>
    <n v="0"/>
    <m/>
    <n v="0"/>
    <m/>
    <n v="0"/>
    <m/>
    <n v="0"/>
  </r>
  <r>
    <s v="ARAYTOR"/>
    <s v="21771182A"/>
    <s v="8-10.871.559-Y"/>
    <n v="27521"/>
    <s v="469697966-L"/>
    <s v="2025011119"/>
    <s v="Cartera"/>
    <s v="Compañía"/>
    <s v="Renovable"/>
    <s v="Anulado"/>
    <x v="5"/>
    <d v="2026-01-03T00:00:00"/>
    <m/>
    <m/>
    <d v="2026-01-01T00:00:00"/>
    <m/>
    <m/>
    <s v="Anual"/>
    <s v="01685 Hogar"/>
    <s v="Hogar"/>
    <x v="2"/>
    <s v="OCCIDENT GCO, S.A.U."/>
    <s v="Euros"/>
    <n v="-156.37"/>
    <n v="-39.090000000000003"/>
    <n v="-39.090000000000003"/>
    <n v="0"/>
    <m/>
    <n v="0"/>
    <m/>
    <n v="0"/>
    <m/>
    <n v="0"/>
    <m/>
    <n v="0"/>
  </r>
  <r>
    <s v="ARAYTOR"/>
    <s v="B60839313"/>
    <s v="8-10.720.839-L"/>
    <n v="26352"/>
    <s v="470056065-Q"/>
    <s v="2025011127"/>
    <s v="Cartera"/>
    <s v="Correduría"/>
    <s v="Renovable"/>
    <s v="Anulado"/>
    <x v="5"/>
    <d v="2026-01-01T00:00:00"/>
    <m/>
    <d v="2026-01-12T00:00:00"/>
    <d v="2026-01-01T00:00:00"/>
    <m/>
    <m/>
    <s v="Anual"/>
    <s v="01688 - Pyme"/>
    <s v="PYME"/>
    <x v="3"/>
    <s v="OCCIDENT GCO, S.A.U."/>
    <s v="Euros"/>
    <n v="-174.38"/>
    <n v="-38.369999999999997"/>
    <n v="-38.369999999999997"/>
    <n v="0"/>
    <m/>
    <n v="0"/>
    <m/>
    <n v="0"/>
    <m/>
    <n v="0"/>
    <m/>
    <n v="0"/>
  </r>
  <r>
    <s v="ARAYTOR"/>
    <s v="79022111E"/>
    <s v="056712807"/>
    <n v="30576"/>
    <s v="574009977"/>
    <s v="2025011160"/>
    <s v="Cartera"/>
    <s v="Compañía"/>
    <s v="Renovable"/>
    <s v="Anulado"/>
    <x v="6"/>
    <d v="2026-02-01T00:00:00"/>
    <m/>
    <d v="2026-02-07T00:00:00"/>
    <d v="2026-01-15T00:00:00"/>
    <m/>
    <m/>
    <s v="Anual"/>
    <s v="1285 Allianz Auto Plus TR"/>
    <s v="Vehiculos"/>
    <x v="1"/>
    <s v="ALLIANZ"/>
    <s v="Euros"/>
    <n v="-1654.37"/>
    <n v="-148.88999999999999"/>
    <n v="-148.88999999999999"/>
    <n v="0"/>
    <m/>
    <n v="0"/>
    <m/>
    <n v="0"/>
    <m/>
    <n v="0"/>
    <m/>
    <n v="0"/>
  </r>
  <r>
    <s v="ARAYTOR"/>
    <s v="37285250L"/>
    <s v="043063615"/>
    <n v="19032"/>
    <s v="574627646"/>
    <s v="2025011163"/>
    <s v="Cartera"/>
    <s v="Correduría"/>
    <s v="Renovable"/>
    <s v="Anulado"/>
    <x v="6"/>
    <d v="2026-02-01T00:00:00"/>
    <m/>
    <d v="2026-02-01T00:00:00"/>
    <d v="2026-01-22T00:00:00"/>
    <m/>
    <m/>
    <s v="Anual"/>
    <s v="Moto"/>
    <s v="Motocicletas"/>
    <x v="1"/>
    <s v="ALLIANZ"/>
    <s v="Euros"/>
    <n v="-165.35"/>
    <n v="-21.5"/>
    <n v="-21.5"/>
    <n v="0"/>
    <m/>
    <n v="0"/>
    <m/>
    <n v="0"/>
    <m/>
    <n v="0"/>
    <m/>
    <n v="0"/>
  </r>
  <r>
    <s v="ARAYTOR"/>
    <s v="B62971247"/>
    <s v="40/188221"/>
    <n v="788"/>
    <s v="263671798"/>
    <s v="2025011260"/>
    <s v="Suplemento modificacion de produccion"/>
    <s v="Correduría"/>
    <s v="Renovable"/>
    <s v="Anulado"/>
    <x v="7"/>
    <d v="2026-01-24T00:00:00"/>
    <m/>
    <d v="2026-03-01T00:00:00"/>
    <d v="2026-01-16T00:00:00"/>
    <m/>
    <m/>
    <s v="Semestral"/>
    <s v="RC Operador Transporte"/>
    <s v="RC Operador Transporte"/>
    <x v="0"/>
    <s v="FIATC "/>
    <s v="Euros"/>
    <n v="-2925.58"/>
    <n v="-585.12"/>
    <n v="-585.12"/>
    <n v="0"/>
    <m/>
    <n v="0"/>
    <m/>
    <n v="0"/>
    <m/>
    <n v="0"/>
    <m/>
    <n v="0"/>
  </r>
  <r>
    <s v="ARAYTOR"/>
    <s v="33963273R"/>
    <s v="90264599"/>
    <n v="11224"/>
    <s v="16537208"/>
    <s v="2025011550"/>
    <s v="Cartera"/>
    <s v="Compañía"/>
    <s v="Renovable"/>
    <s v="Anulado"/>
    <x v="8"/>
    <d v="2026-01-01T00:00:00"/>
    <m/>
    <m/>
    <d v="2026-01-01T00:00:00"/>
    <m/>
    <m/>
    <s v="Anual"/>
    <s v="08926 - Optima Salud"/>
    <s v="Cuadro Cerrado"/>
    <x v="4"/>
    <s v="AXA"/>
    <s v="Euros"/>
    <n v="-5062.49"/>
    <n v="-506.24"/>
    <n v="-404.99"/>
    <n v="0"/>
    <m/>
    <n v="0"/>
    <m/>
    <n v="0"/>
    <m/>
    <n v="0"/>
    <m/>
    <n v="0"/>
  </r>
  <r>
    <s v="ARAYTOR"/>
    <s v="47275804V"/>
    <s v="48755100"/>
    <n v="27367"/>
    <s v="16525914"/>
    <s v="2025011560"/>
    <s v="Cartera"/>
    <s v="Compañía"/>
    <s v="Renovable"/>
    <s v="Anulado"/>
    <x v="8"/>
    <d v="2026-01-01T00:00:00"/>
    <m/>
    <m/>
    <d v="2026-02-16T00:00:00"/>
    <m/>
    <m/>
    <s v="Anual"/>
    <s v="2 - Autos"/>
    <s v="Vehiculos"/>
    <x v="1"/>
    <s v="AXA"/>
    <s v="Euros"/>
    <n v="-224.11"/>
    <n v="-20.170000000000002"/>
    <n v="-15.69"/>
    <n v="0"/>
    <m/>
    <n v="0"/>
    <m/>
    <n v="0"/>
    <m/>
    <n v="0"/>
    <m/>
    <n v="0"/>
  </r>
  <r>
    <s v="ARAYTOR"/>
    <s v="38809311P"/>
    <s v="1/113815"/>
    <n v="7761"/>
    <s v="263755575"/>
    <s v="2025011581"/>
    <s v="Cartera"/>
    <s v="Compañía"/>
    <s v="Renovable"/>
    <s v="Anulado"/>
    <x v="9"/>
    <d v="2026-01-28T00:00:00"/>
    <m/>
    <m/>
    <d v="2026-01-02T00:00:00"/>
    <m/>
    <m/>
    <s v="Anual"/>
    <s v="Temporal Renovable"/>
    <s v="Vida Individual"/>
    <x v="5"/>
    <s v="FIATC "/>
    <s v="Euros"/>
    <n v="-903.58"/>
    <n v="-108.43"/>
    <n v="-108.43"/>
    <n v="0"/>
    <m/>
    <n v="0"/>
    <m/>
    <n v="0"/>
    <m/>
    <n v="0"/>
    <m/>
    <n v="0"/>
  </r>
  <r>
    <s v="ARAYTOR"/>
    <s v="Y1594817B"/>
    <s v="29/3102607"/>
    <n v="30346"/>
    <s v="263820256"/>
    <s v="2025011623"/>
    <s v="Cartera"/>
    <s v="Compañía"/>
    <s v="Renovable"/>
    <s v="Anulado"/>
    <x v="9"/>
    <d v="2026-01-01T00:00:00"/>
    <m/>
    <m/>
    <d v="2026-01-18T00:00:00"/>
    <d v="2026-01-22T00:00:00"/>
    <m/>
    <s v="Anual"/>
    <s v="MEDIFIATC PROGRESS"/>
    <s v="Cuadro Cerrado"/>
    <x v="4"/>
    <s v="FIATC "/>
    <s v="Euros"/>
    <n v="-637.42999999999995"/>
    <n v="-50.99"/>
    <n v="-50.99"/>
    <n v="0"/>
    <m/>
    <n v="0"/>
    <s v="AMB CORREDORIA D'ASSEGURANCES, SA"/>
    <n v="-35.69"/>
    <m/>
    <n v="0"/>
    <m/>
    <n v="0"/>
  </r>
  <r>
    <s v="ARAYTOR"/>
    <s v="B59437178"/>
    <s v="20/6816341"/>
    <n v="20953"/>
    <s v="263851965"/>
    <s v="2025011699"/>
    <s v="Cartera"/>
    <s v="Correduría"/>
    <s v="Renovable"/>
    <s v="Anulado"/>
    <x v="9"/>
    <d v="2026-01-01T00:00:00"/>
    <m/>
    <d v="2026-03-01T00:00:00"/>
    <d v="2026-01-01T00:00:00"/>
    <m/>
    <m/>
    <s v="Trimestral"/>
    <s v="Furgonetas"/>
    <s v="Furgonetas"/>
    <x v="1"/>
    <s v="FIATC "/>
    <s v="Euros"/>
    <n v="-324.08"/>
    <n v="-25.92"/>
    <n v="-25.92"/>
    <n v="0"/>
    <m/>
    <n v="0"/>
    <m/>
    <n v="0"/>
    <m/>
    <n v="0"/>
    <m/>
    <n v="0"/>
  </r>
  <r>
    <s v="ARAYTOR"/>
    <s v="B59437178"/>
    <s v="20/6851632"/>
    <n v="22697"/>
    <s v="263853710"/>
    <s v="2025011709"/>
    <s v="Cartera"/>
    <s v="Correduría"/>
    <s v="Renovable"/>
    <s v="Anulado"/>
    <x v="9"/>
    <d v="2026-01-01T00:00:00"/>
    <m/>
    <d v="2026-03-01T00:00:00"/>
    <d v="2026-01-01T00:00:00"/>
    <m/>
    <m/>
    <s v="Trimestral"/>
    <s v="M - MAXI-AUTO"/>
    <s v="Vehiculos"/>
    <x v="1"/>
    <s v="FIATC "/>
    <s v="Euros"/>
    <n v="-48.7"/>
    <n v="-2.76"/>
    <n v="-2.76"/>
    <n v="0"/>
    <m/>
    <n v="0"/>
    <m/>
    <n v="0"/>
    <m/>
    <n v="0"/>
    <m/>
    <n v="0"/>
  </r>
  <r>
    <s v="ARAYTOR"/>
    <s v="B59437178"/>
    <s v="20/6851994"/>
    <n v="22698"/>
    <s v="263853724"/>
    <s v="2025011710"/>
    <s v="Cartera"/>
    <s v="Correduría"/>
    <s v="Renovable"/>
    <s v="Anulado"/>
    <x v="9"/>
    <d v="2026-01-01T00:00:00"/>
    <m/>
    <d v="2026-03-01T00:00:00"/>
    <d v="2026-01-01T00:00:00"/>
    <m/>
    <m/>
    <s v="Trimestral"/>
    <s v="M - MAXI-AUTO"/>
    <s v="Vehiculos"/>
    <x v="1"/>
    <s v="FIATC "/>
    <s v="Euros"/>
    <n v="-48.7"/>
    <n v="-2.76"/>
    <n v="-2.76"/>
    <n v="0"/>
    <m/>
    <n v="0"/>
    <m/>
    <n v="0"/>
    <m/>
    <n v="0"/>
    <m/>
    <n v="0"/>
  </r>
  <r>
    <s v="ARAYTOR"/>
    <s v="B60448487"/>
    <s v="94/5020096"/>
    <n v="21210"/>
    <s v="263949987"/>
    <s v="2025011734"/>
    <s v="Cartera"/>
    <s v="Correduría"/>
    <s v="Renovable"/>
    <s v="Anulado"/>
    <x v="9"/>
    <d v="2026-01-01T00:00:00"/>
    <m/>
    <d v="2026-03-01T00:00:00"/>
    <d v="2026-01-07T00:00:00"/>
    <m/>
    <m/>
    <s v="Trimestral"/>
    <s v="0100 - Multiriesgo Transportista"/>
    <s v="Daños Vehiculos"/>
    <x v="6"/>
    <s v="FIATC "/>
    <s v="Euros"/>
    <n v="-207.7"/>
    <n v="-16.62"/>
    <n v="-16.62"/>
    <n v="0"/>
    <m/>
    <n v="0"/>
    <m/>
    <n v="0"/>
    <m/>
    <n v="0"/>
    <m/>
    <n v="0"/>
  </r>
  <r>
    <s v="ARAYTOR"/>
    <s v="B60448487"/>
    <s v="94/5020097"/>
    <n v="21211"/>
    <s v="263949997"/>
    <s v="2025011735"/>
    <s v="Cartera"/>
    <s v="Correduría"/>
    <s v="Renovable"/>
    <s v="Anulado"/>
    <x v="9"/>
    <d v="2026-01-01T00:00:00"/>
    <m/>
    <d v="2026-03-01T00:00:00"/>
    <d v="2026-01-07T00:00:00"/>
    <m/>
    <m/>
    <s v="Trimestral"/>
    <s v="0100 - Multiriesgo Transportista"/>
    <s v="Daños Vehiculos"/>
    <x v="6"/>
    <s v="FIATC "/>
    <s v="Euros"/>
    <n v="-207.7"/>
    <n v="-16.62"/>
    <n v="-16.62"/>
    <n v="0"/>
    <m/>
    <n v="0"/>
    <m/>
    <n v="0"/>
    <m/>
    <n v="0"/>
    <m/>
    <n v="0"/>
  </r>
  <r>
    <s v="ARAYTOR"/>
    <s v="B60448487"/>
    <s v="94/5020098"/>
    <n v="21212"/>
    <s v="263950005"/>
    <s v="2025011736"/>
    <s v="Cartera"/>
    <s v="Correduría"/>
    <s v="Renovable"/>
    <s v="Anulado"/>
    <x v="9"/>
    <d v="2026-01-01T00:00:00"/>
    <m/>
    <d v="2026-03-01T00:00:00"/>
    <d v="2026-01-07T00:00:00"/>
    <m/>
    <m/>
    <s v="Trimestral"/>
    <s v="0100 - Multiriesgo Transportista"/>
    <s v="Daños Vehiculos"/>
    <x v="6"/>
    <s v="FIATC "/>
    <s v="Euros"/>
    <n v="-435.5"/>
    <n v="-34.840000000000003"/>
    <n v="-34.840000000000003"/>
    <n v="0"/>
    <m/>
    <n v="0"/>
    <m/>
    <n v="0"/>
    <m/>
    <n v="0"/>
    <m/>
    <n v="0"/>
  </r>
  <r>
    <s v="ARAYTOR"/>
    <s v="B60448487"/>
    <s v="94/5020099"/>
    <n v="21213"/>
    <s v="263950016"/>
    <s v="2025011737"/>
    <s v="Cartera"/>
    <s v="Correduría"/>
    <s v="Renovable"/>
    <s v="Anulado"/>
    <x v="9"/>
    <d v="2026-01-01T00:00:00"/>
    <m/>
    <d v="2026-03-01T00:00:00"/>
    <d v="2026-01-07T00:00:00"/>
    <m/>
    <m/>
    <s v="Trimestral"/>
    <s v="0100 - Multiriesgo Transportista"/>
    <s v="Daños Vehiculos"/>
    <x v="6"/>
    <s v="FIATC "/>
    <s v="Euros"/>
    <n v="-426.64"/>
    <n v="-34.130000000000003"/>
    <n v="-34.130000000000003"/>
    <n v="0"/>
    <m/>
    <n v="0"/>
    <m/>
    <n v="0"/>
    <m/>
    <n v="0"/>
    <m/>
    <n v="0"/>
  </r>
  <r>
    <s v="ARAYTOR"/>
    <s v="B82309980"/>
    <s v="40/5065378"/>
    <n v="16813"/>
    <s v="263954846"/>
    <s v="2025011742"/>
    <s v="Cartera"/>
    <s v="Correduría"/>
    <s v="Renovable"/>
    <s v="Anulado"/>
    <x v="9"/>
    <d v="2026-01-26T00:00:00"/>
    <m/>
    <d v="2026-03-01T00:00:00"/>
    <d v="2026-01-01T00:00:00"/>
    <d v="2026-01-22T00:00:00"/>
    <m/>
    <s v="Anual"/>
    <s v="RC Promotor Musica"/>
    <s v="RC Promotor Musica"/>
    <x v="0"/>
    <s v="FIATC "/>
    <s v="Euros"/>
    <n v="-4124.49"/>
    <n v="-824.89"/>
    <n v="-824.89"/>
    <n v="0"/>
    <m/>
    <n v="0"/>
    <s v="VC CARANTIA TRES, S.L."/>
    <n v="-412.45"/>
    <m/>
    <n v="0"/>
    <m/>
    <n v="0"/>
  </r>
  <r>
    <s v="ARAYTOR"/>
    <s v="B43313915"/>
    <s v="20/7342233"/>
    <n v="29350"/>
    <s v="264014768"/>
    <s v="2025011876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247"/>
    <n v="29362"/>
    <s v="264014780"/>
    <s v="2025011888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274"/>
    <n v="29388"/>
    <s v="264014805"/>
    <s v="2025011913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276"/>
    <n v="29390"/>
    <s v="264014807"/>
    <s v="2025011915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293"/>
    <n v="29406"/>
    <s v="264014819"/>
    <s v="2025011927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516"/>
    <n v="29624"/>
    <s v="264015007"/>
    <s v="2025012115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518"/>
    <n v="29626"/>
    <s v="264015008"/>
    <s v="2025012116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519"/>
    <n v="29627"/>
    <s v="264015009"/>
    <s v="2025012117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530"/>
    <n v="29638"/>
    <s v="264015011"/>
    <s v="2025012119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551"/>
    <n v="29659"/>
    <s v="264015030"/>
    <s v="2025012138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3182"/>
    <n v="30275"/>
    <s v="264015627"/>
    <s v="2025012735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234.24"/>
    <n v="-9.3800000000000008"/>
    <n v="-9.3800000000000008"/>
    <n v="0"/>
    <m/>
    <n v="0"/>
    <m/>
    <n v="0"/>
    <m/>
    <n v="0"/>
    <m/>
    <n v="0"/>
  </r>
  <r>
    <s v="ARAYTOR"/>
    <s v="B43313915"/>
    <s v="20/7343218"/>
    <n v="30304"/>
    <s v="264015655"/>
    <s v="2025012763"/>
    <s v="Cartera"/>
    <s v="Correduría"/>
    <s v="Renovable"/>
    <s v="Anulado"/>
    <x v="10"/>
    <d v="2026-01-01T00:00:00"/>
    <m/>
    <d v="2026-03-01T00:00:00"/>
    <d v="2026-01-01T00:00:00"/>
    <m/>
    <m/>
    <s v="Trimestral"/>
    <s v="N - 20 Normal"/>
    <s v="Vehiculos"/>
    <x v="1"/>
    <s v="FIATC "/>
    <s v="Euros"/>
    <n v="-153.91999999999999"/>
    <n v="-6.16"/>
    <n v="-6.16"/>
    <n v="0"/>
    <m/>
    <n v="0"/>
    <m/>
    <n v="0"/>
    <m/>
    <n v="0"/>
    <m/>
    <n v="0"/>
  </r>
  <r>
    <s v="ARAYTOR"/>
    <s v="B43313915"/>
    <s v="20/7343226"/>
    <n v="30312"/>
    <s v="264015663"/>
    <s v="2025012771"/>
    <s v="Cartera"/>
    <s v="Correduría"/>
    <s v="Renovable"/>
    <s v="Anulado"/>
    <x v="10"/>
    <d v="2026-01-01T00:00:00"/>
    <m/>
    <d v="2026-03-01T00:00:00"/>
    <d v="2026-01-01T00:00:00"/>
    <m/>
    <m/>
    <s v="Trimestral"/>
    <s v="N - 20 Normal"/>
    <s v="Vehiculos"/>
    <x v="1"/>
    <s v="FIATC "/>
    <s v="Euros"/>
    <n v="-153.91999999999999"/>
    <n v="-6.16"/>
    <n v="-6.16"/>
    <n v="0"/>
    <m/>
    <n v="0"/>
    <m/>
    <n v="0"/>
    <m/>
    <n v="0"/>
    <m/>
    <n v="0"/>
  </r>
  <r>
    <s v="ARAYTOR"/>
    <s v="B43313915"/>
    <s v="20/7343503"/>
    <n v="30320"/>
    <s v="264015669"/>
    <s v="2025012777"/>
    <s v="Cartera"/>
    <s v="Correduría"/>
    <s v="Renovable"/>
    <s v="Anulado"/>
    <x v="10"/>
    <d v="2026-01-01T00:00:00"/>
    <m/>
    <d v="2026-03-01T00:00:00"/>
    <d v="2026-01-01T00:00:00"/>
    <m/>
    <m/>
    <s v="Trimestral"/>
    <s v="M - MAXI-AUTO"/>
    <s v="Vehiculos"/>
    <x v="1"/>
    <s v="FIATC "/>
    <s v="Euros"/>
    <n v="-181.89"/>
    <n v="-7.28"/>
    <n v="-7.28"/>
    <n v="0"/>
    <m/>
    <n v="0"/>
    <m/>
    <n v="0"/>
    <m/>
    <n v="0"/>
    <m/>
    <n v="0"/>
  </r>
  <r>
    <s v="ARAYTOR"/>
    <s v="B72606304"/>
    <s v="8-11.236.541-N"/>
    <n v="31813"/>
    <s v="471686335-B"/>
    <s v="2025013077"/>
    <s v="Produccion"/>
    <s v="Correduría"/>
    <s v="Renovable"/>
    <s v="Anulado"/>
    <x v="11"/>
    <d v="2026-02-28T00:00:00"/>
    <m/>
    <d v="2026-01-31T00:00:00"/>
    <d v="2026-01-21T00:00:00"/>
    <m/>
    <m/>
    <s v="Trimestral"/>
    <s v="01242 - RC comercio, cultura, ocio"/>
    <s v="RC General"/>
    <x v="0"/>
    <s v="OCCIDENT GCO, S.A.U."/>
    <s v="Euros"/>
    <n v="-643.79"/>
    <n v="-96.57"/>
    <n v="-96.57"/>
    <n v="0"/>
    <m/>
    <n v="0"/>
    <m/>
    <n v="0"/>
    <m/>
    <n v="0"/>
    <m/>
    <n v="0"/>
  </r>
  <r>
    <s v="ARAYTOR"/>
    <s v="37285250L"/>
    <s v="8-23.163.506-E"/>
    <n v="26017"/>
    <s v="472147346-S"/>
    <s v="2025013079"/>
    <s v="Cartera"/>
    <s v="Correduría"/>
    <s v="Renovable"/>
    <s v="Anulado"/>
    <x v="11"/>
    <d v="2026-02-01T00:00:00"/>
    <m/>
    <d v="2026-01-31T00:00:00"/>
    <d v="2026-01-21T00:00:00"/>
    <m/>
    <m/>
    <s v="Anual"/>
    <s v="Automoviles (1)"/>
    <s v="Motocicletas"/>
    <x v="1"/>
    <s v="OCCIDENT GCO, S.A.U."/>
    <s v="Euros"/>
    <n v="-238.56"/>
    <n v="-28.63"/>
    <n v="-28.63"/>
    <n v="0"/>
    <m/>
    <n v="0"/>
    <m/>
    <n v="0"/>
    <m/>
    <n v="0"/>
    <m/>
    <n v="0"/>
  </r>
  <r>
    <s v="ARAYTOR"/>
    <s v="49162191J"/>
    <s v="8-23.322.518-K"/>
    <n v="27634"/>
    <s v="472166330-W"/>
    <s v="2025013080"/>
    <s v="Cartera"/>
    <s v="Compañía"/>
    <s v="Renovable"/>
    <s v="Anulado"/>
    <x v="11"/>
    <d v="2026-02-01T00:00:00"/>
    <m/>
    <m/>
    <d v="2026-02-01T00:00:00"/>
    <m/>
    <m/>
    <s v="Anual"/>
    <s v="Automoviles (2)"/>
    <s v="Turismo"/>
    <x v="1"/>
    <s v="OCCIDENT GCO, S.A.U."/>
    <s v="Euros"/>
    <n v="-1024.3399999999999"/>
    <n v="-92.19"/>
    <n v="-92.19"/>
    <n v="0"/>
    <m/>
    <n v="0"/>
    <m/>
    <n v="0"/>
    <m/>
    <n v="0"/>
    <m/>
    <n v="0"/>
  </r>
  <r>
    <s v="ARAYTOR"/>
    <s v="B10785590"/>
    <s v="8-10.897.465-T"/>
    <n v="27802"/>
    <s v="472239963-H"/>
    <s v="2025013085"/>
    <s v="Cartera"/>
    <s v="Correduría"/>
    <s v="Renovable"/>
    <s v="Anulado"/>
    <x v="11"/>
    <d v="2026-02-19T00:00:00"/>
    <m/>
    <d v="2026-03-01T00:00:00"/>
    <d v="2026-02-01T00:00:00"/>
    <m/>
    <m/>
    <s v="Anual"/>
    <s v="01663 Oficinas"/>
    <s v="Oficinas"/>
    <x v="3"/>
    <s v="OCCIDENT GCO, S.A.U."/>
    <s v="Euros"/>
    <n v="-423.1"/>
    <n v="-88.86"/>
    <n v="-88.86"/>
    <n v="0"/>
    <m/>
    <n v="0"/>
    <m/>
    <n v="0"/>
    <m/>
    <n v="0"/>
    <m/>
    <n v="0"/>
  </r>
  <r>
    <s v="ARAYTOR"/>
    <s v="46350061R"/>
    <s v="8-6.087.271-E"/>
    <n v="16911"/>
    <s v="472292030-P"/>
    <s v="2025013116"/>
    <s v="Cartera"/>
    <s v="Correduría"/>
    <s v="Renovable"/>
    <s v="Anulado"/>
    <x v="12"/>
    <d v="2026-02-24T00:00:00"/>
    <m/>
    <d v="2026-03-01T00:00:00"/>
    <d v="2026-02-01T00:00:00"/>
    <m/>
    <m/>
    <s v="Anual"/>
    <s v="01685 Hogar"/>
    <s v="Hogar"/>
    <x v="2"/>
    <s v="OCCIDENT GCO, S.A.U."/>
    <s v="Euros"/>
    <n v="-237.05"/>
    <n v="-56.41"/>
    <n v="-56.41"/>
    <n v="0"/>
    <m/>
    <n v="0"/>
    <m/>
    <n v="0"/>
    <m/>
    <n v="0"/>
    <m/>
    <n v="0"/>
  </r>
  <r>
    <s v="ARAYTOR"/>
    <s v="B65244212"/>
    <s v="048561343"/>
    <n v="23313"/>
    <s v="582723650"/>
    <s v="2025013124"/>
    <s v="Cartera"/>
    <s v="Correduría"/>
    <s v="Renovable"/>
    <s v="Anulado"/>
    <x v="12"/>
    <d v="2026-03-01T00:00:00"/>
    <m/>
    <d v="2026-02-01T00:00:00"/>
    <d v="2026-01-22T00:00:00"/>
    <m/>
    <m/>
    <s v="Anual"/>
    <s v="1289 Allianz Auto Plus"/>
    <s v="Vehiculos"/>
    <x v="1"/>
    <s v="ALLIANZ"/>
    <s v="Euros"/>
    <n v="-708.04"/>
    <n v="-92.05"/>
    <n v="-92.05"/>
    <n v="0"/>
    <m/>
    <n v="0"/>
    <m/>
    <n v="0"/>
    <m/>
    <n v="0"/>
    <m/>
    <n v="0"/>
  </r>
  <r>
    <s v="ARAYTOR"/>
    <s v="B43313915"/>
    <s v="20/7526917"/>
    <n v="32496"/>
    <s v="264049655"/>
    <s v="2025013212"/>
    <s v="Cartera"/>
    <s v="Correduría"/>
    <s v="Renovable"/>
    <s v="Cobrado"/>
    <x v="13"/>
    <d v="2026-01-01T00:00:00"/>
    <d v="2026-01-11T00:00:00"/>
    <m/>
    <m/>
    <m/>
    <d v="2026-03-01T00:00:00"/>
    <s v="Trimestral"/>
    <s v="M - MAXI-AUTO"/>
    <s v="Vehiculos"/>
    <x v="1"/>
    <s v="FIATC "/>
    <s v="Euros"/>
    <n v="102.61"/>
    <n v="5.14"/>
    <n v="5.14"/>
    <n v="0"/>
    <m/>
    <n v="0"/>
    <m/>
    <n v="0"/>
    <m/>
    <n v="0"/>
    <m/>
    <n v="0"/>
  </r>
  <r>
    <s v="ARAYTOR"/>
    <s v="B43313915"/>
    <s v="20/7526917"/>
    <n v="32496"/>
    <s v="250881090"/>
    <s v="2025013213"/>
    <s v="Produccion"/>
    <s v="Correduría"/>
    <s v="Renovable"/>
    <s v="Cobrado"/>
    <x v="13"/>
    <d v="2025-12-30T00:00:00"/>
    <d v="2026-01-11T00:00:00"/>
    <m/>
    <m/>
    <m/>
    <d v="2026-03-01T00:00:00"/>
    <s v="Trimestral"/>
    <s v="M - MAXI-AUTO"/>
    <s v="Vehiculos"/>
    <x v="1"/>
    <s v="FIATC "/>
    <s v="Euros"/>
    <n v="1.95"/>
    <n v="0.1"/>
    <n v="0.1"/>
    <n v="0"/>
    <m/>
    <n v="0"/>
    <m/>
    <n v="0"/>
    <m/>
    <n v="0"/>
    <m/>
    <n v="0"/>
  </r>
  <r>
    <s v="ARAYTOR"/>
    <s v="B61484184"/>
    <s v="93/5005542"/>
    <n v="23150"/>
    <s v="264049647"/>
    <s v="2026000151"/>
    <s v="Ajustes"/>
    <s v="Correduría"/>
    <s v="Renovable"/>
    <s v="Anulado"/>
    <x v="14"/>
    <d v="2026-01-01T00:00:00"/>
    <m/>
    <d v="2026-03-01T00:00:00"/>
    <d v="2026-01-01T00:00:00"/>
    <m/>
    <m/>
    <s v="Anual"/>
    <s v="110 2 Abono Transportsita"/>
    <s v="Daños Operador"/>
    <x v="6"/>
    <s v="FIATC "/>
    <s v="Euros"/>
    <n v="-416.69"/>
    <n v="-83.34"/>
    <n v="-83.34"/>
    <n v="0"/>
    <m/>
    <n v="0"/>
    <m/>
    <n v="0"/>
    <m/>
    <n v="0"/>
    <m/>
    <n v="0"/>
  </r>
  <r>
    <s v="ARAYTOR"/>
    <s v="45486979V"/>
    <s v="06056508"/>
    <n v="5092"/>
    <s v="74169600"/>
    <s v="2026000152"/>
    <s v="Cartera"/>
    <s v="Compañía"/>
    <s v="Renovable"/>
    <s v="Cobrado"/>
    <x v="14"/>
    <d v="2026-01-01T00:00:00"/>
    <d v="2026-01-28T00:00:00"/>
    <m/>
    <m/>
    <d v="2026-01-22T00:00:00"/>
    <d v="2026-02-02T00:00:00"/>
    <s v="Mensual"/>
    <s v="08792 - SALUD INDIVIDUAL MIGRACION"/>
    <s v="Cuadro Cerrado"/>
    <x v="4"/>
    <s v="AXA"/>
    <s v="Euros"/>
    <n v="287.17"/>
    <n v="28.71"/>
    <n v="28.71"/>
    <n v="0"/>
    <m/>
    <n v="0"/>
    <s v="TON ABAD (ANTIC)"/>
    <n v="0"/>
    <m/>
    <n v="0"/>
    <m/>
    <n v="0"/>
  </r>
  <r>
    <s v="ARAYTOR"/>
    <s v="33963273R"/>
    <s v="90264599"/>
    <n v="11224"/>
    <s v="73152079"/>
    <s v="2026000153"/>
    <s v="Ajustes"/>
    <s v="Compañía"/>
    <s v="Renovable"/>
    <s v="Anulado"/>
    <x v="14"/>
    <d v="2026-01-01T00:00:00"/>
    <m/>
    <m/>
    <d v="2026-01-01T00:00:00"/>
    <m/>
    <m/>
    <s v="Anual"/>
    <s v="08926 - Optima Salud"/>
    <s v="Cuadro Cerrado"/>
    <x v="4"/>
    <s v="AXA"/>
    <s v="Euros"/>
    <n v="-62.31"/>
    <n v="-6.24"/>
    <n v="-4.99"/>
    <n v="0"/>
    <m/>
    <n v="0"/>
    <m/>
    <n v="0"/>
    <m/>
    <n v="0"/>
    <m/>
    <n v="0"/>
  </r>
  <r>
    <s v="ARAYTOR"/>
    <s v="33963273R"/>
    <s v="90264599"/>
    <n v="11224"/>
    <s v="74669453"/>
    <s v="2026000154"/>
    <s v="Ajustes"/>
    <s v="Compañía"/>
    <s v="Renovable"/>
    <s v="Anulado"/>
    <x v="14"/>
    <d v="2026-01-01T00:00:00"/>
    <m/>
    <m/>
    <d v="2026-01-01T00:00:00"/>
    <m/>
    <m/>
    <s v="Anual"/>
    <s v="08926 - Optima Salud"/>
    <s v="Cuadro Cerrado"/>
    <x v="4"/>
    <s v="AXA"/>
    <s v="Euros"/>
    <n v="-255.93"/>
    <n v="-25.59"/>
    <n v="-20.47"/>
    <n v="0"/>
    <m/>
    <n v="0"/>
    <m/>
    <n v="0"/>
    <m/>
    <n v="0"/>
    <m/>
    <n v="0"/>
  </r>
  <r>
    <s v="ARAYTOR"/>
    <s v="33963273R"/>
    <s v="90264599"/>
    <n v="11224"/>
    <s v="65103787"/>
    <s v="2026000155"/>
    <s v="Ajustes"/>
    <s v="Compañía"/>
    <s v="Renovable"/>
    <s v="Anulado"/>
    <x v="14"/>
    <d v="2026-01-01T00:00:00"/>
    <m/>
    <m/>
    <d v="2026-01-01T00:00:00"/>
    <m/>
    <m/>
    <s v="Anual"/>
    <s v="08926 - Optima Salud"/>
    <s v="Cuadro Cerrado"/>
    <x v="4"/>
    <s v="AXA"/>
    <s v="Euros"/>
    <n v="-694.24"/>
    <n v="-69.42"/>
    <n v="-55.54"/>
    <n v="0"/>
    <m/>
    <n v="0"/>
    <m/>
    <n v="0"/>
    <m/>
    <n v="0"/>
    <m/>
    <n v="0"/>
  </r>
  <r>
    <s v="ARAYTOR"/>
    <s v="33963273R"/>
    <s v="90264599"/>
    <n v="11224"/>
    <s v="73152080"/>
    <s v="2026000156"/>
    <s v="Cartera"/>
    <s v="Compañía"/>
    <s v="Renovable"/>
    <s v="Anulado"/>
    <x v="14"/>
    <d v="2026-01-01T00:00:00"/>
    <m/>
    <m/>
    <d v="2026-01-01T00:00:00"/>
    <m/>
    <m/>
    <s v="Anual"/>
    <s v="08926 - Optima Salud"/>
    <s v="Cuadro Cerrado"/>
    <x v="4"/>
    <s v="AXA"/>
    <s v="Euros"/>
    <n v="4744.25"/>
    <n v="474.42"/>
    <n v="379.53"/>
    <n v="0"/>
    <m/>
    <n v="0"/>
    <m/>
    <n v="0"/>
    <m/>
    <n v="0"/>
    <m/>
    <n v="0"/>
  </r>
  <r>
    <s v="ARAYTOR"/>
    <s v="33963273R"/>
    <s v="90264599"/>
    <n v="11224"/>
    <s v="74669454"/>
    <s v="2026000157"/>
    <s v="Cartera"/>
    <s v="Compañía"/>
    <s v="Renovable"/>
    <s v="Anulado"/>
    <x v="14"/>
    <d v="2026-01-01T00:00:00"/>
    <m/>
    <m/>
    <d v="2026-01-01T00:00:00"/>
    <m/>
    <m/>
    <s v="Anual"/>
    <s v="08926 - Optima Salud"/>
    <s v="Cuadro Cerrado"/>
    <x v="4"/>
    <s v="AXA"/>
    <s v="Euros"/>
    <n v="4806.5600000000004"/>
    <n v="480.65"/>
    <n v="384.52"/>
    <n v="0"/>
    <m/>
    <n v="0"/>
    <m/>
    <n v="0"/>
    <m/>
    <n v="0"/>
    <m/>
    <n v="0"/>
  </r>
  <r>
    <s v="ARAYTOR"/>
    <s v="33963273R"/>
    <s v="90264599"/>
    <n v="11224"/>
    <s v="65103788"/>
    <s v="2026000158"/>
    <s v="Cartera"/>
    <s v="Compañía"/>
    <s v="Renovable"/>
    <s v="Cobrado"/>
    <x v="14"/>
    <d v="2026-01-01T00:00:00"/>
    <d v="2026-01-02T00:00:00"/>
    <m/>
    <m/>
    <m/>
    <d v="2026-01-08T00:00:00"/>
    <s v="Anual"/>
    <s v="08926 - Optima Salud"/>
    <s v="Cuadro Cerrado"/>
    <x v="4"/>
    <s v="AXA"/>
    <s v="Euros"/>
    <n v="4050.01"/>
    <n v="404.99"/>
    <n v="323.99"/>
    <n v="0"/>
    <m/>
    <n v="0"/>
    <m/>
    <n v="0"/>
    <m/>
    <n v="0"/>
    <m/>
    <n v="0"/>
  </r>
  <r>
    <s v="ARAYTOR"/>
    <s v="B66699216"/>
    <s v="13037"/>
    <n v="26382"/>
    <s v="2B2025000006251"/>
    <s v="2026000159"/>
    <s v="Suplemento modificacion de produccion"/>
    <s v="Correduría"/>
    <s v="Renovable"/>
    <s v="Cobrado"/>
    <x v="14"/>
    <d v="2025-12-01T00:00:00"/>
    <d v="2026-01-19T00:00:00"/>
    <m/>
    <m/>
    <m/>
    <d v="2026-02-01T00:00:00"/>
    <s v="Mensual"/>
    <s v="Abierto Sociedad"/>
    <s v="Asistencia en Viaje"/>
    <x v="7"/>
    <s v="EUROP ASSISTANCE ESPAÑA, S.A"/>
    <s v="Euros"/>
    <n v="16.59"/>
    <n v="4.6500000000000004"/>
    <n v="4.6500000000000004"/>
    <n v="0"/>
    <m/>
    <n v="0"/>
    <m/>
    <n v="0"/>
    <m/>
    <n v="0"/>
    <m/>
    <n v="0"/>
  </r>
  <r>
    <s v="ARAYTOR"/>
    <s v="25162696Y"/>
    <s v="711079325"/>
    <n v="24821"/>
    <s v="460556606"/>
    <s v="2026000160"/>
    <s v="Cartera"/>
    <s v="Compañía"/>
    <s v="Renovable"/>
    <s v="Cobrado"/>
    <x v="15"/>
    <d v="2026-02-18T00:00:00"/>
    <d v="2026-02-23T00:00:00"/>
    <m/>
    <m/>
    <m/>
    <m/>
    <s v="Anual"/>
    <s v="Defensa Juridica 03"/>
    <s v="Asistencia automoción"/>
    <x v="1"/>
    <s v="ARAG, S.E. Sucursal en España"/>
    <s v="Euros"/>
    <n v="47.31"/>
    <n v="9.4600000000000009"/>
    <n v="9.4600000000000009"/>
    <n v="0"/>
    <m/>
    <n v="0"/>
    <m/>
    <n v="0"/>
    <m/>
    <n v="0"/>
    <m/>
    <n v="0"/>
  </r>
  <r>
    <s v="ARAYTOR"/>
    <s v="B6608763"/>
    <s v="ESFINA10483"/>
    <n v="15494"/>
    <s v="405110"/>
    <s v="2026000161"/>
    <s v="Cartera"/>
    <s v="Correduría"/>
    <s v="Renovable"/>
    <s v="Cobrado"/>
    <x v="15"/>
    <d v="2026-01-14T00:00:00"/>
    <d v="2026-01-20T00:00:00"/>
    <m/>
    <m/>
    <m/>
    <d v="2026-03-01T00:00:00"/>
    <s v="Anual"/>
    <s v="D&amp;O"/>
    <s v="RC Directivos"/>
    <x v="8"/>
    <s v="CHUBB EUROPEAN GROUP LIMITED"/>
    <s v="Euros"/>
    <n v="1680"/>
    <n v="336"/>
    <n v="336"/>
    <n v="0"/>
    <m/>
    <n v="0"/>
    <m/>
    <n v="0"/>
    <m/>
    <n v="0"/>
    <m/>
    <n v="0"/>
  </r>
  <r>
    <s v="ARAYTOR"/>
    <s v="52193547S"/>
    <s v="057615196"/>
    <n v="31952"/>
    <s v="870401464"/>
    <s v="2026000162"/>
    <s v="Produccion"/>
    <s v="Correduría"/>
    <s v="Renovable"/>
    <s v="Anulado"/>
    <x v="16"/>
    <d v="2025-09-05T00:00:00"/>
    <m/>
    <d v="2026-02-01T00:00:00"/>
    <d v="2026-01-05T00:00:00"/>
    <m/>
    <m/>
    <s v="Anual"/>
    <s v="1234 Allianz Moto V.03"/>
    <s v="Vehiculos"/>
    <x v="1"/>
    <s v="ALLIANZ"/>
    <s v="Euros"/>
    <n v="124.04"/>
    <n v="14.88"/>
    <n v="14.88"/>
    <n v="0"/>
    <m/>
    <n v="0"/>
    <m/>
    <n v="0"/>
    <m/>
    <n v="0"/>
    <m/>
    <n v="0"/>
  </r>
  <r>
    <s v="ARAYTOR"/>
    <s v="B10804300"/>
    <s v="ESBOP246429"/>
    <n v="27169"/>
    <s v="50K"/>
    <s v="2026000163"/>
    <s v="Produccion"/>
    <s v="Correduría"/>
    <s v="Temporal"/>
    <s v="Facturado"/>
    <x v="16"/>
    <d v="2024-06-01T00:00:00"/>
    <m/>
    <m/>
    <m/>
    <m/>
    <d v="2025-12-31T00:00:00"/>
    <s v="Unico"/>
    <s v="Ticketing"/>
    <s v="Asistencia en Viaje"/>
    <x v="7"/>
    <s v="CHUBB EUROPEAN GROUP LIMITED"/>
    <s v="Euros"/>
    <n v="1.84"/>
    <n v="0.1"/>
    <n v="0.1"/>
    <n v="0"/>
    <m/>
    <n v="0"/>
    <m/>
    <n v="0"/>
    <m/>
    <n v="0"/>
    <m/>
    <n v="0"/>
  </r>
  <r>
    <s v="ARAYTOR"/>
    <s v="B17858630"/>
    <s v="ESBOP247259"/>
    <n v="27765"/>
    <s v="50K"/>
    <s v="2026000164"/>
    <s v="Cartera"/>
    <s v="Correduría"/>
    <s v="Renovable"/>
    <s v="Facturado"/>
    <x v="16"/>
    <d v="2025-06-01T00:00:00"/>
    <m/>
    <m/>
    <m/>
    <m/>
    <d v="2025-12-31T00:00:00"/>
    <s v="Mensual"/>
    <s v="Ticketing"/>
    <s v="Asistencia en Viaje"/>
    <x v="7"/>
    <s v="CHUBB EUROPEAN GROUP LIMITED"/>
    <s v="Euros"/>
    <n v="598.16999999999996"/>
    <n v="29.91"/>
    <n v="29.91"/>
    <n v="0"/>
    <m/>
    <n v="0"/>
    <m/>
    <n v="0"/>
    <m/>
    <n v="0"/>
    <m/>
    <n v="0"/>
  </r>
  <r>
    <s v="ARAYTOR"/>
    <s v="B98593627"/>
    <s v="ESBOP247850"/>
    <n v="28279"/>
    <s v="50K"/>
    <s v="2026000165"/>
    <s v="Produccion"/>
    <s v="Correduría"/>
    <s v="Renovable"/>
    <s v="Facturado"/>
    <x v="16"/>
    <d v="2024-05-01T00:00:00"/>
    <m/>
    <m/>
    <m/>
    <m/>
    <d v="2025-12-31T00:00:00"/>
    <s v="Mensual"/>
    <s v="Ticketing"/>
    <s v="Asistencia en Viaje"/>
    <x v="7"/>
    <s v="CHUBB EUROPEAN GROUP LIMITED"/>
    <s v="Euros"/>
    <n v="7169.06"/>
    <n v="358.45"/>
    <n v="358.45"/>
    <n v="0"/>
    <m/>
    <n v="0"/>
    <m/>
    <n v="0"/>
    <m/>
    <n v="0"/>
    <m/>
    <n v="0"/>
  </r>
  <r>
    <s v="ARAYTOR"/>
    <s v="B10804300"/>
    <s v="ESBOP247880"/>
    <n v="28349"/>
    <s v="50K"/>
    <s v="2026000166"/>
    <s v="Produccion"/>
    <s v="Correduría"/>
    <s v="Renovable"/>
    <s v="Facturado"/>
    <x v="16"/>
    <d v="2024-05-01T00:00:00"/>
    <m/>
    <m/>
    <m/>
    <m/>
    <d v="2025-12-31T00:00:00"/>
    <s v="Mensual"/>
    <s v="Ticketing"/>
    <s v="Asistencia en Viaje"/>
    <x v="7"/>
    <s v="CHUBB EUROPEAN GROUP LIMITED"/>
    <s v="Euros"/>
    <n v="525.28"/>
    <n v="26.26"/>
    <n v="26.26"/>
    <n v="0"/>
    <m/>
    <n v="0"/>
    <m/>
    <n v="0"/>
    <m/>
    <n v="0"/>
    <m/>
    <n v="0"/>
  </r>
  <r>
    <s v="ARAYTOR"/>
    <s v="B10804300"/>
    <s v="ESBOP247880"/>
    <n v="28349"/>
    <s v="50K"/>
    <s v="2026000167"/>
    <s v="Produccion"/>
    <s v="Correduría"/>
    <s v="Renovable"/>
    <s v="Facturado"/>
    <x v="16"/>
    <d v="2024-12-01T00:00:00"/>
    <m/>
    <m/>
    <m/>
    <m/>
    <d v="2025-12-31T00:00:00"/>
    <s v="Mensual"/>
    <s v="Ticketing"/>
    <s v="Asistencia en Viaje"/>
    <x v="7"/>
    <s v="CHUBB EUROPEAN GROUP LIMITED"/>
    <s v="Euros"/>
    <n v="0.92"/>
    <n v="0.05"/>
    <n v="0.05"/>
    <n v="0"/>
    <m/>
    <n v="0"/>
    <m/>
    <n v="0"/>
    <m/>
    <n v="0"/>
    <m/>
    <n v="0"/>
  </r>
  <r>
    <s v="ARAYTOR"/>
    <s v="B10804300"/>
    <s v="ESBOP247880"/>
    <n v="28349"/>
    <s v="50K"/>
    <s v="2026000168"/>
    <s v="Cartera"/>
    <s v="Correduría"/>
    <s v="Renovable"/>
    <s v="Facturado"/>
    <x v="16"/>
    <d v="2025-05-01T00:00:00"/>
    <m/>
    <m/>
    <m/>
    <m/>
    <d v="2025-12-31T00:00:00"/>
    <s v="Mensual"/>
    <s v="Ticketing"/>
    <s v="Asistencia en Viaje"/>
    <x v="7"/>
    <s v="CHUBB EUROPEAN GROUP LIMITED"/>
    <s v="Euros"/>
    <n v="2186.48"/>
    <n v="109.32"/>
    <n v="109.32"/>
    <n v="0"/>
    <m/>
    <n v="0"/>
    <m/>
    <n v="0"/>
    <m/>
    <n v="0"/>
    <m/>
    <n v="0"/>
  </r>
  <r>
    <s v="ARAYTOR"/>
    <s v="B10804300"/>
    <s v="ESBOP247880"/>
    <n v="28349"/>
    <s v="50K"/>
    <s v="2026000169"/>
    <s v="Cartera"/>
    <s v="Correduría"/>
    <s v="Renovable"/>
    <s v="Facturado"/>
    <x v="16"/>
    <d v="2025-06-01T00:00:00"/>
    <m/>
    <m/>
    <m/>
    <m/>
    <d v="2025-12-31T00:00:00"/>
    <s v="Mensual"/>
    <s v="Ticketing"/>
    <s v="Asistencia en Viaje"/>
    <x v="7"/>
    <s v="CHUBB EUROPEAN GROUP LIMITED"/>
    <s v="Euros"/>
    <n v="791.58"/>
    <n v="39.58"/>
    <n v="39.58"/>
    <n v="0"/>
    <m/>
    <n v="0"/>
    <m/>
    <n v="0"/>
    <m/>
    <n v="0"/>
    <m/>
    <n v="0"/>
  </r>
  <r>
    <s v="ARAYTOR"/>
    <s v="B10804300"/>
    <s v="ESBOP247880"/>
    <n v="28349"/>
    <s v="50K"/>
    <s v="2026000170"/>
    <s v="Cartera"/>
    <s v="Correduría"/>
    <s v="Renovable"/>
    <s v="Facturado"/>
    <x v="16"/>
    <d v="2025-07-01T00:00:00"/>
    <m/>
    <m/>
    <m/>
    <m/>
    <d v="2025-12-31T00:00:00"/>
    <s v="Mensual"/>
    <s v="Ticketing"/>
    <s v="Asistencia en Viaje"/>
    <x v="7"/>
    <s v="CHUBB EUROPEAN GROUP LIMITED"/>
    <s v="Euros"/>
    <n v="620.97"/>
    <n v="31.05"/>
    <n v="31.05"/>
    <n v="0"/>
    <m/>
    <n v="0"/>
    <m/>
    <n v="0"/>
    <m/>
    <n v="0"/>
    <m/>
    <n v="0"/>
  </r>
  <r>
    <s v="ARAYTOR"/>
    <s v="B61978987"/>
    <s v="ESBOP248692"/>
    <n v="29050"/>
    <s v="50K"/>
    <s v="2026000171"/>
    <s v="Cartera"/>
    <s v="Correduría"/>
    <s v="Renovable"/>
    <s v="Facturado"/>
    <x v="16"/>
    <d v="2025-02-01T00:00:00"/>
    <m/>
    <m/>
    <m/>
    <m/>
    <d v="2025-12-31T00:00:00"/>
    <s v="Mensual"/>
    <s v="Ticketing"/>
    <s v="Asistencia en Viaje"/>
    <x v="7"/>
    <s v="CHUBB EUROPEAN GROUP LIMITED"/>
    <s v="Euros"/>
    <n v="33826.199999999997"/>
    <n v="1691.31"/>
    <n v="1691.31"/>
    <n v="0"/>
    <m/>
    <n v="0"/>
    <m/>
    <n v="0"/>
    <m/>
    <n v="0"/>
    <m/>
    <n v="0"/>
  </r>
  <r>
    <s v="ARAYTOR"/>
    <s v="B87810867"/>
    <s v="ESBOP247277"/>
    <n v="27792"/>
    <s v="50K"/>
    <s v="2026000172"/>
    <s v="Cartera"/>
    <s v="Correduría"/>
    <s v="Renovable"/>
    <s v="Facturado"/>
    <x v="16"/>
    <d v="2024-02-01T00:00:00"/>
    <m/>
    <m/>
    <m/>
    <m/>
    <d v="2025-12-31T00:00:00"/>
    <s v="Anual"/>
    <s v="Ticketing"/>
    <s v="Asistencia en Viaje"/>
    <x v="7"/>
    <s v="CHUBB EUROPEAN GROUP LIMITED"/>
    <s v="Euros"/>
    <n v="-0.92"/>
    <n v="-0.05"/>
    <n v="-0.05"/>
    <n v="0"/>
    <m/>
    <n v="0"/>
    <m/>
    <n v="0"/>
    <m/>
    <n v="0"/>
    <m/>
    <n v="0"/>
  </r>
  <r>
    <s v="ARAYTOR"/>
    <s v="B87810867"/>
    <s v="ESBOP247279"/>
    <n v="27794"/>
    <s v="5OK"/>
    <s v="2026000173"/>
    <s v="Cartera"/>
    <s v="Correduría"/>
    <s v="Renovable"/>
    <s v="Facturado"/>
    <x v="16"/>
    <d v="2024-02-01T00:00:00"/>
    <m/>
    <m/>
    <m/>
    <m/>
    <d v="2025-12-31T00:00:00"/>
    <s v="Anual"/>
    <s v="Ticketing"/>
    <s v="Asistencia en Viaje"/>
    <x v="7"/>
    <s v="CHUBB EUROPEAN GROUP LIMITED"/>
    <s v="Euros"/>
    <n v="0.92"/>
    <n v="0.05"/>
    <n v="0.05"/>
    <n v="0"/>
    <m/>
    <n v="0"/>
    <m/>
    <n v="0"/>
    <m/>
    <n v="0"/>
    <m/>
    <n v="0"/>
  </r>
  <r>
    <s v="ARAYTOR"/>
    <s v="B87810867"/>
    <s v="ESBOP247280"/>
    <n v="27795"/>
    <s v="50K"/>
    <s v="2026000174"/>
    <s v="Cartera"/>
    <s v="Correduría"/>
    <s v="Renovable"/>
    <s v="Facturado"/>
    <x v="16"/>
    <d v="2024-02-01T00:00:00"/>
    <m/>
    <m/>
    <m/>
    <m/>
    <d v="2025-12-31T00:00:00"/>
    <s v="Anual"/>
    <s v="Ticketing"/>
    <s v="Asistencia en Viaje"/>
    <x v="7"/>
    <s v="CHUBB EUROPEAN GROUP LIMITED"/>
    <s v="Euros"/>
    <n v="0.92"/>
    <n v="0.05"/>
    <n v="0.05"/>
    <n v="0"/>
    <m/>
    <n v="0"/>
    <m/>
    <n v="0"/>
    <m/>
    <n v="0"/>
    <m/>
    <n v="0"/>
  </r>
  <r>
    <s v="ARAYTOR"/>
    <s v="B87810867"/>
    <s v="ESBOP247280"/>
    <n v="27795"/>
    <s v="50K"/>
    <s v="2026000175"/>
    <s v="Cartera"/>
    <s v="Correduría"/>
    <s v="Renovable"/>
    <s v="Facturado"/>
    <x v="16"/>
    <d v="2024-05-01T00:00:00"/>
    <m/>
    <m/>
    <m/>
    <m/>
    <d v="2025-12-31T00:00:00"/>
    <s v="Anual"/>
    <s v="Ticketing"/>
    <s v="Asistencia en Viaje"/>
    <x v="7"/>
    <s v="CHUBB EUROPEAN GROUP LIMITED"/>
    <s v="Euros"/>
    <n v="0.92"/>
    <n v="0.05"/>
    <n v="0.05"/>
    <n v="0"/>
    <m/>
    <n v="0"/>
    <m/>
    <n v="0"/>
    <m/>
    <n v="0"/>
    <m/>
    <n v="0"/>
  </r>
  <r>
    <s v="ARAYTOR"/>
    <s v="B87810867"/>
    <s v="ESBOP247283"/>
    <n v="27797"/>
    <s v="50K"/>
    <s v="2026000176"/>
    <s v="Cartera"/>
    <s v="Correduría"/>
    <s v="Renovable"/>
    <s v="Facturado"/>
    <x v="16"/>
    <d v="2024-05-01T00:00:00"/>
    <m/>
    <m/>
    <m/>
    <m/>
    <d v="2025-12-31T00:00:00"/>
    <s v="Anual"/>
    <s v="Ticketing"/>
    <s v="Asistencia en Viaje"/>
    <x v="7"/>
    <s v="CHUBB EUROPEAN GROUP LIMITED"/>
    <s v="Euros"/>
    <n v="0.41"/>
    <n v="0.02"/>
    <n v="0.02"/>
    <n v="0"/>
    <m/>
    <n v="0"/>
    <m/>
    <n v="0"/>
    <m/>
    <n v="0"/>
    <m/>
    <n v="0"/>
  </r>
  <r>
    <s v="ARAYTOR"/>
    <s v="B88262431"/>
    <s v="RCEXP-CA4454"/>
    <n v="17860"/>
    <s v="2600236"/>
    <s v="2026000177"/>
    <s v="Produccion"/>
    <s v="Correduría"/>
    <s v="Temporal"/>
    <s v="Cobrado"/>
    <x v="17"/>
    <d v="2026-01-19T00:00:00"/>
    <d v="2026-01-15T00:00:00"/>
    <m/>
    <m/>
    <m/>
    <d v="2026-02-03T00:00:00"/>
    <s v="Unico"/>
    <s v="RC Empresa"/>
    <s v="RC Empresa"/>
    <x v="0"/>
    <s v="CIRCLES GROUP, S.A."/>
    <s v="Euros"/>
    <n v="64000"/>
    <n v="11636.36"/>
    <n v="11636.36"/>
    <n v="0"/>
    <m/>
    <n v="0"/>
    <m/>
    <n v="0"/>
    <m/>
    <n v="0"/>
    <m/>
    <n v="0"/>
  </r>
  <r>
    <s v="ARAYTOR"/>
    <s v="B46560454"/>
    <s v="RCEXP-CA2913"/>
    <n v="15577"/>
    <s v="2600056"/>
    <s v="2026000178"/>
    <s v="Produccion"/>
    <s v="Correduría"/>
    <s v="Temporal"/>
    <s v="Cobrado"/>
    <x v="17"/>
    <d v="2026-02-28T00:00:00"/>
    <d v="2026-03-02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56381478"/>
    <s v="RCEXP-CA16644"/>
    <n v="29108"/>
    <s v="2600055 Error"/>
    <s v="2026000179"/>
    <s v="Produccion"/>
    <s v="Correduría"/>
    <s v="Temporal"/>
    <s v="Anulado"/>
    <x v="17"/>
    <d v="2026-01-01T00:00:00"/>
    <m/>
    <d v="2026-02-03T00:00:00"/>
    <d v="2026-01-08T00:00:00"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90354036"/>
    <s v="RCEXP-CA16846"/>
    <n v="29257"/>
    <s v="2600215"/>
    <s v="2026000180"/>
    <s v="Produccion"/>
    <s v="Correduría"/>
    <s v="Temporal"/>
    <s v="Cobrado"/>
    <x v="17"/>
    <d v="2025-11-28T00:00:00"/>
    <d v="2026-01-08T00:00:00"/>
    <m/>
    <m/>
    <m/>
    <d v="2026-02-03T00:00:00"/>
    <s v="Unico"/>
    <s v="RC Empresa"/>
    <s v="RC Empresa"/>
    <x v="0"/>
    <s v="CIRCLES GROUP, S.A."/>
    <s v="Euros"/>
    <n v="-508.55"/>
    <n v="-92.46"/>
    <n v="-92.46"/>
    <n v="0"/>
    <m/>
    <n v="0"/>
    <m/>
    <n v="0"/>
    <m/>
    <n v="0"/>
    <m/>
    <n v="0"/>
  </r>
  <r>
    <s v="ARAYTOR"/>
    <s v="B54808795"/>
    <s v="RCEXP-CA19153"/>
    <n v="32497"/>
    <s v="2600214"/>
    <s v="2026000181"/>
    <s v="Produccion"/>
    <s v="Correduría"/>
    <s v="Temporal"/>
    <s v="Cobrado"/>
    <x v="17"/>
    <d v="2026-01-20T00:00:00"/>
    <d v="2026-01-20T00:00:00"/>
    <m/>
    <m/>
    <m/>
    <d v="2026-02-03T00:00:00"/>
    <s v="Unico"/>
    <s v="RC Empresa"/>
    <s v="RC Empresa"/>
    <x v="0"/>
    <s v="CIRCLES GROUP, S.A."/>
    <s v="Euros"/>
    <n v="4470"/>
    <n v="812.72"/>
    <n v="812.72"/>
    <n v="0"/>
    <m/>
    <n v="0"/>
    <m/>
    <n v="0"/>
    <m/>
    <n v="0"/>
    <m/>
    <n v="0"/>
  </r>
  <r>
    <s v="ARAYTOR"/>
    <s v="Q2878017I"/>
    <s v="CE92613"/>
    <n v="32498"/>
    <s v="2600081 Error"/>
    <s v="2026000182"/>
    <s v="Produccion"/>
    <s v="Correduría"/>
    <s v="Temporal"/>
    <s v="Anulado"/>
    <x v="17"/>
    <d v="2026-01-05T00:00:00"/>
    <m/>
    <d v="2026-02-03T00:00:00"/>
    <d v="2026-01-27T00:00:00"/>
    <m/>
    <m/>
    <s v="Unico"/>
    <s v="Contingencias"/>
    <s v="Contingencias"/>
    <x v="9"/>
    <s v="CIRCLES GROUP, S.A."/>
    <s v="Euros"/>
    <n v="5464.63"/>
    <n v="993.57"/>
    <n v="993.57"/>
    <n v="0"/>
    <m/>
    <n v="0"/>
    <s v="VC SABSEG COMERCIAL RISK CdS, S.A."/>
    <n v="546.46"/>
    <m/>
    <n v="0"/>
    <m/>
    <n v="0"/>
  </r>
  <r>
    <s v="ARAYTOR"/>
    <s v="B88262431"/>
    <s v="CE92709"/>
    <n v="32499"/>
    <s v="2600089"/>
    <s v="2026000183"/>
    <s v="Produccion"/>
    <s v="Correduría"/>
    <s v="Temporal"/>
    <s v="Cobrado"/>
    <x v="17"/>
    <d v="2026-01-02T00:00:00"/>
    <d v="2026-01-15T00:00:00"/>
    <m/>
    <m/>
    <m/>
    <m/>
    <s v="Unico"/>
    <s v="Contingencias"/>
    <s v="Contingencias"/>
    <x v="9"/>
    <s v="CIRCLES GROUP, S.A."/>
    <s v="Euros"/>
    <n v="19214.009999999998"/>
    <n v="3493.46"/>
    <n v="3493.46"/>
    <n v="0"/>
    <m/>
    <n v="0"/>
    <m/>
    <n v="0"/>
    <m/>
    <n v="0"/>
    <m/>
    <n v="0"/>
  </r>
  <r>
    <s v="ARAYTOR"/>
    <s v="B88262431"/>
    <s v="CE92709"/>
    <n v="32499"/>
    <s v="2600090"/>
    <s v="2026000184"/>
    <s v="Produccion"/>
    <s v="Correduría"/>
    <s v="Temporal"/>
    <s v="Cobrado"/>
    <x v="17"/>
    <d v="2026-01-02T00:00:00"/>
    <d v="2026-01-15T00:00:00"/>
    <m/>
    <m/>
    <m/>
    <m/>
    <s v="Unico"/>
    <s v="Contingencias"/>
    <s v="Contingencias"/>
    <x v="9"/>
    <s v="CIRCLES GROUP, S.A."/>
    <s v="Euros"/>
    <n v="86463.039999999994"/>
    <n v="15720.56"/>
    <n v="15720.56"/>
    <n v="0"/>
    <m/>
    <n v="0"/>
    <m/>
    <n v="0"/>
    <m/>
    <n v="0"/>
    <m/>
    <n v="0"/>
  </r>
  <r>
    <s v="ARAYTOR"/>
    <s v="B88262431"/>
    <s v="CE92709"/>
    <n v="32499"/>
    <s v="2600091"/>
    <s v="2026000185"/>
    <s v="Produccion"/>
    <s v="Correduría"/>
    <s v="Temporal"/>
    <s v="Cobrado"/>
    <x v="17"/>
    <d v="2026-01-02T00:00:00"/>
    <d v="2026-01-15T00:00:00"/>
    <m/>
    <m/>
    <m/>
    <m/>
    <s v="Unico"/>
    <s v="Contingencias"/>
    <s v="Contingencias"/>
    <x v="9"/>
    <s v="CIRCLES GROUP, S.A."/>
    <s v="Euros"/>
    <n v="86463.039999999994"/>
    <n v="15720.56"/>
    <n v="15720.56"/>
    <n v="0"/>
    <m/>
    <n v="0"/>
    <m/>
    <n v="0"/>
    <m/>
    <n v="0"/>
    <m/>
    <n v="0"/>
  </r>
  <r>
    <s v="ARAYTOR"/>
    <s v="B11459435"/>
    <s v="CE93026"/>
    <n v="32500"/>
    <s v="2600079"/>
    <s v="2026000186"/>
    <s v="Produccion"/>
    <s v="Correduría"/>
    <s v="Temporal"/>
    <s v="Cobrado"/>
    <x v="17"/>
    <d v="2026-01-02T00:00:00"/>
    <d v="2026-01-20T00:00:00"/>
    <m/>
    <m/>
    <m/>
    <d v="2026-02-03T00:00:00"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11459435"/>
    <s v="CE93028"/>
    <n v="32501"/>
    <s v="2600077"/>
    <s v="2026000187"/>
    <s v="Produccion"/>
    <s v="Correduría"/>
    <s v="Temporal"/>
    <s v="Cobrado"/>
    <x v="17"/>
    <d v="2026-01-02T00:00:00"/>
    <d v="2026-01-20T00:00:00"/>
    <m/>
    <m/>
    <m/>
    <d v="2026-02-03T00:00:00"/>
    <s v="Unico"/>
    <s v="Contingencias"/>
    <s v="Contingencias"/>
    <x v="9"/>
    <s v="CIRCLES GROUP, S.A."/>
    <s v="Euros"/>
    <n v="4954.46"/>
    <n v="900.81"/>
    <n v="900.81"/>
    <n v="0"/>
    <m/>
    <n v="0"/>
    <m/>
    <n v="0"/>
    <m/>
    <n v="0"/>
    <m/>
    <n v="0"/>
  </r>
  <r>
    <s v="ARAYTOR"/>
    <s v="B11459435"/>
    <s v="CE93028"/>
    <n v="32501"/>
    <s v="2600078"/>
    <s v="2026000188"/>
    <s v="Produccion"/>
    <s v="Correduría"/>
    <s v="Temporal"/>
    <s v="Cobrado"/>
    <x v="17"/>
    <d v="2026-01-02T00:00:00"/>
    <d v="2026-03-04T00:00:00"/>
    <m/>
    <m/>
    <m/>
    <m/>
    <s v="Unico"/>
    <s v="Contingencias"/>
    <s v="Contingencias"/>
    <x v="9"/>
    <s v="CIRCLES GROUP, S.A."/>
    <s v="Euros"/>
    <n v="4954.46"/>
    <n v="900.81"/>
    <n v="900.81"/>
    <n v="0"/>
    <m/>
    <n v="0"/>
    <m/>
    <n v="0"/>
    <m/>
    <n v="0"/>
    <m/>
    <n v="0"/>
  </r>
  <r>
    <s v="ARAYTOR"/>
    <s v="B11459435"/>
    <s v="CE93029"/>
    <n v="32502"/>
    <s v="2600065"/>
    <s v="2026000189"/>
    <s v="Produccion"/>
    <s v="Correduría"/>
    <s v="Temporal"/>
    <s v="Cobrado"/>
    <x v="17"/>
    <d v="2026-01-02T00:00:00"/>
    <d v="2026-01-22T00:00:00"/>
    <m/>
    <m/>
    <m/>
    <m/>
    <s v="Unico"/>
    <s v="Contingencias"/>
    <s v="Contingencias"/>
    <x v="9"/>
    <s v="CIRCLES GROUP, S.A."/>
    <s v="Euros"/>
    <n v="2437.3200000000002"/>
    <n v="443.14"/>
    <n v="443.14"/>
    <n v="0"/>
    <m/>
    <n v="0"/>
    <m/>
    <n v="0"/>
    <m/>
    <n v="0"/>
    <m/>
    <n v="0"/>
  </r>
  <r>
    <s v="ARAYTOR"/>
    <s v="B11459435"/>
    <s v="CE93029"/>
    <n v="32502"/>
    <s v="2600066"/>
    <s v="2026000190"/>
    <s v="Produccion"/>
    <s v="Correduría"/>
    <s v="Temporal"/>
    <s v="Facturado"/>
    <x v="17"/>
    <d v="2026-01-02T00:00:00"/>
    <m/>
    <m/>
    <m/>
    <m/>
    <m/>
    <s v="Unico"/>
    <s v="Contingencias"/>
    <s v="Contingencias"/>
    <x v="9"/>
    <s v="CIRCLES GROUP, S.A."/>
    <s v="Euros"/>
    <n v="15842.62"/>
    <n v="2880.48"/>
    <n v="2880.48"/>
    <n v="0"/>
    <m/>
    <n v="0"/>
    <m/>
    <n v="0"/>
    <m/>
    <n v="0"/>
    <m/>
    <n v="0"/>
  </r>
  <r>
    <s v="ARAYTOR"/>
    <s v="B11459435"/>
    <s v="CE93029"/>
    <n v="32502"/>
    <s v="2600067"/>
    <s v="2026000191"/>
    <s v="Produccion"/>
    <s v="Correduría"/>
    <s v="Temporal"/>
    <s v="Facturado"/>
    <x v="17"/>
    <d v="2026-01-02T00:00:00"/>
    <m/>
    <m/>
    <m/>
    <m/>
    <m/>
    <s v="Unico"/>
    <s v="Contingencias"/>
    <s v="Contingencias"/>
    <x v="9"/>
    <s v="CIRCLES GROUP, S.A."/>
    <s v="Euros"/>
    <n v="6093.31"/>
    <n v="1107.8699999999999"/>
    <n v="1107.8699999999999"/>
    <n v="0"/>
    <m/>
    <n v="0"/>
    <m/>
    <n v="0"/>
    <m/>
    <n v="0"/>
    <m/>
    <n v="0"/>
  </r>
  <r>
    <s v="ARAYTOR"/>
    <s v="B11459435"/>
    <s v="CE93031"/>
    <n v="32503"/>
    <s v="2600068"/>
    <s v="2026000192"/>
    <s v="Produccion"/>
    <s v="Correduría"/>
    <s v="Temporal"/>
    <s v="Cobrado"/>
    <x v="17"/>
    <d v="2026-01-02T00:00:00"/>
    <d v="2026-02-03T00:00:00"/>
    <m/>
    <m/>
    <m/>
    <m/>
    <s v="Unico"/>
    <s v="Contingencias"/>
    <s v="Contingencias"/>
    <x v="9"/>
    <s v="CIRCLES GROUP, S.A."/>
    <s v="Euros"/>
    <n v="1887.82"/>
    <n v="343.24"/>
    <n v="343.24"/>
    <n v="0"/>
    <m/>
    <n v="0"/>
    <m/>
    <n v="0"/>
    <m/>
    <n v="0"/>
    <m/>
    <n v="0"/>
  </r>
  <r>
    <s v="ARAYTOR"/>
    <s v="B11459435"/>
    <s v="CE93031"/>
    <n v="32503"/>
    <s v="2600069"/>
    <s v="2026000193"/>
    <s v="Produccion"/>
    <s v="Correduría"/>
    <s v="Temporal"/>
    <s v="Facturado"/>
    <x v="17"/>
    <d v="2026-01-02T00:00:00"/>
    <m/>
    <m/>
    <m/>
    <m/>
    <m/>
    <s v="Unico"/>
    <s v="Contingencias"/>
    <s v="Contingencias"/>
    <x v="9"/>
    <s v="CIRCLES GROUP, S.A."/>
    <s v="Euros"/>
    <n v="3775.65"/>
    <n v="686.49"/>
    <n v="686.49"/>
    <n v="0"/>
    <m/>
    <n v="0"/>
    <m/>
    <n v="0"/>
    <m/>
    <n v="0"/>
    <m/>
    <n v="0"/>
  </r>
  <r>
    <s v="ARAYTOR"/>
    <s v="B11459435"/>
    <s v="CE93031"/>
    <n v="32503"/>
    <s v="2600070"/>
    <s v="2026000194"/>
    <s v="Produccion"/>
    <s v="Correduría"/>
    <s v="Temporal"/>
    <s v="Facturado"/>
    <x v="17"/>
    <d v="2026-01-02T00:00:00"/>
    <m/>
    <m/>
    <m/>
    <m/>
    <m/>
    <s v="Unico"/>
    <s v="Contingencias"/>
    <s v="Contingencias"/>
    <x v="9"/>
    <s v="CIRCLES GROUP, S.A."/>
    <s v="Euros"/>
    <n v="3775.65"/>
    <n v="686.49"/>
    <n v="686.49"/>
    <n v="0"/>
    <m/>
    <n v="0"/>
    <m/>
    <n v="0"/>
    <m/>
    <n v="0"/>
    <m/>
    <n v="0"/>
  </r>
  <r>
    <s v="ARAYTOR"/>
    <s v="B11459435"/>
    <s v="CE93033"/>
    <n v="32504"/>
    <s v="2600072"/>
    <s v="2026000195"/>
    <s v="Produccion"/>
    <s v="Correduría"/>
    <s v="Temporal"/>
    <s v="Cobrado"/>
    <x v="17"/>
    <d v="2026-01-02T00:00:00"/>
    <d v="2026-01-22T00:00:00"/>
    <m/>
    <m/>
    <m/>
    <m/>
    <s v="Unico"/>
    <s v="Contingencias"/>
    <s v="Contingencias"/>
    <x v="9"/>
    <s v="CIRCLES GROUP, S.A."/>
    <s v="Euros"/>
    <n v="2132.14"/>
    <n v="387.66"/>
    <n v="387.66"/>
    <n v="0"/>
    <m/>
    <n v="0"/>
    <m/>
    <n v="0"/>
    <m/>
    <n v="0"/>
    <m/>
    <n v="0"/>
  </r>
  <r>
    <s v="ARAYTOR"/>
    <s v="B11459435"/>
    <s v="CE93033"/>
    <n v="32504"/>
    <s v="2600073"/>
    <s v="2026000196"/>
    <s v="Produccion"/>
    <s v="Correduría"/>
    <s v="Temporal"/>
    <s v="Facturado"/>
    <x v="17"/>
    <d v="2026-01-02T00:00:00"/>
    <m/>
    <m/>
    <m/>
    <m/>
    <m/>
    <s v="Unico"/>
    <s v="Contingencias"/>
    <s v="Contingencias"/>
    <x v="9"/>
    <s v="CIRCLES GROUP, S.A."/>
    <s v="Euros"/>
    <n v="9594.6"/>
    <n v="1744.44"/>
    <n v="1744.44"/>
    <n v="0"/>
    <m/>
    <n v="0"/>
    <m/>
    <n v="0"/>
    <m/>
    <n v="0"/>
    <m/>
    <n v="0"/>
  </r>
  <r>
    <s v="ARAYTOR"/>
    <s v="B11459435"/>
    <s v="CE93033"/>
    <n v="32504"/>
    <s v="2600074"/>
    <s v="2026000197"/>
    <s v="Produccion"/>
    <s v="Correduría"/>
    <s v="Temporal"/>
    <s v="Facturado"/>
    <x v="17"/>
    <d v="2026-01-02T00:00:00"/>
    <m/>
    <m/>
    <m/>
    <m/>
    <m/>
    <s v="Unico"/>
    <s v="Contingencias"/>
    <s v="Contingencias"/>
    <x v="9"/>
    <s v="CIRCLES GROUP, S.A."/>
    <s v="Euros"/>
    <n v="9594.6"/>
    <n v="1744.47"/>
    <n v="1744.47"/>
    <n v="0"/>
    <m/>
    <n v="0"/>
    <m/>
    <n v="0"/>
    <m/>
    <n v="0"/>
    <m/>
    <n v="0"/>
  </r>
  <r>
    <s v="ARAYTOR"/>
    <s v="B11459435"/>
    <s v="CE93055"/>
    <n v="32505"/>
    <s v="2600071"/>
    <s v="2026000198"/>
    <s v="Produccion"/>
    <s v="Correduría"/>
    <s v="Temporal"/>
    <s v="Cobrado"/>
    <x v="17"/>
    <d v="2026-01-02T00:00:00"/>
    <d v="2026-01-23T00:00:00"/>
    <m/>
    <m/>
    <m/>
    <d v="2026-02-15T00:00:00"/>
    <s v="Unico"/>
    <s v="Contingencias"/>
    <s v="Contingencias"/>
    <x v="9"/>
    <s v="CIRCLES GROUP, S.A."/>
    <s v="Euros"/>
    <n v="1456.82"/>
    <n v="264.88"/>
    <n v="264.88"/>
    <n v="0"/>
    <m/>
    <n v="0"/>
    <m/>
    <n v="0"/>
    <m/>
    <n v="0"/>
    <m/>
    <n v="0"/>
  </r>
  <r>
    <s v="ARAYTOR"/>
    <s v="B11459435"/>
    <s v="CE93043"/>
    <n v="32506"/>
    <s v="2600075"/>
    <s v="2026000199"/>
    <s v="Produccion"/>
    <s v="Correduría"/>
    <s v="Temporal"/>
    <s v="Cobrado"/>
    <x v="17"/>
    <d v="2026-01-02T00:00:00"/>
    <d v="2026-01-26T00:00:00"/>
    <m/>
    <m/>
    <m/>
    <d v="2026-02-15T00:00:00"/>
    <s v="Unico"/>
    <s v="Contingencias"/>
    <s v="Contingencias"/>
    <x v="9"/>
    <s v="CIRCLES GROUP, S.A."/>
    <s v="Euros"/>
    <n v="1541.96"/>
    <n v="280.36"/>
    <n v="280.36"/>
    <n v="0"/>
    <m/>
    <n v="0"/>
    <m/>
    <n v="0"/>
    <m/>
    <n v="0"/>
    <m/>
    <n v="0"/>
  </r>
  <r>
    <s v="ARAYTOR"/>
    <s v="B20981593"/>
    <s v="CE93182"/>
    <n v="32507"/>
    <s v="2600076"/>
    <s v="2026000200"/>
    <s v="Produccion"/>
    <s v="Correduría"/>
    <s v="Temporal"/>
    <s v="Cobrado"/>
    <x v="17"/>
    <d v="2026-01-05T00:00:00"/>
    <d v="2026-01-12T00:00:00"/>
    <m/>
    <m/>
    <m/>
    <d v="2026-02-03T00:00:00"/>
    <s v="Unico"/>
    <s v="Contingencias"/>
    <s v="Contingencias"/>
    <x v="9"/>
    <s v="CIRCLES GROUP, S.A."/>
    <s v="Euros"/>
    <n v="4284.28"/>
    <n v="778.96"/>
    <n v="778.96"/>
    <n v="0"/>
    <m/>
    <n v="0"/>
    <m/>
    <n v="0"/>
    <m/>
    <n v="0"/>
    <m/>
    <n v="0"/>
  </r>
  <r>
    <s v="ARAYTOR"/>
    <s v="51387326J"/>
    <s v="282067353"/>
    <n v="12680"/>
    <s v="202600110062"/>
    <s v="2026000201"/>
    <s v="Cartera"/>
    <s v="Compañía"/>
    <s v="Renovable"/>
    <s v="Cobrado"/>
    <x v="17"/>
    <d v="2026-01-01T00:00:00"/>
    <d v="2026-01-01T00:00:00"/>
    <m/>
    <m/>
    <m/>
    <d v="2026-01-29T00:00:00"/>
    <s v="Mensual"/>
    <s v="Dental"/>
    <s v="Dental"/>
    <x v="4"/>
    <s v="SEGURCAIXA ADESLAS, S.A."/>
    <s v="Euros"/>
    <n v="11"/>
    <n v="0.99"/>
    <n v="0.99"/>
    <n v="0"/>
    <m/>
    <n v="0"/>
    <m/>
    <n v="0"/>
    <m/>
    <n v="0"/>
    <m/>
    <n v="0"/>
  </r>
  <r>
    <s v="ARAYTOR"/>
    <s v="50426811R"/>
    <s v="282122509"/>
    <n v="14638"/>
    <s v="202600078513"/>
    <s v="2026000202"/>
    <s v="Cartera"/>
    <s v="Compañía"/>
    <s v="Renovable"/>
    <s v="Cobrado"/>
    <x v="17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112.35"/>
    <n v="10.11"/>
    <n v="10.11"/>
    <n v="0"/>
    <m/>
    <n v="0"/>
    <m/>
    <n v="0"/>
    <m/>
    <n v="0"/>
    <m/>
    <n v="0"/>
  </r>
  <r>
    <s v="ARAYTOR"/>
    <s v="02620075F"/>
    <s v="282157337"/>
    <n v="15477"/>
    <s v="202600169522"/>
    <s v="2026000203"/>
    <s v="Cartera"/>
    <s v="Compañía"/>
    <s v="Renovable"/>
    <s v="Cobrado"/>
    <x v="17"/>
    <d v="2026-01-01T00:00:00"/>
    <d v="2026-01-01T00:00:00"/>
    <m/>
    <m/>
    <m/>
    <d v="2026-01-29T00:00:00"/>
    <s v="Mensual"/>
    <s v="Plena Vital"/>
    <s v="Cuadro Cerrado"/>
    <x v="4"/>
    <s v="SEGURCAIXA ADESLAS, S.A."/>
    <s v="Euros"/>
    <n v="373.24"/>
    <n v="33.590000000000003"/>
    <n v="33.590000000000003"/>
    <n v="0"/>
    <m/>
    <n v="0"/>
    <m/>
    <n v="0"/>
    <m/>
    <n v="0"/>
    <m/>
    <n v="0"/>
  </r>
  <r>
    <s v="ARAYTOR"/>
    <s v="38119496D"/>
    <s v="81386276"/>
    <n v="14503"/>
    <s v="202600620118"/>
    <s v="2026000204"/>
    <s v="Cartera"/>
    <s v="Compañía"/>
    <s v="Renovable"/>
    <s v="Cobrado"/>
    <x v="17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122.04"/>
    <n v="10.98"/>
    <n v="10.98"/>
    <n v="0"/>
    <m/>
    <n v="0"/>
    <m/>
    <n v="0"/>
    <m/>
    <n v="0"/>
    <m/>
    <n v="0"/>
  </r>
  <r>
    <s v="ARAYTOR"/>
    <s v="36784665Y"/>
    <s v="81343230"/>
    <n v="13993"/>
    <s v="202600687485"/>
    <s v="2026000205"/>
    <s v="Cartera"/>
    <s v="Compañía"/>
    <s v="Renovable"/>
    <s v="Cobrado"/>
    <x v="17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491.64"/>
    <n v="0"/>
    <n v="0"/>
    <n v="0"/>
    <m/>
    <n v="0"/>
    <m/>
    <n v="0"/>
    <m/>
    <n v="0"/>
    <m/>
    <n v="0"/>
  </r>
  <r>
    <s v="ARAYTOR"/>
    <s v="30504182H"/>
    <s v="66600580342"/>
    <n v="5120"/>
    <s v="202601377386"/>
    <s v="2026000206"/>
    <s v="Cartera"/>
    <s v="Compañía"/>
    <s v="Renovable"/>
    <s v="Cobrado"/>
    <x v="17"/>
    <d v="2026-01-01T00:00:00"/>
    <d v="2026-01-01T00:00:00"/>
    <m/>
    <m/>
    <d v="2026-01-22T00:00:00"/>
    <d v="2026-01-29T00:00:00"/>
    <s v="Mensual"/>
    <s v="Modular Colectivos"/>
    <s v="Colectivo Salud"/>
    <x v="10"/>
    <s v="SEGURCAIXA ADESLAS, S.A."/>
    <s v="Euros"/>
    <n v="269.68"/>
    <n v="21.57"/>
    <n v="21.57"/>
    <n v="0"/>
    <m/>
    <n v="0"/>
    <s v="TON ABAD (ANTIC)"/>
    <n v="0"/>
    <m/>
    <n v="0"/>
    <m/>
    <n v="0"/>
  </r>
  <r>
    <s v="ARAYTOR"/>
    <s v="43119280F"/>
    <s v="282279213"/>
    <n v="12619"/>
    <s v="202600047262"/>
    <s v="2026000207"/>
    <s v="Cartera"/>
    <s v="Compañía"/>
    <s v="Renovable"/>
    <s v="Cobrado"/>
    <x v="17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72.930000000000007"/>
    <n v="3.65"/>
    <n v="3.65"/>
    <n v="0"/>
    <m/>
    <n v="0"/>
    <m/>
    <n v="0"/>
    <m/>
    <n v="0"/>
    <m/>
    <n v="0"/>
  </r>
  <r>
    <s v="ARAYTOR"/>
    <s v="50736424B"/>
    <s v="282329055"/>
    <n v="19150"/>
    <s v="202600123844"/>
    <s v="2026000208"/>
    <s v="Cartera"/>
    <s v="Compañía"/>
    <s v="Renovable"/>
    <s v="Cobrado"/>
    <x v="17"/>
    <d v="2026-01-01T00:00:00"/>
    <d v="2026-01-01T00:00:00"/>
    <m/>
    <m/>
    <m/>
    <d v="2026-01-29T00:00:00"/>
    <s v="Mensual"/>
    <s v="Plena Vital"/>
    <s v="Cuadro Cerrado"/>
    <x v="4"/>
    <s v="SEGURCAIXA ADESLAS, S.A."/>
    <s v="Euros"/>
    <n v="36.68"/>
    <n v="3.3"/>
    <n v="3.3"/>
    <n v="0"/>
    <m/>
    <n v="0"/>
    <m/>
    <n v="0"/>
    <m/>
    <n v="0"/>
    <m/>
    <n v="0"/>
  </r>
  <r>
    <s v="ARAYTOR"/>
    <s v="43505915N"/>
    <s v="66600580383"/>
    <n v="5157"/>
    <s v="202601445682"/>
    <s v="2026000209"/>
    <s v="Cartera"/>
    <s v="Compañía"/>
    <s v="Renovable"/>
    <s v="Cobrado"/>
    <x v="17"/>
    <d v="2026-01-01T00:00:00"/>
    <d v="2026-01-01T00:00:00"/>
    <m/>
    <m/>
    <m/>
    <d v="2026-01-29T00:00:00"/>
    <s v="Mensual"/>
    <s v="Modular Colectivos"/>
    <s v="Colectivo Salud"/>
    <x v="10"/>
    <s v="SEGURCAIXA ADESLAS, S.A."/>
    <s v="Euros"/>
    <n v="69.900000000000006"/>
    <n v="5.59"/>
    <n v="5.59"/>
    <n v="0"/>
    <m/>
    <n v="0"/>
    <m/>
    <n v="0"/>
    <m/>
    <n v="0"/>
    <m/>
    <n v="0"/>
  </r>
  <r>
    <s v="ARAYTOR"/>
    <s v="45390208F"/>
    <s v="RCEXP-CA16644"/>
    <n v="29108"/>
    <s v="2600055"/>
    <s v="2026000210"/>
    <s v="Produccion"/>
    <s v="Correduría"/>
    <s v="Temporal"/>
    <s v="Cobrado"/>
    <x v="17"/>
    <d v="2026-01-01T00:00:00"/>
    <d v="2026-01-15T00:00:00"/>
    <m/>
    <m/>
    <m/>
    <d v="2026-02-03T00:00:00"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60448487"/>
    <s v="042743355-00094"/>
    <n v="32510"/>
    <s v="878760077"/>
    <s v="2026000211"/>
    <s v="Produccion"/>
    <s v="Correduría"/>
    <s v="Temporal"/>
    <s v="Cobrado"/>
    <x v="17"/>
    <d v="2025-11-01T00:00:00"/>
    <d v="2026-01-22T00:00:00"/>
    <m/>
    <m/>
    <m/>
    <d v="2026-02-01T00:00:00"/>
    <s v="Unico"/>
    <s v="378 Multimodal (Transportistas/Cargadodr"/>
    <s v="Daños Cargador"/>
    <x v="6"/>
    <s v="ALLIANZ"/>
    <s v="Euros"/>
    <n v="50"/>
    <n v="8.75"/>
    <n v="8.75"/>
    <n v="0"/>
    <m/>
    <n v="0"/>
    <m/>
    <n v="0"/>
    <m/>
    <n v="0"/>
    <m/>
    <n v="0"/>
  </r>
  <r>
    <s v="ARAYTOR"/>
    <s v="B62971247"/>
    <s v="93/14179"/>
    <n v="787"/>
    <s v="264083390"/>
    <s v="2026000212"/>
    <s v="Suplemento modificacion de produccion"/>
    <s v="Correduría"/>
    <s v="Renovable"/>
    <s v="Cobrado"/>
    <x v="17"/>
    <d v="2026-01-24T00:00:00"/>
    <d v="2026-01-26T00:00:00"/>
    <m/>
    <m/>
    <m/>
    <d v="2026-04-01T00:00:00"/>
    <s v="Anual"/>
    <s v="Transporte Terrestre de Mercancias"/>
    <s v="Daños Operador"/>
    <x v="6"/>
    <s v="FIATC "/>
    <s v="Euros"/>
    <n v="180"/>
    <n v="36"/>
    <n v="36"/>
    <n v="0"/>
    <m/>
    <n v="0"/>
    <m/>
    <n v="0"/>
    <m/>
    <n v="0"/>
    <m/>
    <n v="0"/>
  </r>
  <r>
    <s v="ARAYTOR"/>
    <s v="49534898M"/>
    <s v="3611971"/>
    <n v="32511"/>
    <s v="3611971-1"/>
    <s v="2026000213"/>
    <s v="Suplemento modificacion de produccion"/>
    <s v="Correduría"/>
    <s v="Renovable"/>
    <s v="Cobrado"/>
    <x v="17"/>
    <d v="2026-01-01T00:00:00"/>
    <d v="2026-01-12T00:00:00"/>
    <m/>
    <m/>
    <m/>
    <d v="2026-02-02T00:00:00"/>
    <s v="Anual"/>
    <s v="RC Musica"/>
    <s v="RC Promotor Musica"/>
    <x v="0"/>
    <s v="Hiscox S.A Sucursal en España"/>
    <s v="Euros"/>
    <n v="423.5"/>
    <n v="105.88"/>
    <n v="105.88"/>
    <n v="0"/>
    <m/>
    <n v="0"/>
    <m/>
    <n v="0"/>
    <m/>
    <n v="0"/>
    <m/>
    <n v="0"/>
  </r>
  <r>
    <s v="ARAYTOR"/>
    <s v="V21958228"/>
    <s v="CE91614"/>
    <n v="31960"/>
    <s v="2525849"/>
    <s v="2026000214"/>
    <s v="Produccion"/>
    <s v="Correduría"/>
    <s v="Temporal"/>
    <s v="Cobrado"/>
    <x v="17"/>
    <d v="2025-09-23T00:00:00"/>
    <d v="2026-01-05T00:00:00"/>
    <m/>
    <m/>
    <m/>
    <d v="2026-02-03T00:00:00"/>
    <s v="Unico"/>
    <s v="Contingencias"/>
    <s v="Contingencias"/>
    <x v="9"/>
    <s v="CIRCLES GROUP, S.A."/>
    <s v="Euros"/>
    <n v="537.91"/>
    <n v="53.79"/>
    <n v="53.79"/>
    <n v="0"/>
    <m/>
    <n v="0"/>
    <m/>
    <n v="0"/>
    <m/>
    <n v="0"/>
    <m/>
    <n v="0"/>
  </r>
  <r>
    <s v="ARAYTOR"/>
    <s v="B66014218"/>
    <s v="CE93158"/>
    <n v="32512"/>
    <s v="2526176"/>
    <s v="2026000215"/>
    <s v="Produccion"/>
    <s v="Correduría"/>
    <s v="Temporal"/>
    <s v="Cobrado"/>
    <x v="17"/>
    <d v="2025-12-30T00:00:00"/>
    <d v="2026-01-12T00:00:00"/>
    <m/>
    <m/>
    <m/>
    <d v="2026-02-03T00:00:00"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92729284"/>
    <s v="CE93160"/>
    <n v="32513"/>
    <s v="2526195"/>
    <s v="2026000216"/>
    <s v="Produccion"/>
    <s v="Correduría"/>
    <s v="Temporal"/>
    <s v="Cobrado"/>
    <x v="17"/>
    <d v="2026-01-02T00:00:00"/>
    <d v="2026-01-08T00:00:00"/>
    <m/>
    <m/>
    <m/>
    <d v="2026-02-03T00:00:00"/>
    <s v="Unico"/>
    <s v="Contingencias"/>
    <s v="Contingencias"/>
    <x v="9"/>
    <s v="CIRCLES GROUP, S.A."/>
    <s v="Euros"/>
    <n v="713.68"/>
    <n v="129.76"/>
    <n v="129.76"/>
    <n v="0"/>
    <m/>
    <n v="0"/>
    <m/>
    <n v="0"/>
    <m/>
    <n v="0"/>
    <m/>
    <n v="0"/>
  </r>
  <r>
    <s v="ARAYTOR"/>
    <s v="B67990341"/>
    <s v="12705"/>
    <n v="25018"/>
    <s v="2B2025000006235"/>
    <s v="2026000217"/>
    <s v="Suplemento modificacion de produccion"/>
    <s v="Correduría"/>
    <s v="Renovable"/>
    <s v="Cobrado"/>
    <x v="17"/>
    <d v="2025-12-01T00:00:00"/>
    <d v="2026-01-22T00:00:00"/>
    <m/>
    <m/>
    <m/>
    <d v="2026-02-01T00:00:00"/>
    <s v="Mensual"/>
    <s v="Abierto Sociedad"/>
    <s v="Asistencia en Viaje"/>
    <x v="7"/>
    <s v="EUROP ASSISTANCE ESPAÑA, S.A"/>
    <s v="Euros"/>
    <n v="16.59"/>
    <n v="4.6500000000000004"/>
    <n v="4.6500000000000004"/>
    <n v="0"/>
    <m/>
    <n v="0"/>
    <m/>
    <n v="0"/>
    <m/>
    <n v="0"/>
    <m/>
    <n v="0"/>
  </r>
  <r>
    <s v="ARAYTOR"/>
    <s v="B10804300"/>
    <s v="ESBOP247880"/>
    <n v="28349"/>
    <m/>
    <s v="2026000218"/>
    <s v="Cartera"/>
    <s v="Correduría"/>
    <s v="Renovable"/>
    <s v="Facturado"/>
    <x v="17"/>
    <d v="2025-12-01T00:00:00"/>
    <m/>
    <m/>
    <m/>
    <m/>
    <m/>
    <s v="Mensual"/>
    <s v="Ticketing"/>
    <s v="Asistencia en Viaje"/>
    <x v="7"/>
    <s v="CHUBB EUROPEAN GROUP LIMITED"/>
    <s v="Euros"/>
    <n v="808.54"/>
    <n v="40.43"/>
    <n v="40.43"/>
    <n v="0"/>
    <m/>
    <n v="0"/>
    <m/>
    <n v="0"/>
    <m/>
    <n v="0"/>
    <m/>
    <n v="0"/>
  </r>
  <r>
    <s v="ARAYTOR"/>
    <s v="B73908402"/>
    <s v="ESBOP248542"/>
    <n v="28905"/>
    <m/>
    <s v="2026000225"/>
    <s v="Cartera"/>
    <s v="Correduría"/>
    <s v="Renovable"/>
    <s v="Cobrado"/>
    <x v="17"/>
    <d v="2025-12-01T00:00:00"/>
    <d v="2026-01-22T00:00:00"/>
    <m/>
    <m/>
    <m/>
    <m/>
    <s v="Mensual"/>
    <s v="Ticketing"/>
    <s v="Asistencia en Viaje"/>
    <x v="7"/>
    <s v="CHUBB EUROPEAN GROUP LIMITED"/>
    <s v="Euros"/>
    <n v="2893.72"/>
    <n v="144.69"/>
    <n v="144.69"/>
    <n v="0"/>
    <m/>
    <n v="0"/>
    <m/>
    <n v="0"/>
    <m/>
    <n v="0"/>
    <m/>
    <n v="0"/>
  </r>
  <r>
    <s v="ARAYTOR"/>
    <m/>
    <s v="CE91748"/>
    <n v="31987"/>
    <s v="2600419"/>
    <s v="2026000228"/>
    <s v="Produccion"/>
    <s v="Correduría"/>
    <s v="Temporal"/>
    <s v="Cobrado"/>
    <x v="18"/>
    <d v="2025-09-30T00:00:00"/>
    <d v="2026-01-13T00:00:00"/>
    <m/>
    <m/>
    <m/>
    <d v="2026-02-03T00:00:00"/>
    <s v="Unico"/>
    <s v="Contingencias"/>
    <s v="Contingencias"/>
    <x v="9"/>
    <s v="CIRCLES GROUP, S.A."/>
    <s v="Euros"/>
    <n v="1096.22"/>
    <n v="109.62"/>
    <n v="109.62"/>
    <n v="0"/>
    <m/>
    <n v="0"/>
    <m/>
    <n v="0"/>
    <m/>
    <n v="0"/>
    <m/>
    <n v="0"/>
  </r>
  <r>
    <s v="ARAYTOR"/>
    <s v="B67572081"/>
    <s v="CE92435"/>
    <n v="32515"/>
    <s v="2600437"/>
    <s v="2026000229"/>
    <s v="Produccion"/>
    <s v="Correduría"/>
    <s v="Temporal"/>
    <s v="Cobrado"/>
    <x v="18"/>
    <d v="2026-01-08T00:00:00"/>
    <d v="2026-01-13T00:00:00"/>
    <m/>
    <m/>
    <m/>
    <d v="2026-02-03T00:00:00"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V70779822"/>
    <s v="CE92406"/>
    <n v="32516"/>
    <s v="2600420"/>
    <s v="2026000230"/>
    <s v="Produccion"/>
    <s v="Correduría"/>
    <s v="Temporal"/>
    <s v="Cobrado"/>
    <x v="18"/>
    <d v="2026-01-02T00:00:00"/>
    <d v="2026-02-02T00:00:00"/>
    <m/>
    <m/>
    <m/>
    <m/>
    <s v="Unico"/>
    <s v="Contingencias"/>
    <s v="Contingencias"/>
    <x v="9"/>
    <s v="CIRCLES GROUP, S.A."/>
    <s v="Euros"/>
    <n v="3563.08"/>
    <n v="647.84"/>
    <n v="647.84"/>
    <n v="0"/>
    <m/>
    <n v="0"/>
    <m/>
    <n v="0"/>
    <m/>
    <n v="0"/>
    <m/>
    <n v="0"/>
  </r>
  <r>
    <s v="ARAYTOR"/>
    <s v="V70779822"/>
    <s v="CE92406"/>
    <n v="32516"/>
    <s v="2600421"/>
    <s v="2026000231"/>
    <s v="Produccion"/>
    <s v="Correduría"/>
    <s v="Temporal"/>
    <s v="Cobrado"/>
    <x v="18"/>
    <d v="2026-01-02T00:00:00"/>
    <d v="2026-03-03T00:00:00"/>
    <m/>
    <m/>
    <m/>
    <m/>
    <s v="Unico"/>
    <s v="Contingencias"/>
    <s v="Contingencias"/>
    <x v="9"/>
    <s v="CIRCLES GROUP, S.A."/>
    <s v="Euros"/>
    <n v="10689.23"/>
    <n v="1943.5"/>
    <n v="1943.5"/>
    <n v="0"/>
    <m/>
    <n v="0"/>
    <m/>
    <n v="0"/>
    <m/>
    <n v="0"/>
    <m/>
    <n v="0"/>
  </r>
  <r>
    <s v="ARAYTOR"/>
    <s v="V70779822"/>
    <s v="CE92406"/>
    <n v="32516"/>
    <s v="2600422"/>
    <s v="2026000232"/>
    <s v="Produccion"/>
    <s v="Correduría"/>
    <s v="Temporal"/>
    <s v="Facturado"/>
    <x v="18"/>
    <d v="2026-01-02T00:00:00"/>
    <m/>
    <m/>
    <m/>
    <m/>
    <m/>
    <s v="Unico"/>
    <s v="Contingencias"/>
    <s v="Contingencias"/>
    <x v="9"/>
    <s v="CIRCLES GROUP, S.A."/>
    <s v="Euros"/>
    <n v="10689.23"/>
    <n v="1943.5"/>
    <n v="1943.5"/>
    <n v="0"/>
    <m/>
    <n v="0"/>
    <m/>
    <n v="0"/>
    <m/>
    <n v="0"/>
    <m/>
    <n v="0"/>
  </r>
  <r>
    <s v="ARAYTOR"/>
    <s v="V70779822"/>
    <s v="CE92406"/>
    <n v="32516"/>
    <s v="2600423"/>
    <s v="2026000233"/>
    <s v="Produccion"/>
    <s v="Correduría"/>
    <s v="Temporal"/>
    <s v="Facturado"/>
    <x v="18"/>
    <d v="2026-01-02T00:00:00"/>
    <m/>
    <m/>
    <m/>
    <m/>
    <m/>
    <s v="Unico"/>
    <s v="Contingencias"/>
    <s v="Contingencias"/>
    <x v="9"/>
    <s v="CIRCLES GROUP, S.A."/>
    <s v="Euros"/>
    <n v="10689.23"/>
    <n v="1943.5"/>
    <n v="1943.5"/>
    <n v="0"/>
    <m/>
    <n v="0"/>
    <m/>
    <n v="0"/>
    <m/>
    <n v="0"/>
    <m/>
    <n v="0"/>
  </r>
  <r>
    <s v="ARAYTOR"/>
    <s v="B83958934"/>
    <s v="CE92561"/>
    <n v="32244"/>
    <s v="2600245"/>
    <s v="2026000234"/>
    <s v="Produccion"/>
    <s v="Correduría"/>
    <s v="Temporal"/>
    <s v="Cobrado"/>
    <x v="18"/>
    <d v="2025-11-20T00:00:00"/>
    <d v="2026-01-28T00:00:00"/>
    <m/>
    <m/>
    <m/>
    <d v="2026-02-15T00:00:00"/>
    <s v="Unico"/>
    <s v="Contingencias"/>
    <s v="Contingencias"/>
    <x v="9"/>
    <s v="CIRCLES GROUP, S.A."/>
    <s v="Euros"/>
    <n v="615.34"/>
    <n v="111.88"/>
    <n v="111.88"/>
    <n v="0"/>
    <m/>
    <n v="0"/>
    <m/>
    <n v="0"/>
    <m/>
    <n v="0"/>
    <m/>
    <n v="0"/>
  </r>
  <r>
    <s v="ARAYTOR"/>
    <s v="B88262431"/>
    <s v="CE92619"/>
    <n v="32517"/>
    <s v="2600088"/>
    <s v="2026000235"/>
    <s v="Produccion"/>
    <s v="Correduría"/>
    <s v="Temporal"/>
    <s v="Cobrado"/>
    <x v="18"/>
    <d v="2026-01-02T00:00:00"/>
    <d v="2026-01-15T00:00:00"/>
    <m/>
    <m/>
    <m/>
    <d v="2026-02-15T00:00:00"/>
    <s v="Unico"/>
    <s v="Contingencias"/>
    <s v="Contingencias"/>
    <x v="9"/>
    <s v="CIRCLES GROUP, S.A."/>
    <s v="Euros"/>
    <n v="3873.93"/>
    <n v="704.35"/>
    <n v="704.35"/>
    <n v="0"/>
    <m/>
    <n v="0"/>
    <m/>
    <n v="0"/>
    <m/>
    <n v="0"/>
    <m/>
    <n v="0"/>
  </r>
  <r>
    <s v="ARAYTOR"/>
    <s v="B06592133"/>
    <s v="CE92666"/>
    <n v="32518"/>
    <s v="2600241"/>
    <s v="2026000236"/>
    <s v="Produccion"/>
    <s v="Correduría"/>
    <s v="Temporal"/>
    <s v="Cobrado"/>
    <x v="18"/>
    <d v="2026-01-02T00:00:00"/>
    <d v="2026-01-19T00:00:00"/>
    <m/>
    <m/>
    <m/>
    <m/>
    <s v="Unico"/>
    <s v="Contingencias"/>
    <s v="Contingencias"/>
    <x v="9"/>
    <s v="CIRCLES GROUP, S.A."/>
    <s v="Euros"/>
    <n v="13570.93"/>
    <n v="2467.44"/>
    <n v="2467.44"/>
    <n v="0"/>
    <m/>
    <n v="0"/>
    <m/>
    <n v="0"/>
    <m/>
    <n v="0"/>
    <m/>
    <n v="0"/>
  </r>
  <r>
    <s v="ARAYTOR"/>
    <s v="B06592133"/>
    <s v="CE92666"/>
    <n v="32518"/>
    <s v="2600242"/>
    <s v="2026000237"/>
    <s v="Produccion"/>
    <s v="Correduría"/>
    <s v="Temporal"/>
    <s v="Cobrado"/>
    <x v="18"/>
    <d v="2026-01-02T00:00:00"/>
    <d v="2026-03-02T00:00:00"/>
    <m/>
    <m/>
    <m/>
    <m/>
    <s v="Unico"/>
    <s v="Contingencias"/>
    <s v="Contingencias"/>
    <x v="9"/>
    <s v="CIRCLES GROUP, S.A."/>
    <s v="Euros"/>
    <n v="13570.93"/>
    <n v="2467.44"/>
    <n v="2467.44"/>
    <n v="0"/>
    <m/>
    <n v="0"/>
    <m/>
    <n v="0"/>
    <m/>
    <n v="0"/>
    <m/>
    <n v="0"/>
  </r>
  <r>
    <s v="ARAYTOR"/>
    <s v="B06592133"/>
    <s v="CE92666"/>
    <n v="32518"/>
    <s v="2600243"/>
    <s v="2026000238"/>
    <s v="Produccion"/>
    <s v="Correduría"/>
    <s v="Temporal"/>
    <s v="Facturado"/>
    <x v="18"/>
    <d v="2026-01-02T00:00:00"/>
    <m/>
    <m/>
    <m/>
    <m/>
    <m/>
    <s v="Unico"/>
    <s v="Contingencias"/>
    <s v="Contingencias"/>
    <x v="9"/>
    <s v="CIRCLES GROUP, S.A."/>
    <s v="Euros"/>
    <n v="13570.93"/>
    <n v="2467.44"/>
    <n v="2467.44"/>
    <n v="0"/>
    <m/>
    <n v="0"/>
    <m/>
    <n v="0"/>
    <m/>
    <n v="0"/>
    <m/>
    <n v="0"/>
  </r>
  <r>
    <s v="ARAYTOR"/>
    <s v="B82604968"/>
    <s v="CE92727"/>
    <n v="32519"/>
    <s v="2600424"/>
    <s v="2026000239"/>
    <s v="Produccion"/>
    <s v="Correduría"/>
    <s v="Temporal"/>
    <s v="Cobrado"/>
    <x v="18"/>
    <d v="2026-01-08T00:00:00"/>
    <d v="2026-01-21T00:00:00"/>
    <m/>
    <m/>
    <m/>
    <m/>
    <s v="Unico"/>
    <s v="Contingencias"/>
    <s v="Contingencias"/>
    <x v="9"/>
    <s v="CIRCLES GROUP, S.A."/>
    <s v="Euros"/>
    <n v="2312.79"/>
    <n v="420.5"/>
    <n v="420.5"/>
    <n v="0"/>
    <m/>
    <n v="0"/>
    <m/>
    <n v="0"/>
    <m/>
    <n v="0"/>
    <m/>
    <n v="0"/>
  </r>
  <r>
    <s v="ARAYTOR"/>
    <s v="B82604968"/>
    <s v="CE92727"/>
    <n v="32519"/>
    <s v="2600425"/>
    <s v="2026000240"/>
    <s v="Produccion"/>
    <s v="Correduría"/>
    <s v="Temporal"/>
    <s v="Facturado"/>
    <x v="18"/>
    <d v="2026-01-08T00:00:00"/>
    <m/>
    <m/>
    <m/>
    <m/>
    <m/>
    <s v="Unico"/>
    <s v="Contingencias"/>
    <s v="Contingencias"/>
    <x v="9"/>
    <s v="CIRCLES GROUP, S.A."/>
    <s v="Euros"/>
    <n v="2312.79"/>
    <n v="420.5"/>
    <n v="420.5"/>
    <n v="0"/>
    <m/>
    <n v="0"/>
    <m/>
    <n v="0"/>
    <m/>
    <n v="0"/>
    <m/>
    <n v="0"/>
  </r>
  <r>
    <s v="ARAYTOR"/>
    <s v="B70507215"/>
    <s v="CE92768"/>
    <n v="32520"/>
    <s v="2600430"/>
    <s v="2026000241"/>
    <s v="Produccion"/>
    <s v="Correduría"/>
    <s v="Temporal"/>
    <s v="Cobrado"/>
    <x v="18"/>
    <d v="2025-12-02T00:00:00"/>
    <d v="2026-01-21T00:00:00"/>
    <m/>
    <m/>
    <m/>
    <m/>
    <s v="Unico"/>
    <s v="Contingencias"/>
    <s v="Contingencias"/>
    <x v="9"/>
    <s v="CIRCLES GROUP, S.A."/>
    <s v="Euros"/>
    <n v="5457.24"/>
    <n v="992.23"/>
    <n v="992.23"/>
    <n v="0"/>
    <m/>
    <n v="0"/>
    <m/>
    <n v="0"/>
    <m/>
    <n v="0"/>
    <m/>
    <n v="0"/>
  </r>
  <r>
    <s v="ARAYTOR"/>
    <s v="B70507215"/>
    <s v="CE92768"/>
    <n v="32520"/>
    <s v="2600432"/>
    <s v="2026000242"/>
    <s v="Produccion"/>
    <s v="Correduría"/>
    <s v="Temporal"/>
    <s v="Facturado"/>
    <x v="18"/>
    <d v="2025-12-02T00:00:00"/>
    <m/>
    <m/>
    <m/>
    <m/>
    <m/>
    <s v="Unico"/>
    <s v="Contingencias"/>
    <s v="Contingencias"/>
    <x v="9"/>
    <s v="CIRCLES GROUP, S.A."/>
    <s v="Euros"/>
    <n v="10914.47"/>
    <n v="1984.44"/>
    <n v="1984.44"/>
    <n v="0"/>
    <m/>
    <n v="0"/>
    <m/>
    <n v="0"/>
    <m/>
    <n v="0"/>
    <m/>
    <n v="0"/>
  </r>
  <r>
    <s v="ARAYTOR"/>
    <s v="B70507215"/>
    <s v="CE92768"/>
    <n v="32520"/>
    <s v="2600431"/>
    <s v="2026000243"/>
    <s v="Produccion"/>
    <s v="Correduría"/>
    <s v="Temporal"/>
    <s v="Facturado"/>
    <x v="18"/>
    <d v="2025-12-02T00:00:00"/>
    <m/>
    <m/>
    <m/>
    <m/>
    <m/>
    <s v="Unico"/>
    <s v="Contingencias"/>
    <s v="Contingencias"/>
    <x v="9"/>
    <s v="CIRCLES GROUP, S.A."/>
    <s v="Euros"/>
    <n v="10914.47"/>
    <n v="1984.44"/>
    <n v="1984.44"/>
    <n v="0"/>
    <m/>
    <n v="0"/>
    <m/>
    <n v="0"/>
    <m/>
    <n v="0"/>
    <m/>
    <n v="0"/>
  </r>
  <r>
    <s v="ARAYTOR"/>
    <s v="B21919113"/>
    <s v="CE92983"/>
    <n v="32521"/>
    <s v="2600429"/>
    <s v="2026000244"/>
    <s v="Produccion"/>
    <s v="Correduría"/>
    <s v="Temporal"/>
    <s v="Cobrado"/>
    <x v="18"/>
    <d v="2026-01-07T00:00:00"/>
    <d v="2026-01-14T00:00:00"/>
    <m/>
    <m/>
    <m/>
    <d v="2026-02-03T00:00:00"/>
    <s v="Unico"/>
    <s v="Contingencias"/>
    <s v="Contingencias"/>
    <x v="9"/>
    <s v="CIRCLES GROUP, S.A."/>
    <s v="Euros"/>
    <n v="12657.64"/>
    <n v="2301.39"/>
    <n v="2301.39"/>
    <n v="0"/>
    <m/>
    <n v="0"/>
    <m/>
    <n v="0"/>
    <m/>
    <n v="0"/>
    <m/>
    <n v="0"/>
  </r>
  <r>
    <s v="ARAYTOR"/>
    <s v="B21663943"/>
    <s v="CE92984"/>
    <n v="32522"/>
    <s v="2600428"/>
    <s v="2026000245"/>
    <s v="Produccion"/>
    <s v="Correduría"/>
    <s v="Temporal"/>
    <s v="Cobrado"/>
    <x v="18"/>
    <d v="2026-01-07T00:00:00"/>
    <d v="2026-01-13T00:00:00"/>
    <m/>
    <m/>
    <m/>
    <d v="2026-02-03T00:00:00"/>
    <s v="Unico"/>
    <s v="Contingencias"/>
    <s v="Contingencias"/>
    <x v="9"/>
    <s v="CIRCLES GROUP, S.A."/>
    <s v="Euros"/>
    <n v="23472.45"/>
    <n v="4267.72"/>
    <n v="4267.72"/>
    <n v="0"/>
    <m/>
    <n v="0"/>
    <m/>
    <n v="0"/>
    <m/>
    <n v="0"/>
    <m/>
    <n v="0"/>
  </r>
  <r>
    <s v="ARAYTOR"/>
    <s v="B22524458"/>
    <s v="CE92985"/>
    <n v="32523"/>
    <s v="2600427"/>
    <s v="2026000246"/>
    <s v="Produccion"/>
    <s v="Correduría"/>
    <s v="Temporal"/>
    <s v="Cobrado"/>
    <x v="18"/>
    <d v="2026-01-07T00:00:00"/>
    <d v="2026-01-15T00:00:00"/>
    <m/>
    <m/>
    <m/>
    <d v="2026-02-03T00:00:00"/>
    <s v="Unico"/>
    <s v="Contingencias"/>
    <s v="Contingencias"/>
    <x v="9"/>
    <s v="CIRCLES GROUP, S.A."/>
    <s v="Euros"/>
    <n v="26447.75"/>
    <n v="4808.68"/>
    <n v="4808.68"/>
    <n v="0"/>
    <m/>
    <n v="0"/>
    <m/>
    <n v="0"/>
    <m/>
    <n v="0"/>
    <m/>
    <n v="0"/>
  </r>
  <r>
    <s v="ARAYTOR"/>
    <s v="B11459435"/>
    <s v="CE93050"/>
    <n v="32508"/>
    <s v="2600261"/>
    <s v="2026000247"/>
    <s v="Produccion"/>
    <s v="Correduría"/>
    <s v="Temporal"/>
    <s v="Cobrado"/>
    <x v="18"/>
    <d v="2026-01-02T00:00:00"/>
    <d v="2026-02-02T00:00:00"/>
    <m/>
    <m/>
    <m/>
    <m/>
    <s v="Unico"/>
    <s v="Contingencias"/>
    <s v="Contingencias"/>
    <x v="9"/>
    <s v="CIRCLES GROUP, S.A."/>
    <s v="Euros"/>
    <n v="1243.77"/>
    <n v="226.14"/>
    <n v="226.14"/>
    <n v="0"/>
    <m/>
    <n v="0"/>
    <m/>
    <n v="0"/>
    <m/>
    <n v="0"/>
    <m/>
    <n v="0"/>
  </r>
  <r>
    <s v="ARAYTOR"/>
    <s v="B11459435"/>
    <s v="CE93050"/>
    <n v="32508"/>
    <s v="2600262"/>
    <s v="2026000248"/>
    <s v="Produccion"/>
    <s v="Correduría"/>
    <s v="Temporal"/>
    <s v="Facturado"/>
    <x v="18"/>
    <d v="2026-01-02T00:00:00"/>
    <m/>
    <m/>
    <m/>
    <m/>
    <m/>
    <s v="Unico"/>
    <s v="Contingencias"/>
    <s v="Contingencias"/>
    <x v="9"/>
    <s v="CIRCLES GROUP, S.A."/>
    <s v="Euros"/>
    <n v="5596.96"/>
    <n v="1017.62"/>
    <n v="1017.62"/>
    <n v="0"/>
    <m/>
    <n v="0"/>
    <m/>
    <n v="0"/>
    <m/>
    <n v="0"/>
    <m/>
    <n v="0"/>
  </r>
  <r>
    <s v="ARAYTOR"/>
    <s v="B11459435"/>
    <s v="CE93050"/>
    <n v="32508"/>
    <s v="2600263"/>
    <s v="2026000249"/>
    <s v="Produccion"/>
    <s v="Correduría"/>
    <s v="Temporal"/>
    <s v="Facturado"/>
    <x v="18"/>
    <d v="2026-01-02T00:00:00"/>
    <m/>
    <m/>
    <m/>
    <m/>
    <m/>
    <s v="Unico"/>
    <s v="Contingencias"/>
    <s v="Contingencias"/>
    <x v="9"/>
    <s v="CIRCLES GROUP, S.A."/>
    <s v="Euros"/>
    <n v="5596.96"/>
    <n v="1017.62"/>
    <n v="1017.62"/>
    <n v="0"/>
    <m/>
    <n v="0"/>
    <m/>
    <n v="0"/>
    <m/>
    <n v="0"/>
    <m/>
    <n v="0"/>
  </r>
  <r>
    <s v="ARAYTOR"/>
    <s v="B44884518"/>
    <s v="CE87569-CE93178"/>
    <n v="32524"/>
    <s v="2600426"/>
    <s v="2026000250"/>
    <s v="Produccion"/>
    <s v="Correduría"/>
    <s v="Temporal"/>
    <s v="Cobrado"/>
    <x v="18"/>
    <d v="2026-01-05T00:00:00"/>
    <d v="2026-01-15T00:00:00"/>
    <m/>
    <m/>
    <m/>
    <d v="2026-02-03T00:00:00"/>
    <s v="Unico"/>
    <s v="Contingencias"/>
    <s v="Contingencias"/>
    <x v="9"/>
    <s v="CIRCLES GROUP, S.A."/>
    <s v="Euros"/>
    <n v="3752.38"/>
    <n v="682.26"/>
    <n v="682.26"/>
    <n v="0"/>
    <m/>
    <n v="0"/>
    <m/>
    <n v="0"/>
    <m/>
    <n v="0"/>
    <m/>
    <n v="0"/>
  </r>
  <r>
    <s v="ARAYTOR"/>
    <s v="B86911633"/>
    <s v="CE93188"/>
    <n v="32514"/>
    <s v="2600244"/>
    <s v="2026000251"/>
    <s v="Produccion"/>
    <s v="Correduría"/>
    <s v="Temporal"/>
    <s v="Cobrado"/>
    <x v="18"/>
    <d v="2026-01-07T00:00:00"/>
    <d v="2026-01-15T00:00:00"/>
    <m/>
    <m/>
    <m/>
    <d v="2026-02-03T00:00:00"/>
    <s v="Unico"/>
    <s v="Contingencias"/>
    <s v="Contingencias"/>
    <x v="9"/>
    <s v="CIRCLES GROUP, S.A."/>
    <s v="Euros"/>
    <n v="998.61"/>
    <n v="181.56"/>
    <n v="181.56"/>
    <n v="0"/>
    <m/>
    <n v="0"/>
    <m/>
    <n v="0"/>
    <m/>
    <n v="0"/>
    <m/>
    <n v="0"/>
  </r>
  <r>
    <s v="ARAYTOR"/>
    <s v="B54374996"/>
    <s v="CE93210"/>
    <n v="32509"/>
    <s v="2600264"/>
    <s v="2026000252"/>
    <s v="Produccion"/>
    <s v="Correduría"/>
    <s v="Temporal"/>
    <s v="Cobrado"/>
    <x v="18"/>
    <d v="2026-01-07T00:00:00"/>
    <d v="2026-01-15T00:00:00"/>
    <m/>
    <m/>
    <m/>
    <d v="2026-02-03T00:00:00"/>
    <s v="Unico"/>
    <s v="Contingencias"/>
    <s v="Contingencias"/>
    <x v="9"/>
    <s v="CIRCLES GROUP, S.A."/>
    <s v="Euros"/>
    <n v="1364.31"/>
    <n v="248.06"/>
    <n v="248.06"/>
    <n v="0"/>
    <m/>
    <n v="0"/>
    <m/>
    <n v="0"/>
    <m/>
    <n v="0"/>
    <m/>
    <n v="0"/>
  </r>
  <r>
    <s v="ARAYTOR"/>
    <s v="B60448487"/>
    <s v="042743355-00095"/>
    <n v="32526"/>
    <s v="878947583"/>
    <s v="2026000253"/>
    <s v="Produccion"/>
    <s v="Correduría"/>
    <s v="Temporal"/>
    <s v="Anulado"/>
    <x v="18"/>
    <d v="2025-12-01T00:00:00"/>
    <m/>
    <d v="2026-02-01T00:00:00"/>
    <d v="2026-01-08T00:00:00"/>
    <m/>
    <m/>
    <s v="Unico"/>
    <s v="378 Multimodal (Transportistas/Cargadodr"/>
    <s v="Daños Cargador"/>
    <x v="6"/>
    <s v="ALLIANZ"/>
    <s v="Euros"/>
    <n v="192.34"/>
    <n v="33.659999999999997"/>
    <n v="33.659999999999997"/>
    <n v="0"/>
    <m/>
    <n v="0"/>
    <m/>
    <n v="0"/>
    <m/>
    <n v="0"/>
    <m/>
    <n v="0"/>
  </r>
  <r>
    <s v="ARAYTOR"/>
    <s v="B60448487"/>
    <s v="042743355-00095"/>
    <n v="32526"/>
    <s v="878948045"/>
    <s v="2026000254"/>
    <s v="Produccion"/>
    <s v="Correduría"/>
    <s v="Temporal"/>
    <s v="Cobrado"/>
    <x v="18"/>
    <d v="2025-12-01T00:00:00"/>
    <d v="2026-01-23T00:00:00"/>
    <m/>
    <m/>
    <m/>
    <d v="2026-02-01T00:00:00"/>
    <s v="Unico"/>
    <s v="378 Multimodal (Transportistas/Cargadodr"/>
    <s v="Daños Cargador"/>
    <x v="6"/>
    <s v="ALLIANZ"/>
    <s v="Euros"/>
    <n v="177.84"/>
    <n v="31.12"/>
    <n v="31.12"/>
    <n v="0"/>
    <m/>
    <n v="0"/>
    <m/>
    <n v="0"/>
    <m/>
    <n v="0"/>
    <m/>
    <n v="0"/>
  </r>
  <r>
    <s v="ARAYTOR"/>
    <s v="A58025313"/>
    <s v="20/7527707"/>
    <n v="32527"/>
    <s v="264084762"/>
    <s v="2026000255"/>
    <s v="Produccion"/>
    <s v="Correduría"/>
    <s v="Renovable"/>
    <s v="Anulado"/>
    <x v="18"/>
    <d v="2026-02-10T00:00:00"/>
    <m/>
    <d v="2026-03-01T00:00:00"/>
    <d v="2026-02-01T00:00:00"/>
    <m/>
    <m/>
    <s v="Anual"/>
    <s v="N - 20 Normal"/>
    <s v="Vehiculos"/>
    <x v="1"/>
    <s v="FIATC "/>
    <s v="Euros"/>
    <n v="785.22"/>
    <n v="62.83"/>
    <n v="62.83"/>
    <n v="0"/>
    <m/>
    <n v="0"/>
    <m/>
    <n v="0"/>
    <m/>
    <n v="0"/>
    <m/>
    <n v="0"/>
  </r>
  <r>
    <s v="ARAYTOR"/>
    <s v="B17858630"/>
    <s v="ESBOP247259"/>
    <n v="27765"/>
    <m/>
    <s v="2026000256"/>
    <s v="Cartera"/>
    <s v="Correduría"/>
    <s v="Renovable"/>
    <s v="Cobrado"/>
    <x v="18"/>
    <d v="2025-12-01T00:00:00"/>
    <d v="2026-01-29T00:00:00"/>
    <m/>
    <m/>
    <m/>
    <m/>
    <s v="Mensual"/>
    <s v="Ticketing"/>
    <s v="Asistencia en Viaje"/>
    <x v="7"/>
    <s v="CHUBB EUROPEAN GROUP LIMITED"/>
    <s v="Euros"/>
    <n v="231.16"/>
    <n v="11.56"/>
    <n v="11.56"/>
    <n v="0"/>
    <m/>
    <n v="0"/>
    <m/>
    <n v="0"/>
    <m/>
    <n v="0"/>
    <m/>
    <n v="0"/>
  </r>
  <r>
    <s v="ARAYTOR"/>
    <s v="U72934029"/>
    <s v="RCEXP-CA14245"/>
    <n v="26364"/>
    <s v="2526182"/>
    <s v="2026000257"/>
    <s v="Produccion"/>
    <s v="Correduría"/>
    <s v="Temporal"/>
    <s v="Cobrado"/>
    <x v="19"/>
    <d v="2025-05-01T00:00:00"/>
    <d v="2026-01-11T00:00:00"/>
    <m/>
    <m/>
    <m/>
    <d v="2026-02-03T00:00:00"/>
    <s v="Unico"/>
    <s v="RC Empresa"/>
    <s v="RC Empresa"/>
    <x v="0"/>
    <s v="CIRCLES GROUP, S.A."/>
    <s v="Euros"/>
    <n v="13050"/>
    <n v="2372.7199999999998"/>
    <n v="2372.7199999999998"/>
    <n v="0"/>
    <m/>
    <n v="0"/>
    <m/>
    <n v="0"/>
    <m/>
    <n v="0"/>
    <m/>
    <n v="0"/>
  </r>
  <r>
    <s v="ARAYTOR"/>
    <s v="U72934029"/>
    <s v="RCEXP-CA14245"/>
    <n v="26364"/>
    <s v="2600037"/>
    <s v="2026000258"/>
    <s v="Produccion"/>
    <s v="Correduría"/>
    <s v="Temporal"/>
    <s v="Cobrado"/>
    <x v="19"/>
    <d v="2025-05-01T00:00:00"/>
    <d v="2026-01-11T00:00:00"/>
    <m/>
    <m/>
    <m/>
    <d v="2026-02-03T00:00:00"/>
    <s v="Unico"/>
    <s v="RC Empresa"/>
    <s v="RC Empresa"/>
    <x v="0"/>
    <s v="CIRCLES GROUP, S.A."/>
    <s v="Euros"/>
    <n v="-13050"/>
    <n v="-2372.7199999999998"/>
    <n v="-2372.7199999999998"/>
    <n v="0"/>
    <m/>
    <n v="0"/>
    <m/>
    <n v="0"/>
    <m/>
    <n v="0"/>
    <m/>
    <n v="0"/>
  </r>
  <r>
    <s v="ARAYTOR"/>
    <s v="V56080849"/>
    <s v="CE92366"/>
    <n v="32186"/>
    <s v="2600438"/>
    <s v="2026000259"/>
    <s v="Produccion"/>
    <s v="Correduría"/>
    <s v="Temporal"/>
    <s v="Cobrado"/>
    <x v="19"/>
    <d v="2025-11-06T00:00:00"/>
    <d v="2026-01-12T00:00:00"/>
    <m/>
    <m/>
    <m/>
    <m/>
    <s v="Unico"/>
    <s v="Contingencias"/>
    <s v="Contingencias"/>
    <x v="9"/>
    <s v="CIRCLES GROUP, S.A."/>
    <s v="Euros"/>
    <n v="10402.23"/>
    <n v="1891.32"/>
    <n v="1891.32"/>
    <n v="0"/>
    <m/>
    <n v="0"/>
    <m/>
    <n v="0"/>
    <m/>
    <n v="0"/>
    <m/>
    <n v="0"/>
  </r>
  <r>
    <s v="ARAYTOR"/>
    <s v="V56080849"/>
    <s v="CE92366"/>
    <n v="32186"/>
    <s v="2600439"/>
    <s v="2026000260"/>
    <s v="Produccion"/>
    <s v="Correduría"/>
    <s v="Temporal"/>
    <s v="Facturado"/>
    <x v="19"/>
    <d v="2025-11-06T00:00:00"/>
    <m/>
    <m/>
    <m/>
    <m/>
    <m/>
    <s v="Unico"/>
    <s v="Contingencias"/>
    <s v="Contingencias"/>
    <x v="9"/>
    <s v="CIRCLES GROUP, S.A."/>
    <s v="Euros"/>
    <n v="10402.23"/>
    <n v="1891.32"/>
    <n v="1891.32"/>
    <n v="0"/>
    <m/>
    <n v="0"/>
    <m/>
    <n v="0"/>
    <m/>
    <n v="0"/>
    <m/>
    <n v="0"/>
  </r>
  <r>
    <s v="ARAYTOR"/>
    <s v="B67875161"/>
    <s v="CE93104"/>
    <n v="32528"/>
    <s v="2600497"/>
    <s v="2026000261"/>
    <s v="Produccion"/>
    <s v="Correduría"/>
    <s v="Temporal"/>
    <s v="Cobrado"/>
    <x v="19"/>
    <d v="2026-01-08T00:00:00"/>
    <d v="2026-01-14T00:00:00"/>
    <m/>
    <m/>
    <m/>
    <d v="2026-02-15T00:00:00"/>
    <s v="Unico"/>
    <s v="Contingencias"/>
    <s v="Contingencias"/>
    <x v="9"/>
    <s v="CIRCLES GROUP, S.A."/>
    <s v="Euros"/>
    <n v="1771.08"/>
    <n v="322.02"/>
    <n v="322.02"/>
    <n v="0"/>
    <m/>
    <n v="0"/>
    <m/>
    <n v="0"/>
    <m/>
    <n v="0"/>
    <m/>
    <n v="0"/>
  </r>
  <r>
    <s v="ARAYTOR"/>
    <s v="B11459435"/>
    <s v="CE93056"/>
    <n v="32529"/>
    <s v="2600433"/>
    <s v="2026000262"/>
    <s v="Produccion"/>
    <s v="Correduría"/>
    <s v="Temporal"/>
    <s v="Cobrado"/>
    <x v="19"/>
    <d v="2026-01-08T00:00:00"/>
    <d v="2026-02-02T00:00:00"/>
    <m/>
    <m/>
    <m/>
    <m/>
    <s v="Unico"/>
    <s v="Contingencias"/>
    <s v="Contingencias"/>
    <x v="9"/>
    <s v="CIRCLES GROUP, S.A."/>
    <s v="Euros"/>
    <n v="7872.49"/>
    <n v="1431.36"/>
    <n v="1431.36"/>
    <n v="0"/>
    <m/>
    <n v="0"/>
    <m/>
    <n v="0"/>
    <m/>
    <n v="0"/>
    <m/>
    <n v="0"/>
  </r>
  <r>
    <s v="ARAYTOR"/>
    <s v="B11459435"/>
    <s v="CE93056"/>
    <n v="32529"/>
    <s v="2600434"/>
    <s v="2026000263"/>
    <s v="Produccion"/>
    <s v="Correduría"/>
    <s v="Temporal"/>
    <s v="Facturado"/>
    <x v="19"/>
    <d v="2026-01-08T00:00:00"/>
    <m/>
    <m/>
    <m/>
    <m/>
    <m/>
    <s v="Unico"/>
    <s v="Contingencias"/>
    <s v="Contingencias"/>
    <x v="9"/>
    <s v="CIRCLES GROUP, S.A."/>
    <s v="Euros"/>
    <n v="19681.23"/>
    <n v="3578.4"/>
    <n v="3578.4"/>
    <n v="0"/>
    <m/>
    <n v="0"/>
    <m/>
    <n v="0"/>
    <m/>
    <n v="0"/>
    <m/>
    <n v="0"/>
  </r>
  <r>
    <s v="ARAYTOR"/>
    <s v="B11459435"/>
    <s v="CE93056"/>
    <n v="32529"/>
    <s v="2600435"/>
    <s v="2026000264"/>
    <s v="Produccion"/>
    <s v="Correduría"/>
    <s v="Temporal"/>
    <s v="Facturado"/>
    <x v="19"/>
    <d v="2026-01-08T00:00:00"/>
    <m/>
    <m/>
    <m/>
    <m/>
    <m/>
    <s v="Unico"/>
    <s v="Contingencias"/>
    <s v="Contingencias"/>
    <x v="9"/>
    <s v="CIRCLES GROUP, S.A."/>
    <s v="Euros"/>
    <n v="27553.72"/>
    <n v="5009.76"/>
    <n v="5009.76"/>
    <n v="0"/>
    <m/>
    <n v="0"/>
    <m/>
    <n v="0"/>
    <m/>
    <n v="0"/>
    <m/>
    <n v="0"/>
  </r>
  <r>
    <s v="ARAYTOR"/>
    <s v="B11459435"/>
    <s v="CE93056"/>
    <n v="32529"/>
    <s v="2600436"/>
    <s v="2026000265"/>
    <s v="Produccion"/>
    <s v="Correduría"/>
    <s v="Temporal"/>
    <s v="Facturado"/>
    <x v="19"/>
    <d v="2026-01-08T00:00:00"/>
    <m/>
    <m/>
    <m/>
    <m/>
    <m/>
    <s v="Unico"/>
    <s v="Contingencias"/>
    <s v="Contingencias"/>
    <x v="9"/>
    <s v="CIRCLES GROUP, S.A."/>
    <s v="Euros"/>
    <n v="23617.48"/>
    <n v="4294.09"/>
    <n v="4294.09"/>
    <n v="0"/>
    <m/>
    <n v="0"/>
    <m/>
    <n v="0"/>
    <m/>
    <n v="0"/>
    <m/>
    <n v="0"/>
  </r>
  <r>
    <s v="ARAYTOR"/>
    <s v="46350061R"/>
    <s v="8-6.087.271-E"/>
    <n v="16911"/>
    <s v="472685128-H"/>
    <s v="2026000275"/>
    <s v="Cartera"/>
    <s v="Correduría"/>
    <s v="Renovable"/>
    <s v="Cobrado"/>
    <x v="19"/>
    <d v="2026-02-24T00:00:00"/>
    <d v="2026-02-24T00:00:00"/>
    <m/>
    <m/>
    <m/>
    <d v="2026-03-01T00:00:00"/>
    <s v="Anual"/>
    <s v="01685 Hogar"/>
    <s v="Hogar"/>
    <x v="2"/>
    <s v="OCCIDENT GCO, S.A.U."/>
    <s v="Euros"/>
    <n v="237.03"/>
    <n v="56.41"/>
    <n v="56.41"/>
    <n v="0"/>
    <m/>
    <n v="0"/>
    <m/>
    <n v="0"/>
    <m/>
    <n v="0"/>
    <m/>
    <n v="0"/>
  </r>
  <r>
    <s v="ARAYTOR"/>
    <s v="B62533062"/>
    <s v="8-11.070.813-H"/>
    <n v="30323"/>
    <s v="472697627-V"/>
    <s v="2026000276"/>
    <s v="Suplemento modificacion de produccion"/>
    <s v="Correduría"/>
    <s v="Renovable"/>
    <s v="Cobrado"/>
    <x v="19"/>
    <d v="2024-12-31T00:00:00"/>
    <d v="2026-01-12T00:00:00"/>
    <m/>
    <m/>
    <m/>
    <d v="2026-03-01T00:00:00"/>
    <s v="Anual"/>
    <s v="01245 - Resp. Civil Profesional"/>
    <s v="RC Profesional"/>
    <x v="8"/>
    <s v="OCCIDENT GCO, S.A.U."/>
    <s v="Euros"/>
    <n v="511.48"/>
    <n v="76.73"/>
    <n v="76.73"/>
    <n v="0"/>
    <m/>
    <n v="0"/>
    <m/>
    <n v="0"/>
    <m/>
    <n v="0"/>
    <m/>
    <n v="0"/>
  </r>
  <r>
    <s v="ARAYTOR"/>
    <s v="B50717750"/>
    <s v="050081337-00084"/>
    <n v="26304"/>
    <s v="879048654"/>
    <s v="2026000277"/>
    <s v="Ajustes"/>
    <s v="Correduría"/>
    <s v="Renovable"/>
    <s v="Cobrado"/>
    <x v="19"/>
    <d v="2025-09-28T00:00:00"/>
    <d v="2026-01-11T00:00:00"/>
    <m/>
    <m/>
    <m/>
    <d v="2026-02-01T00:00:00"/>
    <s v="Anual"/>
    <s v="1221 Allianz V.03 (VH.Com.2ª categ.)"/>
    <s v="Vehiculos"/>
    <x v="1"/>
    <s v="ALLIANZ"/>
    <s v="Euros"/>
    <n v="-1823.23"/>
    <n v="-145.86000000000001"/>
    <n v="-145.86000000000001"/>
    <n v="0"/>
    <m/>
    <n v="0"/>
    <m/>
    <n v="0"/>
    <m/>
    <n v="0"/>
    <m/>
    <n v="0"/>
  </r>
  <r>
    <s v="ARAYTOR"/>
    <s v="38109730H"/>
    <s v="038301593"/>
    <n v="16731"/>
    <s v="588731764"/>
    <s v="2026000278"/>
    <s v="Cartera"/>
    <s v="Compañía"/>
    <s v="Renovable"/>
    <s v="Facturado"/>
    <x v="19"/>
    <d v="2026-03-23T00:00:00"/>
    <m/>
    <m/>
    <m/>
    <m/>
    <m/>
    <s v="Mensual"/>
    <s v="68 - Allianz Riesgo Renovable"/>
    <s v="Vida Individual"/>
    <x v="5"/>
    <s v="ALLIANZ"/>
    <s v="Euros"/>
    <n v="103.21"/>
    <n v="21.05"/>
    <n v="21.05"/>
    <n v="0"/>
    <m/>
    <n v="0"/>
    <m/>
    <n v="0"/>
    <m/>
    <n v="0"/>
    <m/>
    <n v="0"/>
  </r>
  <r>
    <s v="ARAYTOR"/>
    <s v="B64069917"/>
    <s v="65/5143777"/>
    <n v="19865"/>
    <s v="264085916"/>
    <s v="2026000279"/>
    <s v="Suplemento modificacion de produccion"/>
    <s v="Correduría"/>
    <s v="Renovable"/>
    <s v="Cobrado"/>
    <x v="19"/>
    <d v="2026-01-08T00:00:00"/>
    <d v="2026-01-26T00:00:00"/>
    <m/>
    <m/>
    <d v="2026-03-01T00:00:00"/>
    <d v="2026-04-01T00:00:00"/>
    <s v="Anual"/>
    <s v="0120 - Maxi Hogar 3000"/>
    <s v="Hogar"/>
    <x v="2"/>
    <s v="FIATC "/>
    <s v="Euros"/>
    <n v="185.7"/>
    <n v="46.43"/>
    <n v="46.43"/>
    <n v="0"/>
    <m/>
    <n v="0"/>
    <s v="PADUQUATRE, S.L."/>
    <n v="23.22"/>
    <m/>
    <n v="0"/>
    <m/>
    <n v="0"/>
  </r>
  <r>
    <s v="ARAYTOR"/>
    <s v="A58025313"/>
    <s v="20/7527707"/>
    <n v="32527"/>
    <s v="264086327"/>
    <s v="2026000280"/>
    <s v="Produccion"/>
    <s v="Correduría"/>
    <s v="Renovable"/>
    <s v="Cobrado"/>
    <x v="19"/>
    <d v="2026-02-10T00:00:00"/>
    <d v="2026-02-20T00:00:00"/>
    <m/>
    <m/>
    <m/>
    <d v="2026-04-01T00:00:00"/>
    <s v="Anual"/>
    <s v="N - 20 Normal"/>
    <s v="Vehiculos"/>
    <x v="1"/>
    <s v="FIATC "/>
    <s v="Euros"/>
    <n v="629.78"/>
    <n v="50.38"/>
    <n v="50.38"/>
    <n v="0"/>
    <m/>
    <n v="0"/>
    <m/>
    <n v="0"/>
    <m/>
    <n v="0"/>
    <m/>
    <n v="0"/>
  </r>
  <r>
    <s v="ARAYTOR"/>
    <s v="A58569815"/>
    <s v="CE93100"/>
    <n v="32440"/>
    <s v="2525449"/>
    <s v="2026000281"/>
    <s v="Produccion"/>
    <s v="Correduría"/>
    <s v="Temporal"/>
    <s v="Cobrado"/>
    <x v="19"/>
    <d v="2025-12-22T00:00:00"/>
    <d v="2026-01-28T00:00:00"/>
    <m/>
    <m/>
    <m/>
    <m/>
    <s v="Unico"/>
    <s v="Contingencias"/>
    <s v="Contingencias"/>
    <x v="9"/>
    <s v="CIRCLES GROUP, S.A."/>
    <s v="Euros"/>
    <n v="93379.41"/>
    <n v="16078.07"/>
    <n v="16078.07"/>
    <n v="0"/>
    <m/>
    <n v="0"/>
    <m/>
    <n v="0"/>
    <m/>
    <n v="0"/>
    <m/>
    <n v="0"/>
  </r>
  <r>
    <s v="ARAYTOR"/>
    <s v="A58569815"/>
    <s v="CE93100"/>
    <n v="32440"/>
    <s v="2525450"/>
    <s v="2026000282"/>
    <s v="Produccion"/>
    <s v="Correduría"/>
    <s v="Temporal"/>
    <s v="Facturado"/>
    <x v="19"/>
    <d v="2025-12-22T00:00:00"/>
    <m/>
    <m/>
    <m/>
    <m/>
    <m/>
    <s v="Unico"/>
    <s v="Contingencias"/>
    <s v="Contingencias"/>
    <x v="9"/>
    <s v="CIRCLES GROUP, S.A."/>
    <s v="Euros"/>
    <n v="-18675.88"/>
    <n v="-3395.62"/>
    <n v="-3395.62"/>
    <n v="0"/>
    <m/>
    <n v="0"/>
    <m/>
    <n v="0"/>
    <m/>
    <n v="0"/>
    <m/>
    <n v="0"/>
  </r>
  <r>
    <s v="ARAYTOR"/>
    <s v="B66848896"/>
    <s v="RCEXP-CA4906"/>
    <n v="20390"/>
    <s v="2525460"/>
    <s v="2026000283"/>
    <s v="Produccion"/>
    <s v="Correduría"/>
    <s v="Temporal"/>
    <s v="Cobrado"/>
    <x v="19"/>
    <d v="2026-01-01T00:00:00"/>
    <d v="2026-01-26T00:00:00"/>
    <m/>
    <m/>
    <m/>
    <d v="2026-02-03T00:00:00"/>
    <s v="Unico"/>
    <s v="RC Empresa"/>
    <s v="RC Empresa"/>
    <x v="0"/>
    <s v="CIRCLES GROUP, S.A."/>
    <s v="Euros"/>
    <n v="31656.27"/>
    <n v="5755.69"/>
    <n v="5755.69"/>
    <n v="0"/>
    <m/>
    <n v="0"/>
    <m/>
    <n v="0"/>
    <m/>
    <n v="0"/>
    <m/>
    <n v="0"/>
  </r>
  <r>
    <s v="ARAYTOR"/>
    <s v="B56299928"/>
    <s v="RCEXP-CA17209"/>
    <n v="30372"/>
    <s v="2525445"/>
    <s v="2026000284"/>
    <s v="Produccion"/>
    <s v="Correduría"/>
    <s v="Temporal"/>
    <s v="Cobrado"/>
    <x v="19"/>
    <d v="2025-12-31T00:00:00"/>
    <d v="2026-01-12T00:00:00"/>
    <m/>
    <m/>
    <m/>
    <d v="2026-02-03T00:00:00"/>
    <s v="Unico"/>
    <s v="RC Empresa"/>
    <s v="RC Empresa"/>
    <x v="0"/>
    <s v="CIRCLES GROUP, S.A."/>
    <s v="Euros"/>
    <n v="878.41"/>
    <n v="159.71"/>
    <n v="159.71"/>
    <n v="0"/>
    <m/>
    <n v="0"/>
    <m/>
    <n v="0"/>
    <m/>
    <n v="0"/>
    <m/>
    <n v="0"/>
  </r>
  <r>
    <s v="ARAYTOR"/>
    <s v="B55443204"/>
    <s v="CE93120"/>
    <n v="32530"/>
    <s v="2525451"/>
    <s v="2026000285"/>
    <s v="Produccion"/>
    <s v="Correduría"/>
    <s v="Temporal"/>
    <s v="Cobrado"/>
    <x v="19"/>
    <d v="2025-12-22T00:00:00"/>
    <d v="2026-02-02T00:00:00"/>
    <m/>
    <m/>
    <m/>
    <m/>
    <s v="Unico"/>
    <s v="Contingencias"/>
    <s v="Contingencias"/>
    <x v="9"/>
    <s v="CIRCLES GROUP, S.A."/>
    <s v="Euros"/>
    <n v="40305.21"/>
    <n v="7328.22"/>
    <n v="7328.22"/>
    <n v="0"/>
    <m/>
    <n v="0"/>
    <m/>
    <n v="0"/>
    <m/>
    <n v="0"/>
    <m/>
    <n v="0"/>
  </r>
  <r>
    <s v="ARAYTOR"/>
    <s v="B55443204"/>
    <s v="CE93120"/>
    <n v="32530"/>
    <s v="2525452"/>
    <s v="2026000286"/>
    <s v="Produccion"/>
    <s v="Correduría"/>
    <s v="Temporal"/>
    <s v="Facturado"/>
    <x v="19"/>
    <d v="2025-12-22T00:00:00"/>
    <m/>
    <m/>
    <m/>
    <m/>
    <m/>
    <s v="Unico"/>
    <s v="Contingencias"/>
    <s v="Contingencias"/>
    <x v="9"/>
    <s v="CIRCLES GROUP, S.A."/>
    <s v="Euros"/>
    <n v="-8061.07"/>
    <n v="-1465.64"/>
    <n v="-1465.64"/>
    <n v="0"/>
    <m/>
    <n v="0"/>
    <m/>
    <n v="0"/>
    <m/>
    <n v="0"/>
    <m/>
    <n v="0"/>
  </r>
  <r>
    <s v="ARAYTOR"/>
    <s v="B55443402"/>
    <s v="CE87140-CE92371"/>
    <n v="32187"/>
    <s v="2525442"/>
    <s v="2026000287"/>
    <s v="Produccion"/>
    <s v="Correduría"/>
    <s v="Temporal"/>
    <s v="Cobrado"/>
    <x v="19"/>
    <d v="2025-10-27T00:00:00"/>
    <d v="2026-02-02T00:00:00"/>
    <m/>
    <m/>
    <m/>
    <d v="2026-02-15T00:00:00"/>
    <s v="Unico"/>
    <s v="Contingencias"/>
    <s v="Contingencias"/>
    <x v="9"/>
    <s v="CIRCLES GROUP, S.A."/>
    <s v="Euros"/>
    <n v="859.33"/>
    <n v="156.24"/>
    <n v="156.24"/>
    <n v="0"/>
    <m/>
    <n v="0"/>
    <m/>
    <n v="0"/>
    <m/>
    <n v="0"/>
    <m/>
    <n v="0"/>
  </r>
  <r>
    <s v="ARAYTOR"/>
    <s v="B55443402"/>
    <s v="CE87140-CE92371"/>
    <n v="32187"/>
    <s v="2525443"/>
    <s v="2026000288"/>
    <s v="Produccion"/>
    <s v="Correduría"/>
    <s v="Temporal"/>
    <s v="Facturado"/>
    <x v="19"/>
    <d v="2025-10-27T00:00:00"/>
    <m/>
    <m/>
    <m/>
    <m/>
    <d v="2026-02-15T00:00:00"/>
    <s v="Unico"/>
    <s v="Contingencias"/>
    <s v="Contingencias"/>
    <x v="9"/>
    <s v="CIRCLES GROUP, S.A."/>
    <s v="Euros"/>
    <n v="-171.87"/>
    <n v="-31.25"/>
    <n v="-31.25"/>
    <n v="0"/>
    <m/>
    <n v="0"/>
    <m/>
    <n v="0"/>
    <m/>
    <n v="0"/>
    <m/>
    <n v="0"/>
  </r>
  <r>
    <s v="ARAYTOR"/>
    <s v="40279138C"/>
    <s v="81387396"/>
    <n v="14580"/>
    <s v="202600604899"/>
    <s v="2026000289"/>
    <s v="Cartera"/>
    <s v="Compañía"/>
    <s v="Renovable"/>
    <s v="Cobrado"/>
    <x v="20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304.58"/>
    <n v="27.41"/>
    <n v="27.41"/>
    <n v="0"/>
    <m/>
    <n v="0"/>
    <m/>
    <n v="0"/>
    <m/>
    <n v="0"/>
    <m/>
    <n v="0"/>
  </r>
  <r>
    <s v="ARAYTOR"/>
    <s v="40981967S"/>
    <s v="66600580363"/>
    <n v="5137"/>
    <s v="202601382190"/>
    <s v="2026000290"/>
    <s v="Cartera"/>
    <s v="Compañía"/>
    <s v="Renovable"/>
    <s v="Cobrado"/>
    <x v="20"/>
    <d v="2026-01-01T00:00:00"/>
    <d v="2026-01-01T00:00:00"/>
    <m/>
    <m/>
    <d v="2026-01-22T00:00:00"/>
    <d v="2026-01-29T00:00:00"/>
    <s v="Mensual"/>
    <s v="Modular Colectivos"/>
    <s v="Colectivo Salud"/>
    <x v="10"/>
    <s v="SEGURCAIXA ADESLAS, S.A."/>
    <s v="Euros"/>
    <n v="201.38"/>
    <n v="16.11"/>
    <n v="16.11"/>
    <n v="0"/>
    <m/>
    <n v="0"/>
    <s v="TON ABAD (ANTIC)"/>
    <n v="0"/>
    <m/>
    <n v="0"/>
    <m/>
    <n v="0"/>
  </r>
  <r>
    <s v="ARAYTOR"/>
    <s v="78049029R"/>
    <s v="66600580334"/>
    <n v="5117"/>
    <s v="202601369365"/>
    <s v="2026000291"/>
    <s v="Cartera"/>
    <s v="Compañía"/>
    <s v="Renovable"/>
    <s v="Cobrado"/>
    <x v="20"/>
    <d v="2026-01-01T00:00:00"/>
    <d v="2026-01-01T00:00:00"/>
    <m/>
    <m/>
    <d v="2026-01-22T00:00:00"/>
    <d v="2026-01-29T00:00:00"/>
    <s v="Mensual"/>
    <s v="Modular Colectivos"/>
    <s v="Colectivo Salud"/>
    <x v="10"/>
    <s v="SEGURCAIXA ADESLAS, S.A."/>
    <s v="Euros"/>
    <n v="552.38"/>
    <n v="44.19"/>
    <n v="44.19"/>
    <n v="0"/>
    <m/>
    <n v="0"/>
    <s v="TON ABAD (ANTIC)"/>
    <n v="0"/>
    <m/>
    <n v="0"/>
    <m/>
    <n v="0"/>
  </r>
  <r>
    <s v="ARAYTOR"/>
    <s v="06223853F"/>
    <s v="81549417"/>
    <n v="23198"/>
    <s v="202600664206"/>
    <s v="2026000292"/>
    <s v="Cartera"/>
    <s v="Compañía"/>
    <s v="Renovable"/>
    <s v="Cobrado"/>
    <x v="20"/>
    <d v="2026-01-01T00:00:00"/>
    <d v="2026-01-01T00:00:00"/>
    <m/>
    <m/>
    <m/>
    <d v="2026-01-29T00:00:00"/>
    <s v="Mensual"/>
    <s v="Plena Plus"/>
    <s v="Cuadro Cerrado"/>
    <x v="4"/>
    <s v="SEGURCAIXA ADESLAS, S.A."/>
    <s v="Euros"/>
    <n v="85.13"/>
    <n v="7.66"/>
    <n v="7.66"/>
    <n v="0"/>
    <m/>
    <n v="0"/>
    <m/>
    <n v="0"/>
    <m/>
    <n v="0"/>
    <m/>
    <n v="0"/>
  </r>
  <r>
    <s v="ARAYTOR"/>
    <s v="36473908W"/>
    <s v="81366906"/>
    <n v="12698"/>
    <s v="202600656205"/>
    <s v="2026000293"/>
    <s v="Cartera"/>
    <s v="Compañía"/>
    <s v="Renovable"/>
    <s v="Cobrado"/>
    <x v="20"/>
    <d v="2026-01-01T00:00:00"/>
    <d v="2026-01-01T00:00:00"/>
    <m/>
    <m/>
    <m/>
    <d v="2026-01-29T00:00:00"/>
    <s v="Mensual"/>
    <s v="Dental"/>
    <s v="Dental"/>
    <x v="4"/>
    <s v="SEGURCAIXA ADESLAS, S.A."/>
    <s v="Euros"/>
    <n v="33.020000000000003"/>
    <n v="2.97"/>
    <n v="2.97"/>
    <n v="0"/>
    <m/>
    <n v="0"/>
    <m/>
    <n v="0"/>
    <m/>
    <n v="0"/>
    <m/>
    <n v="0"/>
  </r>
  <r>
    <s v="ARAYTOR"/>
    <s v="46731337Y"/>
    <s v="6660058032"/>
    <n v="5084"/>
    <s v="202601393727"/>
    <s v="2026000294"/>
    <s v="Cartera"/>
    <s v="Compañía"/>
    <s v="Renovable"/>
    <s v="Cobrado"/>
    <x v="20"/>
    <d v="2026-01-01T00:00:00"/>
    <d v="2026-01-01T00:00:00"/>
    <m/>
    <m/>
    <d v="2026-01-22T00:00:00"/>
    <d v="2026-01-29T00:00:00"/>
    <s v="Mensual"/>
    <s v="Modular Colectivos"/>
    <s v="Colectivo Salud"/>
    <x v="10"/>
    <s v="SEGURCAIXA ADESLAS, S.A."/>
    <s v="Euros"/>
    <n v="414.52"/>
    <n v="33.159999999999997"/>
    <n v="33.159999999999997"/>
    <n v="0"/>
    <m/>
    <n v="0"/>
    <s v="TON ABAD (ANTIC)"/>
    <n v="0"/>
    <m/>
    <n v="0"/>
    <m/>
    <n v="0"/>
  </r>
  <r>
    <s v="ARAYTOR"/>
    <s v="35075496J"/>
    <s v="81511008"/>
    <n v="20438"/>
    <s v="202600616607"/>
    <s v="2026000295"/>
    <s v="Cartera"/>
    <s v="Compañía"/>
    <s v="Renovable"/>
    <s v="Cobrado"/>
    <x v="20"/>
    <d v="2026-01-01T00:00:00"/>
    <d v="2026-01-01T00:00:00"/>
    <m/>
    <m/>
    <m/>
    <d v="2026-01-29T00:00:00"/>
    <s v="Mensual"/>
    <s v="Plena Extra"/>
    <s v="Mixta"/>
    <x v="4"/>
    <s v="SEGURCAIXA ADESLAS, S.A."/>
    <s v="Euros"/>
    <n v="795.03"/>
    <n v="71.56"/>
    <n v="71.56"/>
    <n v="0"/>
    <m/>
    <n v="0"/>
    <m/>
    <n v="0"/>
    <m/>
    <n v="0"/>
    <m/>
    <n v="0"/>
  </r>
  <r>
    <s v="ARAYTOR"/>
    <s v="B67461962"/>
    <s v="81516158"/>
    <n v="20804"/>
    <s v="202600612622"/>
    <s v="2026000296"/>
    <s v="Cartera"/>
    <s v="Compañía"/>
    <s v="Renovable"/>
    <s v="Cobrado"/>
    <x v="20"/>
    <d v="2026-01-01T00:00:00"/>
    <d v="2026-01-01T00:00:00"/>
    <m/>
    <m/>
    <m/>
    <d v="2026-01-29T00:00:00"/>
    <s v="Mensual"/>
    <s v="Plena Plus"/>
    <s v="Cuadro Cerrado"/>
    <x v="4"/>
    <s v="SEGURCAIXA ADESLAS, S.A."/>
    <s v="Euros"/>
    <n v="310.85000000000002"/>
    <n v="27.97"/>
    <n v="27.97"/>
    <n v="0"/>
    <m/>
    <n v="0"/>
    <m/>
    <n v="0"/>
    <m/>
    <n v="0"/>
    <m/>
    <n v="0"/>
  </r>
  <r>
    <s v="ARAYTOR"/>
    <s v="36918203Y"/>
    <s v="81375862"/>
    <n v="13398"/>
    <s v="202600630969"/>
    <s v="2026000297"/>
    <s v="Cartera"/>
    <s v="Compañía"/>
    <s v="Renovable"/>
    <s v="Cobrado"/>
    <x v="20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367.7"/>
    <n v="33.090000000000003"/>
    <n v="33.090000000000003"/>
    <n v="0"/>
    <m/>
    <n v="0"/>
    <m/>
    <n v="0"/>
    <m/>
    <n v="0"/>
    <m/>
    <n v="0"/>
  </r>
  <r>
    <s v="ARAYTOR"/>
    <s v="43498748K"/>
    <s v="81373806"/>
    <n v="13160"/>
    <s v="202600611200"/>
    <s v="2026000298"/>
    <s v="Cartera"/>
    <s v="Compañía"/>
    <s v="Renovable"/>
    <s v="Cobrado"/>
    <x v="20"/>
    <d v="2026-01-01T00:00:00"/>
    <d v="2026-01-01T00:00:00"/>
    <m/>
    <m/>
    <m/>
    <d v="2026-01-29T00:00:00"/>
    <s v="Mensual"/>
    <s v="Adeslas Completa"/>
    <s v="Cuadro Cerrado"/>
    <x v="4"/>
    <s v="SEGURCAIXA ADESLAS, S.A."/>
    <s v="Euros"/>
    <n v="202.27"/>
    <n v="18.2"/>
    <n v="18.2"/>
    <n v="0"/>
    <m/>
    <n v="0"/>
    <m/>
    <n v="0"/>
    <m/>
    <n v="0"/>
    <m/>
    <n v="0"/>
  </r>
  <r>
    <s v="ARAYTOR"/>
    <s v="B25258633"/>
    <s v="RCEXP-CA18567"/>
    <n v="32531"/>
    <s v="2523244"/>
    <s v="2026000299"/>
    <s v="Produccion"/>
    <s v="Correduría"/>
    <s v="Temporal"/>
    <s v="Cobrado"/>
    <x v="20"/>
    <d v="2026-01-01T00:00:00"/>
    <d v="2026-01-13T00:00:00"/>
    <m/>
    <m/>
    <m/>
    <d v="2026-02-03T00:00:00"/>
    <s v="Unico"/>
    <s v="RC Empresa"/>
    <s v="RC Empresa"/>
    <x v="0"/>
    <s v="CIRCLES GROUP, S.A."/>
    <s v="Euros"/>
    <n v="2364.14"/>
    <n v="429.84"/>
    <n v="429.84"/>
    <n v="0"/>
    <m/>
    <n v="0"/>
    <m/>
    <n v="0"/>
    <m/>
    <n v="0"/>
    <m/>
    <n v="0"/>
  </r>
  <r>
    <s v="ARAYTOR"/>
    <s v="B72954597"/>
    <s v="RCEXP-CA19014"/>
    <n v="32395"/>
    <s v="2524571"/>
    <s v="2026000300"/>
    <s v="Produccion"/>
    <s v="Correduría"/>
    <s v="Temporal"/>
    <s v="Cobrado"/>
    <x v="20"/>
    <d v="2026-01-15T00:00:00"/>
    <d v="2026-01-18T00:00:00"/>
    <m/>
    <m/>
    <d v="2026-01-22T00:00:00"/>
    <d v="2026-02-03T00:00:00"/>
    <s v="Unico"/>
    <s v="RC Empresa"/>
    <s v="RC Empresa"/>
    <x v="0"/>
    <s v="CIRCLES GROUP, S.A."/>
    <s v="Euros"/>
    <n v="508.55"/>
    <n v="92.46"/>
    <n v="92.46"/>
    <n v="0"/>
    <m/>
    <n v="0"/>
    <s v="CURSORIS"/>
    <n v="50.86"/>
    <m/>
    <n v="0"/>
    <m/>
    <n v="0"/>
  </r>
  <r>
    <s v="ARAYTOR"/>
    <s v="V88014923"/>
    <s v="RCEXP-CA19013"/>
    <n v="32532"/>
    <s v="2523143"/>
    <s v="2026000301"/>
    <s v="Produccion"/>
    <s v="Correduría"/>
    <s v="Temporal"/>
    <s v="Cobrado"/>
    <x v="20"/>
    <d v="2025-12-16T00:00:00"/>
    <d v="2026-01-13T00:00:00"/>
    <m/>
    <m/>
    <m/>
    <d v="2026-02-03T00:00:00"/>
    <s v="Unico"/>
    <s v="RC Empresa"/>
    <s v="RC Empresa"/>
    <x v="0"/>
    <s v="CIRCLES GROUP, S.A."/>
    <s v="Euros"/>
    <n v="878.41"/>
    <n v="159.71"/>
    <n v="159.71"/>
    <n v="0"/>
    <m/>
    <n v="0"/>
    <m/>
    <n v="0"/>
    <m/>
    <n v="0"/>
    <m/>
    <n v="0"/>
  </r>
  <r>
    <s v="ARAYTOR"/>
    <s v="47275804V"/>
    <s v="29/3119294"/>
    <n v="32298"/>
    <s v="264203060"/>
    <s v="2026000302"/>
    <s v="Cartera"/>
    <s v="Compañía"/>
    <s v="Renovable"/>
    <s v="Cobrado"/>
    <x v="21"/>
    <d v="2026-02-01T00:00:00"/>
    <d v="2026-02-01T00:00:00"/>
    <m/>
    <m/>
    <m/>
    <m/>
    <s v="Mensual"/>
    <s v="6 - MEDIFIATC PROGRES"/>
    <s v="Colectivo Salud"/>
    <x v="10"/>
    <s v="FIATC "/>
    <s v="Euros"/>
    <n v="53.58"/>
    <n v="4.29"/>
    <n v="4.29"/>
    <n v="0"/>
    <m/>
    <n v="0"/>
    <m/>
    <n v="0"/>
    <m/>
    <n v="0"/>
    <m/>
    <n v="0"/>
  </r>
  <r>
    <s v="ARAYTOR"/>
    <s v="B44550390"/>
    <s v="40/5144723"/>
    <n v="26701"/>
    <s v="264087230"/>
    <s v="2026000303"/>
    <s v="Suplemento modificacion de produccion"/>
    <s v="Correduría"/>
    <s v="Renovable"/>
    <s v="Anulado"/>
    <x v="21"/>
    <d v="2026-01-31T00:00:00"/>
    <m/>
    <d v="2026-03-01T00:00:00"/>
    <d v="2026-01-21T00:00:00"/>
    <m/>
    <m/>
    <s v="Anual"/>
    <s v="0100Responsabilidad Civil General"/>
    <s v="RC General"/>
    <x v="0"/>
    <s v="FIATC "/>
    <s v="Euros"/>
    <n v="91.51"/>
    <n v="18.3"/>
    <n v="18.3"/>
    <n v="0"/>
    <m/>
    <n v="0"/>
    <m/>
    <n v="0"/>
    <m/>
    <n v="0"/>
    <m/>
    <n v="0"/>
  </r>
  <r>
    <s v="ARAYTOR"/>
    <s v="B53237103"/>
    <s v="CE92692"/>
    <n v="32323"/>
    <s v="2600626"/>
    <s v="2026000304"/>
    <s v="Produccion"/>
    <s v="Correduría"/>
    <s v="Temporal"/>
    <s v="Cobrado"/>
    <x v="21"/>
    <d v="2025-12-18T00:00:00"/>
    <d v="2026-01-16T00:00:00"/>
    <m/>
    <m/>
    <m/>
    <d v="2026-02-03T00:00:00"/>
    <s v="Unico"/>
    <s v="Contingencias"/>
    <s v="Contingencias"/>
    <x v="9"/>
    <s v="CIRCLES GROUP, S.A."/>
    <s v="Euros"/>
    <n v="865.14"/>
    <n v="157.30000000000001"/>
    <n v="157.30000000000001"/>
    <n v="0"/>
    <m/>
    <n v="0"/>
    <m/>
    <n v="0"/>
    <m/>
    <n v="0"/>
    <m/>
    <n v="0"/>
  </r>
  <r>
    <s v="ARAYTOR"/>
    <s v="N0364047A"/>
    <s v="RCEXP-CA19162"/>
    <n v="32534"/>
    <s v="2600628"/>
    <s v="2026000305"/>
    <s v="Produccion"/>
    <s v="Correduría"/>
    <s v="Temporal"/>
    <s v="Cobrado"/>
    <x v="21"/>
    <d v="2026-01-24T00:00:00"/>
    <d v="2026-01-13T00:00:00"/>
    <m/>
    <m/>
    <d v="2026-01-22T00:00:00"/>
    <d v="2026-02-03T00:00:00"/>
    <s v="Unico"/>
    <s v="RC Empresa"/>
    <s v="RC Empresa"/>
    <x v="0"/>
    <s v="CIRCLES GROUP, S.A."/>
    <s v="Euros"/>
    <n v="4000"/>
    <n v="727.27"/>
    <n v="727.27"/>
    <n v="0"/>
    <m/>
    <n v="0"/>
    <s v="JOSE LUIS LATORRE FRANCISCO"/>
    <n v="400"/>
    <m/>
    <n v="0"/>
    <m/>
    <n v="0"/>
  </r>
  <r>
    <s v="ARAYTOR"/>
    <s v="38170789N"/>
    <s v="01179378"/>
    <n v="921"/>
    <s v="20920250"/>
    <s v="2026000306"/>
    <s v="Cartera"/>
    <s v="Compañía"/>
    <s v="Renovable"/>
    <s v="Cobrado"/>
    <x v="22"/>
    <d v="2026-02-01T00:00:00"/>
    <d v="2026-02-02T00:00:00"/>
    <m/>
    <m/>
    <m/>
    <d v="2026-02-11T00:00:00"/>
    <s v="Anual"/>
    <s v="08025 -  ACCIDENTES INDIVIDUALES 0002"/>
    <s v="Accidentes Personales"/>
    <x v="4"/>
    <s v="AXA"/>
    <s v="Euros"/>
    <n v="379.88"/>
    <n v="102.58"/>
    <n v="94.98"/>
    <n v="0"/>
    <m/>
    <n v="0"/>
    <m/>
    <n v="0"/>
    <m/>
    <n v="0"/>
    <m/>
    <n v="0"/>
  </r>
  <r>
    <s v="ARAYTOR"/>
    <s v="46117139T"/>
    <s v="01179379"/>
    <n v="870"/>
    <s v="20920251"/>
    <s v="2026000307"/>
    <s v="Cartera"/>
    <s v="Compañía"/>
    <s v="Renovable"/>
    <s v="Cobrado"/>
    <x v="22"/>
    <d v="2026-02-01T00:00:00"/>
    <d v="2026-02-02T00:00:00"/>
    <m/>
    <m/>
    <m/>
    <d v="2026-02-11T00:00:00"/>
    <s v="Anual"/>
    <s v="08025 -  ACCIDENTES INDIVIDUALES 0002"/>
    <s v="Accidentes Personales"/>
    <x v="4"/>
    <s v="AXA"/>
    <s v="Euros"/>
    <n v="378.19"/>
    <n v="102.11"/>
    <n v="94.55"/>
    <n v="0"/>
    <m/>
    <n v="0"/>
    <m/>
    <n v="0"/>
    <m/>
    <n v="0"/>
    <m/>
    <n v="0"/>
  </r>
  <r>
    <s v="ARAYTOR"/>
    <s v="46129282E"/>
    <s v="01036231"/>
    <n v="1717"/>
    <s v="50443095"/>
    <s v="2026000308"/>
    <s v="Cartera"/>
    <s v="Compañía"/>
    <s v="Renovable"/>
    <s v="Cobrado"/>
    <x v="22"/>
    <d v="2026-02-15T00:00:00"/>
    <d v="2026-02-16T00:00:00"/>
    <m/>
    <m/>
    <d v="2026-03-01T00:00:00"/>
    <d v="2026-02-17T00:00:00"/>
    <s v="Anual"/>
    <s v="Win Negocios (1)"/>
    <s v="Comercio"/>
    <x v="3"/>
    <s v="AXA"/>
    <s v="Euros"/>
    <n v="814.44"/>
    <n v="179.18"/>
    <n v="162.88999999999999"/>
    <n v="0"/>
    <m/>
    <n v="0"/>
    <s v="Carlos Valls Rausa"/>
    <n v="122.17"/>
    <m/>
    <n v="0"/>
    <m/>
    <n v="0"/>
  </r>
  <r>
    <s v="ARAYTOR"/>
    <s v="35018236T"/>
    <s v="00066033"/>
    <n v="16643"/>
    <s v="50690197"/>
    <s v="2026000309"/>
    <s v="Cartera"/>
    <s v="Compañía"/>
    <s v="Renovable"/>
    <s v="Cobrado"/>
    <x v="22"/>
    <d v="2026-02-01T00:00:00"/>
    <d v="2026-02-03T00:00:00"/>
    <m/>
    <m/>
    <m/>
    <d v="2026-02-11T00:00:00"/>
    <s v="Mensual"/>
    <s v="18 Salud"/>
    <s v="Salud"/>
    <x v="4"/>
    <s v="AXA"/>
    <s v="Euros"/>
    <n v="1014.28"/>
    <n v="103.51"/>
    <n v="83.22"/>
    <n v="0"/>
    <m/>
    <n v="0"/>
    <m/>
    <n v="0"/>
    <m/>
    <n v="0"/>
    <m/>
    <n v="0"/>
  </r>
  <r>
    <s v="ARAYTOR"/>
    <s v="38119133Z"/>
    <s v="00101232"/>
    <n v="5050"/>
    <s v="50729730"/>
    <s v="2026000310"/>
    <s v="Cartera"/>
    <s v="Compañía"/>
    <s v="Renovable"/>
    <s v="Cobrado"/>
    <x v="22"/>
    <d v="2026-02-01T00:00:00"/>
    <d v="2026-02-03T00:00:00"/>
    <m/>
    <m/>
    <d v="2026-03-01T00:00:00"/>
    <d v="2026-02-11T00:00:00"/>
    <s v="Mensual"/>
    <s v="Complet Clinic"/>
    <s v="Cuadro Cerrado"/>
    <x v="4"/>
    <s v="AXA"/>
    <s v="Euros"/>
    <n v="91.91"/>
    <n v="10.51"/>
    <n v="8.67"/>
    <n v="0"/>
    <m/>
    <n v="0"/>
    <s v="TON ABAD (ANTIC)"/>
    <n v="0"/>
    <m/>
    <n v="0"/>
    <m/>
    <n v="0"/>
  </r>
  <r>
    <s v="ARAYTOR"/>
    <s v="46228015Q"/>
    <s v="90263936"/>
    <n v="11223"/>
    <s v="52056832"/>
    <s v="2026000311"/>
    <s v="Cartera"/>
    <s v="Compañía"/>
    <s v="Renovable"/>
    <s v="Cobrado"/>
    <x v="22"/>
    <d v="2026-02-01T00:00:00"/>
    <d v="2026-02-03T00:00:00"/>
    <m/>
    <m/>
    <m/>
    <d v="2026-02-11T00:00:00"/>
    <s v="Mensual"/>
    <s v="08926 - Optima Salud"/>
    <s v="Cuadro Cerrado"/>
    <x v="4"/>
    <s v="AXA"/>
    <s v="Euros"/>
    <n v="292.45999999999998"/>
    <n v="27.93"/>
    <n v="22.08"/>
    <n v="0"/>
    <m/>
    <n v="0"/>
    <m/>
    <n v="0"/>
    <m/>
    <n v="0"/>
    <m/>
    <n v="0"/>
  </r>
  <r>
    <s v="ARAYTOR"/>
    <s v="35120326Q"/>
    <s v="90768579"/>
    <n v="17370"/>
    <s v="52691695"/>
    <s v="2026000312"/>
    <s v="Cartera"/>
    <s v="Compañía"/>
    <s v="Renovable"/>
    <s v="Cobrado"/>
    <x v="22"/>
    <d v="2026-02-01T00:00:00"/>
    <d v="2026-02-03T00:00:00"/>
    <m/>
    <m/>
    <m/>
    <d v="2026-02-11T00:00:00"/>
    <s v="Mensual"/>
    <s v="08926 - Optima Salud"/>
    <s v="Cuadro Cerrado"/>
    <x v="4"/>
    <s v="AXA"/>
    <s v="Euros"/>
    <n v="121.62"/>
    <n v="11.61"/>
    <n v="9.18"/>
    <n v="0"/>
    <m/>
    <n v="0"/>
    <m/>
    <n v="0"/>
    <m/>
    <n v="0"/>
    <m/>
    <n v="0"/>
  </r>
  <r>
    <s v="ARAYTOR"/>
    <s v="X5708468Y"/>
    <s v="90894392"/>
    <n v="18507"/>
    <s v="55020065"/>
    <s v="2026000313"/>
    <s v="Cartera"/>
    <s v="Compañía"/>
    <s v="Renovable"/>
    <s v="Cobrado"/>
    <x v="22"/>
    <d v="2026-02-01T00:00:00"/>
    <d v="2026-02-03T00:00:00"/>
    <m/>
    <m/>
    <m/>
    <d v="2026-02-11T00:00:00"/>
    <s v="Mensual"/>
    <s v="08926 - Optima Salud"/>
    <s v="Cuadro Cerrado"/>
    <x v="4"/>
    <s v="AXA"/>
    <s v="Euros"/>
    <n v="270.01"/>
    <n v="25.78"/>
    <n v="20.38"/>
    <n v="0"/>
    <m/>
    <n v="0"/>
    <m/>
    <n v="0"/>
    <m/>
    <n v="0"/>
    <m/>
    <n v="0"/>
  </r>
  <r>
    <s v="ARAYTOR"/>
    <s v="15910356Z"/>
    <s v="90710728"/>
    <n v="16581"/>
    <s v="56044638"/>
    <s v="2026000314"/>
    <s v="Cartera"/>
    <s v="Compañía"/>
    <s v="Renovable"/>
    <s v="Cobrado"/>
    <x v="22"/>
    <d v="2026-02-01T00:00:00"/>
    <d v="2026-02-03T00:00:00"/>
    <m/>
    <m/>
    <m/>
    <d v="2026-02-11T00:00:00"/>
    <s v="Mensual"/>
    <s v="18 Salud"/>
    <s v="Salud"/>
    <x v="4"/>
    <s v="AXA"/>
    <s v="Euros"/>
    <n v="1204.3599999999999"/>
    <n v="110.88"/>
    <n v="86.79"/>
    <n v="0"/>
    <m/>
    <n v="0"/>
    <m/>
    <n v="0"/>
    <m/>
    <n v="0"/>
    <m/>
    <n v="0"/>
  </r>
  <r>
    <s v="ARAYTOR"/>
    <s v="38089835H"/>
    <s v="91568745"/>
    <n v="23206"/>
    <s v="57185585"/>
    <s v="2026000315"/>
    <s v="Cartera"/>
    <s v="Compañía"/>
    <s v="Renovable"/>
    <s v="Cobrado"/>
    <x v="22"/>
    <d v="2026-02-01T00:00:00"/>
    <d v="2026-02-03T00:00:00"/>
    <m/>
    <m/>
    <m/>
    <d v="2026-02-11T00:00:00"/>
    <s v="Mensual"/>
    <s v="18 Salud"/>
    <s v="Salud"/>
    <x v="4"/>
    <s v="AXA"/>
    <s v="Euros"/>
    <n v="338.32"/>
    <n v="32.299999999999997"/>
    <n v="25.53"/>
    <n v="0"/>
    <m/>
    <n v="0"/>
    <m/>
    <n v="0"/>
    <m/>
    <n v="0"/>
    <m/>
    <n v="0"/>
  </r>
  <r>
    <s v="ARAYTOR"/>
    <s v="46700898L"/>
    <s v="46134725"/>
    <n v="19019"/>
    <s v="63205480"/>
    <s v="2026000316"/>
    <s v="Cartera"/>
    <s v="Compañía"/>
    <s v="Renovable"/>
    <s v="Cobrado"/>
    <x v="22"/>
    <d v="2026-02-16T00:00:00"/>
    <d v="2026-02-16T00:00:00"/>
    <m/>
    <m/>
    <m/>
    <d v="2026-02-17T00:00:00"/>
    <s v="Anual"/>
    <s v="08093 - Auto Protec"/>
    <s v="Turismo"/>
    <x v="1"/>
    <s v="AXA"/>
    <s v="Euros"/>
    <n v="421.12"/>
    <n v="46.32"/>
    <n v="37.9"/>
    <n v="0"/>
    <m/>
    <n v="0"/>
    <m/>
    <n v="0"/>
    <m/>
    <n v="0"/>
    <m/>
    <n v="0"/>
  </r>
  <r>
    <s v="ARAYTOR"/>
    <s v="37666201K"/>
    <s v="47933251"/>
    <n v="23870"/>
    <s v="63905488"/>
    <s v="2026000317"/>
    <s v="Cartera"/>
    <s v="Compañía"/>
    <s v="Renovable"/>
    <s v="Anulado"/>
    <x v="22"/>
    <d v="2026-02-11T00:00:00"/>
    <m/>
    <m/>
    <d v="2026-01-28T00:00:00"/>
    <m/>
    <m/>
    <s v="Anual"/>
    <s v="2 - Autos"/>
    <s v="Vehiculos"/>
    <x v="1"/>
    <s v="AXA"/>
    <s v="Euros"/>
    <n v="110.58"/>
    <n v="11.06"/>
    <n v="8.85"/>
    <n v="0"/>
    <m/>
    <n v="0"/>
    <m/>
    <n v="0"/>
    <m/>
    <n v="0"/>
    <m/>
    <n v="0"/>
  </r>
  <r>
    <s v="ARAYTOR"/>
    <s v="35098092T"/>
    <s v="48810045"/>
    <n v="27665"/>
    <s v="66208273"/>
    <s v="2026000318"/>
    <s v="Cartera"/>
    <s v="Compañía"/>
    <s v="Renovable"/>
    <s v="Cobrado"/>
    <x v="22"/>
    <d v="2026-02-10T00:00:00"/>
    <d v="2026-02-10T00:00:00"/>
    <m/>
    <m/>
    <m/>
    <d v="2026-02-17T00:00:00"/>
    <s v="Anual"/>
    <s v="08082 - MOTO FLEXIBLE"/>
    <s v="Motocicletas"/>
    <x v="1"/>
    <s v="AXA"/>
    <s v="Euros"/>
    <n v="129.61000000000001"/>
    <n v="12.96"/>
    <n v="10.37"/>
    <n v="0"/>
    <m/>
    <n v="0"/>
    <m/>
    <n v="0"/>
    <m/>
    <n v="0"/>
    <m/>
    <n v="0"/>
  </r>
  <r>
    <s v="ARAYTOR"/>
    <s v="45486979V"/>
    <s v="06056508"/>
    <n v="5092"/>
    <s v="59536930"/>
    <s v="2026000319"/>
    <s v="Cartera"/>
    <s v="Compañía"/>
    <s v="Renovable"/>
    <s v="Anulado"/>
    <x v="22"/>
    <d v="2026-02-01T00:00:00"/>
    <m/>
    <m/>
    <d v="2026-02-01T00:00:00"/>
    <d v="2026-03-01T00:00:00"/>
    <m/>
    <s v="Mensual"/>
    <s v="08792 - SALUD INDIVIDUAL MIGRACION"/>
    <s v="Cuadro Cerrado"/>
    <x v="4"/>
    <s v="AXA"/>
    <s v="Euros"/>
    <n v="287.10000000000002"/>
    <n v="28.71"/>
    <n v="28.71"/>
    <n v="0"/>
    <m/>
    <n v="0"/>
    <s v="TON ABAD (ANTIC)"/>
    <n v="0"/>
    <m/>
    <n v="0"/>
    <m/>
    <n v="0"/>
  </r>
  <r>
    <s v="ARAYTOR"/>
    <s v="Q2878017I"/>
    <s v="CE92613"/>
    <n v="32498"/>
    <s v="2600625 Error"/>
    <s v="2026000320"/>
    <s v="Produccion"/>
    <s v="Correduría"/>
    <s v="Temporal"/>
    <s v="Anulado"/>
    <x v="22"/>
    <d v="2026-01-05T00:00:00"/>
    <m/>
    <d v="2026-02-03T00:00:00"/>
    <d v="2026-01-27T00:00:00"/>
    <m/>
    <m/>
    <s v="Unico"/>
    <s v="Contingencias"/>
    <s v="Contingencias"/>
    <x v="9"/>
    <s v="CIRCLES GROUP, S.A."/>
    <s v="Euros"/>
    <n v="2980.77"/>
    <n v="541.96"/>
    <n v="541.96"/>
    <n v="0"/>
    <m/>
    <n v="0"/>
    <s v="VC SABSEG COMERCIAL RISK CdS, S.A."/>
    <n v="298.08"/>
    <m/>
    <n v="0"/>
    <m/>
    <n v="0"/>
  </r>
  <r>
    <s v="ARAYTOR"/>
    <s v="V23950512"/>
    <s v="CE92644"/>
    <n v="32535"/>
    <s v="2600790"/>
    <s v="2026000321"/>
    <s v="Produccion"/>
    <s v="Correduría"/>
    <s v="Temporal"/>
    <s v="Cobrado"/>
    <x v="22"/>
    <d v="2026-01-13T00:00:00"/>
    <d v="2026-01-26T00:00:00"/>
    <m/>
    <m/>
    <m/>
    <m/>
    <s v="Unico"/>
    <s v="Contingencias"/>
    <s v="Contingencias"/>
    <x v="9"/>
    <s v="CIRCLES GROUP, S.A."/>
    <s v="Euros"/>
    <n v="23671.38"/>
    <n v="4303.8900000000003"/>
    <n v="4303.8900000000003"/>
    <n v="0"/>
    <m/>
    <n v="0"/>
    <m/>
    <n v="0"/>
    <m/>
    <n v="0"/>
    <m/>
    <n v="0"/>
  </r>
  <r>
    <s v="ARAYTOR"/>
    <s v="V23950512"/>
    <s v="CE92644"/>
    <n v="32535"/>
    <s v="2600791"/>
    <s v="2026000322"/>
    <s v="Produccion"/>
    <s v="Correduría"/>
    <s v="Temporal"/>
    <s v="Facturado"/>
    <x v="22"/>
    <d v="2026-01-13T00:00:00"/>
    <m/>
    <m/>
    <m/>
    <m/>
    <m/>
    <s v="Unico"/>
    <s v="Contingencias"/>
    <s v="Contingencias"/>
    <x v="9"/>
    <s v="CIRCLES GROUP, S.A."/>
    <s v="Euros"/>
    <n v="47342.75"/>
    <n v="8607.77"/>
    <n v="8607.77"/>
    <n v="0"/>
    <m/>
    <n v="0"/>
    <m/>
    <n v="0"/>
    <m/>
    <n v="0"/>
    <m/>
    <n v="0"/>
  </r>
  <r>
    <s v="ARAYTOR"/>
    <s v="V23950512"/>
    <s v="CE92644"/>
    <n v="32535"/>
    <s v="2600792"/>
    <s v="2026000323"/>
    <s v="Produccion"/>
    <s v="Correduría"/>
    <s v="Temporal"/>
    <s v="Facturado"/>
    <x v="22"/>
    <d v="2026-01-13T00:00:00"/>
    <m/>
    <m/>
    <m/>
    <m/>
    <m/>
    <s v="Unico"/>
    <s v="Contingencias"/>
    <s v="Contingencias"/>
    <x v="9"/>
    <s v="CIRCLES GROUP, S.A."/>
    <s v="Euros"/>
    <n v="47342.75"/>
    <n v="8607.77"/>
    <n v="8607.77"/>
    <n v="0"/>
    <m/>
    <n v="0"/>
    <m/>
    <n v="0"/>
    <m/>
    <n v="0"/>
    <m/>
    <n v="0"/>
  </r>
  <r>
    <s v="ARAYTOR"/>
    <s v="V75418368"/>
    <s v="CE92769"/>
    <n v="32536"/>
    <s v="2600711"/>
    <s v="2026000324"/>
    <s v="Produccion"/>
    <s v="Correduría"/>
    <s v="Temporal"/>
    <s v="Cobrado"/>
    <x v="22"/>
    <d v="2026-01-12T00:00:00"/>
    <d v="2026-01-20T00:00:00"/>
    <m/>
    <m/>
    <m/>
    <m/>
    <s v="Unico"/>
    <s v="Contingencias"/>
    <s v="Contingencias"/>
    <x v="9"/>
    <s v="CIRCLES GROUP, S.A."/>
    <s v="Euros"/>
    <n v="4726.78"/>
    <n v="859.42"/>
    <n v="859.42"/>
    <n v="0"/>
    <m/>
    <n v="0"/>
    <m/>
    <n v="0"/>
    <m/>
    <n v="0"/>
    <m/>
    <n v="0"/>
  </r>
  <r>
    <s v="ARAYTOR"/>
    <s v="V75418368"/>
    <s v="CE92769"/>
    <n v="32536"/>
    <s v="2600712"/>
    <s v="2026000325"/>
    <s v="Produccion"/>
    <s v="Correduría"/>
    <s v="Temporal"/>
    <s v="Cobrado"/>
    <x v="22"/>
    <d v="2026-01-12T00:00:00"/>
    <d v="2026-01-20T00:00:00"/>
    <m/>
    <m/>
    <m/>
    <m/>
    <s v="Unico"/>
    <s v="Contingencias"/>
    <s v="Contingencias"/>
    <x v="9"/>
    <s v="CIRCLES GROUP, S.A."/>
    <s v="Euros"/>
    <n v="4726.78"/>
    <n v="859.42"/>
    <n v="859.42"/>
    <n v="0"/>
    <m/>
    <n v="0"/>
    <m/>
    <n v="0"/>
    <m/>
    <n v="0"/>
    <m/>
    <n v="0"/>
  </r>
  <r>
    <s v="ARAYTOR"/>
    <s v="V23986110"/>
    <s v="CE93306"/>
    <n v="32537"/>
    <s v="2600793"/>
    <s v="2026000326"/>
    <s v="Produccion"/>
    <s v="Correduría"/>
    <s v="Temporal"/>
    <s v="Cobrado"/>
    <x v="22"/>
    <d v="2026-01-13T00:00:00"/>
    <d v="2026-01-30T00:00:00"/>
    <m/>
    <m/>
    <m/>
    <m/>
    <s v="Unico"/>
    <s v="Contingencias"/>
    <s v="Contingencias"/>
    <x v="9"/>
    <s v="CIRCLES GROUP, S.A."/>
    <s v="Euros"/>
    <n v="25984.240000000002"/>
    <n v="4724.3999999999996"/>
    <n v="4724.3999999999996"/>
    <n v="0"/>
    <m/>
    <n v="0"/>
    <m/>
    <n v="0"/>
    <m/>
    <n v="0"/>
    <m/>
    <n v="0"/>
  </r>
  <r>
    <s v="ARAYTOR"/>
    <s v="V23986110"/>
    <s v="CE93306"/>
    <n v="32537"/>
    <s v="2600794"/>
    <s v="2026000327"/>
    <s v="Produccion"/>
    <s v="Correduría"/>
    <s v="Temporal"/>
    <s v="Facturado"/>
    <x v="22"/>
    <d v="2026-01-13T00:00:00"/>
    <m/>
    <m/>
    <m/>
    <m/>
    <m/>
    <s v="Unico"/>
    <s v="Contingencias"/>
    <s v="Contingencias"/>
    <x v="9"/>
    <s v="CIRCLES GROUP, S.A."/>
    <s v="Euros"/>
    <n v="51968.49"/>
    <n v="9448.82"/>
    <n v="9448.82"/>
    <n v="0"/>
    <m/>
    <n v="0"/>
    <m/>
    <n v="0"/>
    <m/>
    <n v="0"/>
    <m/>
    <n v="0"/>
  </r>
  <r>
    <s v="ARAYTOR"/>
    <s v="V23986110"/>
    <s v="CE93306"/>
    <n v="32537"/>
    <s v="2600795"/>
    <s v="2026000328"/>
    <s v="Produccion"/>
    <s v="Correduría"/>
    <s v="Temporal"/>
    <s v="Facturado"/>
    <x v="22"/>
    <d v="2026-01-13T00:00:00"/>
    <m/>
    <m/>
    <m/>
    <m/>
    <m/>
    <s v="Unico"/>
    <s v="Contingencias"/>
    <s v="Contingencias"/>
    <x v="9"/>
    <s v="CIRCLES GROUP, S.A."/>
    <s v="Euros"/>
    <n v="51968.49"/>
    <n v="9448.82"/>
    <n v="9448.82"/>
    <n v="0"/>
    <m/>
    <n v="0"/>
    <m/>
    <n v="0"/>
    <m/>
    <n v="0"/>
    <m/>
    <n v="0"/>
  </r>
  <r>
    <s v="ARAYTOR"/>
    <s v="B66320813"/>
    <s v="037096939"/>
    <n v="15778"/>
    <s v="588954408"/>
    <s v="2026000329"/>
    <s v="Suplemento modificacion de produccion"/>
    <s v="Correduría"/>
    <s v="Renovable"/>
    <s v="Cobrado"/>
    <x v="22"/>
    <d v="2026-01-01T00:00:00"/>
    <d v="2026-01-28T00:00:00"/>
    <m/>
    <m/>
    <m/>
    <d v="2026-04-01T00:00:00"/>
    <s v="Anual"/>
    <s v="156 Accidentes Convenio"/>
    <s v="Accidentes"/>
    <x v="4"/>
    <s v="ALLIANZ"/>
    <s v="Euros"/>
    <n v="7.17"/>
    <n v="1.43"/>
    <n v="1.43"/>
    <n v="0"/>
    <m/>
    <n v="0"/>
    <m/>
    <n v="0"/>
    <m/>
    <n v="0"/>
    <m/>
    <n v="0"/>
  </r>
  <r>
    <s v="ARAYTOR"/>
    <s v="BE0898.188.425"/>
    <s v="CE91852"/>
    <n v="32538"/>
    <s v="2600931"/>
    <s v="2026000330"/>
    <s v="Produccion"/>
    <s v="Correduría"/>
    <s v="Temporal"/>
    <s v="Cobrado"/>
    <x v="23"/>
    <d v="2026-01-13T00:00:00"/>
    <d v="2026-01-22T00:00:00"/>
    <m/>
    <m/>
    <d v="2026-01-25T00:00:00"/>
    <m/>
    <s v="Unico"/>
    <s v="Contingencias"/>
    <s v="Contingencias"/>
    <x v="9"/>
    <s v="CIRCLES GROUP, S.A."/>
    <s v="Euros"/>
    <n v="43835.24"/>
    <n v="7970.05"/>
    <n v="7970.05"/>
    <n v="0"/>
    <m/>
    <n v="0"/>
    <s v="VC ASIGEST BROKER, S.P.A."/>
    <n v="4383.5200000000004"/>
    <m/>
    <n v="0"/>
    <m/>
    <n v="0"/>
  </r>
  <r>
    <s v="ARAYTOR"/>
    <s v="BE0898.188.425"/>
    <s v="CE91852"/>
    <n v="32538"/>
    <s v="2600932"/>
    <s v="2026000331"/>
    <s v="Produccion"/>
    <s v="Correduría"/>
    <s v="Temporal"/>
    <s v="Cobrado"/>
    <x v="23"/>
    <d v="2026-01-13T00:00:00"/>
    <d v="2026-01-22T00:00:00"/>
    <m/>
    <m/>
    <d v="2026-01-25T00:00:00"/>
    <m/>
    <s v="Unico"/>
    <s v="Contingencias"/>
    <s v="Contingencias"/>
    <x v="9"/>
    <s v="CIRCLES GROUP, S.A."/>
    <s v="Euros"/>
    <n v="604.12"/>
    <n v="109.84"/>
    <n v="109.84"/>
    <n v="0"/>
    <m/>
    <n v="0"/>
    <s v="VC ASIGEST BROKER, S.P.A."/>
    <n v="60.41"/>
    <m/>
    <n v="0"/>
    <m/>
    <n v="0"/>
  </r>
  <r>
    <s v="ARAYTOR"/>
    <s v="B82604968"/>
    <s v="CE92729"/>
    <n v="32539"/>
    <s v="2601031"/>
    <s v="2026000332"/>
    <s v="Produccion"/>
    <s v="Correduría"/>
    <s v="Temporal"/>
    <s v="Cobrado"/>
    <x v="23"/>
    <d v="2026-01-15T00:00:00"/>
    <d v="2026-02-02T00:00:00"/>
    <m/>
    <m/>
    <m/>
    <m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70373592"/>
    <s v="CE92979"/>
    <n v="32540"/>
    <s v="2601030"/>
    <s v="2026000333"/>
    <s v="Produccion"/>
    <s v="Correduría"/>
    <s v="Temporal"/>
    <s v="Facturado"/>
    <x v="23"/>
    <d v="2026-01-15T00:00:00"/>
    <m/>
    <m/>
    <m/>
    <m/>
    <m/>
    <s v="Unico"/>
    <s v="Contingencias"/>
    <s v="Contingencias"/>
    <x v="9"/>
    <s v="CIRCLES GROUP, S.A."/>
    <s v="Euros"/>
    <n v="772.08"/>
    <n v="140.38"/>
    <n v="140.38"/>
    <n v="0"/>
    <m/>
    <n v="0"/>
    <m/>
    <n v="0"/>
    <m/>
    <n v="0"/>
    <m/>
    <n v="0"/>
  </r>
  <r>
    <s v="ARAYTOR"/>
    <s v="J75869925"/>
    <s v="RCEXP-CA19136"/>
    <n v="32541"/>
    <s v="2601041"/>
    <s v="2026000334"/>
    <s v="Produccion"/>
    <s v="Correduría"/>
    <s v="Temporal"/>
    <s v="Cobrado"/>
    <x v="23"/>
    <d v="2026-01-19T00:00:00"/>
    <d v="2026-01-28T00:00:00"/>
    <m/>
    <m/>
    <m/>
    <d v="2026-02-03T00:00:00"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30929418"/>
    <s v="CE93270"/>
    <n v="32542"/>
    <s v="2601027"/>
    <s v="2026000335"/>
    <s v="Produccion"/>
    <s v="Correduría"/>
    <s v="Temporal"/>
    <s v="Cobrado"/>
    <x v="23"/>
    <d v="2026-01-14T00:00:00"/>
    <d v="2026-01-15T00:00:00"/>
    <m/>
    <m/>
    <m/>
    <d v="2026-02-03T00:00:00"/>
    <s v="Unico"/>
    <s v="Contingencias"/>
    <s v="Contingencias"/>
    <x v="9"/>
    <s v="CIRCLES GROUP, S.A."/>
    <s v="Euros"/>
    <n v="1077.6600000000001"/>
    <n v="195.94"/>
    <n v="195.94"/>
    <n v="0"/>
    <m/>
    <n v="0"/>
    <m/>
    <n v="0"/>
    <m/>
    <n v="0"/>
    <m/>
    <n v="0"/>
  </r>
  <r>
    <s v="ARAYTOR"/>
    <s v="B54374996"/>
    <s v="RCEXP-CA19187"/>
    <n v="32543"/>
    <s v="2600933"/>
    <s v="2026000336"/>
    <s v="Produccion"/>
    <s v="Correduría"/>
    <s v="Temporal"/>
    <s v="Cobrado"/>
    <x v="23"/>
    <d v="2026-02-14T00:00:00"/>
    <d v="2026-02-16T00:00:00"/>
    <m/>
    <m/>
    <m/>
    <m/>
    <s v="Unico"/>
    <s v="RC Empresa"/>
    <s v="RC Empresa"/>
    <x v="0"/>
    <s v="CIRCLES GROUP, S.A."/>
    <s v="Euros"/>
    <n v="1840"/>
    <n v="334.55"/>
    <n v="334.55"/>
    <n v="0"/>
    <m/>
    <n v="0"/>
    <m/>
    <n v="0"/>
    <m/>
    <n v="0"/>
    <m/>
    <n v="0"/>
  </r>
  <r>
    <s v="ARAYTOR"/>
    <s v="B88262431"/>
    <s v="CE93320"/>
    <n v="32544"/>
    <s v="2601028"/>
    <s v="2026000337"/>
    <s v="Produccion"/>
    <s v="Correduría"/>
    <s v="Temporal"/>
    <s v="Cobrado"/>
    <x v="23"/>
    <d v="2026-01-15T00:00:00"/>
    <d v="2026-01-20T00:00:00"/>
    <m/>
    <m/>
    <m/>
    <m/>
    <s v="Unico"/>
    <s v="Contingencias"/>
    <s v="Contingencias"/>
    <x v="9"/>
    <s v="CIRCLES GROUP, S.A."/>
    <s v="Euros"/>
    <n v="4689.32"/>
    <n v="852.61"/>
    <n v="852.61"/>
    <n v="0"/>
    <m/>
    <n v="0"/>
    <m/>
    <n v="0"/>
    <m/>
    <n v="0"/>
    <m/>
    <n v="0"/>
  </r>
  <r>
    <s v="ARAYTOR"/>
    <s v="B88262431"/>
    <s v="CE93321"/>
    <n v="32545"/>
    <s v="2601029"/>
    <s v="2026000338"/>
    <s v="Produccion"/>
    <s v="Correduría"/>
    <s v="Temporal"/>
    <s v="Cobrado"/>
    <x v="23"/>
    <d v="2026-01-15T00:00:00"/>
    <d v="2026-01-20T00:00:00"/>
    <m/>
    <m/>
    <m/>
    <m/>
    <s v="Unico"/>
    <s v="Contingencias"/>
    <s v="Contingencias"/>
    <x v="9"/>
    <s v="CIRCLES GROUP, S.A."/>
    <s v="Euros"/>
    <n v="3342.62"/>
    <n v="607.74"/>
    <n v="607.74"/>
    <n v="0"/>
    <m/>
    <n v="0"/>
    <m/>
    <n v="0"/>
    <m/>
    <n v="0"/>
    <m/>
    <n v="0"/>
  </r>
  <r>
    <s v="ARAYTOR"/>
    <s v="B59343673"/>
    <s v="RCEXP-CA9020"/>
    <n v="22587"/>
    <s v="2600844"/>
    <s v="2026000340"/>
    <s v="Produccion"/>
    <s v="Correduría"/>
    <s v="Temporal"/>
    <s v="Cobrado"/>
    <x v="24"/>
    <d v="2024-02-19T00:00:00"/>
    <d v="2026-02-04T00:00:00"/>
    <m/>
    <m/>
    <m/>
    <d v="2026-02-15T00:00:00"/>
    <s v="Unico"/>
    <s v="RC Empresa"/>
    <s v="RC Empresa"/>
    <x v="0"/>
    <s v="CIRCLES GROUP, S.A."/>
    <s v="Euros"/>
    <n v="11078.52"/>
    <n v="2014.28"/>
    <n v="2014.28"/>
    <n v="0"/>
    <m/>
    <n v="0"/>
    <m/>
    <n v="0"/>
    <m/>
    <n v="0"/>
    <m/>
    <n v="0"/>
  </r>
  <r>
    <s v="ARAYTOR"/>
    <s v="V67531343"/>
    <s v="CE86502"/>
    <n v="30399"/>
    <s v="Error no liquidar"/>
    <s v="2026000341"/>
    <s v="Produccion"/>
    <s v="Correduría"/>
    <s v="Temporal"/>
    <s v="Cobrado"/>
    <x v="24"/>
    <d v="2025-01-08T00:00:00"/>
    <d v="2026-01-13T00:00:00"/>
    <m/>
    <m/>
    <m/>
    <d v="2026-02-01T00:00:00"/>
    <s v="Unico"/>
    <s v="Contingencias"/>
    <s v="Contingencias"/>
    <x v="9"/>
    <s v="CIRCLES GROUP, S.A."/>
    <s v="Euros"/>
    <n v="-100"/>
    <n v="-10"/>
    <n v="-10"/>
    <n v="0"/>
    <m/>
    <n v="0"/>
    <m/>
    <n v="0"/>
    <m/>
    <n v="0"/>
    <m/>
    <n v="0"/>
  </r>
  <r>
    <s v="ARAYTOR"/>
    <s v="Y3848151N"/>
    <s v="RCEXP-CA19174"/>
    <n v="32546"/>
    <s v="2600827"/>
    <s v="2026000342"/>
    <s v="Produccion"/>
    <s v="Correduría"/>
    <s v="Temporal"/>
    <s v="Cobrado"/>
    <x v="24"/>
    <d v="2026-02-01T00:00:00"/>
    <d v="2026-02-18T00:00:00"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V73998999"/>
    <s v="CE91914"/>
    <n v="32547"/>
    <s v="2601064"/>
    <s v="2026000343"/>
    <s v="Produccion"/>
    <s v="Correduría"/>
    <s v="Temporal"/>
    <s v="Cobrado"/>
    <x v="24"/>
    <d v="2026-01-15T00:00:00"/>
    <d v="2026-01-16T00:00:00"/>
    <m/>
    <m/>
    <m/>
    <m/>
    <s v="Unico"/>
    <s v="Contingencias"/>
    <s v="Contingencias"/>
    <x v="9"/>
    <s v="CIRCLES GROUP, S.A."/>
    <s v="Euros"/>
    <n v="6740.18"/>
    <n v="1225.48"/>
    <n v="1225.48"/>
    <n v="0"/>
    <m/>
    <n v="0"/>
    <m/>
    <n v="0"/>
    <m/>
    <n v="0"/>
    <m/>
    <n v="0"/>
  </r>
  <r>
    <s v="ARAYTOR"/>
    <s v="V73998999"/>
    <s v="CE91914"/>
    <n v="32547"/>
    <s v="2601065"/>
    <s v="2026000344"/>
    <s v="Produccion"/>
    <s v="Correduría"/>
    <s v="Temporal"/>
    <s v="Facturado"/>
    <x v="24"/>
    <d v="2026-01-15T00:00:00"/>
    <m/>
    <m/>
    <m/>
    <m/>
    <m/>
    <s v="Unico"/>
    <s v="Contingencias"/>
    <s v="Contingencias"/>
    <x v="9"/>
    <s v="CIRCLES GROUP, S.A."/>
    <s v="Euros"/>
    <n v="6740.18"/>
    <n v="1225.48"/>
    <n v="1225.48"/>
    <n v="0"/>
    <m/>
    <n v="0"/>
    <m/>
    <n v="0"/>
    <m/>
    <n v="0"/>
    <m/>
    <n v="0"/>
  </r>
  <r>
    <s v="ARAYTOR"/>
    <s v="B72778657"/>
    <s v="CE93358"/>
    <n v="32548"/>
    <s v="2601066"/>
    <s v="2026000345"/>
    <s v="Produccion"/>
    <s v="Correduría"/>
    <s v="Temporal"/>
    <s v="Facturado"/>
    <x v="24"/>
    <d v="2026-01-15T00:00:00"/>
    <m/>
    <m/>
    <m/>
    <m/>
    <m/>
    <s v="Unico"/>
    <s v="Contingencias"/>
    <s v="Contingencias"/>
    <x v="9"/>
    <s v="CIRCLES GROUP, S.A."/>
    <s v="Euros"/>
    <n v="52147.94"/>
    <n v="9481.44"/>
    <n v="9481.44"/>
    <n v="0"/>
    <m/>
    <n v="0"/>
    <m/>
    <n v="0"/>
    <m/>
    <n v="0"/>
    <m/>
    <n v="0"/>
  </r>
  <r>
    <s v="ARAYTOR"/>
    <s v="B56266687"/>
    <s v="CE93359"/>
    <n v="32549"/>
    <s v="2601097"/>
    <s v="2026000346"/>
    <s v="Produccion"/>
    <s v="Correduría"/>
    <s v="Temporal"/>
    <s v="Facturado"/>
    <x v="24"/>
    <d v="2026-01-15T00:00:00"/>
    <m/>
    <m/>
    <m/>
    <m/>
    <m/>
    <s v="Unico"/>
    <s v="Contingencias"/>
    <s v="Contingencias"/>
    <x v="9"/>
    <s v="CIRCLES GROUP, S.A."/>
    <s v="Euros"/>
    <n v="35991.68"/>
    <n v="6543.94"/>
    <n v="6543.94"/>
    <n v="0"/>
    <m/>
    <n v="0"/>
    <m/>
    <n v="0"/>
    <m/>
    <n v="0"/>
    <m/>
    <n v="0"/>
  </r>
  <r>
    <s v="ARAYTOR"/>
    <s v="B21836283"/>
    <s v="CE93308"/>
    <n v="32550"/>
    <s v="2600798"/>
    <s v="2026000347"/>
    <s v="Produccion"/>
    <s v="Correduría"/>
    <s v="Temporal"/>
    <s v="Cobrado"/>
    <x v="24"/>
    <d v="2026-01-13T00:00:00"/>
    <d v="2026-01-29T00:00:00"/>
    <m/>
    <m/>
    <m/>
    <d v="2026-02-15T00:00:00"/>
    <s v="Unico"/>
    <s v="Contingencias"/>
    <s v="Contingencias"/>
    <x v="9"/>
    <s v="CIRCLES GROUP, S.A."/>
    <s v="Euros"/>
    <n v="28793.34"/>
    <n v="5235.16"/>
    <n v="5235.16"/>
    <n v="0"/>
    <m/>
    <n v="0"/>
    <m/>
    <n v="0"/>
    <m/>
    <n v="0"/>
    <m/>
    <n v="0"/>
  </r>
  <r>
    <s v="ARAYTOR"/>
    <s v="B22429971"/>
    <s v="CE93360"/>
    <n v="32551"/>
    <s v="2601096"/>
    <s v="2026000348"/>
    <s v="Produccion"/>
    <s v="Correduría"/>
    <s v="Temporal"/>
    <s v="Facturado"/>
    <x v="24"/>
    <d v="2026-01-15T00:00:00"/>
    <m/>
    <m/>
    <m/>
    <m/>
    <m/>
    <s v="Unico"/>
    <s v="Contingencias"/>
    <s v="Contingencias"/>
    <x v="9"/>
    <s v="CIRCLES GROUP, S.A."/>
    <s v="Euros"/>
    <n v="76782.25"/>
    <n v="13960.4"/>
    <n v="13960.4"/>
    <n v="0"/>
    <m/>
    <n v="0"/>
    <m/>
    <n v="0"/>
    <m/>
    <n v="0"/>
    <m/>
    <n v="0"/>
  </r>
  <r>
    <s v="ARAYTOR"/>
    <s v="B88262431"/>
    <s v="CE92635"/>
    <n v="32247"/>
    <s v="2600796"/>
    <s v="2026000349"/>
    <s v="Produccion"/>
    <s v="Correduría"/>
    <s v="Temporal"/>
    <s v="Cobrado"/>
    <x v="24"/>
    <d v="2025-11-24T00:00:00"/>
    <d v="2026-01-20T00:00:00"/>
    <m/>
    <m/>
    <m/>
    <m/>
    <s v="Unico"/>
    <s v="Contingencias"/>
    <s v="Contingencias"/>
    <x v="9"/>
    <s v="CIRCLES GROUP, S.A."/>
    <s v="Euros"/>
    <n v="3873.75"/>
    <n v="704.32"/>
    <n v="704.32"/>
    <n v="0"/>
    <m/>
    <n v="0"/>
    <m/>
    <n v="0"/>
    <m/>
    <n v="0"/>
    <m/>
    <n v="0"/>
  </r>
  <r>
    <s v="ARAYTOR"/>
    <s v="G67461855"/>
    <s v="CE92796"/>
    <n v="32552"/>
    <s v="2600800"/>
    <s v="2026000350"/>
    <s v="Produccion"/>
    <s v="Correduría"/>
    <s v="Temporal"/>
    <s v="Cobrado"/>
    <x v="24"/>
    <d v="2026-01-13T00:00:00"/>
    <d v="2026-02-27T00:00:00"/>
    <m/>
    <m/>
    <d v="2026-02-27T00:00:00"/>
    <m/>
    <s v="Unico"/>
    <s v="Contingencias"/>
    <s v="Contingencias"/>
    <x v="9"/>
    <s v="CIRCLES GROUP, S.A."/>
    <s v="Euros"/>
    <n v="1102.1500000000001"/>
    <n v="200.39"/>
    <n v="200.39"/>
    <n v="0"/>
    <m/>
    <n v="0"/>
    <s v="RIBE &amp; SALAT, S.A."/>
    <n v="110.22"/>
    <m/>
    <n v="0"/>
    <m/>
    <n v="0"/>
  </r>
  <r>
    <s v="ARAYTOR"/>
    <s v="B54374996"/>
    <s v="CE93225"/>
    <n v="32553"/>
    <s v="2600799"/>
    <s v="2026000351"/>
    <s v="Produccion"/>
    <s v="Correduría"/>
    <s v="Temporal"/>
    <s v="Cobrado"/>
    <x v="24"/>
    <d v="2026-01-13T00:00:00"/>
    <d v="2026-01-15T00:00:00"/>
    <m/>
    <m/>
    <m/>
    <d v="2026-02-03T00:00:00"/>
    <s v="Unico"/>
    <s v="Contingencias"/>
    <s v="Contingencias"/>
    <x v="9"/>
    <s v="CIRCLES GROUP, S.A."/>
    <s v="Euros"/>
    <n v="1234.49"/>
    <n v="224.45"/>
    <n v="224.45"/>
    <n v="0"/>
    <m/>
    <n v="0"/>
    <m/>
    <n v="0"/>
    <m/>
    <n v="0"/>
    <m/>
    <n v="0"/>
  </r>
  <r>
    <s v="ARAYTOR"/>
    <s v="B72470321"/>
    <s v="CE93307"/>
    <n v="32554"/>
    <s v="2600797"/>
    <s v="2026000352"/>
    <s v="Produccion"/>
    <s v="Correduría"/>
    <s v="Temporal"/>
    <s v="Cobrado"/>
    <x v="24"/>
    <d v="2026-01-13T00:00:00"/>
    <d v="2026-01-22T00:00:00"/>
    <m/>
    <m/>
    <m/>
    <d v="2026-02-03T00:00:00"/>
    <s v="Unico"/>
    <s v="Contingencias"/>
    <s v="Contingencias"/>
    <x v="9"/>
    <s v="CIRCLES GROUP, S.A."/>
    <s v="Euros"/>
    <n v="18395.75"/>
    <n v="3344.68"/>
    <n v="3344.68"/>
    <n v="0"/>
    <m/>
    <n v="0"/>
    <m/>
    <n v="0"/>
    <m/>
    <n v="0"/>
    <m/>
    <n v="0"/>
  </r>
  <r>
    <s v="ARAYTOR"/>
    <s v="B29890024"/>
    <s v="RCEXP-CA19169"/>
    <n v="32555"/>
    <s v="2600818"/>
    <s v="2026000353"/>
    <s v="Produccion"/>
    <s v="Correduría"/>
    <s v="Temporal"/>
    <s v="Cobrado"/>
    <x v="24"/>
    <d v="2026-01-13T00:00:00"/>
    <d v="2026-01-29T00:00:00"/>
    <m/>
    <m/>
    <m/>
    <d v="2026-02-03T00:00:00"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33594284"/>
    <s v="CE93343"/>
    <n v="32556"/>
    <s v="2601063"/>
    <s v="2026000354"/>
    <s v="Produccion"/>
    <s v="Correduría"/>
    <s v="Temporal"/>
    <s v="Cobrado"/>
    <x v="24"/>
    <d v="2026-01-15T00:00:00"/>
    <d v="2026-01-18T00:00:00"/>
    <m/>
    <m/>
    <m/>
    <d v="2026-02-03T00:00:00"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64753791"/>
    <s v="044971069"/>
    <n v="19920"/>
    <s v="879408429"/>
    <s v="2026000355"/>
    <s v="Cartera"/>
    <s v="Compañía"/>
    <s v="Renovable"/>
    <s v="Cobrado"/>
    <x v="24"/>
    <d v="2025-12-10T00:00:00"/>
    <d v="2026-01-14T00:00:00"/>
    <m/>
    <m/>
    <m/>
    <d v="2026-02-01T00:00:00"/>
    <s v="Anual"/>
    <s v="2192 - VIDA GRUPOS T.REN"/>
    <s v="Vida Convenio"/>
    <x v="11"/>
    <s v="ALLIANZ"/>
    <s v="Euros"/>
    <n v="5.47"/>
    <n v="0.82"/>
    <n v="0.82"/>
    <n v="0"/>
    <m/>
    <n v="0"/>
    <m/>
    <n v="0"/>
    <m/>
    <n v="0"/>
    <m/>
    <n v="0"/>
  </r>
  <r>
    <s v="ARAYTOR"/>
    <s v="B50717750"/>
    <s v="050081337-00096"/>
    <n v="26575"/>
    <s v="879442956"/>
    <s v="2026000356"/>
    <s v="Ajustes"/>
    <s v="Correduría"/>
    <s v="Renovable"/>
    <s v="Cobrado"/>
    <x v="24"/>
    <d v="2025-12-14T00:00:00"/>
    <d v="2026-01-19T00:00:00"/>
    <m/>
    <m/>
    <m/>
    <d v="2026-02-01T00:00:00"/>
    <s v="Anual"/>
    <s v="1222 Autopgrup V.03 (Turismos)"/>
    <s v="Vehiculos"/>
    <x v="1"/>
    <s v="ALLIANZ"/>
    <s v="Euros"/>
    <n v="-725.62"/>
    <n v="-58.05"/>
    <n v="-58.05"/>
    <n v="0"/>
    <m/>
    <n v="0"/>
    <m/>
    <n v="0"/>
    <m/>
    <n v="0"/>
    <m/>
    <n v="0"/>
  </r>
  <r>
    <s v="ARAYTOR"/>
    <s v="B64753791"/>
    <s v="044971069"/>
    <n v="19920"/>
    <s v="589121171"/>
    <s v="2026000357"/>
    <s v="Cartera"/>
    <s v="Compañía"/>
    <s v="Renovable"/>
    <s v="Cobrado"/>
    <x v="24"/>
    <d v="2026-01-17T00:00:00"/>
    <d v="2026-01-17T00:00:00"/>
    <m/>
    <m/>
    <m/>
    <d v="2026-02-01T00:00:00"/>
    <s v="Anual"/>
    <s v="2192 - VIDA GRUPOS T.REN"/>
    <s v="Vida Convenio"/>
    <x v="11"/>
    <s v="ALLIANZ"/>
    <s v="Euros"/>
    <n v="391.54"/>
    <n v="57.05"/>
    <n v="57.05"/>
    <n v="0"/>
    <m/>
    <n v="0"/>
    <m/>
    <n v="0"/>
    <m/>
    <n v="0"/>
    <m/>
    <n v="0"/>
  </r>
  <r>
    <s v="ARAYTOR"/>
    <s v="45486979V"/>
    <s v="06056508"/>
    <n v="5092"/>
    <s v="51586035"/>
    <s v="2026000358"/>
    <s v="Suplemento modificacion de produccion"/>
    <s v="Compañía"/>
    <s v="Renovable"/>
    <s v="Cobrado"/>
    <x v="24"/>
    <d v="2026-01-01T00:00:00"/>
    <d v="2026-01-15T00:00:00"/>
    <m/>
    <m/>
    <d v="2026-01-22T00:00:00"/>
    <d v="2026-02-02T00:00:00"/>
    <s v="Mensual"/>
    <s v="08792 - SALUD INDIVIDUAL MIGRACION"/>
    <s v="Cuadro Cerrado"/>
    <x v="4"/>
    <s v="AXA"/>
    <s v="Euros"/>
    <n v="287.11"/>
    <n v="28.71"/>
    <n v="28.71"/>
    <n v="0"/>
    <m/>
    <n v="0"/>
    <s v="TON ABAD (ANTIC)"/>
    <n v="0"/>
    <m/>
    <n v="0"/>
    <m/>
    <n v="0"/>
  </r>
  <r>
    <s v="ARAYTOR"/>
    <s v="45486979V"/>
    <s v="06056508"/>
    <n v="5092"/>
    <s v="51585945"/>
    <s v="2026000359"/>
    <s v="Ajustes"/>
    <s v="Compañía"/>
    <s v="Renovable"/>
    <s v="Cobrado"/>
    <x v="24"/>
    <d v="2026-01-01T00:00:00"/>
    <d v="2026-01-28T00:00:00"/>
    <m/>
    <m/>
    <d v="2026-03-01T00:00:00"/>
    <d v="2026-02-02T00:00:00"/>
    <s v="Mensual"/>
    <s v="08792 - SALUD INDIVIDUAL MIGRACION"/>
    <s v="Cuadro Cerrado"/>
    <x v="4"/>
    <s v="AXA"/>
    <s v="Euros"/>
    <n v="-287.17"/>
    <n v="-28.71"/>
    <n v="-28.71"/>
    <n v="0"/>
    <m/>
    <n v="0"/>
    <s v="TON ABAD (ANTIC)"/>
    <n v="0"/>
    <m/>
    <n v="0"/>
    <m/>
    <n v="0"/>
  </r>
  <r>
    <s v="ARAYTOR"/>
    <s v="B83678029"/>
    <s v="8-10.890.101-W"/>
    <n v="27636"/>
    <s v="472768195-E"/>
    <s v="2026000360"/>
    <s v="Cartera"/>
    <s v="Correduría"/>
    <s v="Renovable"/>
    <s v="Cobrado"/>
    <x v="24"/>
    <d v="2026-02-03T00:00:00"/>
    <d v="2026-02-03T00:00:00"/>
    <m/>
    <m/>
    <m/>
    <d v="2026-03-01T00:00:00"/>
    <s v="Anual"/>
    <s v="01242 - RC comercio, cultura, ocio"/>
    <s v="RC General"/>
    <x v="0"/>
    <s v="OCCIDENT GCO, S.A.U."/>
    <s v="Euros"/>
    <n v="8904"/>
    <n v="1335.6"/>
    <n v="1335.6"/>
    <n v="0"/>
    <m/>
    <n v="0"/>
    <m/>
    <n v="0"/>
    <m/>
    <n v="0"/>
    <m/>
    <n v="0"/>
  </r>
  <r>
    <s v="ARAYTOR"/>
    <s v="B59400234"/>
    <s v="8-5.556.683-S"/>
    <n v="14150"/>
    <s v="473093171-H"/>
    <s v="2026000361"/>
    <s v="Cartera"/>
    <s v="Correduría"/>
    <s v="Renovable"/>
    <s v="Cobrado"/>
    <x v="24"/>
    <d v="2026-03-03T00:00:00"/>
    <d v="2026-03-03T00:00:00"/>
    <m/>
    <m/>
    <m/>
    <m/>
    <s v="Anual"/>
    <s v="01688 - Pyme"/>
    <s v="PYME"/>
    <x v="3"/>
    <s v="OCCIDENT GCO, S.A.U."/>
    <s v="Euros"/>
    <n v="1473.6"/>
    <n v="350.72"/>
    <n v="350.72"/>
    <n v="0"/>
    <m/>
    <n v="0"/>
    <m/>
    <n v="0"/>
    <m/>
    <n v="0"/>
    <m/>
    <n v="0"/>
  </r>
  <r>
    <s v="ARAYTOR"/>
    <s v="46338155D"/>
    <s v="8-10.493.808-K"/>
    <n v="24875"/>
    <s v="473114846-L"/>
    <s v="2026000362"/>
    <s v="Cartera"/>
    <s v="Correduría"/>
    <s v="Renovable"/>
    <s v="Facturado"/>
    <x v="24"/>
    <d v="2026-03-23T00:00:00"/>
    <m/>
    <m/>
    <m/>
    <m/>
    <m/>
    <s v="Anual"/>
    <s v="01480 - Embarcaciones de Recreo"/>
    <s v="Embarcaciones de Recreo"/>
    <x v="12"/>
    <s v="OCCIDENT GCO, S.A.U."/>
    <s v="Euros"/>
    <n v="143.41999999999999"/>
    <n v="29.4"/>
    <n v="29.4"/>
    <n v="0"/>
    <m/>
    <n v="0"/>
    <m/>
    <n v="0"/>
    <m/>
    <n v="0"/>
    <m/>
    <n v="0"/>
  </r>
  <r>
    <s v="ARAYTOR"/>
    <s v="46651409A"/>
    <s v="1/94594"/>
    <n v="2414"/>
    <s v="264135946"/>
    <s v="2026000363"/>
    <s v="Cartera"/>
    <s v="Compañía"/>
    <s v="Renovable"/>
    <s v="Cobrado"/>
    <x v="25"/>
    <d v="2026-02-01T00:00:00"/>
    <d v="2026-02-01T00:00:00"/>
    <m/>
    <m/>
    <m/>
    <m/>
    <s v="Mensual"/>
    <s v="Temporal Renovable"/>
    <s v="Vida Individual"/>
    <x v="5"/>
    <s v="FIATC "/>
    <s v="Euros"/>
    <n v="870.58"/>
    <n v="104.47"/>
    <n v="104.47"/>
    <n v="0"/>
    <m/>
    <n v="0"/>
    <m/>
    <n v="0"/>
    <m/>
    <n v="0"/>
    <m/>
    <n v="0"/>
  </r>
  <r>
    <s v="ARAYTOR"/>
    <s v="33873117M"/>
    <s v="1/101850"/>
    <n v="4427"/>
    <s v="264136300"/>
    <s v="2026000364"/>
    <s v="Cartera"/>
    <s v="Compañía"/>
    <s v="Renovable"/>
    <s v="Cobrado"/>
    <x v="25"/>
    <d v="2026-02-26T00:00:00"/>
    <d v="2026-02-26T00:00:00"/>
    <m/>
    <m/>
    <m/>
    <m/>
    <s v="Mensual"/>
    <s v="Temporal Renovable"/>
    <s v="Vida Individual"/>
    <x v="5"/>
    <s v="FIATC "/>
    <s v="Euros"/>
    <n v="257.64999999999998"/>
    <n v="30.92"/>
    <n v="30.92"/>
    <n v="0"/>
    <m/>
    <n v="0"/>
    <m/>
    <n v="0"/>
    <m/>
    <n v="0"/>
    <m/>
    <n v="0"/>
  </r>
  <r>
    <s v="ARAYTOR"/>
    <s v="46133985X"/>
    <s v="1/113891"/>
    <n v="8153"/>
    <s v="264136864"/>
    <s v="2026000365"/>
    <s v="Cartera"/>
    <s v="Compañía"/>
    <s v="Renovable"/>
    <s v="Cobrado"/>
    <x v="25"/>
    <d v="2026-02-01T00:00:00"/>
    <d v="2026-02-01T00:00:00"/>
    <m/>
    <m/>
    <m/>
    <m/>
    <s v="Mensual"/>
    <s v="Temporal Renovable"/>
    <s v="Vida Individual"/>
    <x v="5"/>
    <s v="FIATC "/>
    <s v="Euros"/>
    <n v="120.12"/>
    <n v="14.41"/>
    <n v="14.41"/>
    <n v="0"/>
    <m/>
    <n v="0"/>
    <m/>
    <n v="0"/>
    <m/>
    <n v="0"/>
    <m/>
    <n v="0"/>
  </r>
  <r>
    <s v="ARAYTOR"/>
    <s v="38109730H"/>
    <s v="1/152320"/>
    <n v="16730"/>
    <s v="264141309"/>
    <s v="2026000366"/>
    <s v="Cartera"/>
    <s v="Compañía"/>
    <s v="Renovable"/>
    <s v="Cobrado"/>
    <x v="25"/>
    <d v="2026-02-23T00:00:00"/>
    <d v="2026-02-24T00:00:00"/>
    <m/>
    <m/>
    <m/>
    <m/>
    <s v="Mensual"/>
    <s v="Temporal Renovable"/>
    <s v="Vida Individual"/>
    <x v="5"/>
    <s v="FIATC "/>
    <s v="Euros"/>
    <n v="82.13"/>
    <n v="9.85"/>
    <n v="9.85"/>
    <n v="0"/>
    <m/>
    <n v="0"/>
    <m/>
    <n v="0"/>
    <m/>
    <n v="0"/>
    <m/>
    <n v="0"/>
  </r>
  <r>
    <s v="ARAYTOR"/>
    <s v="35042191N"/>
    <s v="1/152769"/>
    <n v="16897"/>
    <s v="264141637"/>
    <s v="2026000367"/>
    <s v="Cartera"/>
    <s v="Correduría"/>
    <s v="Renovable"/>
    <s v="Cobrado"/>
    <x v="25"/>
    <d v="2026-02-19T00:00:00"/>
    <d v="2026-02-19T00:00:00"/>
    <m/>
    <m/>
    <m/>
    <d v="2026-04-01T00:00:00"/>
    <s v="Anual"/>
    <s v="Temporal Renovable"/>
    <s v="Vida Individual"/>
    <x v="5"/>
    <s v="FIATC "/>
    <s v="Euros"/>
    <n v="1538.53"/>
    <n v="184.63"/>
    <n v="184.63"/>
    <n v="0"/>
    <m/>
    <n v="0"/>
    <m/>
    <n v="0"/>
    <m/>
    <n v="0"/>
    <m/>
    <n v="0"/>
  </r>
  <r>
    <s v="ARAYTOR"/>
    <s v="B64753791"/>
    <s v="14/658342"/>
    <n v="23596"/>
    <s v="264089932"/>
    <s v="2026000368"/>
    <s v="Produccion"/>
    <s v="Compañía"/>
    <s v="Renovable"/>
    <s v="Cobrado"/>
    <x v="25"/>
    <d v="2026-02-05T00:00:00"/>
    <d v="2026-02-05T00:00:00"/>
    <m/>
    <m/>
    <m/>
    <m/>
    <s v="Mensual"/>
    <s v="48 - DINAMICO"/>
    <s v="Vida Mixto"/>
    <x v="13"/>
    <s v="FIATC "/>
    <s v="Euros"/>
    <n v="1875"/>
    <n v="3.75"/>
    <n v="3.75"/>
    <n v="0"/>
    <m/>
    <n v="0"/>
    <m/>
    <n v="0"/>
    <m/>
    <n v="0"/>
    <m/>
    <n v="0"/>
  </r>
  <r>
    <s v="ARAYTOR"/>
    <s v="B64753791"/>
    <s v="14/658345"/>
    <n v="23597"/>
    <s v="264089933"/>
    <s v="2026000369"/>
    <s v="Produccion"/>
    <s v="Compañía"/>
    <s v="Renovable"/>
    <s v="Cobrado"/>
    <x v="25"/>
    <d v="2026-02-05T00:00:00"/>
    <d v="2026-02-05T00:00:00"/>
    <m/>
    <m/>
    <m/>
    <m/>
    <s v="Mensual"/>
    <s v="48 - DINAMICO"/>
    <s v="Vida Mixto"/>
    <x v="13"/>
    <s v="FIATC "/>
    <s v="Euros"/>
    <n v="2175"/>
    <n v="4.3499999999999996"/>
    <n v="4.3499999999999996"/>
    <n v="0"/>
    <m/>
    <n v="0"/>
    <m/>
    <n v="0"/>
    <m/>
    <n v="0"/>
    <m/>
    <n v="0"/>
  </r>
  <r>
    <s v="ARAYTOR"/>
    <s v="B64753791"/>
    <s v="14/658346"/>
    <n v="23598"/>
    <s v="264089934"/>
    <s v="2026000370"/>
    <s v="Produccion"/>
    <s v="Compañía"/>
    <s v="Renovable"/>
    <s v="Cobrado"/>
    <x v="25"/>
    <d v="2026-02-05T00:00:00"/>
    <d v="2026-02-05T00:00:00"/>
    <m/>
    <m/>
    <m/>
    <m/>
    <s v="Mensual"/>
    <s v="48 - DINAMICO"/>
    <s v="Vida Mixto"/>
    <x v="13"/>
    <s v="FIATC "/>
    <s v="Euros"/>
    <n v="1320"/>
    <n v="2.64"/>
    <n v="2.64"/>
    <n v="0"/>
    <m/>
    <n v="0"/>
    <m/>
    <n v="0"/>
    <m/>
    <n v="0"/>
    <m/>
    <n v="0"/>
  </r>
  <r>
    <s v="ARAYTOR"/>
    <s v="B64753791"/>
    <s v="14/658347"/>
    <n v="23599"/>
    <s v="264089935"/>
    <s v="2026000371"/>
    <s v="Produccion"/>
    <s v="Compañía"/>
    <s v="Renovable"/>
    <s v="Cobrado"/>
    <x v="25"/>
    <d v="2026-02-05T00:00:00"/>
    <d v="2026-02-05T00:00:00"/>
    <m/>
    <m/>
    <m/>
    <m/>
    <s v="Mensual"/>
    <s v="48 - DINAMICO"/>
    <s v="Vida Mixto"/>
    <x v="13"/>
    <s v="FIATC "/>
    <s v="Euros"/>
    <n v="590"/>
    <n v="1.18"/>
    <n v="1.18"/>
    <n v="0"/>
    <m/>
    <n v="0"/>
    <m/>
    <n v="0"/>
    <m/>
    <n v="0"/>
    <m/>
    <n v="0"/>
  </r>
  <r>
    <s v="ARAYTOR"/>
    <s v="B64753791"/>
    <s v="14/658348"/>
    <n v="23600"/>
    <s v="264089936"/>
    <s v="2026000372"/>
    <s v="Produccion"/>
    <s v="Compañía"/>
    <s v="Renovable"/>
    <s v="Anulado"/>
    <x v="25"/>
    <d v="2026-02-05T00:00:00"/>
    <m/>
    <m/>
    <d v="2026-02-01T00:00:00"/>
    <m/>
    <m/>
    <s v="Mensual"/>
    <s v="48 - DINAMICO"/>
    <s v="Vida Mixto"/>
    <x v="13"/>
    <s v="FIATC "/>
    <s v="Euros"/>
    <n v="900"/>
    <n v="1.8"/>
    <n v="1.8"/>
    <n v="0"/>
    <m/>
    <n v="0"/>
    <m/>
    <n v="0"/>
    <m/>
    <n v="0"/>
    <m/>
    <n v="0"/>
  </r>
  <r>
    <s v="ARAYTOR"/>
    <s v="X1969225B"/>
    <s v="20/4514309"/>
    <n v="4869"/>
    <s v="264236672"/>
    <s v="2026000373"/>
    <s v="Cartera"/>
    <s v="Correduría"/>
    <s v="Renovable"/>
    <s v="Facturado"/>
    <x v="25"/>
    <d v="2026-02-18T00:00:00"/>
    <m/>
    <m/>
    <m/>
    <m/>
    <m/>
    <s v="Anual"/>
    <s v="Maxi"/>
    <s v="Turismo"/>
    <x v="1"/>
    <s v="FIATC "/>
    <s v="Euros"/>
    <n v="1505.78"/>
    <n v="213.42"/>
    <n v="213.42"/>
    <n v="0"/>
    <m/>
    <n v="0"/>
    <m/>
    <n v="0"/>
    <m/>
    <n v="0"/>
    <m/>
    <n v="0"/>
  </r>
  <r>
    <s v="ARAYTOR"/>
    <s v="09450744K"/>
    <s v="20/6684851"/>
    <n v="19016"/>
    <s v="264245844"/>
    <s v="2026000374"/>
    <s v="Cartera"/>
    <s v="Correduría"/>
    <s v="Renovable"/>
    <s v="Anulado"/>
    <x v="25"/>
    <d v="2026-02-15T00:00:00"/>
    <m/>
    <d v="2026-03-01T00:00:00"/>
    <d v="2026-02-01T00:00:00"/>
    <m/>
    <m/>
    <s v="Anual"/>
    <s v="Turismo"/>
    <s v="Turismo"/>
    <x v="1"/>
    <s v="FIATC "/>
    <s v="Euros"/>
    <n v="689.64"/>
    <n v="98.37"/>
    <n v="98.37"/>
    <n v="0"/>
    <m/>
    <n v="0"/>
    <m/>
    <n v="0"/>
    <m/>
    <n v="0"/>
    <m/>
    <n v="0"/>
  </r>
  <r>
    <s v="ARAYTOR"/>
    <s v="46119002T"/>
    <s v="20/6883110"/>
    <n v="22978"/>
    <s v="264075891"/>
    <s v="2026000375"/>
    <s v="Cartera"/>
    <s v="Compañía"/>
    <s v="Renovable"/>
    <s v="Cobrado"/>
    <x v="25"/>
    <d v="2026-02-07T00:00:00"/>
    <d v="2026-02-07T00:00:00"/>
    <m/>
    <m/>
    <m/>
    <m/>
    <s v="Semestral"/>
    <s v="M - MAXI-AUTO"/>
    <s v="Vehiculos"/>
    <x v="1"/>
    <s v="FIATC "/>
    <s v="Euros"/>
    <n v="330.97"/>
    <n v="47.58"/>
    <n v="47.58"/>
    <n v="0"/>
    <m/>
    <n v="0"/>
    <m/>
    <n v="0"/>
    <m/>
    <n v="0"/>
    <m/>
    <n v="0"/>
  </r>
  <r>
    <s v="ARAYTOR"/>
    <s v="B65882011"/>
    <s v="20/7139690"/>
    <n v="26097"/>
    <s v="264251752"/>
    <s v="2026000376"/>
    <s v="Cartera"/>
    <s v="Correduría"/>
    <s v="Renovable"/>
    <s v="Cobrado"/>
    <x v="25"/>
    <d v="2026-02-21T00:00:00"/>
    <d v="2026-02-23T00:00:00"/>
    <m/>
    <m/>
    <m/>
    <d v="2026-04-01T00:00:00"/>
    <s v="Anual"/>
    <s v="N - 20 Normal"/>
    <s v="Vehiculos"/>
    <x v="1"/>
    <s v="FIATC "/>
    <s v="Euros"/>
    <n v="169.88"/>
    <n v="23.06"/>
    <n v="23.06"/>
    <n v="0"/>
    <m/>
    <n v="0"/>
    <m/>
    <n v="0"/>
    <m/>
    <n v="0"/>
    <m/>
    <n v="0"/>
  </r>
  <r>
    <s v="ARAYTOR"/>
    <s v="B65684227"/>
    <s v="20/7140037"/>
    <n v="26109"/>
    <s v="264251812"/>
    <s v="2026000377"/>
    <s v="Cartera"/>
    <s v="Correduría"/>
    <s v="Renovable"/>
    <s v="Cobrado"/>
    <x v="25"/>
    <d v="2026-02-22T00:00:00"/>
    <d v="2026-02-23T00:00:00"/>
    <m/>
    <m/>
    <m/>
    <d v="2026-04-01T00:00:00"/>
    <s v="Anual"/>
    <s v="M - MAXI-AUTO"/>
    <s v="Vehiculos"/>
    <x v="1"/>
    <s v="FIATC "/>
    <s v="Euros"/>
    <n v="1068.42"/>
    <n v="151.91999999999999"/>
    <n v="151.91999999999999"/>
    <n v="0"/>
    <m/>
    <n v="0"/>
    <m/>
    <n v="0"/>
    <m/>
    <n v="0"/>
    <m/>
    <n v="0"/>
  </r>
  <r>
    <s v="ARAYTOR"/>
    <s v="B25827577"/>
    <s v="20/7241272"/>
    <n v="27640"/>
    <s v="264252199"/>
    <s v="2026000378"/>
    <s v="Cartera"/>
    <s v="Correduría"/>
    <s v="Renovable"/>
    <s v="Anulado"/>
    <x v="25"/>
    <d v="2026-02-01T00:00:00"/>
    <m/>
    <d v="2026-04-01T00:00:00"/>
    <d v="2026-02-10T00:00:00"/>
    <m/>
    <m/>
    <s v="Anual"/>
    <s v="N - 20 Normal"/>
    <s v="Vehiculos"/>
    <x v="1"/>
    <s v="FIATC "/>
    <s v="Euros"/>
    <n v="878.22"/>
    <n v="125.57"/>
    <n v="125.57"/>
    <n v="0"/>
    <m/>
    <n v="0"/>
    <s v="URGEL.LITANA D'ASSEGURANCES, S.L."/>
    <n v="62.79"/>
    <m/>
    <n v="0"/>
    <m/>
    <n v="0"/>
  </r>
  <r>
    <s v="ARAYTOR"/>
    <s v="B17858630"/>
    <s v="29/173335"/>
    <n v="11613"/>
    <s v="264099064"/>
    <s v="2026000379"/>
    <s v="Cartera"/>
    <s v="Compañía"/>
    <s v="Renovable"/>
    <s v="Cobrado"/>
    <x v="25"/>
    <d v="2026-02-01T00:00:00"/>
    <d v="2026-02-01T00:00:00"/>
    <m/>
    <m/>
    <m/>
    <m/>
    <s v="Trimestral"/>
    <s v="MEDIFIATC PROGRESS"/>
    <s v="Cuadro Cerrado"/>
    <x v="4"/>
    <s v="FIATC "/>
    <s v="Euros"/>
    <n v="378.4"/>
    <n v="30.27"/>
    <n v="30.27"/>
    <n v="0"/>
    <m/>
    <n v="0"/>
    <m/>
    <n v="0"/>
    <m/>
    <n v="0"/>
    <m/>
    <n v="0"/>
  </r>
  <r>
    <s v="ARAYTOR"/>
    <s v="B17858630"/>
    <s v="29/197770"/>
    <n v="11595"/>
    <s v="264102570"/>
    <s v="2026000380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301.64999999999998"/>
    <n v="24.13"/>
    <n v="24.13"/>
    <n v="0"/>
    <m/>
    <n v="0"/>
    <m/>
    <n v="0"/>
    <m/>
    <n v="0"/>
    <m/>
    <n v="0"/>
  </r>
  <r>
    <s v="ARAYTOR"/>
    <s v="47610003A"/>
    <s v="29/3002950"/>
    <n v="12891"/>
    <s v="264125821"/>
    <s v="2026000381"/>
    <s v="Cartera"/>
    <s v="Compañía"/>
    <s v="Renovable"/>
    <s v="Cobrado"/>
    <x v="25"/>
    <d v="2026-02-01T00:00:00"/>
    <d v="2026-02-01T00:00:00"/>
    <m/>
    <m/>
    <m/>
    <m/>
    <s v="Mensual"/>
    <s v="2010 Mediatc Progess"/>
    <s v="Colectivo Salud"/>
    <x v="10"/>
    <s v="FIATC "/>
    <s v="Euros"/>
    <n v="137.49"/>
    <n v="11"/>
    <n v="11"/>
    <n v="0"/>
    <m/>
    <n v="0"/>
    <m/>
    <n v="0"/>
    <m/>
    <n v="0"/>
    <m/>
    <n v="0"/>
  </r>
  <r>
    <s v="ARAYTOR"/>
    <s v="38051670X"/>
    <s v="29/3004653"/>
    <n v="12895"/>
    <s v="264125934"/>
    <s v="2026000382"/>
    <s v="Cartera"/>
    <s v="Compañía"/>
    <s v="Renovable"/>
    <s v="Cobrado"/>
    <x v="25"/>
    <d v="2026-02-01T00:00:00"/>
    <d v="2026-02-01T00:00:00"/>
    <m/>
    <m/>
    <m/>
    <m/>
    <s v="Mensual"/>
    <s v="2010 Mediatc Progess"/>
    <s v="Colectivo Salud"/>
    <x v="10"/>
    <s v="FIATC "/>
    <s v="Euros"/>
    <n v="252.12"/>
    <n v="20.170000000000002"/>
    <n v="20.170000000000002"/>
    <n v="0"/>
    <m/>
    <n v="0"/>
    <m/>
    <n v="0"/>
    <m/>
    <n v="0"/>
    <m/>
    <n v="0"/>
  </r>
  <r>
    <s v="ARAYTOR"/>
    <s v="46216659E"/>
    <s v="29/3007241"/>
    <n v="13082"/>
    <s v="264126728"/>
    <s v="2026000383"/>
    <s v="Cartera"/>
    <s v="Compañía"/>
    <s v="Renovable"/>
    <s v="Cobrado"/>
    <x v="25"/>
    <d v="2026-02-01T00:00:00"/>
    <d v="2026-02-01T00:00:00"/>
    <m/>
    <m/>
    <m/>
    <m/>
    <s v="Mensual"/>
    <s v="2010 Mediatc Progess"/>
    <s v="Colectivo Salud"/>
    <x v="10"/>
    <s v="FIATC "/>
    <s v="Euros"/>
    <n v="119.69"/>
    <n v="4.79"/>
    <n v="4.79"/>
    <n v="0"/>
    <m/>
    <n v="0"/>
    <m/>
    <n v="0"/>
    <m/>
    <n v="0"/>
    <m/>
    <n v="0"/>
  </r>
  <r>
    <s v="ARAYTOR"/>
    <s v="36929337P"/>
    <s v="29/3008707"/>
    <n v="13177"/>
    <s v="264126980"/>
    <s v="2026000384"/>
    <s v="Cartera"/>
    <s v="Compañía"/>
    <s v="Renovable"/>
    <s v="Cobrado"/>
    <x v="25"/>
    <d v="2026-02-01T00:00:00"/>
    <d v="2026-02-01T00:00:00"/>
    <m/>
    <m/>
    <m/>
    <m/>
    <s v="Mensual"/>
    <s v="2010 Mediatc Progess"/>
    <s v="Colectivo Salud"/>
    <x v="10"/>
    <s v="FIATC "/>
    <s v="Euros"/>
    <n v="164.45"/>
    <n v="13.16"/>
    <n v="13.16"/>
    <n v="0"/>
    <m/>
    <n v="0"/>
    <m/>
    <n v="0"/>
    <m/>
    <n v="0"/>
    <m/>
    <n v="0"/>
  </r>
  <r>
    <s v="ARAYTOR"/>
    <s v="46799386K"/>
    <s v="29/3011014"/>
    <n v="13423"/>
    <s v="264127503"/>
    <s v="2026000385"/>
    <s v="Cartera"/>
    <s v="Compañía"/>
    <s v="Renovable"/>
    <s v="Cobrado"/>
    <x v="25"/>
    <d v="2026-02-01T00:00:00"/>
    <d v="2026-02-01T00:00:00"/>
    <m/>
    <m/>
    <m/>
    <m/>
    <s v="Mensual"/>
    <s v="2010 Mediatc Progess"/>
    <s v="Colectivo Salud"/>
    <x v="10"/>
    <s v="FIATC "/>
    <s v="Euros"/>
    <n v="181.52"/>
    <n v="14.52"/>
    <n v="14.52"/>
    <n v="0"/>
    <m/>
    <n v="0"/>
    <m/>
    <n v="0"/>
    <m/>
    <n v="0"/>
    <m/>
    <n v="0"/>
  </r>
  <r>
    <s v="ARAYTOR"/>
    <s v="46612440L"/>
    <s v="29/3011134"/>
    <n v="13485"/>
    <s v="264127542"/>
    <s v="2026000386"/>
    <s v="Cartera"/>
    <s v="Compañía"/>
    <s v="Renovable"/>
    <s v="Cobrado"/>
    <x v="25"/>
    <d v="2026-02-01T00:00:00"/>
    <d v="2026-02-01T00:00:00"/>
    <m/>
    <m/>
    <m/>
    <m/>
    <s v="Mensual"/>
    <s v="2010 Mediatc Progess"/>
    <s v="Colectivo Salud"/>
    <x v="10"/>
    <s v="FIATC "/>
    <s v="Euros"/>
    <n v="100.66"/>
    <n v="8.0500000000000007"/>
    <n v="8.0500000000000007"/>
    <n v="0"/>
    <m/>
    <n v="0"/>
    <m/>
    <n v="0"/>
    <m/>
    <n v="0"/>
    <m/>
    <n v="0"/>
  </r>
  <r>
    <s v="ARAYTOR"/>
    <s v="46731149W"/>
    <s v="29/3011458"/>
    <n v="13555"/>
    <s v="264127599"/>
    <s v="2026000387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58.77"/>
    <n v="4.7"/>
    <n v="4.7"/>
    <n v="0"/>
    <m/>
    <n v="0"/>
    <m/>
    <n v="0"/>
    <m/>
    <n v="0"/>
    <m/>
    <n v="0"/>
  </r>
  <r>
    <s v="ARAYTOR"/>
    <s v="39363713H"/>
    <s v="29/3012975"/>
    <n v="14121"/>
    <s v="264127998"/>
    <s v="2026000388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191.65"/>
    <n v="15.33"/>
    <n v="15.33"/>
    <n v="0"/>
    <m/>
    <n v="0"/>
    <m/>
    <n v="0"/>
    <m/>
    <n v="0"/>
    <m/>
    <n v="0"/>
  </r>
  <r>
    <s v="ARAYTOR"/>
    <s v="46691745C"/>
    <s v="29/3015527"/>
    <n v="14287"/>
    <s v="264128505"/>
    <s v="2026000389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251.68"/>
    <n v="20.13"/>
    <n v="20.13"/>
    <n v="0"/>
    <m/>
    <n v="0"/>
    <m/>
    <n v="0"/>
    <m/>
    <n v="0"/>
    <m/>
    <n v="0"/>
  </r>
  <r>
    <s v="ARAYTOR"/>
    <s v="33893426M"/>
    <s v="29/3018245"/>
    <n v="14584"/>
    <s v="264129516"/>
    <s v="2026000390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439.45"/>
    <n v="35.159999999999997"/>
    <n v="35.159999999999997"/>
    <n v="0"/>
    <m/>
    <n v="0"/>
    <m/>
    <n v="0"/>
    <m/>
    <n v="0"/>
    <m/>
    <n v="0"/>
  </r>
  <r>
    <s v="ARAYTOR"/>
    <s v="43398436N"/>
    <s v="29/3020101"/>
    <n v="15342"/>
    <s v="264130351"/>
    <s v="2026000391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152.37"/>
    <n v="12.19"/>
    <n v="12.19"/>
    <n v="0"/>
    <m/>
    <n v="0"/>
    <m/>
    <n v="0"/>
    <m/>
    <n v="0"/>
    <m/>
    <n v="0"/>
  </r>
  <r>
    <s v="ARAYTOR"/>
    <s v="38870848C"/>
    <s v="29/3020817"/>
    <n v="17453"/>
    <s v="264134473"/>
    <s v="2026000392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139.96"/>
    <n v="11.2"/>
    <n v="11.2"/>
    <n v="0"/>
    <m/>
    <n v="0"/>
    <m/>
    <n v="0"/>
    <m/>
    <n v="0"/>
    <m/>
    <n v="0"/>
  </r>
  <r>
    <s v="ARAYTOR"/>
    <s v="38074869W"/>
    <s v="29/3020888"/>
    <n v="17703"/>
    <s v="264135122"/>
    <s v="2026000393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153.18"/>
    <n v="12.25"/>
    <n v="12.25"/>
    <n v="0"/>
    <m/>
    <n v="0"/>
    <m/>
    <n v="0"/>
    <m/>
    <n v="0"/>
    <m/>
    <n v="0"/>
  </r>
  <r>
    <s v="ARAYTOR"/>
    <s v="46678120B"/>
    <s v="29/3044031"/>
    <n v="23580"/>
    <s v="264158616"/>
    <s v="2026000394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85.29"/>
    <n v="6.82"/>
    <n v="6.82"/>
    <n v="0"/>
    <m/>
    <n v="0"/>
    <m/>
    <n v="0"/>
    <m/>
    <n v="0"/>
    <m/>
    <n v="0"/>
  </r>
  <r>
    <s v="ARAYTOR"/>
    <s v="46728875M"/>
    <s v="29/3048296"/>
    <n v="23974"/>
    <s v="264160680"/>
    <s v="2026000395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138.86000000000001"/>
    <n v="11.11"/>
    <n v="11.11"/>
    <n v="0"/>
    <m/>
    <n v="0"/>
    <m/>
    <n v="0"/>
    <m/>
    <n v="0"/>
    <m/>
    <n v="0"/>
  </r>
  <r>
    <s v="ARAYTOR"/>
    <s v="X1768964B"/>
    <s v="30/401584"/>
    <n v="441"/>
    <s v="264205233"/>
    <s v="2026000396"/>
    <s v="Cartera"/>
    <s v="Correduría"/>
    <s v="Renovable"/>
    <s v="Cobrado"/>
    <x v="25"/>
    <d v="2026-02-06T00:00:00"/>
    <d v="2026-02-06T00:00:00"/>
    <m/>
    <m/>
    <m/>
    <d v="2026-04-01T00:00:00"/>
    <s v="Anual"/>
    <s v="4 - ACCIDENTES INDIVIDUAL (G.00.2)"/>
    <s v="Accidentes Personales"/>
    <x v="4"/>
    <s v="FIATC "/>
    <s v="Euros"/>
    <n v="298.32"/>
    <n v="89.5"/>
    <n v="89.5"/>
    <n v="0"/>
    <m/>
    <n v="0"/>
    <m/>
    <n v="0"/>
    <m/>
    <n v="0"/>
    <m/>
    <n v="0"/>
  </r>
  <r>
    <s v="ARAYTOR"/>
    <s v="X2389815T"/>
    <s v="30/401616"/>
    <n v="8701"/>
    <s v="264205234"/>
    <s v="2026000397"/>
    <s v="Cartera"/>
    <s v="Correduría"/>
    <s v="Renovable"/>
    <s v="Cobrado"/>
    <x v="25"/>
    <d v="2026-02-06T00:00:00"/>
    <d v="2026-02-06T00:00:00"/>
    <m/>
    <m/>
    <m/>
    <d v="2026-04-01T00:00:00"/>
    <s v="Anual"/>
    <s v="4 - ACCIDENTES INDIVIDUAL (G.00.2)"/>
    <s v="Accidentes Personales"/>
    <x v="4"/>
    <s v="FIATC "/>
    <s v="Euros"/>
    <n v="387.61"/>
    <n v="116.28"/>
    <n v="116.28"/>
    <n v="0"/>
    <m/>
    <n v="0"/>
    <m/>
    <n v="0"/>
    <m/>
    <n v="0"/>
    <m/>
    <n v="0"/>
  </r>
  <r>
    <s v="ARAYTOR"/>
    <s v="38086314Q"/>
    <s v="30/425436"/>
    <n v="1637"/>
    <s v="264205346"/>
    <s v="2026000398"/>
    <s v="Cartera"/>
    <s v="Correduría"/>
    <s v="Renovable"/>
    <s v="Cobrado"/>
    <x v="25"/>
    <d v="2026-02-24T00:00:00"/>
    <d v="2026-02-24T00:00:00"/>
    <m/>
    <m/>
    <m/>
    <d v="2026-04-01T00:00:00"/>
    <s v="Anual"/>
    <s v="4 - ACCIDENTES INDIVIDUAL (G.00.2)"/>
    <s v="Accidentes Personales"/>
    <x v="4"/>
    <s v="FIATC "/>
    <s v="Euros"/>
    <n v="93.88"/>
    <n v="28.17"/>
    <n v="28.17"/>
    <n v="0"/>
    <m/>
    <n v="0"/>
    <m/>
    <n v="0"/>
    <m/>
    <n v="0"/>
    <m/>
    <n v="0"/>
  </r>
  <r>
    <s v="ARAYTOR"/>
    <s v="46133985X"/>
    <s v="30/1001171"/>
    <n v="8170"/>
    <s v="264205485"/>
    <s v="2026000399"/>
    <s v="Cartera"/>
    <s v="Correduría"/>
    <s v="Renovable"/>
    <s v="Cobrado"/>
    <x v="25"/>
    <d v="2026-02-09T00:00:00"/>
    <d v="2026-02-09T00:00:00"/>
    <m/>
    <m/>
    <m/>
    <d v="2026-04-01T00:00:00"/>
    <s v="Mensual"/>
    <s v="4 - ACCIDENTES INDIVIDUAL (G.00.2)"/>
    <s v="Accidentes Personales"/>
    <x v="4"/>
    <s v="FIATC "/>
    <s v="Euros"/>
    <n v="28.82"/>
    <n v="8.64"/>
    <n v="8.64"/>
    <n v="0"/>
    <m/>
    <n v="0"/>
    <m/>
    <n v="0"/>
    <m/>
    <n v="0"/>
    <m/>
    <n v="0"/>
  </r>
  <r>
    <s v="ARAYTOR"/>
    <s v="25162696Y"/>
    <s v="30/1066780"/>
    <n v="24813"/>
    <s v="264207601"/>
    <s v="2026000400"/>
    <s v="Cartera"/>
    <s v="Correduría"/>
    <s v="Renovable"/>
    <s v="Cobrado"/>
    <x v="25"/>
    <d v="2026-02-16T00:00:00"/>
    <d v="2026-02-16T00:00:00"/>
    <m/>
    <m/>
    <m/>
    <d v="2026-04-01T00:00:00"/>
    <s v="Anual"/>
    <s v="Accidentes (1)"/>
    <s v="Accidentes"/>
    <x v="4"/>
    <s v="FIATC "/>
    <s v="Euros"/>
    <n v="45.03"/>
    <n v="13.52"/>
    <n v="13.52"/>
    <n v="0"/>
    <m/>
    <n v="0"/>
    <m/>
    <n v="0"/>
    <m/>
    <n v="0"/>
    <m/>
    <n v="0"/>
  </r>
  <r>
    <s v="ARAYTOR"/>
    <s v="17117842T"/>
    <s v="40/5008594"/>
    <n v="10062"/>
    <s v="264235082"/>
    <s v="2026000401"/>
    <s v="Cartera"/>
    <s v="Correduría"/>
    <s v="Renovable"/>
    <s v="Cobrado"/>
    <x v="25"/>
    <d v="2026-02-10T00:00:00"/>
    <d v="2026-02-10T00:00:00"/>
    <m/>
    <m/>
    <m/>
    <d v="2026-04-01T00:00:00"/>
    <s v="Semestral"/>
    <s v="Responsabilidad Civil Profesional"/>
    <s v="RC Profesional"/>
    <x v="8"/>
    <s v="FIATC "/>
    <s v="Euros"/>
    <n v="169.73"/>
    <n v="33.950000000000003"/>
    <n v="33.950000000000003"/>
    <n v="0"/>
    <m/>
    <n v="0"/>
    <m/>
    <n v="0"/>
    <m/>
    <n v="0"/>
    <m/>
    <n v="0"/>
  </r>
  <r>
    <s v="ARAYTOR"/>
    <s v="B43871151"/>
    <s v="40/5008727"/>
    <n v="10056"/>
    <s v="264235143"/>
    <s v="2026000402"/>
    <s v="Cartera"/>
    <s v="Correduría"/>
    <s v="Renovable"/>
    <s v="Cobrado"/>
    <x v="25"/>
    <d v="2026-02-15T00:00:00"/>
    <d v="2026-02-16T00:00:00"/>
    <m/>
    <m/>
    <m/>
    <d v="2026-04-01T00:00:00"/>
    <s v="Semestral"/>
    <s v="0100Responsabilidad Civil General"/>
    <s v="RC General"/>
    <x v="0"/>
    <s v="FIATC "/>
    <s v="Euros"/>
    <n v="806.08"/>
    <n v="161.22999999999999"/>
    <n v="161.22999999999999"/>
    <n v="0"/>
    <m/>
    <n v="0"/>
    <m/>
    <n v="0"/>
    <m/>
    <n v="0"/>
    <m/>
    <n v="0"/>
  </r>
  <r>
    <s v="ARAYTOR"/>
    <s v="B54374996"/>
    <s v="40/5021216"/>
    <n v="11676"/>
    <s v="264235528"/>
    <s v="2026000403"/>
    <s v="Cartera"/>
    <s v="Correduría"/>
    <s v="Renovable"/>
    <s v="Anulado"/>
    <x v="25"/>
    <d v="2026-02-14T00:00:00"/>
    <m/>
    <d v="2026-03-01T00:00:00"/>
    <d v="2026-02-01T00:00:00"/>
    <m/>
    <m/>
    <s v="Trimestral"/>
    <s v="RC Promotor Musica"/>
    <s v="RC Promotor Musica"/>
    <x v="0"/>
    <s v="FIATC "/>
    <s v="Euros"/>
    <n v="333.87"/>
    <n v="66.77"/>
    <n v="66.77"/>
    <n v="0"/>
    <m/>
    <n v="0"/>
    <m/>
    <n v="0"/>
    <m/>
    <n v="0"/>
    <m/>
    <n v="0"/>
  </r>
  <r>
    <s v="ARAYTOR"/>
    <s v="B66320813"/>
    <s v="40/5028573"/>
    <n v="12501"/>
    <s v="264077561"/>
    <s v="2026000404"/>
    <s v="Cartera"/>
    <s v="Correduría"/>
    <s v="Renovable"/>
    <s v="Cobrado"/>
    <x v="25"/>
    <d v="2026-02-28T00:00:00"/>
    <d v="2026-02-28T00:00:00"/>
    <m/>
    <m/>
    <m/>
    <d v="2026-04-01T00:00:00"/>
    <s v="Semestral"/>
    <s v="0100Responsabilidad Civil General"/>
    <s v="RC General"/>
    <x v="0"/>
    <s v="FIATC "/>
    <s v="Euros"/>
    <n v="5953.87"/>
    <n v="1190.78"/>
    <n v="1190.78"/>
    <n v="0"/>
    <m/>
    <n v="0"/>
    <m/>
    <n v="0"/>
    <m/>
    <n v="0"/>
    <m/>
    <n v="0"/>
  </r>
  <r>
    <s v="ARAYTOR"/>
    <s v="B31776990"/>
    <s v="40/5030757"/>
    <n v="12774"/>
    <s v="264235760"/>
    <s v="2026000405"/>
    <s v="Cartera"/>
    <s v="Correduría"/>
    <s v="Renovable"/>
    <s v="Cobrado"/>
    <x v="25"/>
    <d v="2026-02-15T00:00:00"/>
    <d v="2026-02-16T00:00:00"/>
    <m/>
    <m/>
    <m/>
    <d v="2026-04-01T00:00:00"/>
    <s v="Anual"/>
    <s v="RC Promotor Musica"/>
    <s v="RC Promotor Musica"/>
    <x v="0"/>
    <s v="FIATC "/>
    <s v="Euros"/>
    <n v="1391.52"/>
    <n v="278.31"/>
    <n v="278.31"/>
    <n v="0"/>
    <m/>
    <n v="0"/>
    <m/>
    <n v="0"/>
    <m/>
    <n v="0"/>
    <m/>
    <n v="0"/>
  </r>
  <r>
    <s v="ARAYTOR"/>
    <s v="B63777049"/>
    <s v="40/5030758"/>
    <n v="12775"/>
    <s v="264235769"/>
    <s v="2026000406"/>
    <s v="Cartera"/>
    <s v="Correduría"/>
    <s v="Renovable"/>
    <s v="Anulado"/>
    <x v="25"/>
    <d v="2026-02-24T00:00:00"/>
    <m/>
    <d v="2026-03-01T00:00:00"/>
    <d v="2026-02-01T00:00:00"/>
    <m/>
    <m/>
    <s v="Anual"/>
    <s v="RC Promotor Musica"/>
    <s v="RC Promotor Musica"/>
    <x v="0"/>
    <s v="FIATC "/>
    <s v="Euros"/>
    <n v="834.38"/>
    <n v="166.87"/>
    <n v="166.87"/>
    <n v="0"/>
    <m/>
    <n v="0"/>
    <m/>
    <n v="0"/>
    <m/>
    <n v="0"/>
    <m/>
    <n v="0"/>
  </r>
  <r>
    <s v="ARAYTOR"/>
    <s v="B99072399"/>
    <s v="40/5030909"/>
    <n v="12738"/>
    <s v="264235775"/>
    <s v="2026000407"/>
    <s v="Cartera"/>
    <s v="Correduría"/>
    <s v="Renovable"/>
    <s v="Cobrado"/>
    <x v="25"/>
    <d v="2026-02-03T00:00:00"/>
    <d v="2026-02-03T00:00:00"/>
    <m/>
    <m/>
    <m/>
    <d v="2026-04-01T00:00:00"/>
    <s v="Anual"/>
    <s v="RC Promotor Musica"/>
    <s v="RC Promotor Musica"/>
    <x v="0"/>
    <s v="FIATC "/>
    <s v="Euros"/>
    <n v="1334.99"/>
    <n v="266.99"/>
    <n v="266.99"/>
    <n v="0"/>
    <m/>
    <n v="0"/>
    <m/>
    <n v="0"/>
    <m/>
    <n v="0"/>
    <m/>
    <n v="0"/>
  </r>
  <r>
    <s v="ARAYTOR"/>
    <s v="B99346512"/>
    <s v="40/5041095"/>
    <n v="14189"/>
    <s v="264077585"/>
    <s v="2026000408"/>
    <s v="Cartera"/>
    <s v="Correduría"/>
    <s v="Renovable"/>
    <s v="Cobrado"/>
    <x v="25"/>
    <d v="2026-02-15T00:00:00"/>
    <d v="2026-02-16T00:00:00"/>
    <m/>
    <m/>
    <m/>
    <d v="2026-04-01T00:00:00"/>
    <s v="Trimestral"/>
    <s v="RC Promotor Musica"/>
    <s v="RC Promotor Musica"/>
    <x v="0"/>
    <s v="FIATC "/>
    <s v="Euros"/>
    <n v="312.04000000000002"/>
    <n v="62.41"/>
    <n v="62.41"/>
    <n v="0"/>
    <m/>
    <n v="0"/>
    <m/>
    <n v="0"/>
    <m/>
    <n v="0"/>
    <m/>
    <n v="0"/>
  </r>
  <r>
    <s v="ARAYTOR"/>
    <s v="B70472972"/>
    <s v="40/5065500"/>
    <n v="16837"/>
    <s v="264237466"/>
    <s v="2026000409"/>
    <s v="Cartera"/>
    <s v="Correduría"/>
    <s v="Renovable"/>
    <s v="Cobrado"/>
    <x v="25"/>
    <d v="2026-02-01T00:00:00"/>
    <d v="2026-02-02T00:00:00"/>
    <m/>
    <m/>
    <m/>
    <d v="2026-04-01T00:00:00"/>
    <s v="Semestral"/>
    <s v="RC Promotor Musica"/>
    <s v="RC Promotor Musica"/>
    <x v="0"/>
    <s v="FIATC "/>
    <s v="Euros"/>
    <n v="528.64"/>
    <n v="105.73"/>
    <n v="105.73"/>
    <n v="0"/>
    <m/>
    <n v="0"/>
    <m/>
    <n v="0"/>
    <m/>
    <n v="0"/>
    <m/>
    <n v="0"/>
  </r>
  <r>
    <s v="ARAYTOR"/>
    <s v="B70463047"/>
    <s v="40/5065544"/>
    <n v="16841"/>
    <s v="264237477"/>
    <s v="2026000410"/>
    <s v="Cartera"/>
    <s v="Correduría"/>
    <s v="Renovable"/>
    <s v="Anulado"/>
    <x v="25"/>
    <d v="2026-02-02T00:00:00"/>
    <m/>
    <d v="2026-03-01T00:00:00"/>
    <d v="2026-02-01T00:00:00"/>
    <m/>
    <m/>
    <s v="Semestral"/>
    <s v="RC Promotor Musica"/>
    <s v="RC Promotor Musica"/>
    <x v="0"/>
    <s v="FIATC "/>
    <s v="Euros"/>
    <n v="417.16"/>
    <n v="83.43"/>
    <n v="83.43"/>
    <n v="0"/>
    <m/>
    <n v="0"/>
    <m/>
    <n v="0"/>
    <m/>
    <n v="0"/>
    <m/>
    <n v="0"/>
  </r>
  <r>
    <s v="ARAYTOR"/>
    <s v="G66303124"/>
    <s v="40/5075900"/>
    <n v="17938"/>
    <s v="264238953"/>
    <s v="2026000411"/>
    <s v="Cartera"/>
    <s v="Correduría"/>
    <s v="Renovable"/>
    <s v="Cobrado"/>
    <x v="25"/>
    <d v="2026-02-14T00:00:00"/>
    <d v="2026-02-16T00:00:00"/>
    <m/>
    <m/>
    <m/>
    <d v="2026-04-01T00:00:00"/>
    <s v="Anual"/>
    <s v="0100Responsabilidad Civil General"/>
    <s v="RC General"/>
    <x v="0"/>
    <s v="FIATC "/>
    <s v="Euros"/>
    <n v="797.11"/>
    <n v="159.41999999999999"/>
    <n v="159.41999999999999"/>
    <n v="0"/>
    <m/>
    <n v="0"/>
    <m/>
    <n v="0"/>
    <m/>
    <n v="0"/>
    <m/>
    <n v="0"/>
  </r>
  <r>
    <s v="ARAYTOR"/>
    <s v="G65529406"/>
    <s v="40/5090986"/>
    <n v="18987"/>
    <s v="264239722"/>
    <s v="2026000412"/>
    <s v="Cartera"/>
    <s v="Correduría"/>
    <s v="Renovable"/>
    <s v="Cobrado"/>
    <x v="25"/>
    <d v="2026-02-01T00:00:00"/>
    <d v="2026-02-02T00:00:00"/>
    <m/>
    <m/>
    <m/>
    <d v="2026-04-01T00:00:00"/>
    <s v="Anual"/>
    <s v="0100Responsabilidad Civil General"/>
    <s v="RC General"/>
    <x v="0"/>
    <s v="FIATC "/>
    <s v="Euros"/>
    <n v="457.59"/>
    <n v="91.52"/>
    <n v="91.52"/>
    <n v="0"/>
    <m/>
    <n v="0"/>
    <m/>
    <n v="0"/>
    <m/>
    <n v="0"/>
    <m/>
    <n v="0"/>
  </r>
  <r>
    <s v="ARAYTOR"/>
    <s v="B25850041"/>
    <s v="40/5119211"/>
    <n v="22979"/>
    <s v="264077780"/>
    <s v="2026000413"/>
    <s v="Cartera"/>
    <s v="Correduría"/>
    <s v="Renovable"/>
    <s v="Cobrado"/>
    <x v="25"/>
    <d v="2026-02-10T00:00:00"/>
    <d v="2026-02-10T00:00:00"/>
    <m/>
    <m/>
    <m/>
    <d v="2026-04-01T00:00:00"/>
    <s v="Trimestral"/>
    <s v="Responsabilidad Civil"/>
    <s v="RC General"/>
    <x v="0"/>
    <s v="FIATC "/>
    <s v="Euros"/>
    <n v="539.29"/>
    <n v="107.86"/>
    <n v="107.86"/>
    <n v="0"/>
    <m/>
    <n v="0"/>
    <m/>
    <n v="0"/>
    <m/>
    <n v="0"/>
    <m/>
    <n v="0"/>
  </r>
  <r>
    <s v="ARAYTOR"/>
    <s v="B67530485"/>
    <s v="40/5141913"/>
    <n v="26116"/>
    <s v="264244497"/>
    <s v="2026000414"/>
    <s v="Cartera"/>
    <s v="Correduría"/>
    <s v="Renovable"/>
    <s v="Cobrado"/>
    <x v="25"/>
    <d v="2026-02-24T00:00:00"/>
    <d v="2026-02-24T00:00:00"/>
    <m/>
    <m/>
    <m/>
    <d v="2026-04-01T00:00:00"/>
    <s v="Trimestral"/>
    <s v="0100Responsabilidad Civil General"/>
    <s v="RC General"/>
    <x v="0"/>
    <s v="FIATC "/>
    <s v="Euros"/>
    <n v="1159.97"/>
    <n v="232"/>
    <n v="232"/>
    <n v="0"/>
    <m/>
    <n v="0"/>
    <m/>
    <n v="0"/>
    <m/>
    <n v="0"/>
    <m/>
    <n v="0"/>
  </r>
  <r>
    <s v="ARAYTOR"/>
    <s v="35070563W"/>
    <s v="54/65223"/>
    <n v="14219"/>
    <s v="264113186"/>
    <s v="2026000415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335.6"/>
    <n v="26.85"/>
    <n v="26.85"/>
    <n v="0"/>
    <m/>
    <n v="0"/>
    <m/>
    <n v="0"/>
    <m/>
    <n v="0"/>
    <m/>
    <n v="0"/>
  </r>
  <r>
    <s v="ARAYTOR"/>
    <s v="37640784L"/>
    <s v="54/143376"/>
    <n v="3559"/>
    <s v="264122136"/>
    <s v="2026000416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208.46"/>
    <n v="16.68"/>
    <n v="16.68"/>
    <n v="0"/>
    <m/>
    <n v="0"/>
    <m/>
    <n v="0"/>
    <m/>
    <n v="0"/>
    <m/>
    <n v="0"/>
  </r>
  <r>
    <s v="ARAYTOR"/>
    <s v="46117139T"/>
    <s v="65/273231"/>
    <n v="4574"/>
    <s v="264240630"/>
    <s v="2026000417"/>
    <s v="Cartera"/>
    <s v="Correduría"/>
    <s v="Renovable"/>
    <s v="Cobrado"/>
    <x v="25"/>
    <d v="2026-02-02T00:00:00"/>
    <d v="2026-02-02T00:00:00"/>
    <m/>
    <m/>
    <m/>
    <d v="2026-04-01T00:00:00"/>
    <s v="Anual"/>
    <s v="Maxi Hogar 3000 Araytor"/>
    <s v="Hogar"/>
    <x v="2"/>
    <s v="FIATC "/>
    <s v="Euros"/>
    <n v="649.12"/>
    <n v="162.29"/>
    <n v="162.29"/>
    <n v="0"/>
    <m/>
    <n v="0"/>
    <m/>
    <n v="0"/>
    <m/>
    <n v="0"/>
    <m/>
    <n v="0"/>
  </r>
  <r>
    <s v="ARAYTOR"/>
    <s v="37577045J"/>
    <s v="65/273238"/>
    <n v="4629"/>
    <s v="264240637"/>
    <s v="2026000418"/>
    <s v="Cartera"/>
    <s v="Correduría"/>
    <s v="Renovable"/>
    <s v="Cobrado"/>
    <x v="25"/>
    <d v="2026-02-02T00:00:00"/>
    <d v="2026-02-02T00:00:00"/>
    <m/>
    <m/>
    <m/>
    <d v="2026-04-01T00:00:00"/>
    <s v="Anual"/>
    <s v="Maxi Hogar 3000 Araytor"/>
    <s v="Hogar"/>
    <x v="2"/>
    <s v="FIATC "/>
    <s v="Euros"/>
    <n v="2391.89"/>
    <n v="597.98"/>
    <n v="597.98"/>
    <n v="0"/>
    <m/>
    <n v="0"/>
    <m/>
    <n v="0"/>
    <m/>
    <n v="0"/>
    <m/>
    <n v="0"/>
  </r>
  <r>
    <s v="ARAYTOR"/>
    <s v="33963273R"/>
    <s v="65/273242"/>
    <n v="4637"/>
    <s v="264240640"/>
    <s v="2026000419"/>
    <s v="Cartera"/>
    <s v="Correduría"/>
    <s v="Renovable"/>
    <s v="Cobrado"/>
    <x v="25"/>
    <d v="2026-02-04T00:00:00"/>
    <d v="2026-02-04T00:00:00"/>
    <m/>
    <m/>
    <m/>
    <d v="2026-04-01T00:00:00"/>
    <s v="Anual"/>
    <s v="Maxi Hogar 3000 Araytor"/>
    <s v="Hogar"/>
    <x v="2"/>
    <s v="FIATC "/>
    <s v="Euros"/>
    <n v="271.41000000000003"/>
    <n v="67.849999999999994"/>
    <n v="67.849999999999994"/>
    <n v="0"/>
    <m/>
    <n v="0"/>
    <m/>
    <n v="0"/>
    <m/>
    <n v="0"/>
    <m/>
    <n v="0"/>
  </r>
  <r>
    <s v="ARAYTOR"/>
    <s v="46216317W"/>
    <s v="65/273269"/>
    <n v="4775"/>
    <s v="264240663"/>
    <s v="2026000420"/>
    <s v="Cartera"/>
    <s v="Correduría"/>
    <s v="Renovable"/>
    <s v="Cobrado"/>
    <x v="25"/>
    <d v="2026-02-21T00:00:00"/>
    <d v="2026-02-23T00:00:00"/>
    <m/>
    <m/>
    <m/>
    <d v="2026-04-01T00:00:00"/>
    <s v="Anual"/>
    <s v="Maxi Hogar 3000 Araytor"/>
    <s v="Hogar"/>
    <x v="2"/>
    <s v="FIATC "/>
    <s v="Euros"/>
    <n v="565.63"/>
    <n v="141.41"/>
    <n v="141.41"/>
    <n v="0"/>
    <m/>
    <n v="0"/>
    <m/>
    <n v="0"/>
    <m/>
    <n v="0"/>
    <m/>
    <n v="0"/>
  </r>
  <r>
    <s v="ARAYTOR"/>
    <s v="35081238M"/>
    <s v="65/321900"/>
    <n v="4669"/>
    <s v="264242301"/>
    <s v="2026000421"/>
    <s v="Cartera"/>
    <s v="Correduría"/>
    <s v="Renovable"/>
    <s v="Cobrado"/>
    <x v="25"/>
    <d v="2026-02-09T00:00:00"/>
    <d v="2026-02-09T00:00:00"/>
    <m/>
    <m/>
    <m/>
    <d v="2026-04-01T00:00:00"/>
    <s v="Anual"/>
    <s v="Maxi Hogar 3000 Araytor"/>
    <s v="Hogar"/>
    <x v="2"/>
    <s v="FIATC "/>
    <s v="Euros"/>
    <n v="257.16000000000003"/>
    <n v="64.3"/>
    <n v="64.3"/>
    <n v="0"/>
    <m/>
    <n v="0"/>
    <m/>
    <n v="0"/>
    <m/>
    <n v="0"/>
    <m/>
    <n v="0"/>
  </r>
  <r>
    <s v="ARAYTOR"/>
    <s v="B64066293"/>
    <s v="65/322224"/>
    <n v="4790"/>
    <s v="264242376"/>
    <s v="2026000422"/>
    <s v="Cartera"/>
    <s v="Correduría"/>
    <s v="Renovable"/>
    <s v="Cobrado"/>
    <x v="25"/>
    <d v="2026-02-22T00:00:00"/>
    <d v="2026-02-23T00:00:00"/>
    <m/>
    <m/>
    <m/>
    <d v="2026-04-01T00:00:00"/>
    <s v="Anual"/>
    <s v="Maxi Hogar 3000 Araytor"/>
    <s v="Hogar"/>
    <x v="2"/>
    <s v="FIATC "/>
    <s v="Euros"/>
    <n v="271.74"/>
    <n v="67.930000000000007"/>
    <n v="67.930000000000007"/>
    <n v="0"/>
    <m/>
    <n v="0"/>
    <m/>
    <n v="0"/>
    <m/>
    <n v="0"/>
    <m/>
    <n v="0"/>
  </r>
  <r>
    <s v="ARAYTOR"/>
    <s v="35042191N"/>
    <s v="65/322374"/>
    <n v="4802"/>
    <s v="264242396"/>
    <s v="2026000423"/>
    <s v="Cartera"/>
    <s v="Correduría"/>
    <s v="Renovable"/>
    <s v="Cobrado"/>
    <x v="25"/>
    <d v="2026-02-28T00:00:00"/>
    <d v="2026-02-28T00:00:00"/>
    <m/>
    <m/>
    <m/>
    <d v="2026-04-01T00:00:00"/>
    <s v="Anual"/>
    <s v="Maxi Hogar 3000 Araytor"/>
    <s v="Hogar"/>
    <x v="2"/>
    <s v="FIATC "/>
    <s v="Euros"/>
    <n v="343.43"/>
    <n v="85.87"/>
    <n v="85.87"/>
    <n v="0"/>
    <m/>
    <n v="0"/>
    <m/>
    <n v="0"/>
    <m/>
    <n v="0"/>
    <m/>
    <n v="0"/>
  </r>
  <r>
    <s v="ARAYTOR"/>
    <s v="38980152M"/>
    <s v="65/322633"/>
    <n v="4817"/>
    <s v="264242493"/>
    <s v="2026000424"/>
    <s v="Cartera"/>
    <s v="Correduría"/>
    <s v="Renovable"/>
    <s v="Cobrado"/>
    <x v="25"/>
    <d v="2026-02-14T00:00:00"/>
    <d v="2026-02-16T00:00:00"/>
    <m/>
    <m/>
    <m/>
    <d v="2026-04-01T00:00:00"/>
    <s v="Anual"/>
    <s v="Maxi Hogar 3000 Araytor"/>
    <s v="Hogar"/>
    <x v="2"/>
    <s v="FIATC "/>
    <s v="Euros"/>
    <n v="520.71"/>
    <n v="130.16999999999999"/>
    <n v="130.16999999999999"/>
    <n v="0"/>
    <m/>
    <n v="0"/>
    <m/>
    <n v="0"/>
    <m/>
    <n v="0"/>
    <m/>
    <n v="0"/>
  </r>
  <r>
    <s v="ARAYTOR"/>
    <s v="38866595E"/>
    <s v="65/338430"/>
    <n v="7802"/>
    <s v="264243381"/>
    <s v="2026000425"/>
    <s v="Cartera"/>
    <s v="Correduría"/>
    <s v="Renovable"/>
    <s v="Cobrado"/>
    <x v="25"/>
    <d v="2026-02-08T00:00:00"/>
    <d v="2026-02-09T00:00:00"/>
    <m/>
    <m/>
    <m/>
    <d v="2026-04-01T00:00:00"/>
    <s v="Anual"/>
    <s v="Maxi Hogar 3000 Araytor"/>
    <s v="Hogar"/>
    <x v="2"/>
    <s v="FIATC "/>
    <s v="Euros"/>
    <n v="158.62"/>
    <n v="39.659999999999997"/>
    <n v="39.659999999999997"/>
    <n v="0"/>
    <m/>
    <n v="0"/>
    <m/>
    <n v="0"/>
    <m/>
    <n v="0"/>
    <m/>
    <n v="0"/>
  </r>
  <r>
    <s v="ARAYTOR"/>
    <s v="46651409A"/>
    <s v="65/5009742"/>
    <n v="10277"/>
    <s v="264078161"/>
    <s v="2026000426"/>
    <s v="Cartera"/>
    <s v="Correduría"/>
    <s v="Renovable"/>
    <s v="Cobrado"/>
    <x v="25"/>
    <d v="2026-02-01T00:00:00"/>
    <d v="2026-02-02T00:00:00"/>
    <m/>
    <m/>
    <m/>
    <d v="2026-04-01T00:00:00"/>
    <s v="Trimestral"/>
    <s v="0120 - Maxi Hogar 3000"/>
    <s v="Hogar"/>
    <x v="2"/>
    <s v="FIATC "/>
    <s v="Euros"/>
    <n v="235.13"/>
    <n v="58.8"/>
    <n v="58.8"/>
    <n v="0"/>
    <m/>
    <n v="0"/>
    <m/>
    <n v="0"/>
    <m/>
    <n v="0"/>
    <m/>
    <n v="0"/>
  </r>
  <r>
    <s v="ARAYTOR"/>
    <s v="17947417B"/>
    <s v="65/5196498"/>
    <n v="24835"/>
    <s v="264255671"/>
    <s v="2026000427"/>
    <s v="Cartera"/>
    <s v="Correduría"/>
    <s v="Renovable"/>
    <s v="Cobrado"/>
    <x v="25"/>
    <d v="2026-02-23T00:00:00"/>
    <d v="2026-02-23T00:00:00"/>
    <m/>
    <m/>
    <m/>
    <d v="2026-04-01T00:00:00"/>
    <s v="Anual"/>
    <s v="100 MR Hogar"/>
    <s v="Hogar"/>
    <x v="2"/>
    <s v="FIATC "/>
    <s v="Euros"/>
    <n v="459.45"/>
    <n v="114.9"/>
    <n v="114.9"/>
    <n v="0"/>
    <m/>
    <n v="0"/>
    <m/>
    <n v="0"/>
    <m/>
    <n v="0"/>
    <m/>
    <n v="0"/>
  </r>
  <r>
    <s v="ARAYTOR"/>
    <s v="44008108T"/>
    <s v="65/5211797"/>
    <n v="26062"/>
    <s v="264256879"/>
    <s v="2026000428"/>
    <s v="Cartera"/>
    <s v="Correduría"/>
    <s v="Renovable"/>
    <s v="Cobrado"/>
    <x v="25"/>
    <d v="2026-02-11T00:00:00"/>
    <d v="2026-02-11T00:00:00"/>
    <m/>
    <m/>
    <m/>
    <d v="2026-04-01T00:00:00"/>
    <s v="Anual"/>
    <s v="100 MR Hogar"/>
    <s v="Hogar"/>
    <x v="2"/>
    <s v="FIATC "/>
    <s v="Euros"/>
    <n v="265.26"/>
    <n v="66.33"/>
    <n v="66.33"/>
    <n v="0"/>
    <m/>
    <n v="0"/>
    <m/>
    <n v="0"/>
    <m/>
    <n v="0"/>
    <m/>
    <n v="0"/>
  </r>
  <r>
    <s v="ARAYTOR"/>
    <s v="B64069917"/>
    <s v="65/5232530"/>
    <n v="30569"/>
    <s v="264258488"/>
    <s v="2026000429"/>
    <s v="Cartera"/>
    <s v="Correduría"/>
    <s v="Renovable"/>
    <s v="Cobrado"/>
    <x v="25"/>
    <d v="2026-02-04T00:00:00"/>
    <d v="2026-02-04T00:00:00"/>
    <m/>
    <m/>
    <m/>
    <d v="2026-04-01T00:00:00"/>
    <s v="Anual"/>
    <s v="100 MR Hogar"/>
    <s v="Hogar"/>
    <x v="2"/>
    <s v="FIATC "/>
    <s v="Euros"/>
    <n v="490.92"/>
    <n v="122.75"/>
    <n v="122.75"/>
    <n v="0"/>
    <m/>
    <n v="0"/>
    <m/>
    <n v="0"/>
    <m/>
    <n v="0"/>
    <m/>
    <n v="0"/>
  </r>
  <r>
    <s v="ARAYTOR"/>
    <s v="37263324N"/>
    <s v="65/5232851"/>
    <n v="30608"/>
    <s v="264258715"/>
    <s v="2026000430"/>
    <s v="Cartera"/>
    <s v="Correduría"/>
    <s v="Renovable"/>
    <s v="Cobrado"/>
    <x v="25"/>
    <d v="2026-02-28T00:00:00"/>
    <d v="2026-02-28T00:00:00"/>
    <m/>
    <m/>
    <m/>
    <d v="2026-04-01T00:00:00"/>
    <s v="Anual"/>
    <s v="100 MR Hogar"/>
    <s v="Hogar"/>
    <x v="2"/>
    <s v="FIATC "/>
    <s v="Euros"/>
    <n v="351.88"/>
    <n v="87.99"/>
    <n v="87.99"/>
    <n v="0"/>
    <m/>
    <n v="0"/>
    <m/>
    <n v="0"/>
    <m/>
    <n v="0"/>
    <m/>
    <n v="0"/>
  </r>
  <r>
    <s v="ARAYTOR"/>
    <s v="H43984830"/>
    <s v="66/5013096"/>
    <n v="18996"/>
    <s v="264239120"/>
    <s v="2026000431"/>
    <s v="Cartera"/>
    <s v="Correduría"/>
    <s v="Renovable"/>
    <s v="Cobrado"/>
    <x v="25"/>
    <d v="2026-02-16T00:00:00"/>
    <d v="2026-02-16T00:00:00"/>
    <m/>
    <m/>
    <m/>
    <d v="2026-04-01T00:00:00"/>
    <s v="Anual"/>
    <s v="Multirriesgo Comunidad de Propietarios"/>
    <s v="Comunidad de Propietarios"/>
    <x v="3"/>
    <s v="FIATC "/>
    <s v="Euros"/>
    <n v="1098.8900000000001"/>
    <n v="274.75"/>
    <n v="274.75"/>
    <n v="0"/>
    <m/>
    <n v="0"/>
    <m/>
    <n v="0"/>
    <m/>
    <n v="0"/>
    <m/>
    <n v="0"/>
  </r>
  <r>
    <s v="ARAYTOR"/>
    <s v="H02979540"/>
    <s v="66/5020198"/>
    <n v="23213"/>
    <s v="264240766"/>
    <s v="2026000432"/>
    <s v="Cartera"/>
    <s v="Correduría"/>
    <s v="Renovable"/>
    <s v="Cobrado"/>
    <x v="25"/>
    <d v="2026-02-04T00:00:00"/>
    <d v="2026-02-04T00:00:00"/>
    <m/>
    <m/>
    <m/>
    <d v="2026-04-01T00:00:00"/>
    <s v="Anual"/>
    <s v="0100 - Propiedad de Edificios"/>
    <s v="Comunidad de Propietarios"/>
    <x v="3"/>
    <s v="FIATC "/>
    <s v="Euros"/>
    <n v="530.28"/>
    <n v="132.58000000000001"/>
    <n v="132.58000000000001"/>
    <n v="0"/>
    <m/>
    <n v="0"/>
    <m/>
    <n v="0"/>
    <m/>
    <n v="0"/>
    <m/>
    <n v="0"/>
  </r>
  <r>
    <s v="ARAYTOR"/>
    <s v="H72464522"/>
    <s v="66/5022312"/>
    <n v="24846"/>
    <s v="264241431"/>
    <s v="2026000433"/>
    <s v="Cartera"/>
    <s v="Compañía"/>
    <s v="Renovable"/>
    <s v="Facturado"/>
    <x v="25"/>
    <d v="2026-02-28T00:00:00"/>
    <m/>
    <m/>
    <m/>
    <m/>
    <m/>
    <s v="Anual"/>
    <s v="0100 - Propiedad de Edificios"/>
    <s v="Comunidad de Propietarios"/>
    <x v="3"/>
    <s v="FIATC "/>
    <s v="Euros"/>
    <n v="825.94"/>
    <n v="206.49"/>
    <n v="206.49"/>
    <n v="0"/>
    <m/>
    <n v="0"/>
    <m/>
    <n v="0"/>
    <m/>
    <n v="0"/>
    <m/>
    <n v="0"/>
  </r>
  <r>
    <s v="ARAYTOR"/>
    <s v="37189284D"/>
    <s v="66/5025593"/>
    <n v="27534"/>
    <s v="264242172"/>
    <s v="2026000434"/>
    <s v="Cartera"/>
    <s v="Correduría"/>
    <s v="Renovable"/>
    <s v="Cobrado"/>
    <x v="25"/>
    <d v="2026-02-06T00:00:00"/>
    <d v="2026-02-06T00:00:00"/>
    <m/>
    <m/>
    <m/>
    <d v="2026-04-01T00:00:00"/>
    <s v="Anual"/>
    <s v="0100 - Propiedad de Edificios"/>
    <s v="Comunidad de Propietarios"/>
    <x v="3"/>
    <s v="FIATC "/>
    <s v="Euros"/>
    <n v="716.37"/>
    <n v="179.1"/>
    <n v="179.1"/>
    <n v="0"/>
    <m/>
    <n v="0"/>
    <m/>
    <n v="0"/>
    <m/>
    <n v="0"/>
    <m/>
    <n v="0"/>
  </r>
  <r>
    <s v="ARAYTOR"/>
    <s v="47601192R"/>
    <s v="82/3002534"/>
    <n v="15469"/>
    <s v="264130843"/>
    <s v="2026000435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237.37"/>
    <n v="18.989999999999998"/>
    <n v="18.989999999999998"/>
    <n v="0"/>
    <m/>
    <n v="0"/>
    <m/>
    <n v="0"/>
    <m/>
    <n v="0"/>
    <m/>
    <n v="0"/>
  </r>
  <r>
    <s v="ARAYTOR"/>
    <s v="46060139V"/>
    <s v="82/3020746"/>
    <n v="17864"/>
    <s v="264136195"/>
    <s v="2026000436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212.37"/>
    <n v="16.989999999999998"/>
    <n v="16.989999999999998"/>
    <n v="0"/>
    <m/>
    <n v="0"/>
    <m/>
    <n v="0"/>
    <m/>
    <n v="0"/>
    <m/>
    <n v="0"/>
  </r>
  <r>
    <s v="ARAYTOR"/>
    <s v="37679304Z"/>
    <s v="82/3041020"/>
    <n v="27416"/>
    <s v="264144533"/>
    <s v="2026000437"/>
    <s v="Cartera"/>
    <s v="Compañía"/>
    <s v="Renovable"/>
    <s v="Cobrado"/>
    <x v="25"/>
    <d v="2026-02-01T00:00:00"/>
    <d v="2026-02-01T00:00:00"/>
    <m/>
    <m/>
    <m/>
    <m/>
    <s v="Mensual"/>
    <s v="MEDIFIATC PROGRESS"/>
    <s v="Cuadro Cerrado"/>
    <x v="4"/>
    <s v="FIATC "/>
    <s v="Euros"/>
    <n v="388.36"/>
    <n v="0"/>
    <n v="0"/>
    <n v="0"/>
    <m/>
    <n v="0"/>
    <m/>
    <n v="0"/>
    <m/>
    <n v="0"/>
    <m/>
    <n v="0"/>
  </r>
  <r>
    <s v="ARAYTOR"/>
    <s v="36904239A"/>
    <s v="85/5018891"/>
    <n v="14461"/>
    <s v="264235038"/>
    <s v="2026000438"/>
    <s v="Cartera"/>
    <s v="Correduría"/>
    <s v="Renovable"/>
    <s v="Cobrado"/>
    <x v="25"/>
    <d v="2026-02-13T00:00:00"/>
    <d v="2026-02-13T00:00:00"/>
    <m/>
    <m/>
    <m/>
    <d v="2026-04-01T00:00:00"/>
    <s v="Anual"/>
    <s v="100 MR Negocios"/>
    <s v="Comercio"/>
    <x v="3"/>
    <s v="FIATC "/>
    <s v="Euros"/>
    <n v="434.95"/>
    <n v="97.87"/>
    <n v="97.87"/>
    <n v="0"/>
    <m/>
    <n v="0"/>
    <m/>
    <n v="0"/>
    <m/>
    <n v="0"/>
    <m/>
    <n v="0"/>
  </r>
  <r>
    <s v="ARAYTOR"/>
    <s v="A08426496"/>
    <s v="85/5038419"/>
    <n v="16877"/>
    <s v="264235852"/>
    <s v="2026000439"/>
    <s v="Cartera"/>
    <s v="Correduría"/>
    <s v="Renovable"/>
    <s v="Facturado"/>
    <x v="25"/>
    <d v="2026-02-01T00:00:00"/>
    <m/>
    <m/>
    <m/>
    <m/>
    <m/>
    <s v="Anual"/>
    <s v="100 MR Negocios"/>
    <s v="Comercio"/>
    <x v="3"/>
    <s v="FIATC "/>
    <s v="Euros"/>
    <n v="3141.13"/>
    <n v="706.76"/>
    <n v="706.76"/>
    <n v="0"/>
    <m/>
    <n v="0"/>
    <m/>
    <n v="0"/>
    <m/>
    <n v="0"/>
    <m/>
    <n v="0"/>
  </r>
  <r>
    <s v="ARAYTOR"/>
    <s v="B65244212"/>
    <s v="86/5001352"/>
    <n v="7038"/>
    <s v="264081206"/>
    <s v="2026000440"/>
    <s v="Cartera"/>
    <s v="Correduría"/>
    <s v="Renovable"/>
    <s v="Cobrado"/>
    <x v="25"/>
    <d v="2026-02-10T00:00:00"/>
    <d v="2026-02-10T00:00:00"/>
    <m/>
    <m/>
    <m/>
    <d v="2026-04-01T00:00:00"/>
    <s v="Trimestral"/>
    <s v="0100 - Maxi Empresa"/>
    <s v="PYME"/>
    <x v="3"/>
    <s v="FIATC "/>
    <s v="Euros"/>
    <n v="1415.95"/>
    <n v="283.19"/>
    <n v="283.19"/>
    <n v="0"/>
    <m/>
    <n v="0"/>
    <m/>
    <n v="0"/>
    <m/>
    <n v="0"/>
    <m/>
    <n v="0"/>
  </r>
  <r>
    <s v="ARAYTOR"/>
    <s v="B01799329"/>
    <s v="86/5017965"/>
    <n v="14541"/>
    <s v="264237601"/>
    <s v="2026000441"/>
    <s v="Cartera"/>
    <s v="Correduría"/>
    <s v="Renovable"/>
    <s v="Cobrado"/>
    <x v="25"/>
    <d v="2026-02-01T00:00:00"/>
    <d v="2026-02-02T00:00:00"/>
    <m/>
    <m/>
    <m/>
    <d v="2026-04-01T00:00:00"/>
    <s v="Anual"/>
    <s v="0100 - Maxi Empresa"/>
    <s v="PYME"/>
    <x v="3"/>
    <s v="FIATC "/>
    <s v="Euros"/>
    <n v="4203.3999999999996"/>
    <n v="840.67"/>
    <n v="840.67"/>
    <n v="0"/>
    <m/>
    <n v="0"/>
    <m/>
    <n v="0"/>
    <m/>
    <n v="0"/>
    <m/>
    <n v="0"/>
  </r>
  <r>
    <s v="ARAYTOR"/>
    <s v="B78324415"/>
    <s v="89/5722"/>
    <n v="2504"/>
    <s v="264231057"/>
    <s v="2026000442"/>
    <s v="Cartera"/>
    <s v="Correduría"/>
    <s v="Renovable"/>
    <s v="Facturado"/>
    <x v="25"/>
    <d v="2026-02-07T00:00:00"/>
    <m/>
    <m/>
    <m/>
    <m/>
    <m/>
    <s v="Anual"/>
    <s v="Asistencia en Viaje"/>
    <s v="Asistencia en Viaje"/>
    <x v="7"/>
    <s v="FIATC "/>
    <s v="Euros"/>
    <n v="347.4"/>
    <n v="52.11"/>
    <n v="52.11"/>
    <n v="0"/>
    <m/>
    <n v="0"/>
    <m/>
    <n v="0"/>
    <m/>
    <n v="0"/>
    <m/>
    <n v="0"/>
  </r>
  <r>
    <s v="ARAYTOR"/>
    <s v="G58394289"/>
    <s v="92/7966"/>
    <n v="8239"/>
    <s v="264231194"/>
    <s v="2026000443"/>
    <s v="Cartera"/>
    <s v="Correduría"/>
    <s v="Renovable"/>
    <s v="Cobrado"/>
    <x v="25"/>
    <d v="2026-02-19T00:00:00"/>
    <d v="2026-02-19T00:00:00"/>
    <m/>
    <m/>
    <m/>
    <d v="2026-04-01T00:00:00"/>
    <s v="Anual"/>
    <s v="R.C. General (Embarcaciones)"/>
    <s v="Embarcaciones de Recreo"/>
    <x v="12"/>
    <s v="FIATC "/>
    <s v="Euros"/>
    <n v="308.08999999999997"/>
    <n v="46.21"/>
    <n v="46.21"/>
    <n v="0"/>
    <m/>
    <n v="0"/>
    <m/>
    <n v="0"/>
    <m/>
    <n v="0"/>
    <m/>
    <n v="0"/>
  </r>
  <r>
    <s v="ARAYTOR"/>
    <s v="35069037V"/>
    <s v="92/8553"/>
    <n v="10811"/>
    <s v="264081786"/>
    <s v="2026000444"/>
    <s v="Cartera"/>
    <s v="Correduría"/>
    <s v="Renovable"/>
    <s v="Anulado"/>
    <x v="25"/>
    <d v="2026-02-05T00:00:00"/>
    <m/>
    <d v="2026-03-01T00:00:00"/>
    <d v="2026-01-29T00:00:00"/>
    <m/>
    <m/>
    <s v="Semestral"/>
    <s v="Póliza Patrón"/>
    <s v="Embarcaciones de Recreo"/>
    <x v="12"/>
    <s v="FIATC "/>
    <s v="Euros"/>
    <n v="139.08000000000001"/>
    <n v="20.86"/>
    <n v="20.86"/>
    <n v="0"/>
    <m/>
    <n v="0"/>
    <m/>
    <n v="0"/>
    <m/>
    <n v="0"/>
    <m/>
    <n v="0"/>
  </r>
  <r>
    <s v="ARAYTOR"/>
    <s v="46056593J"/>
    <s v="92/5060338"/>
    <n v="26133"/>
    <s v="264238433"/>
    <s v="2026000445"/>
    <s v="Cartera"/>
    <s v="Correduría"/>
    <s v="Renovable"/>
    <s v="Cobrado"/>
    <x v="25"/>
    <d v="2026-02-28T00:00:00"/>
    <d v="2026-02-28T00:00:00"/>
    <m/>
    <m/>
    <m/>
    <d v="2026-04-01T00:00:00"/>
    <s v="Anual"/>
    <s v="0100 - Multiriesgo Embarcaciones"/>
    <s v="Embarcaciones de Recreo"/>
    <x v="12"/>
    <s v="FIATC "/>
    <s v="Euros"/>
    <n v="124.86"/>
    <n v="18.73"/>
    <n v="18.73"/>
    <n v="0"/>
    <m/>
    <n v="0"/>
    <m/>
    <n v="0"/>
    <m/>
    <n v="0"/>
    <m/>
    <n v="0"/>
  </r>
  <r>
    <s v="ARAYTOR"/>
    <s v="B65244212"/>
    <s v="93/24235"/>
    <n v="7830"/>
    <s v="264231590"/>
    <s v="2026000446"/>
    <s v="Cartera"/>
    <s v="Correduría"/>
    <s v="Renovable"/>
    <s v="Cobrado"/>
    <x v="25"/>
    <d v="2026-02-01T00:00:00"/>
    <d v="2026-02-02T00:00:00"/>
    <m/>
    <m/>
    <m/>
    <d v="2026-04-01T00:00:00"/>
    <s v="Trimestral"/>
    <s v="Transporte Terrestre de Mercancias (1)"/>
    <s v="Daños Cargador"/>
    <x v="6"/>
    <s v="FIATC "/>
    <s v="Euros"/>
    <n v="472.51"/>
    <n v="94.5"/>
    <n v="94.5"/>
    <n v="0"/>
    <m/>
    <n v="0"/>
    <m/>
    <n v="0"/>
    <m/>
    <n v="0"/>
    <m/>
    <n v="0"/>
  </r>
  <r>
    <s v="ARAYTOR"/>
    <s v="B61319018"/>
    <s v="93/5003154"/>
    <n v="19053"/>
    <s v="264232520"/>
    <s v="2026000447"/>
    <s v="Cartera"/>
    <s v="Correduría"/>
    <s v="Renovable"/>
    <s v="Cobrado"/>
    <x v="25"/>
    <d v="2026-02-28T00:00:00"/>
    <d v="2026-02-02T00:00:00"/>
    <m/>
    <m/>
    <m/>
    <d v="2026-04-01T00:00:00"/>
    <s v="Anual"/>
    <s v="Transporte Terrestre de Mercancias (1)"/>
    <s v="Daños Cargador"/>
    <x v="6"/>
    <s v="FIATC "/>
    <s v="Euros"/>
    <n v="1540.01"/>
    <n v="308"/>
    <n v="308"/>
    <n v="0"/>
    <m/>
    <n v="0"/>
    <m/>
    <n v="0"/>
    <m/>
    <n v="0"/>
    <m/>
    <n v="0"/>
  </r>
  <r>
    <s v="ARAYTOR"/>
    <s v="29162607X"/>
    <s v="40/5091603"/>
    <n v="19028"/>
    <s v="264240315"/>
    <s v="2026000448"/>
    <s v="Cartera"/>
    <s v="Correduría"/>
    <s v="Renovable"/>
    <s v="Anulado"/>
    <x v="25"/>
    <d v="2026-02-20T00:00:00"/>
    <m/>
    <d v="2026-03-01T00:00:00"/>
    <d v="2026-02-01T00:00:00"/>
    <d v="2026-03-01T00:00:00"/>
    <m/>
    <s v="Anual"/>
    <s v="0100Responsabilidad Civil General"/>
    <s v="RC General"/>
    <x v="0"/>
    <s v="FIATC "/>
    <s v="Euros"/>
    <n v="1056.8599999999999"/>
    <n v="211.37"/>
    <n v="211.37"/>
    <n v="0"/>
    <m/>
    <n v="0"/>
    <s v="HERRERA Y ASO.TEC. Y ASE. EN SEGU, S.L."/>
    <n v="105.69"/>
    <m/>
    <n v="0"/>
    <m/>
    <n v="0"/>
  </r>
  <r>
    <s v="ARAYTOR"/>
    <s v="B43313915"/>
    <s v="40/5114502"/>
    <n v="22583"/>
    <s v="264242107"/>
    <s v="2026000449"/>
    <s v="Cartera"/>
    <s v="Correduría"/>
    <s v="Renovable"/>
    <s v="Cobrado"/>
    <x v="25"/>
    <d v="2026-02-14T00:00:00"/>
    <d v="2026-02-03T00:00:00"/>
    <m/>
    <m/>
    <m/>
    <d v="2026-03-01T00:00:00"/>
    <s v="Anual"/>
    <s v="0120 - Seguro Medioambiental"/>
    <s v="RC Medioambiental"/>
    <x v="0"/>
    <s v="FIATC "/>
    <s v="Euros"/>
    <n v="232.36"/>
    <n v="23.24"/>
    <n v="23.24"/>
    <n v="0"/>
    <m/>
    <n v="0"/>
    <m/>
    <n v="0"/>
    <m/>
    <n v="0"/>
    <m/>
    <n v="0"/>
  </r>
  <r>
    <s v="ARAYTOR"/>
    <s v="B40173676"/>
    <s v="94/5023958"/>
    <n v="26093"/>
    <s v="264232943"/>
    <s v="2026000450"/>
    <s v="Cartera"/>
    <s v="Correduría"/>
    <s v="Renovable"/>
    <s v="Cobrado"/>
    <x v="25"/>
    <d v="2026-02-17T00:00:00"/>
    <d v="2026-02-03T00:00:00"/>
    <m/>
    <m/>
    <m/>
    <d v="2026-04-01T00:00:00"/>
    <s v="Anual"/>
    <s v="0100 - Multiriesgo Transportista"/>
    <s v="Daños Vehiculos"/>
    <x v="6"/>
    <s v="FIATC "/>
    <s v="Euros"/>
    <n v="278.49"/>
    <n v="22.28"/>
    <n v="22.28"/>
    <n v="0"/>
    <m/>
    <n v="0"/>
    <m/>
    <n v="0"/>
    <m/>
    <n v="0"/>
    <m/>
    <n v="0"/>
  </r>
  <r>
    <s v="ARAYTOR"/>
    <s v="B40173676"/>
    <s v="94/5025404"/>
    <n v="27773"/>
    <s v="264233589"/>
    <s v="2026000451"/>
    <s v="Cartera"/>
    <s v="Correduría"/>
    <s v="Renovable"/>
    <s v="Cobrado"/>
    <x v="25"/>
    <d v="2026-02-08T00:00:00"/>
    <d v="2026-02-03T00:00:00"/>
    <m/>
    <m/>
    <m/>
    <d v="2026-04-01T00:00:00"/>
    <s v="Trimestral"/>
    <s v="Transporte Terrestre de Mercancias"/>
    <s v="Daños Operador"/>
    <x v="6"/>
    <s v="FIATC "/>
    <s v="Euros"/>
    <n v="226.5"/>
    <n v="18.12"/>
    <n v="18.12"/>
    <n v="0"/>
    <m/>
    <n v="0"/>
    <m/>
    <n v="0"/>
    <m/>
    <n v="0"/>
    <m/>
    <n v="0"/>
  </r>
  <r>
    <s v="ARAYTOR"/>
    <s v="B40173676"/>
    <s v="94/5025406"/>
    <n v="27788"/>
    <s v="264233599"/>
    <s v="2026000452"/>
    <s v="Cartera"/>
    <s v="Correduría"/>
    <s v="Renovable"/>
    <s v="Cobrado"/>
    <x v="25"/>
    <d v="2026-02-08T00:00:00"/>
    <d v="2026-02-03T00:00:00"/>
    <m/>
    <m/>
    <m/>
    <d v="2026-04-01T00:00:00"/>
    <s v="Trimestral"/>
    <s v="0100 - Multiriesgo Transportista"/>
    <s v="Daños Vehiculos"/>
    <x v="6"/>
    <s v="FIATC "/>
    <s v="Euros"/>
    <n v="226.5"/>
    <n v="18.12"/>
    <n v="18.12"/>
    <n v="0"/>
    <m/>
    <n v="0"/>
    <m/>
    <n v="0"/>
    <m/>
    <n v="0"/>
    <m/>
    <n v="0"/>
  </r>
  <r>
    <s v="ARAYTOR"/>
    <s v="B03118775"/>
    <s v="93/5005255"/>
    <n v="22922"/>
    <s v="264259551"/>
    <s v="2026000453"/>
    <s v="Suplemento modificacion de produccion"/>
    <s v="Correduría"/>
    <s v="Renovable"/>
    <s v="Cobrado"/>
    <x v="25"/>
    <d v="2025-11-01T00:00:00"/>
    <d v="2026-02-02T00:00:00"/>
    <m/>
    <m/>
    <m/>
    <d v="2026-03-01T00:00:00"/>
    <s v="Anual"/>
    <s v="Flotante"/>
    <s v="Daños Operador"/>
    <x v="6"/>
    <s v="FIATC "/>
    <s v="Euros"/>
    <n v="40.51"/>
    <n v="8.1"/>
    <n v="8.1"/>
    <n v="0"/>
    <m/>
    <n v="0"/>
    <m/>
    <n v="0"/>
    <m/>
    <n v="0"/>
    <m/>
    <n v="0"/>
  </r>
  <r>
    <s v="ARAYTOR"/>
    <s v="B03118775"/>
    <s v="93/5005255"/>
    <n v="22922"/>
    <s v="264259638"/>
    <s v="2026000454"/>
    <s v="Suplemento modificacion de produccion"/>
    <s v="Correduría"/>
    <s v="Renovable"/>
    <s v="Cobrado"/>
    <x v="25"/>
    <d v="2025-12-01T00:00:00"/>
    <d v="2026-02-02T00:00:00"/>
    <m/>
    <m/>
    <m/>
    <d v="2026-03-01T00:00:00"/>
    <s v="Anual"/>
    <s v="Flotante"/>
    <s v="Daños Operador"/>
    <x v="6"/>
    <s v="FIATC "/>
    <s v="Euros"/>
    <n v="8.8699999999999992"/>
    <n v="1.77"/>
    <n v="1.77"/>
    <n v="0"/>
    <m/>
    <n v="0"/>
    <m/>
    <n v="0"/>
    <m/>
    <n v="0"/>
    <m/>
    <n v="0"/>
  </r>
  <r>
    <s v="ARAYTOR"/>
    <s v="B67461962"/>
    <s v="93/5005282"/>
    <n v="22956"/>
    <s v="264259991"/>
    <s v="2026000455"/>
    <s v="Suplemento modificacion de produccion"/>
    <s v="Correduría"/>
    <s v="Renovable"/>
    <s v="Anulado"/>
    <x v="25"/>
    <d v="2025-12-01T00:00:00"/>
    <m/>
    <d v="2026-03-01T00:00:00"/>
    <d v="2026-01-15T00:00:00"/>
    <m/>
    <m/>
    <s v="Mensual"/>
    <s v="Flotante"/>
    <s v="Daños Operador"/>
    <x v="6"/>
    <s v="FIATC "/>
    <s v="Euros"/>
    <n v="425.78"/>
    <n v="85.16"/>
    <n v="85.16"/>
    <n v="0"/>
    <m/>
    <n v="0"/>
    <m/>
    <n v="0"/>
    <m/>
    <n v="0"/>
    <m/>
    <n v="0"/>
  </r>
  <r>
    <s v="ARAYTOR"/>
    <s v="79022111E"/>
    <s v="20/9088056"/>
    <n v="32558"/>
    <s v="264285952"/>
    <s v="2026000456"/>
    <s v="Produccion"/>
    <s v="Correduría"/>
    <s v="Renovable"/>
    <s v="Facturado"/>
    <x v="25"/>
    <d v="2026-02-01T00:00:00"/>
    <m/>
    <m/>
    <m/>
    <m/>
    <m/>
    <s v="Anual"/>
    <s v="M - MAXI-AUTO"/>
    <s v="Vehiculos"/>
    <x v="1"/>
    <s v="FIATC "/>
    <s v="Euros"/>
    <n v="943.86"/>
    <n v="134.22999999999999"/>
    <n v="134.22999999999999"/>
    <n v="0"/>
    <m/>
    <n v="0"/>
    <m/>
    <n v="0"/>
    <m/>
    <n v="0"/>
    <m/>
    <n v="0"/>
  </r>
  <r>
    <s v="ARAYTOR"/>
    <s v="B24367971"/>
    <s v="93/5005254"/>
    <n v="22921"/>
    <s v="264285517"/>
    <s v="2026000457"/>
    <s v="Suplemento modificacion de produccion"/>
    <s v="Correduría"/>
    <s v="Renovable"/>
    <s v="Cobrado"/>
    <x v="25"/>
    <d v="2025-08-01T00:00:00"/>
    <d v="2026-02-20T00:00:00"/>
    <m/>
    <m/>
    <m/>
    <d v="2026-04-01T00:00:00"/>
    <s v="Anual"/>
    <s v="Flotante"/>
    <s v="Daños Operador"/>
    <x v="6"/>
    <s v="FIATC "/>
    <s v="Euros"/>
    <n v="7.27"/>
    <n v="1.45"/>
    <n v="1.45"/>
    <n v="0"/>
    <m/>
    <n v="0"/>
    <m/>
    <n v="0"/>
    <m/>
    <n v="0"/>
    <m/>
    <n v="0"/>
  </r>
  <r>
    <s v="ARAYTOR"/>
    <s v="B24367971"/>
    <s v="93/5005254"/>
    <n v="22921"/>
    <s v="264285562"/>
    <s v="2026000458"/>
    <s v="Suplemento modificacion de produccion"/>
    <s v="Correduría"/>
    <s v="Renovable"/>
    <s v="Cobrado"/>
    <x v="25"/>
    <d v="2025-09-01T00:00:00"/>
    <d v="2026-02-20T00:00:00"/>
    <m/>
    <m/>
    <m/>
    <d v="2026-04-01T00:00:00"/>
    <s v="Anual"/>
    <s v="Flotante"/>
    <s v="Daños Operador"/>
    <x v="6"/>
    <s v="FIATC "/>
    <s v="Euros"/>
    <n v="185.17"/>
    <n v="37.03"/>
    <n v="37.03"/>
    <n v="0"/>
    <m/>
    <n v="0"/>
    <m/>
    <n v="0"/>
    <m/>
    <n v="0"/>
    <m/>
    <n v="0"/>
  </r>
  <r>
    <s v="ARAYTOR"/>
    <s v="B24367971"/>
    <s v="93/5005254"/>
    <n v="22921"/>
    <s v="264285605"/>
    <s v="2026000459"/>
    <s v="Suplemento modificacion de produccion"/>
    <s v="Correduría"/>
    <s v="Renovable"/>
    <s v="Cobrado"/>
    <x v="25"/>
    <d v="2025-10-01T00:00:00"/>
    <d v="2026-02-20T00:00:00"/>
    <m/>
    <m/>
    <m/>
    <d v="2026-04-01T00:00:00"/>
    <s v="Anual"/>
    <s v="Flotante"/>
    <s v="Daños Operador"/>
    <x v="6"/>
    <s v="FIATC "/>
    <s v="Euros"/>
    <n v="136.87"/>
    <n v="27.37"/>
    <n v="27.37"/>
    <n v="0"/>
    <m/>
    <n v="0"/>
    <m/>
    <n v="0"/>
    <m/>
    <n v="0"/>
    <m/>
    <n v="0"/>
  </r>
  <r>
    <s v="ARAYTOR"/>
    <s v="B24367971"/>
    <s v="93/5005254"/>
    <n v="22921"/>
    <s v="264285624"/>
    <s v="2026000460"/>
    <s v="Suplemento modificacion de produccion"/>
    <s v="Correduría"/>
    <s v="Renovable"/>
    <s v="Cobrado"/>
    <x v="25"/>
    <d v="2025-11-01T00:00:00"/>
    <d v="2026-02-20T00:00:00"/>
    <m/>
    <m/>
    <m/>
    <d v="2026-04-01T00:00:00"/>
    <s v="Anual"/>
    <s v="Flotante"/>
    <s v="Daños Operador"/>
    <x v="6"/>
    <s v="FIATC "/>
    <s v="Euros"/>
    <n v="43.65"/>
    <n v="8.73"/>
    <n v="8.73"/>
    <n v="0"/>
    <m/>
    <n v="0"/>
    <m/>
    <n v="0"/>
    <m/>
    <n v="0"/>
    <m/>
    <n v="0"/>
  </r>
  <r>
    <s v="ARAYTOR"/>
    <s v="B24367971"/>
    <s v="93/5005254"/>
    <n v="22921"/>
    <s v="264285641"/>
    <s v="2026000461"/>
    <s v="Suplemento modificacion de produccion"/>
    <s v="Correduría"/>
    <s v="Renovable"/>
    <s v="Cobrado"/>
    <x v="25"/>
    <d v="2025-12-01T00:00:00"/>
    <d v="2026-02-20T00:00:00"/>
    <m/>
    <m/>
    <m/>
    <d v="2026-04-01T00:00:00"/>
    <s v="Anual"/>
    <s v="Flotante"/>
    <s v="Daños Operador"/>
    <x v="6"/>
    <s v="FIATC "/>
    <s v="Euros"/>
    <n v="484.02"/>
    <n v="96.8"/>
    <n v="96.8"/>
    <n v="0"/>
    <m/>
    <n v="0"/>
    <m/>
    <n v="0"/>
    <m/>
    <n v="0"/>
    <m/>
    <n v="0"/>
  </r>
  <r>
    <s v="ARAYTOR"/>
    <s v="B61484184"/>
    <s v="93/5005256"/>
    <n v="22923"/>
    <s v="264285658"/>
    <s v="2026000462"/>
    <s v="Suplemento modificacion de produccion"/>
    <s v="Correduría"/>
    <s v="Renovable"/>
    <s v="Facturado"/>
    <x v="25"/>
    <d v="2025-12-01T00:00:00"/>
    <m/>
    <m/>
    <m/>
    <m/>
    <m/>
    <s v="Anual"/>
    <s v="Flotante"/>
    <s v="Daños Operador"/>
    <x v="6"/>
    <s v="FIATC "/>
    <s v="Euros"/>
    <n v="60"/>
    <n v="12"/>
    <n v="12"/>
    <n v="0"/>
    <m/>
    <n v="0"/>
    <m/>
    <n v="0"/>
    <m/>
    <n v="0"/>
    <m/>
    <n v="0"/>
  </r>
  <r>
    <s v="ARAYTOR"/>
    <s v="B67461962"/>
    <s v="93/5005282"/>
    <n v="22956"/>
    <s v="264285688"/>
    <s v="2026000463"/>
    <s v="Suplemento modificacion de produccion"/>
    <s v="Correduría"/>
    <s v="Renovable"/>
    <s v="Cobrado"/>
    <x v="25"/>
    <d v="2025-12-01T00:00:00"/>
    <d v="2026-02-02T00:00:00"/>
    <m/>
    <m/>
    <m/>
    <d v="2026-03-01T00:00:00"/>
    <s v="Mensual"/>
    <s v="Flotante"/>
    <s v="Daños Operador"/>
    <x v="6"/>
    <s v="FIATC "/>
    <s v="Euros"/>
    <n v="536.03"/>
    <n v="107.21"/>
    <n v="107.21"/>
    <n v="0"/>
    <m/>
    <n v="0"/>
    <m/>
    <n v="0"/>
    <m/>
    <n v="0"/>
    <m/>
    <n v="0"/>
  </r>
  <r>
    <s v="ARAYTOR"/>
    <s v="B64753791"/>
    <s v="29/3119543"/>
    <n v="32307"/>
    <s v="264289304"/>
    <s v="2026000464"/>
    <s v="Produccion"/>
    <s v="Compañía"/>
    <s v="Renovable"/>
    <s v="Cobrado"/>
    <x v="25"/>
    <d v="2026-01-01T00:00:00"/>
    <d v="2026-01-22T00:00:00"/>
    <m/>
    <m/>
    <m/>
    <d v="2026-02-03T00:00:00"/>
    <s v="Mensual"/>
    <s v="6 - MEDIFIATC PROGRES"/>
    <s v="Colectivo Salud"/>
    <x v="10"/>
    <s v="FIATC "/>
    <s v="Euros"/>
    <n v="8025.16"/>
    <n v="401.26"/>
    <n v="401.26"/>
    <n v="0"/>
    <m/>
    <n v="0"/>
    <m/>
    <n v="0"/>
    <m/>
    <n v="0"/>
    <m/>
    <n v="0"/>
  </r>
  <r>
    <s v="ARAYTOR"/>
    <s v="B66800731"/>
    <s v="29/452"/>
    <n v="9100"/>
    <s v="264288994"/>
    <s v="2026000465"/>
    <s v="Cartera"/>
    <s v="Correduría"/>
    <s v="Renovable"/>
    <s v="Cobrado"/>
    <x v="25"/>
    <d v="2026-01-01T00:00:00"/>
    <d v="2026-01-30T00:00:00"/>
    <m/>
    <m/>
    <m/>
    <d v="2026-02-01T00:00:00"/>
    <s v="Anual"/>
    <s v="2010 Mediatc Progess"/>
    <s v="Colectivo Salud"/>
    <x v="10"/>
    <s v="FIATC "/>
    <s v="Euros"/>
    <n v="14250.45"/>
    <n v="570.02"/>
    <n v="570.02"/>
    <n v="0"/>
    <m/>
    <n v="0"/>
    <m/>
    <n v="0"/>
    <m/>
    <n v="0"/>
    <m/>
    <n v="0"/>
  </r>
  <r>
    <s v="ARAYTOR"/>
    <s v="B62971247"/>
    <s v="40/188221"/>
    <n v="788"/>
    <s v="264288317"/>
    <s v="2026000466"/>
    <s v="Suplemento modificacion de produccion"/>
    <s v="Correduría"/>
    <s v="Renovable"/>
    <s v="Anulado"/>
    <x v="25"/>
    <d v="2026-01-24T00:00:00"/>
    <m/>
    <d v="2026-03-01T00:00:00"/>
    <d v="2026-01-16T00:00:00"/>
    <m/>
    <m/>
    <s v="Semestral"/>
    <s v="RC Operador Transporte"/>
    <s v="RC Operador Transporte"/>
    <x v="0"/>
    <s v="FIATC "/>
    <s v="Euros"/>
    <n v="2925.58"/>
    <n v="585.12"/>
    <n v="585.12"/>
    <n v="0"/>
    <m/>
    <n v="0"/>
    <m/>
    <n v="0"/>
    <m/>
    <n v="0"/>
    <m/>
    <n v="0"/>
  </r>
  <r>
    <s v="ARAYTOR"/>
    <s v="B62971247"/>
    <s v="40/188221"/>
    <n v="788"/>
    <s v="264288692"/>
    <s v="2026000467"/>
    <s v="Suplemento modificacion de produccion"/>
    <s v="Correduría"/>
    <s v="Renovable"/>
    <s v="Cobrado"/>
    <x v="25"/>
    <d v="2026-01-24T00:00:00"/>
    <d v="2026-02-02T00:00:00"/>
    <m/>
    <m/>
    <m/>
    <d v="2026-04-01T00:00:00"/>
    <s v="Semestral"/>
    <s v="RC Operador Transporte"/>
    <s v="RC Operador Transporte"/>
    <x v="0"/>
    <s v="FIATC "/>
    <s v="Euros"/>
    <n v="3196.72"/>
    <n v="639.35"/>
    <n v="639.35"/>
    <n v="0"/>
    <m/>
    <n v="0"/>
    <m/>
    <n v="0"/>
    <m/>
    <n v="0"/>
    <m/>
    <n v="0"/>
  </r>
  <r>
    <s v="ARAYTOR"/>
    <s v="H06407746"/>
    <s v="8-3.946.025-A"/>
    <n v="2016"/>
    <s v="473132341-R"/>
    <s v="2026000468"/>
    <s v="Cartera"/>
    <s v="Correduría"/>
    <s v="Renovable"/>
    <s v="Facturado"/>
    <x v="25"/>
    <d v="2026-03-24T00:00:00"/>
    <m/>
    <m/>
    <m/>
    <m/>
    <m/>
    <s v="Anual"/>
    <s v="01690 - Comunidades"/>
    <s v="Comunidad de Propietarios"/>
    <x v="3"/>
    <s v="OCCIDENT GCO, S.A.U."/>
    <s v="Euros"/>
    <n v="2608.48"/>
    <n v="620.80999999999995"/>
    <n v="620.80999999999995"/>
    <n v="0"/>
    <m/>
    <n v="0"/>
    <s v="Joan Bou Jovè"/>
    <n v="372.49"/>
    <m/>
    <n v="0"/>
    <m/>
    <n v="0"/>
  </r>
  <r>
    <s v="ARAYTOR"/>
    <s v="B17004227"/>
    <s v="8-6.375.053-B"/>
    <n v="18517"/>
    <s v="473145439-M"/>
    <s v="2026000470"/>
    <s v="Cartera"/>
    <s v="Correduría"/>
    <s v="Renovable"/>
    <s v="Cobrado"/>
    <x v="25"/>
    <d v="2026-03-01T00:00:00"/>
    <d v="2026-03-02T00:00:00"/>
    <m/>
    <m/>
    <m/>
    <m/>
    <s v="Anual"/>
    <s v="01663 Oficinas"/>
    <s v="Oficinas"/>
    <x v="3"/>
    <s v="OCCIDENT GCO, S.A.U."/>
    <s v="Euros"/>
    <n v="287.32"/>
    <n v="58.9"/>
    <n v="58.9"/>
    <n v="0"/>
    <m/>
    <n v="0"/>
    <m/>
    <n v="0"/>
    <m/>
    <n v="0"/>
    <m/>
    <n v="0"/>
  </r>
  <r>
    <s v="ARAYTOR"/>
    <s v="B62545603"/>
    <s v="8-10.706.074-Y"/>
    <n v="26188"/>
    <s v="473161496-N"/>
    <s v="2026000471"/>
    <s v="Cartera"/>
    <s v="Correduría"/>
    <s v="Renovable"/>
    <s v="Facturado"/>
    <x v="25"/>
    <d v="2026-03-15T00:00:00"/>
    <m/>
    <m/>
    <m/>
    <m/>
    <m/>
    <s v="Anual"/>
    <s v="01688 - Pyme"/>
    <s v="PYME"/>
    <x v="3"/>
    <s v="OCCIDENT GCO, S.A.U."/>
    <s v="Euros"/>
    <n v="688.71"/>
    <n v="163.91"/>
    <n v="163.91"/>
    <n v="0"/>
    <m/>
    <n v="0"/>
    <m/>
    <n v="0"/>
    <m/>
    <n v="0"/>
    <m/>
    <n v="0"/>
  </r>
  <r>
    <s v="ARAYTOR"/>
    <s v="B06592133"/>
    <s v="8-11.125.662-L"/>
    <n v="30744"/>
    <s v="473170654-Y"/>
    <s v="2026000472"/>
    <s v="Cartera"/>
    <s v="Correduría"/>
    <s v="Renovable"/>
    <s v="Facturado"/>
    <x v="25"/>
    <d v="2026-03-07T00:00:00"/>
    <m/>
    <m/>
    <m/>
    <m/>
    <m/>
    <s v="Anual"/>
    <s v="01688 - Pyme"/>
    <s v="PYME"/>
    <x v="3"/>
    <s v="OCCIDENT GCO, S.A.U."/>
    <s v="Euros"/>
    <n v="2049.19"/>
    <n v="450.83"/>
    <n v="450.83"/>
    <n v="0"/>
    <m/>
    <n v="0"/>
    <m/>
    <n v="0"/>
    <m/>
    <n v="0"/>
    <m/>
    <n v="0"/>
  </r>
  <r>
    <s v="ARAYTOR"/>
    <s v="B72399660"/>
    <s v="RCEXP-CA14131"/>
    <n v="26059"/>
    <s v="2601204"/>
    <s v="2026000473"/>
    <s v="Produccion"/>
    <s v="Correduría"/>
    <s v="Temporal"/>
    <s v="Facturado"/>
    <x v="26"/>
    <d v="2026-02-10T00:00:00"/>
    <m/>
    <m/>
    <m/>
    <m/>
    <m/>
    <s v="Unico"/>
    <s v="RC Empresa"/>
    <s v="RC Empresa"/>
    <x v="0"/>
    <s v="CIRCLES GROUP, S.A."/>
    <s v="Euros"/>
    <n v="1224"/>
    <n v="222.54"/>
    <n v="222.54"/>
    <n v="0"/>
    <m/>
    <n v="0"/>
    <m/>
    <n v="0"/>
    <m/>
    <n v="0"/>
    <m/>
    <n v="0"/>
  </r>
  <r>
    <s v="ARAYTOR"/>
    <s v="B70770672"/>
    <s v="RCEXP-CA17468"/>
    <n v="30735"/>
    <s v="2601199"/>
    <s v="2026000474"/>
    <s v="Produccion"/>
    <s v="Correduría"/>
    <s v="Temporal"/>
    <s v="Facturado"/>
    <x v="26"/>
    <d v="2026-04-01T00:00:00"/>
    <m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A58569815"/>
    <s v="CE87140-CE87804"/>
    <n v="30514"/>
    <s v="2601148"/>
    <s v="2026000475"/>
    <s v="Produccion"/>
    <s v="Correduría"/>
    <s v="Temporal"/>
    <s v="Cobrado"/>
    <x v="26"/>
    <d v="2025-01-23T00:00:00"/>
    <d v="2026-01-19T00:00:00"/>
    <m/>
    <m/>
    <m/>
    <d v="2026-02-03T00:00:00"/>
    <s v="Unico"/>
    <s v="Contingencias"/>
    <s v="Contingencias"/>
    <x v="9"/>
    <s v="CIRCLES GROUP, S.A."/>
    <s v="Euros"/>
    <n v="1060.3599999999999"/>
    <n v="106.04"/>
    <n v="106.04"/>
    <n v="0"/>
    <m/>
    <n v="0"/>
    <m/>
    <n v="0"/>
    <m/>
    <n v="0"/>
    <m/>
    <n v="0"/>
  </r>
  <r>
    <s v="ARAYTOR"/>
    <s v="B70373592"/>
    <s v="CE92345"/>
    <n v="32185"/>
    <s v="2601225"/>
    <s v="2026000476"/>
    <s v="Produccion"/>
    <s v="Correduría"/>
    <s v="Temporal"/>
    <s v="Cobrado"/>
    <x v="26"/>
    <d v="2025-11-06T00:00:00"/>
    <d v="2026-02-26T00:00:00"/>
    <m/>
    <m/>
    <m/>
    <m/>
    <s v="Unico"/>
    <s v="Contingencias"/>
    <s v="Contingencias"/>
    <x v="9"/>
    <s v="CIRCLES GROUP, S.A."/>
    <s v="Euros"/>
    <n v="141.47"/>
    <n v="25.72"/>
    <n v="25.72"/>
    <n v="0"/>
    <m/>
    <n v="0"/>
    <m/>
    <n v="0"/>
    <m/>
    <n v="0"/>
    <m/>
    <n v="0"/>
  </r>
  <r>
    <s v="ARAYTOR"/>
    <s v="B70373592"/>
    <s v="CE92791"/>
    <n v="32295"/>
    <s v="2601095"/>
    <s v="2026000477"/>
    <s v="Produccion"/>
    <s v="Correduría"/>
    <s v="Temporal"/>
    <s v="Cobrado"/>
    <x v="26"/>
    <d v="2025-12-05T00:00:00"/>
    <d v="2026-02-16T00:00:00"/>
    <m/>
    <m/>
    <m/>
    <m/>
    <s v="Unico"/>
    <s v="Contingencias"/>
    <s v="Contingencias"/>
    <x v="9"/>
    <s v="CIRCLES GROUP, S.A."/>
    <s v="Euros"/>
    <n v="361.53"/>
    <n v="65.739999999999995"/>
    <n v="65.739999999999995"/>
    <n v="0"/>
    <m/>
    <n v="0"/>
    <m/>
    <n v="0"/>
    <m/>
    <n v="0"/>
    <m/>
    <n v="0"/>
  </r>
  <r>
    <s v="ARAYTOR"/>
    <s v="B11459435"/>
    <s v="CE93037"/>
    <n v="32559"/>
    <s v="2601229"/>
    <s v="2026000478"/>
    <s v="Produccion"/>
    <s v="Correduría"/>
    <s v="Temporal"/>
    <s v="Cobrado"/>
    <x v="26"/>
    <d v="2026-01-19T00:00:00"/>
    <d v="2026-02-04T00:00:00"/>
    <m/>
    <m/>
    <m/>
    <m/>
    <s v="Unico"/>
    <s v="Contingencias"/>
    <s v="Contingencias"/>
    <x v="9"/>
    <s v="CIRCLES GROUP, S.A."/>
    <s v="Euros"/>
    <n v="3335.67"/>
    <n v="606.49"/>
    <n v="606.49"/>
    <n v="0"/>
    <m/>
    <n v="0"/>
    <m/>
    <n v="0"/>
    <m/>
    <n v="0"/>
    <m/>
    <n v="0"/>
  </r>
  <r>
    <s v="ARAYTOR"/>
    <s v="B11459435"/>
    <s v="CE93037"/>
    <n v="32559"/>
    <s v="2601230"/>
    <s v="2026000479"/>
    <s v="Produccion"/>
    <s v="Correduría"/>
    <s v="Temporal"/>
    <s v="Facturado"/>
    <x v="26"/>
    <d v="2026-01-19T00:00:00"/>
    <m/>
    <m/>
    <m/>
    <m/>
    <m/>
    <s v="Unico"/>
    <s v="Contingencias"/>
    <s v="Contingencias"/>
    <x v="9"/>
    <s v="CIRCLES GROUP, S.A."/>
    <s v="Euros"/>
    <n v="15010.54"/>
    <n v="2729.19"/>
    <n v="2729.19"/>
    <n v="0"/>
    <m/>
    <n v="0"/>
    <m/>
    <n v="0"/>
    <m/>
    <n v="0"/>
    <m/>
    <n v="0"/>
  </r>
  <r>
    <s v="ARAYTOR"/>
    <s v="B11459435"/>
    <s v="CE93037"/>
    <n v="32559"/>
    <s v="2601231"/>
    <s v="2026000480"/>
    <s v="Produccion"/>
    <s v="Correduría"/>
    <s v="Temporal"/>
    <s v="Facturado"/>
    <x v="26"/>
    <d v="2026-01-19T00:00:00"/>
    <m/>
    <m/>
    <m/>
    <m/>
    <m/>
    <s v="Unico"/>
    <s v="Contingencias"/>
    <s v="Contingencias"/>
    <x v="9"/>
    <s v="CIRCLES GROUP, S.A."/>
    <s v="Euros"/>
    <n v="15010.54"/>
    <n v="2729.19"/>
    <n v="2729.19"/>
    <n v="0"/>
    <m/>
    <n v="0"/>
    <m/>
    <n v="0"/>
    <m/>
    <n v="0"/>
    <m/>
    <n v="0"/>
  </r>
  <r>
    <s v="ARAYTOR"/>
    <s v="B19497189"/>
    <s v="HDIP62138567"/>
    <n v="32560"/>
    <m/>
    <s v="2026000481"/>
    <s v="Produccion"/>
    <s v="Correduría"/>
    <s v="Renovable"/>
    <s v="Cobrado"/>
    <x v="26"/>
    <d v="2026-01-19T00:00:00"/>
    <d v="2026-02-02T00:00:00"/>
    <m/>
    <m/>
    <m/>
    <d v="2026-03-01T00:00:00"/>
    <s v="Anual"/>
    <s v="Hiscox Profesional"/>
    <s v="RC Directivos"/>
    <x v="8"/>
    <s v="Hiscox S.A Sucursal en España"/>
    <s v="Euros"/>
    <n v="1550.25"/>
    <n v="310.05"/>
    <n v="310.05"/>
    <n v="0"/>
    <m/>
    <n v="0"/>
    <m/>
    <n v="0"/>
    <m/>
    <n v="0"/>
    <m/>
    <n v="0"/>
  </r>
  <r>
    <s v="ARAYTOR"/>
    <s v="41747518B"/>
    <s v="282678255"/>
    <n v="32561"/>
    <s v="202601829415"/>
    <s v="2026000482"/>
    <s v="Produccion"/>
    <s v="Compañía"/>
    <s v="Renovable"/>
    <s v="Anulado"/>
    <x v="27"/>
    <d v="2025-09-04T00:00:00"/>
    <m/>
    <m/>
    <d v="2026-01-29T00:00:00"/>
    <m/>
    <m/>
    <s v="Mensual"/>
    <s v="1754 - ADESLAS PLENA PLUS"/>
    <s v="Salud"/>
    <x v="4"/>
    <s v="SEGURCAIXA ADESLAS, S.A."/>
    <s v="Euros"/>
    <n v="351.82"/>
    <n v="48.82"/>
    <n v="48.82"/>
    <n v="0"/>
    <m/>
    <n v="0"/>
    <m/>
    <n v="0"/>
    <m/>
    <n v="0"/>
    <m/>
    <n v="0"/>
  </r>
  <r>
    <s v="ARAYTOR"/>
    <s v="37666201K"/>
    <s v="7-64.000.874-J"/>
    <n v="15253"/>
    <s v="473322813-V"/>
    <s v="2026000483"/>
    <s v="Cartera"/>
    <s v="Compañía"/>
    <s v="Renovable"/>
    <s v="Facturado"/>
    <x v="27"/>
    <d v="2026-03-12T00:00:00"/>
    <m/>
    <m/>
    <m/>
    <m/>
    <m/>
    <s v="Mensual"/>
    <s v="Salud Reembolso Prime"/>
    <s v="Mixta"/>
    <x v="4"/>
    <s v="OCCIDENT GCO, S.A.U."/>
    <s v="Euros"/>
    <n v="650.02"/>
    <n v="0"/>
    <n v="0"/>
    <n v="0"/>
    <m/>
    <n v="0"/>
    <m/>
    <n v="0"/>
    <m/>
    <n v="0"/>
    <m/>
    <n v="0"/>
  </r>
  <r>
    <s v="ARAYTOR"/>
    <s v="Y9448453K"/>
    <s v="8-11.325.979-F"/>
    <n v="32562"/>
    <s v="473494061-H"/>
    <s v="2026000484"/>
    <s v="Produccion"/>
    <s v="Correduría"/>
    <s v="Renovable"/>
    <s v="Cobrado"/>
    <x v="27"/>
    <d v="2026-01-19T00:00:00"/>
    <d v="2026-02-03T00:00:00"/>
    <m/>
    <m/>
    <m/>
    <d v="2026-03-01T00:00:00"/>
    <s v="Anual"/>
    <s v="01685 Hogar"/>
    <s v="Hogar"/>
    <x v="2"/>
    <s v="OCCIDENT GCO, S.A.U."/>
    <s v="Euros"/>
    <n v="104.56"/>
    <n v="26.14"/>
    <n v="26.14"/>
    <n v="0"/>
    <m/>
    <n v="0"/>
    <m/>
    <n v="0"/>
    <m/>
    <n v="0"/>
    <m/>
    <n v="0"/>
  </r>
  <r>
    <s v="ARAYTOR"/>
    <s v="B17004227"/>
    <s v="8-21.347.171-F"/>
    <n v="14740"/>
    <s v="473180264-N"/>
    <s v="2026000485"/>
    <s v="Cartera"/>
    <s v="Compañía"/>
    <s v="Renovable"/>
    <s v="Facturado"/>
    <x v="27"/>
    <d v="2026-03-01T00:00:00"/>
    <m/>
    <m/>
    <m/>
    <m/>
    <m/>
    <s v="Anual"/>
    <s v="01800 Automoviles"/>
    <s v="Vehiculos"/>
    <x v="1"/>
    <s v="OCCIDENT GCO, S.A.U."/>
    <s v="Euros"/>
    <n v="2007.45"/>
    <n v="287.27"/>
    <n v="287.27"/>
    <n v="0"/>
    <m/>
    <n v="0"/>
    <m/>
    <n v="0"/>
    <m/>
    <n v="0"/>
    <m/>
    <n v="0"/>
  </r>
  <r>
    <s v="ARAYTOR"/>
    <s v="B98166358"/>
    <s v="8-22.857.987-K"/>
    <n v="23297"/>
    <s v="473246914-D"/>
    <s v="2026000487"/>
    <s v="Cartera"/>
    <s v="Compañía"/>
    <s v="Renovable"/>
    <s v="Facturado"/>
    <x v="27"/>
    <d v="2026-03-18T00:00:00"/>
    <m/>
    <m/>
    <m/>
    <m/>
    <m/>
    <s v="Anual"/>
    <s v="01800 Automoviles"/>
    <s v="Vehiculos"/>
    <x v="1"/>
    <s v="OCCIDENT GCO, S.A.U."/>
    <s v="Euros"/>
    <n v="1268.26"/>
    <n v="152.19"/>
    <n v="152.19"/>
    <n v="0"/>
    <m/>
    <n v="0"/>
    <m/>
    <n v="0"/>
    <m/>
    <n v="0"/>
    <m/>
    <n v="0"/>
  </r>
  <r>
    <s v="ARAYTOR"/>
    <s v="14934467S"/>
    <s v="8-23.018.757-K"/>
    <n v="24882"/>
    <s v="473260517-Q"/>
    <s v="2026000488"/>
    <s v="Cartera"/>
    <s v="Correduría"/>
    <s v="Renovable"/>
    <s v="Facturado"/>
    <x v="27"/>
    <d v="2026-03-15T00:00:00"/>
    <m/>
    <m/>
    <m/>
    <m/>
    <m/>
    <s v="Anual"/>
    <s v="01803 - Motos"/>
    <s v="Vehiculos"/>
    <x v="1"/>
    <s v="OCCIDENT GCO, S.A.U."/>
    <s v="Euros"/>
    <n v="261.01"/>
    <n v="31.33"/>
    <n v="31.33"/>
    <n v="0"/>
    <m/>
    <n v="0"/>
    <m/>
    <n v="0"/>
    <m/>
    <n v="0"/>
    <m/>
    <n v="0"/>
  </r>
  <r>
    <s v="ARAYTOR"/>
    <s v="46103590K"/>
    <s v="8-23.019.430-G"/>
    <n v="24895"/>
    <s v="473260985-K"/>
    <s v="2026000489"/>
    <s v="Cartera"/>
    <s v="Correduría"/>
    <s v="Renovable"/>
    <s v="Facturado"/>
    <x v="27"/>
    <d v="2026-03-16T00:00:00"/>
    <m/>
    <m/>
    <m/>
    <m/>
    <m/>
    <s v="Anual"/>
    <s v="01803 - Motos"/>
    <s v="Vehiculos"/>
    <x v="1"/>
    <s v="OCCIDENT GCO, S.A.U."/>
    <s v="Euros"/>
    <n v="412.92"/>
    <n v="49.55"/>
    <n v="49.55"/>
    <n v="0"/>
    <m/>
    <n v="0"/>
    <m/>
    <n v="0"/>
    <m/>
    <n v="0"/>
    <m/>
    <n v="0"/>
  </r>
  <r>
    <s v="ARAYTOR"/>
    <s v="47870166J"/>
    <s v="8-23.192.723-N"/>
    <n v="26263"/>
    <s v="473281713-D"/>
    <s v="2026000490"/>
    <s v="Cartera"/>
    <s v="Correduría"/>
    <s v="Renovable"/>
    <s v="Facturado"/>
    <x v="27"/>
    <d v="2026-03-24T00:00:00"/>
    <m/>
    <m/>
    <m/>
    <m/>
    <m/>
    <s v="Anual"/>
    <s v="Automoviles (1)"/>
    <s v="Motocicletas"/>
    <x v="1"/>
    <s v="OCCIDENT GCO, S.A.U."/>
    <s v="Euros"/>
    <n v="574.19000000000005"/>
    <n v="68.900000000000006"/>
    <n v="68.900000000000006"/>
    <n v="0"/>
    <m/>
    <n v="0"/>
    <m/>
    <n v="0"/>
    <m/>
    <n v="0"/>
    <m/>
    <n v="0"/>
  </r>
  <r>
    <s v="ARAYTOR"/>
    <s v="H61978383"/>
    <s v="8-6.548.312-B"/>
    <n v="19453"/>
    <s v="473341740-C"/>
    <s v="2026000491"/>
    <s v="Cartera"/>
    <s v="Correduría"/>
    <s v="Renovable"/>
    <s v="Facturado"/>
    <x v="27"/>
    <d v="2026-03-15T00:00:00"/>
    <m/>
    <m/>
    <m/>
    <m/>
    <m/>
    <s v="Trimestral"/>
    <s v="01690 - Comunidades"/>
    <s v="Comunidad de Propietarios"/>
    <x v="3"/>
    <s v="OCCIDENT GCO, S.A.U."/>
    <s v="Euros"/>
    <n v="367.18"/>
    <n v="87.38"/>
    <n v="87.38"/>
    <n v="0"/>
    <m/>
    <n v="0"/>
    <m/>
    <n v="0"/>
    <m/>
    <n v="0"/>
    <m/>
    <n v="0"/>
  </r>
  <r>
    <s v="ARAYTOR"/>
    <s v="37697366K"/>
    <s v="8-11.305.522-L"/>
    <n v="32308"/>
    <s v="473448004-M"/>
    <s v="2026000492"/>
    <s v="Produccion"/>
    <s v="Correduría"/>
    <s v="Renovable"/>
    <s v="Facturado"/>
    <x v="27"/>
    <d v="2026-03-12T00:00:00"/>
    <m/>
    <m/>
    <m/>
    <m/>
    <m/>
    <s v="Trimestral"/>
    <s v="01685 Hogar"/>
    <s v="Hogar"/>
    <x v="2"/>
    <s v="OCCIDENT GCO, S.A.U."/>
    <s v="Euros"/>
    <n v="187.02"/>
    <n v="46.75"/>
    <n v="46.75"/>
    <n v="0"/>
    <m/>
    <n v="0"/>
    <m/>
    <n v="0"/>
    <m/>
    <n v="0"/>
    <m/>
    <n v="0"/>
  </r>
  <r>
    <s v="ARAYTOR"/>
    <s v="44981796Y"/>
    <s v="8-23.018.992-V"/>
    <n v="32164"/>
    <s v="473260659-A"/>
    <s v="2026000493"/>
    <s v="Cartera"/>
    <s v="Compañía"/>
    <s v="Renovable"/>
    <s v="Facturado"/>
    <x v="27"/>
    <d v="2026-03-31T00:00:00"/>
    <m/>
    <m/>
    <m/>
    <m/>
    <m/>
    <s v="Anual"/>
    <s v="01800 Automoviles"/>
    <s v="Vehiculos"/>
    <x v="1"/>
    <s v="OCCIDENT GCO, S.A.U."/>
    <s v="Euros"/>
    <n v="260.64999999999998"/>
    <n v="31.28"/>
    <n v="31.28"/>
    <n v="0"/>
    <m/>
    <n v="0"/>
    <m/>
    <n v="0"/>
    <m/>
    <n v="0"/>
    <m/>
    <n v="0"/>
  </r>
  <r>
    <s v="ARAYTOR"/>
    <s v="B75959031"/>
    <s v="RCEXP-CA17646"/>
    <n v="30941"/>
    <s v="2601431"/>
    <s v="2026000494"/>
    <s v="Produccion"/>
    <s v="Correduría"/>
    <s v="Temporal"/>
    <s v="Cobrado"/>
    <x v="28"/>
    <d v="2025-04-08T00:00:00"/>
    <d v="2026-01-29T00:00:00"/>
    <m/>
    <m/>
    <d v="2026-03-01T00:00:00"/>
    <d v="2026-02-03T00:00:00"/>
    <s v="Unico"/>
    <s v="RC Empresa"/>
    <s v="RC Empresa"/>
    <x v="0"/>
    <s v="CIRCLES GROUP, S.A."/>
    <s v="Euros"/>
    <n v="100"/>
    <n v="18.18"/>
    <n v="18.18"/>
    <n v="0"/>
    <m/>
    <n v="0"/>
    <s v="HERRERA Y ASO.TEC. Y ASE. EN SEGU, S.L."/>
    <n v="10"/>
    <m/>
    <n v="0"/>
    <m/>
    <n v="0"/>
  </r>
  <r>
    <s v="ARAYTOR"/>
    <s v="BE0898.188.425"/>
    <s v="CE91852"/>
    <n v="32538"/>
    <s v="2601462"/>
    <s v="2026000495"/>
    <s v="Produccion"/>
    <s v="Correduría"/>
    <s v="Temporal"/>
    <s v="Cobrado"/>
    <x v="28"/>
    <d v="2026-01-13T00:00:00"/>
    <d v="2026-01-22T00:00:00"/>
    <m/>
    <m/>
    <d v="2026-01-25T00:00:00"/>
    <m/>
    <s v="Unico"/>
    <s v="Contingencias"/>
    <s v="Contingencias"/>
    <x v="9"/>
    <s v="CIRCLES GROUP, S.A."/>
    <s v="Euros"/>
    <n v="1830.66"/>
    <n v="332.85"/>
    <n v="332.85"/>
    <n v="0"/>
    <m/>
    <n v="0"/>
    <s v="VC ASIGEST BROKER, S.P.A."/>
    <n v="183.07"/>
    <m/>
    <n v="0"/>
    <m/>
    <n v="0"/>
  </r>
  <r>
    <s v="ARAYTOR"/>
    <s v="A58569815"/>
    <s v="CE87140-CE92081"/>
    <n v="32106"/>
    <s v="2601222"/>
    <s v="2026000496"/>
    <s v="Produccion"/>
    <s v="Correduría"/>
    <s v="Temporal"/>
    <s v="Cobrado"/>
    <x v="28"/>
    <d v="2025-10-21T00:00:00"/>
    <d v="2026-02-27T00:00:00"/>
    <m/>
    <m/>
    <m/>
    <m/>
    <s v="Unico"/>
    <s v="Contingencias"/>
    <s v="Contingencias"/>
    <x v="9"/>
    <s v="CIRCLES GROUP, S.A."/>
    <s v="Euros"/>
    <n v="-509.7"/>
    <n v="-92.67"/>
    <n v="-92.67"/>
    <n v="0"/>
    <m/>
    <n v="0"/>
    <m/>
    <n v="0"/>
    <m/>
    <n v="0"/>
    <m/>
    <n v="0"/>
  </r>
  <r>
    <s v="ARAYTOR"/>
    <s v="A58569815"/>
    <s v="CE87140-CE92081"/>
    <n v="32106"/>
    <s v="2601221"/>
    <s v="2026000497"/>
    <s v="Produccion"/>
    <s v="Correduría"/>
    <s v="Temporal"/>
    <s v="Cobrado"/>
    <x v="28"/>
    <d v="2025-10-21T00:00:00"/>
    <d v="2026-01-21T00:00:00"/>
    <m/>
    <m/>
    <m/>
    <d v="2026-02-03T00:00:00"/>
    <s v="Unico"/>
    <s v="Contingencias"/>
    <s v="Contingencias"/>
    <x v="9"/>
    <s v="CIRCLES GROUP, S.A."/>
    <s v="Euros"/>
    <n v="101.94"/>
    <n v="18.53"/>
    <n v="18.53"/>
    <n v="0"/>
    <m/>
    <n v="0"/>
    <m/>
    <n v="0"/>
    <m/>
    <n v="0"/>
    <m/>
    <n v="0"/>
  </r>
  <r>
    <s v="ARAYTOR"/>
    <s v="B64615974"/>
    <s v="RCEXP-CA18586"/>
    <n v="32563"/>
    <s v="2601406"/>
    <s v="2026000498"/>
    <s v="Produccion"/>
    <s v="Correduría"/>
    <s v="Temporal"/>
    <s v="Cobrado"/>
    <x v="28"/>
    <d v="2026-01-20T00:00:00"/>
    <d v="2026-01-21T00:00:00"/>
    <m/>
    <m/>
    <m/>
    <d v="2026-02-03T00:00:00"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83958934"/>
    <s v="CE92561"/>
    <n v="32244"/>
    <s v="2601430"/>
    <s v="2026000499"/>
    <s v="Produccion"/>
    <s v="Correduría"/>
    <s v="Temporal"/>
    <s v="Cobrado"/>
    <x v="28"/>
    <d v="2025-11-20T00:00:00"/>
    <d v="2026-02-10T00:00:00"/>
    <m/>
    <m/>
    <m/>
    <d v="2026-02-15T00:00:00"/>
    <s v="Unico"/>
    <s v="Contingencias"/>
    <s v="Contingencias"/>
    <x v="9"/>
    <s v="CIRCLES GROUP, S.A."/>
    <s v="Euros"/>
    <n v="-7208.04"/>
    <n v="-1310.56"/>
    <n v="-1310.56"/>
    <n v="0"/>
    <m/>
    <n v="0"/>
    <m/>
    <n v="0"/>
    <m/>
    <n v="0"/>
    <m/>
    <n v="0"/>
  </r>
  <r>
    <s v="ARAYTOR"/>
    <s v="B11459435"/>
    <s v="CE93026"/>
    <n v="32500"/>
    <s v="2601423"/>
    <s v="2026000500"/>
    <s v="Produccion"/>
    <s v="Correduría"/>
    <s v="Temporal"/>
    <s v="Cobrado"/>
    <x v="28"/>
    <d v="2026-01-02T00:00:00"/>
    <d v="2026-01-27T00:00:00"/>
    <m/>
    <m/>
    <m/>
    <d v="2026-02-03T00:00:00"/>
    <s v="Unico"/>
    <s v="Contingencias"/>
    <s v="Contingencias"/>
    <x v="9"/>
    <s v="CIRCLES GROUP, S.A."/>
    <s v="Euros"/>
    <n v="141.74"/>
    <n v="25.77"/>
    <n v="25.77"/>
    <n v="0"/>
    <m/>
    <n v="0"/>
    <m/>
    <n v="0"/>
    <m/>
    <n v="0"/>
    <m/>
    <n v="0"/>
  </r>
  <r>
    <s v="ARAYTOR"/>
    <s v="B19970474"/>
    <s v="CE93148"/>
    <n v="32564"/>
    <s v="2601422"/>
    <s v="2026000501"/>
    <s v="Produccion"/>
    <s v="Correduría"/>
    <s v="Temporal"/>
    <s v="Cobrado"/>
    <x v="28"/>
    <d v="2026-01-20T00:00:00"/>
    <d v="2026-01-27T00:00:00"/>
    <m/>
    <m/>
    <m/>
    <d v="2026-02-03T00:00:00"/>
    <s v="Unico"/>
    <s v="Contingencias"/>
    <s v="Contingencias"/>
    <x v="9"/>
    <s v="CIRCLES GROUP, S.A."/>
    <s v="Euros"/>
    <n v="3095.46"/>
    <n v="562.82000000000005"/>
    <n v="562.82000000000005"/>
    <n v="0"/>
    <m/>
    <n v="0"/>
    <m/>
    <n v="0"/>
    <m/>
    <n v="0"/>
    <m/>
    <n v="0"/>
  </r>
  <r>
    <s v="ARAYTOR"/>
    <s v="G72436231"/>
    <s v="CE93267"/>
    <n v="32565"/>
    <s v="2601223"/>
    <s v="2026000502"/>
    <s v="Produccion"/>
    <s v="Correduría"/>
    <s v="Temporal"/>
    <s v="Cobrado"/>
    <x v="28"/>
    <d v="2026-01-19T00:00:00"/>
    <d v="2026-01-20T00:00:00"/>
    <m/>
    <m/>
    <d v="2026-01-22T00:00:00"/>
    <d v="2026-02-03T00:00:00"/>
    <s v="Unico"/>
    <s v="Contingencias"/>
    <s v="Contingencias"/>
    <x v="9"/>
    <s v="CIRCLES GROUP, S.A."/>
    <s v="Euros"/>
    <n v="719.37"/>
    <n v="130.80000000000001"/>
    <n v="130.80000000000001"/>
    <n v="0"/>
    <m/>
    <n v="0"/>
    <s v="CONCENTRA (Lopez Torrijos)"/>
    <n v="71.94"/>
    <m/>
    <n v="0"/>
    <m/>
    <n v="0"/>
  </r>
  <r>
    <s v="ARAYTOR"/>
    <s v="B88262431"/>
    <s v="CE93320"/>
    <n v="32544"/>
    <s v="2601228"/>
    <s v="2026000503"/>
    <s v="Produccion"/>
    <s v="Correduría"/>
    <s v="Temporal"/>
    <s v="Cobrado"/>
    <x v="28"/>
    <d v="2026-01-15T00:00:00"/>
    <d v="2026-01-29T00:00:00"/>
    <m/>
    <m/>
    <m/>
    <m/>
    <s v="Unico"/>
    <s v="Contingencias"/>
    <s v="Contingencias"/>
    <x v="9"/>
    <s v="CIRCLES GROUP, S.A."/>
    <s v="Euros"/>
    <n v="-855.98"/>
    <n v="-155.63999999999999"/>
    <n v="-155.63999999999999"/>
    <n v="0"/>
    <m/>
    <n v="0"/>
    <m/>
    <n v="0"/>
    <m/>
    <n v="0"/>
    <m/>
    <n v="0"/>
  </r>
  <r>
    <s v="ARAYTOR"/>
    <s v="A58569815"/>
    <s v="CE92332-CE93401"/>
    <n v="32566"/>
    <s v="2601226"/>
    <s v="2026000504"/>
    <s v="Produccion"/>
    <s v="Correduría"/>
    <s v="Temporal"/>
    <s v="Cobrado"/>
    <x v="28"/>
    <d v="2026-01-19T00:00:00"/>
    <d v="2026-03-02T00:00:00"/>
    <m/>
    <m/>
    <m/>
    <m/>
    <s v="Unico"/>
    <s v="Contingencias"/>
    <s v="Contingencias"/>
    <x v="9"/>
    <s v="CIRCLES GROUP, S.A."/>
    <s v="Euros"/>
    <n v="874.93"/>
    <n v="159.08000000000001"/>
    <n v="159.08000000000001"/>
    <n v="0"/>
    <m/>
    <n v="0"/>
    <m/>
    <n v="0"/>
    <m/>
    <n v="0"/>
    <m/>
    <n v="0"/>
  </r>
  <r>
    <s v="ARAYTOR"/>
    <s v="A58569815"/>
    <s v="CE92332-CE93401"/>
    <n v="32566"/>
    <s v="2601227"/>
    <s v="2026000505"/>
    <s v="Produccion"/>
    <s v="Correduría"/>
    <s v="Temporal"/>
    <s v="Facturado"/>
    <x v="28"/>
    <d v="2026-01-19T00:00:00"/>
    <m/>
    <m/>
    <m/>
    <m/>
    <m/>
    <s v="Unico"/>
    <s v="Contingencias"/>
    <s v="Contingencias"/>
    <x v="9"/>
    <s v="CIRCLES GROUP, S.A."/>
    <s v="Euros"/>
    <n v="-174.99"/>
    <n v="-31.81"/>
    <n v="-31.81"/>
    <n v="0"/>
    <m/>
    <n v="0"/>
    <m/>
    <n v="0"/>
    <m/>
    <n v="0"/>
    <m/>
    <n v="0"/>
  </r>
  <r>
    <s v="ARAYTOR"/>
    <s v="A58569815"/>
    <s v="CE92332-CE93403"/>
    <n v="32567"/>
    <s v="2601232"/>
    <s v="2026000506"/>
    <s v="Produccion"/>
    <s v="Correduría"/>
    <s v="Temporal"/>
    <s v="Cobrado"/>
    <x v="28"/>
    <d v="2026-01-19T00:00:00"/>
    <d v="2026-03-02T00:00:00"/>
    <m/>
    <m/>
    <m/>
    <m/>
    <s v="Unico"/>
    <s v="Contingencias"/>
    <s v="Contingencias"/>
    <x v="9"/>
    <s v="CIRCLES GROUP, S.A."/>
    <s v="Euros"/>
    <n v="123.38"/>
    <n v="22.44"/>
    <n v="22.44"/>
    <n v="0"/>
    <m/>
    <n v="0"/>
    <m/>
    <n v="0"/>
    <m/>
    <n v="0"/>
    <m/>
    <n v="0"/>
  </r>
  <r>
    <s v="ARAYTOR"/>
    <s v="A58569815"/>
    <s v="CE92332-CE93403"/>
    <n v="32567"/>
    <s v="2601233"/>
    <s v="2026000507"/>
    <s v="Produccion"/>
    <s v="Correduría"/>
    <s v="Temporal"/>
    <s v="Facturado"/>
    <x v="28"/>
    <d v="2026-01-19T00:00:00"/>
    <m/>
    <m/>
    <m/>
    <m/>
    <m/>
    <s v="Unico"/>
    <s v="Contingencias"/>
    <s v="Contingencias"/>
    <x v="9"/>
    <s v="CIRCLES GROUP, S.A."/>
    <s v="Euros"/>
    <n v="-24.68"/>
    <n v="-4.49"/>
    <n v="-4.49"/>
    <n v="0"/>
    <m/>
    <n v="0"/>
    <m/>
    <n v="0"/>
    <m/>
    <n v="0"/>
    <m/>
    <n v="0"/>
  </r>
  <r>
    <s v="ARAYTOR"/>
    <s v="A58569815"/>
    <s v="CE92332-CE93405"/>
    <n v="32568"/>
    <s v="2601234"/>
    <s v="2026000508"/>
    <s v="Produccion"/>
    <s v="Correduría"/>
    <s v="Temporal"/>
    <s v="Cobrado"/>
    <x v="28"/>
    <d v="2026-01-19T00:00:00"/>
    <d v="2026-03-02T00:00:00"/>
    <m/>
    <m/>
    <m/>
    <m/>
    <s v="Unico"/>
    <s v="Contingencias"/>
    <s v="Contingencias"/>
    <x v="9"/>
    <s v="CIRCLES GROUP, S.A."/>
    <s v="Euros"/>
    <n v="141.04"/>
    <n v="25.64"/>
    <n v="25.64"/>
    <n v="0"/>
    <m/>
    <n v="0"/>
    <m/>
    <n v="0"/>
    <m/>
    <n v="0"/>
    <m/>
    <n v="0"/>
  </r>
  <r>
    <s v="ARAYTOR"/>
    <s v="A58569815"/>
    <s v="CE92332-CE93405"/>
    <n v="32568"/>
    <s v="2601235"/>
    <s v="2026000509"/>
    <s v="Produccion"/>
    <s v="Correduría"/>
    <s v="Temporal"/>
    <s v="Facturado"/>
    <x v="28"/>
    <d v="2026-01-19T00:00:00"/>
    <m/>
    <m/>
    <m/>
    <m/>
    <m/>
    <s v="Unico"/>
    <s v="Contingencias"/>
    <s v="Contingencias"/>
    <x v="9"/>
    <s v="CIRCLES GROUP, S.A."/>
    <s v="Euros"/>
    <n v="-28.2"/>
    <n v="-5.12"/>
    <n v="-5.12"/>
    <n v="0"/>
    <m/>
    <n v="0"/>
    <m/>
    <n v="0"/>
    <m/>
    <n v="0"/>
    <m/>
    <n v="0"/>
  </r>
  <r>
    <s v="ARAYTOR"/>
    <s v="B44685758"/>
    <s v="CE92332-CE93416"/>
    <n v="32569"/>
    <s v="2601363"/>
    <s v="2026000510"/>
    <s v="Produccion"/>
    <s v="Correduría"/>
    <s v="Temporal"/>
    <s v="Facturado"/>
    <x v="28"/>
    <d v="2026-01-19T00:00:00"/>
    <m/>
    <m/>
    <m/>
    <m/>
    <m/>
    <s v="Unico"/>
    <s v="Contingencias"/>
    <s v="Contingencias"/>
    <x v="9"/>
    <s v="CIRCLES GROUP, S.A."/>
    <s v="Euros"/>
    <n v="12084.65"/>
    <n v="2197.1999999999998"/>
    <n v="2197.1999999999998"/>
    <n v="0"/>
    <m/>
    <n v="0"/>
    <m/>
    <n v="0"/>
    <m/>
    <n v="0"/>
    <m/>
    <n v="0"/>
  </r>
  <r>
    <s v="ARAYTOR"/>
    <s v="B44685758"/>
    <s v="CE92332-CE93416"/>
    <n v="32569"/>
    <s v="2601364"/>
    <s v="2026000511"/>
    <s v="Produccion"/>
    <s v="Correduría"/>
    <s v="Temporal"/>
    <s v="Facturado"/>
    <x v="28"/>
    <d v="2026-01-19T00:00:00"/>
    <m/>
    <m/>
    <m/>
    <m/>
    <m/>
    <s v="Unico"/>
    <s v="Contingencias"/>
    <s v="Contingencias"/>
    <x v="9"/>
    <s v="CIRCLES GROUP, S.A."/>
    <s v="Euros"/>
    <n v="-2416.9699999999998"/>
    <n v="-439.44"/>
    <n v="-439.44"/>
    <n v="0"/>
    <m/>
    <n v="0"/>
    <m/>
    <n v="0"/>
    <m/>
    <n v="0"/>
    <m/>
    <n v="0"/>
  </r>
  <r>
    <s v="ARAYTOR"/>
    <s v="B64753791"/>
    <s v="023844167-00136"/>
    <n v="32570"/>
    <s v="879895526"/>
    <s v="2026000512"/>
    <s v="Produccion"/>
    <s v="Compañía"/>
    <s v="Renovable"/>
    <s v="Cobrado"/>
    <x v="28"/>
    <d v="2026-01-20T00:00:00"/>
    <d v="2026-01-20T00:00:00"/>
    <m/>
    <m/>
    <m/>
    <d v="2026-02-01T00:00:00"/>
    <s v="Semestral"/>
    <s v="1222 Autopgrup V.03 (Turismos)"/>
    <s v="Vehiculos"/>
    <x v="1"/>
    <s v="ALLIANZ"/>
    <s v="Euros"/>
    <n v="371"/>
    <n v="29.68"/>
    <n v="29.68"/>
    <n v="0"/>
    <m/>
    <n v="0"/>
    <m/>
    <n v="0"/>
    <m/>
    <n v="0"/>
    <m/>
    <n v="0"/>
  </r>
  <r>
    <s v="ARAYTOR"/>
    <s v="B64821754"/>
    <s v="8-5.217.689-D"/>
    <n v="20803"/>
    <s v="473883012-Q"/>
    <s v="2026000513"/>
    <s v="Cartera"/>
    <s v="Compañía"/>
    <s v="Renovable"/>
    <s v="Facturado"/>
    <x v="28"/>
    <d v="2026-03-08T00:00:00"/>
    <m/>
    <m/>
    <m/>
    <m/>
    <m/>
    <s v="Trimestral"/>
    <s v="01685 Hogar"/>
    <s v="Hogar"/>
    <x v="2"/>
    <s v="OCCIDENT GCO, S.A.U."/>
    <s v="Euros"/>
    <n v="243.67"/>
    <n v="46.39"/>
    <n v="46.39"/>
    <n v="0"/>
    <m/>
    <n v="0"/>
    <m/>
    <n v="0"/>
    <m/>
    <n v="0"/>
    <m/>
    <n v="0"/>
  </r>
  <r>
    <s v="ARAYTOR"/>
    <s v="40631902X"/>
    <s v="8-5.556.319-Q"/>
    <n v="14072"/>
    <s v="473885968-V"/>
    <s v="2026000514"/>
    <s v="Cartera"/>
    <s v="Correduría"/>
    <s v="Renovable"/>
    <s v="Cobrado"/>
    <x v="28"/>
    <d v="2026-03-01T00:00:00"/>
    <d v="2026-03-02T00:00:00"/>
    <m/>
    <m/>
    <m/>
    <m/>
    <s v="Anual"/>
    <s v="01685 Hogar"/>
    <s v="Hogar"/>
    <x v="2"/>
    <s v="OCCIDENT GCO, S.A.U."/>
    <s v="Euros"/>
    <n v="744.37"/>
    <n v="186.09"/>
    <n v="186.09"/>
    <n v="0"/>
    <m/>
    <n v="0"/>
    <m/>
    <n v="0"/>
    <m/>
    <n v="0"/>
    <m/>
    <n v="0"/>
  </r>
  <r>
    <s v="ARAYTOR"/>
    <s v="A59454272"/>
    <s v="8-5.630.694-G"/>
    <n v="14518"/>
    <s v="473886596-F"/>
    <s v="2026000515"/>
    <s v="Cartera"/>
    <s v="Correduría"/>
    <s v="Renovable"/>
    <s v="Facturado"/>
    <x v="28"/>
    <d v="2026-03-28T00:00:00"/>
    <m/>
    <m/>
    <m/>
    <m/>
    <m/>
    <s v="Anual"/>
    <s v="01685 Hogar"/>
    <s v="Hogar"/>
    <x v="2"/>
    <s v="OCCIDENT GCO, S.A.U."/>
    <s v="Euros"/>
    <n v="576.84"/>
    <n v="144.21"/>
    <n v="144.21"/>
    <n v="0"/>
    <m/>
    <n v="0"/>
    <s v="TON ABAD (ANTIC)"/>
    <n v="0"/>
    <m/>
    <n v="0"/>
    <m/>
    <n v="0"/>
  </r>
  <r>
    <s v="ARAYTOR"/>
    <s v="47732553D"/>
    <s v="8-6.217.869-C"/>
    <n v="17592"/>
    <s v="473921463-X"/>
    <s v="2026000516"/>
    <s v="Cartera"/>
    <s v="Correduría"/>
    <s v="Renovable"/>
    <s v="Cobrado"/>
    <x v="28"/>
    <d v="2026-03-01T00:00:00"/>
    <d v="2026-03-02T00:00:00"/>
    <m/>
    <m/>
    <m/>
    <m/>
    <s v="Anual"/>
    <s v="01685 Hogar"/>
    <s v="Hogar"/>
    <x v="2"/>
    <s v="OCCIDENT GCO, S.A.U."/>
    <s v="Euros"/>
    <n v="298.10000000000002"/>
    <n v="70.95"/>
    <n v="70.95"/>
    <n v="0"/>
    <m/>
    <n v="0"/>
    <m/>
    <n v="0"/>
    <m/>
    <n v="0"/>
    <m/>
    <n v="0"/>
  </r>
  <r>
    <s v="ARAYTOR"/>
    <s v="B62850953"/>
    <s v="8-6.478.553-B"/>
    <n v="19054"/>
    <s v="473930052-J"/>
    <s v="2026000517"/>
    <s v="Cartera"/>
    <s v="Correduría"/>
    <s v="Renovable"/>
    <s v="Cobrado"/>
    <x v="28"/>
    <d v="2026-03-01T00:00:00"/>
    <d v="2026-03-02T00:00:00"/>
    <m/>
    <m/>
    <m/>
    <m/>
    <s v="Anual"/>
    <s v="01685 Hogar"/>
    <s v="Hogar"/>
    <x v="2"/>
    <s v="OCCIDENT GCO, S.A.U."/>
    <s v="Euros"/>
    <n v="301.51"/>
    <n v="71.760000000000005"/>
    <n v="71.760000000000005"/>
    <n v="0"/>
    <m/>
    <n v="0"/>
    <m/>
    <n v="0"/>
    <m/>
    <n v="0"/>
    <m/>
    <n v="0"/>
  </r>
  <r>
    <s v="ARAYTOR"/>
    <s v="B62850953"/>
    <s v="8-6.478.554-N"/>
    <n v="19055"/>
    <s v="473930053-S"/>
    <s v="2026000518"/>
    <s v="Cartera"/>
    <s v="Correduría"/>
    <s v="Renovable"/>
    <s v="Cobrado"/>
    <x v="28"/>
    <d v="2026-03-01T00:00:00"/>
    <d v="2026-03-02T00:00:00"/>
    <m/>
    <m/>
    <m/>
    <m/>
    <s v="Anual"/>
    <s v="01685 Hogar"/>
    <s v="Hogar"/>
    <x v="2"/>
    <s v="OCCIDENT GCO, S.A.U."/>
    <s v="Euros"/>
    <n v="277.25"/>
    <n v="65.989999999999995"/>
    <n v="65.989999999999995"/>
    <n v="0"/>
    <m/>
    <n v="0"/>
    <m/>
    <n v="0"/>
    <m/>
    <n v="0"/>
    <m/>
    <n v="0"/>
  </r>
  <r>
    <s v="ARAYTOR"/>
    <s v="46107600Y"/>
    <s v="8-6.480.590-G"/>
    <n v="19063"/>
    <s v="473930800-N"/>
    <s v="2026000519"/>
    <s v="Cartera"/>
    <s v="Correduría"/>
    <s v="Renovable"/>
    <s v="Cobrado"/>
    <x v="28"/>
    <d v="2026-03-05T00:00:00"/>
    <d v="2026-03-05T00:00:00"/>
    <m/>
    <m/>
    <m/>
    <m/>
    <s v="Anual"/>
    <s v="01685 Hogar"/>
    <s v="Hogar"/>
    <x v="2"/>
    <s v="OCCIDENT GCO, S.A.U."/>
    <s v="Euros"/>
    <n v="244.54"/>
    <n v="58.2"/>
    <n v="58.2"/>
    <n v="0"/>
    <m/>
    <n v="0"/>
    <m/>
    <n v="0"/>
    <m/>
    <n v="0"/>
    <m/>
    <n v="0"/>
  </r>
  <r>
    <s v="ARAYTOR"/>
    <s v="36788406K"/>
    <s v="8-6.484.545-V"/>
    <n v="19120"/>
    <s v="473932101-B"/>
    <s v="2026000520"/>
    <s v="Cartera"/>
    <s v="Correduría"/>
    <s v="Renovable"/>
    <s v="Facturado"/>
    <x v="28"/>
    <d v="2026-03-13T00:00:00"/>
    <m/>
    <m/>
    <m/>
    <m/>
    <m/>
    <s v="Anual"/>
    <s v="01685 Hogar"/>
    <s v="Hogar"/>
    <x v="2"/>
    <s v="OCCIDENT GCO, S.A.U."/>
    <s v="Euros"/>
    <n v="457.78"/>
    <n v="108.95"/>
    <n v="108.95"/>
    <n v="0"/>
    <m/>
    <n v="0"/>
    <m/>
    <n v="0"/>
    <m/>
    <n v="0"/>
    <m/>
    <n v="0"/>
  </r>
  <r>
    <s v="ARAYTOR"/>
    <s v="47655265R"/>
    <s v="8-6.697.256-D"/>
    <n v="20157"/>
    <s v="473946519-A"/>
    <s v="2026000521"/>
    <s v="Cartera"/>
    <s v="Correduría"/>
    <s v="Renovable"/>
    <s v="Facturado"/>
    <x v="28"/>
    <d v="2026-03-27T00:00:00"/>
    <m/>
    <m/>
    <m/>
    <m/>
    <m/>
    <s v="Anual"/>
    <s v="01685 Hogar"/>
    <s v="Hogar"/>
    <x v="2"/>
    <s v="OCCIDENT GCO, S.A.U."/>
    <s v="Euros"/>
    <n v="387.68"/>
    <n v="92.27"/>
    <n v="92.27"/>
    <n v="0"/>
    <m/>
    <n v="0"/>
    <m/>
    <n v="0"/>
    <m/>
    <n v="0"/>
    <m/>
    <n v="0"/>
  </r>
  <r>
    <s v="ARAYTOR"/>
    <s v="36246925Y"/>
    <s v="8-6.876.823-A"/>
    <n v="22593"/>
    <s v="473949445-T"/>
    <s v="2026000522"/>
    <s v="Cartera"/>
    <s v="Correduría"/>
    <s v="Renovable"/>
    <s v="Facturado"/>
    <x v="28"/>
    <d v="2026-03-18T00:00:00"/>
    <m/>
    <m/>
    <m/>
    <m/>
    <m/>
    <s v="Anual"/>
    <s v="Multirriesgo Familia Hogar"/>
    <s v="Hogar"/>
    <x v="2"/>
    <s v="OCCIDENT GCO, S.A.U."/>
    <s v="Euros"/>
    <n v="310.67"/>
    <n v="77.67"/>
    <n v="77.67"/>
    <n v="0"/>
    <m/>
    <n v="0"/>
    <m/>
    <n v="0"/>
    <m/>
    <n v="0"/>
    <m/>
    <n v="0"/>
  </r>
  <r>
    <s v="ARAYTOR"/>
    <s v="47916594G"/>
    <s v="8-10.276.222-N"/>
    <n v="23274"/>
    <s v="473964220-X"/>
    <s v="2026000523"/>
    <s v="Cartera"/>
    <s v="Correduría"/>
    <s v="Renovable"/>
    <s v="Cobrado"/>
    <x v="28"/>
    <d v="2026-03-05T00:00:00"/>
    <d v="2026-03-05T00:00:00"/>
    <m/>
    <m/>
    <m/>
    <m/>
    <s v="Anual"/>
    <s v="Multirriesgo Familia Hogar"/>
    <s v="Hogar"/>
    <x v="2"/>
    <s v="OCCIDENT GCO, S.A.U."/>
    <s v="Euros"/>
    <n v="205.38"/>
    <n v="48.88"/>
    <n v="48.88"/>
    <n v="0"/>
    <m/>
    <n v="0"/>
    <m/>
    <n v="0"/>
    <m/>
    <n v="0"/>
    <m/>
    <n v="0"/>
  </r>
  <r>
    <s v="ARAYTOR"/>
    <s v="36970195H"/>
    <s v="8-10.500.831-F"/>
    <n v="24915"/>
    <s v="473982625-Q"/>
    <s v="2026000524"/>
    <s v="Cartera"/>
    <s v="Correduría"/>
    <s v="Renovable"/>
    <s v="Facturado"/>
    <x v="28"/>
    <d v="2026-03-28T00:00:00"/>
    <m/>
    <m/>
    <m/>
    <m/>
    <m/>
    <s v="Anual"/>
    <s v="01685 Hogar"/>
    <s v="Hogar"/>
    <x v="2"/>
    <s v="OCCIDENT GCO, S.A.U."/>
    <s v="Euros"/>
    <n v="806.72"/>
    <n v="192"/>
    <n v="192"/>
    <n v="0"/>
    <m/>
    <n v="0"/>
    <m/>
    <n v="0"/>
    <m/>
    <n v="0"/>
    <m/>
    <n v="0"/>
  </r>
  <r>
    <s v="ARAYTOR"/>
    <s v="20923958F"/>
    <s v="8-10.695.062-H"/>
    <n v="26126"/>
    <s v="474003613-V"/>
    <s v="2026000525"/>
    <s v="Cartera"/>
    <s v="Correduría"/>
    <s v="Renovable"/>
    <s v="Cobrado"/>
    <x v="29"/>
    <d v="2026-03-01T00:00:00"/>
    <d v="2026-03-02T00:00:00"/>
    <m/>
    <m/>
    <m/>
    <m/>
    <s v="Anual"/>
    <s v="01685 Hogar"/>
    <s v="Hogar"/>
    <x v="2"/>
    <s v="OCCIDENT GCO, S.A.U."/>
    <s v="Euros"/>
    <n v="134.58000000000001"/>
    <n v="32.03"/>
    <n v="32.03"/>
    <n v="0"/>
    <m/>
    <n v="0"/>
    <m/>
    <n v="0"/>
    <m/>
    <n v="0"/>
    <m/>
    <n v="0"/>
  </r>
  <r>
    <s v="ARAYTOR"/>
    <s v="44513632F"/>
    <s v="8-10.713.688-K"/>
    <n v="26290"/>
    <s v="474013115-W"/>
    <s v="2026000526"/>
    <s v="Cartera"/>
    <s v="Correduría"/>
    <s v="Renovable"/>
    <s v="Facturado"/>
    <x v="29"/>
    <d v="2026-03-29T00:00:00"/>
    <m/>
    <m/>
    <m/>
    <m/>
    <m/>
    <s v="Anual"/>
    <s v="01685 Hogar"/>
    <s v="Hogar"/>
    <x v="2"/>
    <s v="OCCIDENT GCO, S.A.U."/>
    <s v="Euros"/>
    <n v="252.65"/>
    <n v="60.13"/>
    <n v="60.13"/>
    <n v="0"/>
    <m/>
    <n v="0"/>
    <m/>
    <n v="0"/>
    <m/>
    <n v="0"/>
    <m/>
    <n v="0"/>
  </r>
  <r>
    <s v="ARAYTOR"/>
    <s v="B98166358"/>
    <s v="8-10.917.294-E"/>
    <n v="27992"/>
    <s v="474037290-N"/>
    <s v="2026000527"/>
    <s v="Cartera"/>
    <s v="Correduría"/>
    <s v="Renovable"/>
    <s v="Facturado"/>
    <x v="29"/>
    <d v="2026-03-21T00:00:00"/>
    <m/>
    <m/>
    <m/>
    <m/>
    <m/>
    <s v="Anual"/>
    <s v="01685 Hogar"/>
    <s v="Hogar"/>
    <x v="2"/>
    <s v="OCCIDENT GCO, S.A.U."/>
    <s v="Euros"/>
    <n v="241.8"/>
    <n v="60.45"/>
    <n v="60.45"/>
    <n v="0"/>
    <m/>
    <n v="0"/>
    <m/>
    <n v="0"/>
    <m/>
    <n v="0"/>
    <m/>
    <n v="0"/>
  </r>
  <r>
    <s v="ARAYTOR"/>
    <s v="37675471E"/>
    <s v="8-11.104.074-T"/>
    <n v="30568"/>
    <s v="474042504-C"/>
    <s v="2026000528"/>
    <s v="Cartera"/>
    <s v="Correduría"/>
    <s v="Renovable"/>
    <s v="Cobrado"/>
    <x v="29"/>
    <d v="2026-03-01T00:00:00"/>
    <d v="2026-03-02T00:00:00"/>
    <m/>
    <m/>
    <m/>
    <m/>
    <s v="Trimestral"/>
    <s v="01685 Hogar"/>
    <s v="Hogar"/>
    <x v="2"/>
    <s v="OCCIDENT GCO, S.A.U."/>
    <s v="Euros"/>
    <n v="75.930000000000007"/>
    <n v="18.98"/>
    <n v="18.98"/>
    <n v="0"/>
    <m/>
    <n v="0"/>
    <m/>
    <n v="0"/>
    <m/>
    <n v="0"/>
    <m/>
    <n v="0"/>
  </r>
  <r>
    <s v="ARAYTOR"/>
    <s v="37675471E"/>
    <s v="8-11.135.311-E"/>
    <n v="30844"/>
    <s v="474060132-P"/>
    <s v="2026000529"/>
    <s v="Cartera"/>
    <s v="Correduría"/>
    <s v="Renovable"/>
    <s v="Facturado"/>
    <x v="29"/>
    <d v="2026-03-31T00:00:00"/>
    <m/>
    <m/>
    <m/>
    <m/>
    <m/>
    <s v="Trimestral"/>
    <s v="01685 Hogar"/>
    <s v="Hogar"/>
    <x v="2"/>
    <s v="OCCIDENT GCO, S.A.U."/>
    <s v="Euros"/>
    <n v="81.58"/>
    <n v="20.399999999999999"/>
    <n v="20.399999999999999"/>
    <n v="0"/>
    <m/>
    <n v="0"/>
    <m/>
    <n v="0"/>
    <m/>
    <n v="0"/>
    <m/>
    <n v="0"/>
  </r>
  <r>
    <s v="ARAYTOR"/>
    <s v="B10785590"/>
    <s v="86/5049718"/>
    <n v="32571"/>
    <s v="264314396"/>
    <s v="2026000530"/>
    <s v="Produccion"/>
    <s v="Correduría"/>
    <s v="Renovable"/>
    <s v="Anulado"/>
    <x v="29"/>
    <d v="2026-01-21T00:00:00"/>
    <m/>
    <d v="2026-03-01T00:00:00"/>
    <d v="2026-01-26T00:00:00"/>
    <m/>
    <m/>
    <s v="Anual"/>
    <s v="0100 - Maxi Empresa"/>
    <s v="PYME"/>
    <x v="3"/>
    <s v="FIATC "/>
    <s v="Euros"/>
    <n v="2686.74"/>
    <n v="537.35"/>
    <n v="537.35"/>
    <n v="0"/>
    <m/>
    <n v="0"/>
    <m/>
    <n v="0"/>
    <m/>
    <n v="0"/>
    <m/>
    <n v="0"/>
  </r>
  <r>
    <s v="ARAYTOR"/>
    <s v="B09891748"/>
    <s v="RCEXP-CA17400"/>
    <n v="30606"/>
    <s v="2601562"/>
    <s v="2026000531"/>
    <s v="Produccion"/>
    <s v="Correduría"/>
    <s v="Temporal"/>
    <s v="Cobrado"/>
    <x v="29"/>
    <d v="2026-02-12T00:00:00"/>
    <d v="2026-01-23T00:00:00"/>
    <m/>
    <m/>
    <m/>
    <d v="2026-02-03T00:00:00"/>
    <s v="Unico"/>
    <s v="RC Empresa"/>
    <s v="RC Empresa"/>
    <x v="0"/>
    <s v="CIRCLES GROUP, S.A."/>
    <s v="Euros"/>
    <n v="1680.9"/>
    <n v="305.62"/>
    <n v="305.62"/>
    <n v="0"/>
    <m/>
    <n v="0"/>
    <m/>
    <n v="0"/>
    <m/>
    <n v="0"/>
    <m/>
    <n v="0"/>
  </r>
  <r>
    <s v="ARAYTOR"/>
    <s v="B78769916"/>
    <s v="CE91877"/>
    <n v="32060"/>
    <s v="2601474"/>
    <s v="2026000532"/>
    <s v="Produccion"/>
    <s v="Correduría"/>
    <s v="Temporal"/>
    <s v="Facturado"/>
    <x v="29"/>
    <d v="2025-10-13T00:00:00"/>
    <m/>
    <m/>
    <m/>
    <m/>
    <m/>
    <s v="Unico"/>
    <s v="Contingencias"/>
    <s v="Contingencias"/>
    <x v="9"/>
    <s v="CIRCLES GROUP, S.A."/>
    <s v="Euros"/>
    <n v="27687.37"/>
    <n v="5034.0600000000004"/>
    <n v="5034.0600000000004"/>
    <n v="0"/>
    <m/>
    <n v="0"/>
    <m/>
    <n v="0"/>
    <m/>
    <n v="0"/>
    <m/>
    <n v="0"/>
  </r>
  <r>
    <s v="ARAYTOR"/>
    <s v="B65199127"/>
    <s v="RCEXP-CA19201"/>
    <n v="32575"/>
    <s v="2601494"/>
    <s v="2026000533"/>
    <s v="Produccion"/>
    <s v="Correduría"/>
    <s v="Temporal"/>
    <s v="Cobrado"/>
    <x v="29"/>
    <d v="2026-01-26T00:00:00"/>
    <d v="2026-01-22T00:00:00"/>
    <m/>
    <m/>
    <m/>
    <d v="2026-02-03T00:00:00"/>
    <s v="Unico"/>
    <s v="RC Empresa"/>
    <s v="RC Empresa"/>
    <x v="0"/>
    <s v="CIRCLES GROUP, S.A."/>
    <s v="Euros"/>
    <n v="554.79"/>
    <n v="100.87"/>
    <n v="100.87"/>
    <n v="0"/>
    <m/>
    <n v="0"/>
    <m/>
    <n v="0"/>
    <m/>
    <n v="0"/>
    <m/>
    <n v="0"/>
  </r>
  <r>
    <s v="ARAYTOR"/>
    <s v="V09673997"/>
    <s v="CE93422"/>
    <n v="32576"/>
    <s v="2601369"/>
    <s v="2026000534"/>
    <s v="Produccion"/>
    <s v="Correduría"/>
    <s v="Temporal"/>
    <s v="Cobrado"/>
    <x v="29"/>
    <d v="2026-01-20T00:00:00"/>
    <d v="2026-01-28T00:00:00"/>
    <m/>
    <m/>
    <m/>
    <d v="2026-02-03T00:00:00"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99072399"/>
    <s v="CE93426"/>
    <n v="32577"/>
    <s v="2601550"/>
    <s v="2026000535"/>
    <s v="Produccion"/>
    <s v="Correduría"/>
    <s v="Temporal"/>
    <s v="Cobrado"/>
    <x v="29"/>
    <d v="2026-01-21T00:00:00"/>
    <d v="2026-01-26T00:00:00"/>
    <m/>
    <m/>
    <m/>
    <d v="2026-02-03T00:00:00"/>
    <s v="Unico"/>
    <s v="Contingencias"/>
    <s v="Contingencias"/>
    <x v="9"/>
    <s v="CIRCLES GROUP, S.A."/>
    <s v="Euros"/>
    <n v="1357.56"/>
    <n v="246.82"/>
    <n v="246.82"/>
    <n v="0"/>
    <m/>
    <n v="0"/>
    <m/>
    <n v="0"/>
    <m/>
    <n v="0"/>
    <m/>
    <n v="0"/>
  </r>
  <r>
    <s v="ARAYTOR"/>
    <s v="A60905486"/>
    <s v="CE93427"/>
    <n v="32578"/>
    <s v="2601424"/>
    <s v="2026000536"/>
    <s v="Produccion"/>
    <s v="Correduría"/>
    <s v="Temporal"/>
    <s v="Cobrado"/>
    <x v="29"/>
    <d v="2026-01-20T00:00:00"/>
    <d v="2026-01-23T00:00:00"/>
    <m/>
    <m/>
    <m/>
    <m/>
    <s v="Unico"/>
    <s v="Contingencias"/>
    <s v="Contingencias"/>
    <x v="9"/>
    <s v="CIRCLES GROUP, S.A."/>
    <s v="Euros"/>
    <n v="40489.18"/>
    <n v="7361.66"/>
    <n v="7361.66"/>
    <n v="0"/>
    <m/>
    <n v="0"/>
    <m/>
    <n v="0"/>
    <m/>
    <n v="0"/>
    <m/>
    <n v="0"/>
  </r>
  <r>
    <s v="ARAYTOR"/>
    <s v="A60905486"/>
    <s v="CE93427"/>
    <n v="32578"/>
    <s v="2601425"/>
    <s v="2026000537"/>
    <s v="Produccion"/>
    <s v="Correduría"/>
    <s v="Temporal"/>
    <s v="Facturado"/>
    <x v="29"/>
    <d v="2026-01-20T00:00:00"/>
    <m/>
    <m/>
    <m/>
    <m/>
    <m/>
    <s v="Unico"/>
    <s v="Contingencias"/>
    <s v="Contingencias"/>
    <x v="9"/>
    <s v="CIRCLES GROUP, S.A."/>
    <s v="Euros"/>
    <n v="-8097.97"/>
    <n v="-1472.36"/>
    <n v="-1472.36"/>
    <n v="0"/>
    <m/>
    <n v="0"/>
    <m/>
    <n v="0"/>
    <m/>
    <n v="0"/>
    <m/>
    <n v="0"/>
  </r>
  <r>
    <s v="ARAYTOR"/>
    <s v="A60905486"/>
    <s v="CE93428"/>
    <n v="32579"/>
    <s v="2601426"/>
    <s v="2026000538"/>
    <s v="Produccion"/>
    <s v="Correduría"/>
    <s v="Temporal"/>
    <s v="Cobrado"/>
    <x v="29"/>
    <d v="2026-01-20T00:00:00"/>
    <d v="2026-01-23T00:00:00"/>
    <m/>
    <m/>
    <m/>
    <m/>
    <s v="Unico"/>
    <s v="Contingencias"/>
    <s v="Contingencias"/>
    <x v="9"/>
    <s v="CIRCLES GROUP, S.A."/>
    <s v="Euros"/>
    <n v="64154.09"/>
    <n v="11664.38"/>
    <n v="11664.38"/>
    <n v="0"/>
    <m/>
    <n v="0"/>
    <m/>
    <n v="0"/>
    <m/>
    <n v="0"/>
    <m/>
    <n v="0"/>
  </r>
  <r>
    <s v="ARAYTOR"/>
    <s v="A60905486"/>
    <s v="CE93428"/>
    <n v="32579"/>
    <s v="2601427"/>
    <s v="2026000539"/>
    <s v="Produccion"/>
    <s v="Correduría"/>
    <s v="Temporal"/>
    <s v="Facturado"/>
    <x v="29"/>
    <d v="2026-01-20T00:00:00"/>
    <m/>
    <m/>
    <m/>
    <m/>
    <m/>
    <s v="Unico"/>
    <s v="Contingencias"/>
    <s v="Contingencias"/>
    <x v="9"/>
    <s v="CIRCLES GROUP, S.A."/>
    <s v="Euros"/>
    <n v="-12831.01"/>
    <n v="-2332.91"/>
    <n v="-2332.91"/>
    <n v="0"/>
    <m/>
    <n v="0"/>
    <m/>
    <n v="0"/>
    <m/>
    <n v="0"/>
    <m/>
    <n v="0"/>
  </r>
  <r>
    <s v="ARAYTOR"/>
    <s v="A60905486"/>
    <s v="CE93429"/>
    <n v="32580"/>
    <s v="2601475"/>
    <s v="2026000540"/>
    <s v="Produccion"/>
    <s v="Correduría"/>
    <s v="Temporal"/>
    <s v="Cobrado"/>
    <x v="29"/>
    <d v="2026-01-20T00:00:00"/>
    <d v="2026-01-23T00:00:00"/>
    <m/>
    <m/>
    <m/>
    <m/>
    <s v="Unico"/>
    <s v="Contingencias"/>
    <s v="Contingencias"/>
    <x v="9"/>
    <s v="CIRCLES GROUP, S.A."/>
    <s v="Euros"/>
    <n v="15930.68"/>
    <n v="2896.49"/>
    <n v="2896.49"/>
    <n v="0"/>
    <m/>
    <n v="0"/>
    <m/>
    <n v="0"/>
    <m/>
    <n v="0"/>
    <m/>
    <n v="0"/>
  </r>
  <r>
    <s v="ARAYTOR"/>
    <s v="A60905486"/>
    <s v="CE93429"/>
    <n v="32580"/>
    <s v="2601476"/>
    <s v="2026000541"/>
    <s v="Produccion"/>
    <s v="Correduría"/>
    <s v="Temporal"/>
    <s v="Facturado"/>
    <x v="29"/>
    <d v="2026-01-20T00:00:00"/>
    <m/>
    <m/>
    <m/>
    <m/>
    <m/>
    <s v="Unico"/>
    <s v="Contingencias"/>
    <s v="Contingencias"/>
    <x v="9"/>
    <s v="CIRCLES GROUP, S.A."/>
    <s v="Euros"/>
    <n v="-3186.19"/>
    <n v="-579.29999999999995"/>
    <n v="-579.29999999999995"/>
    <n v="0"/>
    <m/>
    <n v="0"/>
    <m/>
    <n v="0"/>
    <m/>
    <n v="0"/>
    <m/>
    <n v="0"/>
  </r>
  <r>
    <s v="ARAYTOR"/>
    <s v="B43313915"/>
    <s v="711056765"/>
    <n v="24781"/>
    <s v="462467544"/>
    <s v="2026000542"/>
    <s v="Cartera"/>
    <s v="Correduría"/>
    <s v="Renovable"/>
    <s v="Anulado"/>
    <x v="29"/>
    <d v="2026-01-01T00:00:00"/>
    <m/>
    <d v="2026-03-01T00:00:00"/>
    <d v="2026-02-13T00:00:00"/>
    <m/>
    <m/>
    <s v="Anual"/>
    <s v="Asistencia Vehiculos"/>
    <s v="Vehiculos"/>
    <x v="1"/>
    <s v="ARAG, S.E. Sucursal en España"/>
    <s v="Euros"/>
    <n v="18480.89"/>
    <n v="3696.18"/>
    <n v="3696.18"/>
    <n v="0"/>
    <m/>
    <n v="0"/>
    <m/>
    <n v="0"/>
    <m/>
    <n v="0"/>
    <m/>
    <n v="0"/>
  </r>
  <r>
    <s v="ARAYTOR"/>
    <s v="33900880F"/>
    <s v="058265879"/>
    <n v="32586"/>
    <s v="880144823"/>
    <s v="2026000543"/>
    <s v="Produccion"/>
    <s v="Compañía"/>
    <s v="Renovable"/>
    <s v="Cobrado"/>
    <x v="30"/>
    <d v="2026-01-22T00:00:00"/>
    <d v="2026-01-22T00:00:00"/>
    <m/>
    <m/>
    <m/>
    <d v="2026-02-01T00:00:00"/>
    <s v="Anual"/>
    <s v="1234 Allianz Moto V.03"/>
    <s v="Vehiculos"/>
    <x v="1"/>
    <s v="ALLIANZ"/>
    <s v="Euros"/>
    <n v="132.87"/>
    <n v="13.29"/>
    <n v="13.29"/>
    <n v="0"/>
    <m/>
    <n v="0"/>
    <m/>
    <n v="0"/>
    <m/>
    <n v="0"/>
    <m/>
    <n v="0"/>
  </r>
  <r>
    <s v="ARAYTOR"/>
    <s v="B64753791"/>
    <s v="044971069"/>
    <n v="19920"/>
    <s v="880086404"/>
    <s v="2026000544"/>
    <s v="Cartera"/>
    <s v="Compañía"/>
    <s v="Renovable"/>
    <s v="Cobrado"/>
    <x v="30"/>
    <d v="2026-01-17T00:00:00"/>
    <d v="2026-01-22T00:00:00"/>
    <m/>
    <m/>
    <m/>
    <d v="2026-02-01T00:00:00"/>
    <s v="Anual"/>
    <s v="2192 - VIDA GRUPOS T.REN"/>
    <s v="Vida Convenio"/>
    <x v="11"/>
    <s v="ALLIANZ"/>
    <s v="Euros"/>
    <n v="26.16"/>
    <n v="2.62"/>
    <n v="2.62"/>
    <n v="0"/>
    <m/>
    <n v="0"/>
    <m/>
    <n v="0"/>
    <m/>
    <n v="0"/>
    <m/>
    <n v="0"/>
  </r>
  <r>
    <s v="ARAYTOR"/>
    <s v="B65244212"/>
    <s v="20/9090160"/>
    <n v="32587"/>
    <s v="264317606"/>
    <s v="2026000545"/>
    <s v="Produccion"/>
    <s v="Correduría"/>
    <s v="Renovable"/>
    <s v="Cobrado"/>
    <x v="30"/>
    <d v="2026-03-01T00:00:00"/>
    <d v="2026-03-02T00:00:00"/>
    <m/>
    <m/>
    <m/>
    <m/>
    <s v="Anual"/>
    <s v="M - MAXI-AUTO"/>
    <s v="Vehiculos"/>
    <x v="1"/>
    <s v="FIATC "/>
    <s v="Euros"/>
    <n v="486.75"/>
    <n v="70.77"/>
    <n v="70.77"/>
    <n v="0"/>
    <m/>
    <n v="0"/>
    <m/>
    <n v="0"/>
    <m/>
    <n v="0"/>
    <m/>
    <n v="0"/>
  </r>
  <r>
    <s v="ARAYTOR"/>
    <s v="A58569815"/>
    <s v="CE87140-CE90685"/>
    <n v="31629"/>
    <s v="2601555"/>
    <s v="2026000546"/>
    <s v="Produccion"/>
    <s v="Correduría"/>
    <s v="Temporal"/>
    <s v="Cobrado"/>
    <x v="30"/>
    <d v="2025-07-17T00:00:00"/>
    <d v="2026-03-02T00:00:00"/>
    <m/>
    <m/>
    <m/>
    <m/>
    <s v="Unico"/>
    <s v="Contingencias"/>
    <s v="Contingencias"/>
    <x v="9"/>
    <s v="CIRCLES GROUP, S.A."/>
    <s v="Euros"/>
    <n v="1329.63"/>
    <n v="241.76"/>
    <n v="241.76"/>
    <n v="0"/>
    <m/>
    <n v="0"/>
    <m/>
    <n v="0"/>
    <m/>
    <n v="0"/>
    <m/>
    <n v="0"/>
  </r>
  <r>
    <s v="ARAYTOR"/>
    <s v="A58569815"/>
    <s v="CE87140-CE90685"/>
    <n v="31629"/>
    <s v="2601557"/>
    <s v="2026000547"/>
    <s v="Produccion"/>
    <s v="Correduría"/>
    <s v="Temporal"/>
    <s v="Facturado"/>
    <x v="30"/>
    <d v="2025-07-17T00:00:00"/>
    <m/>
    <m/>
    <m/>
    <m/>
    <m/>
    <s v="Unico"/>
    <s v="Contingencias"/>
    <s v="Contingencias"/>
    <x v="9"/>
    <s v="CIRCLES GROUP, S.A."/>
    <s v="Euros"/>
    <n v="-265.94"/>
    <n v="-48.36"/>
    <n v="-48.36"/>
    <n v="0"/>
    <m/>
    <n v="0"/>
    <m/>
    <n v="0"/>
    <m/>
    <n v="0"/>
    <m/>
    <n v="0"/>
  </r>
  <r>
    <s v="ARAYTOR"/>
    <s v="B21836283"/>
    <s v="CE93308"/>
    <n v="32550"/>
    <s v="2601551"/>
    <s v="2026000548"/>
    <s v="Produccion"/>
    <s v="Correduría"/>
    <s v="Temporal"/>
    <s v="Cobrado"/>
    <x v="30"/>
    <d v="2026-01-13T00:00:00"/>
    <d v="2026-01-29T00:00:00"/>
    <m/>
    <m/>
    <m/>
    <d v="2026-02-15T00:00:00"/>
    <s v="Unico"/>
    <s v="Contingencias"/>
    <s v="Contingencias"/>
    <x v="9"/>
    <s v="CIRCLES GROUP, S.A."/>
    <s v="Euros"/>
    <n v="-7198.34"/>
    <n v="-1308.79"/>
    <n v="-1308.79"/>
    <n v="0"/>
    <m/>
    <n v="0"/>
    <m/>
    <n v="0"/>
    <m/>
    <n v="0"/>
    <m/>
    <n v="0"/>
  </r>
  <r>
    <s v="ARAYTOR"/>
    <s v="B88262431"/>
    <s v="CE92619"/>
    <n v="32517"/>
    <s v="2601548"/>
    <s v="2026000549"/>
    <s v="Produccion"/>
    <s v="Correduría"/>
    <s v="Temporal"/>
    <s v="Cobrado"/>
    <x v="30"/>
    <d v="2026-01-02T00:00:00"/>
    <d v="2026-01-29T00:00:00"/>
    <m/>
    <m/>
    <m/>
    <d v="2026-02-15T00:00:00"/>
    <s v="Unico"/>
    <s v="Contingencias"/>
    <s v="Contingencias"/>
    <x v="9"/>
    <s v="CIRCLES GROUP, S.A."/>
    <s v="Euros"/>
    <n v="-3873.93"/>
    <n v="-704.36"/>
    <n v="-704.36"/>
    <n v="0"/>
    <m/>
    <n v="0"/>
    <m/>
    <n v="0"/>
    <m/>
    <n v="0"/>
    <m/>
    <n v="0"/>
  </r>
  <r>
    <s v="ARAYTOR"/>
    <s v="B16580656"/>
    <s v="CE92928"/>
    <n v="32572"/>
    <s v="2601553"/>
    <s v="2026000550"/>
    <s v="Produccion"/>
    <s v="Correduría"/>
    <s v="Temporal"/>
    <s v="Cobrado"/>
    <x v="30"/>
    <d v="2026-01-21T00:00:00"/>
    <d v="2026-01-29T00:00:00"/>
    <m/>
    <m/>
    <m/>
    <m/>
    <s v="Unico"/>
    <s v="Contingencias"/>
    <s v="Contingencias"/>
    <x v="9"/>
    <s v="CIRCLES GROUP, S.A."/>
    <s v="Euros"/>
    <n v="2644.82"/>
    <n v="480.87"/>
    <n v="480.87"/>
    <n v="0"/>
    <m/>
    <n v="0"/>
    <m/>
    <n v="0"/>
    <m/>
    <n v="0"/>
    <m/>
    <n v="0"/>
  </r>
  <r>
    <s v="ARAYTOR"/>
    <s v="B16580656"/>
    <s v="CE92928"/>
    <n v="32572"/>
    <s v="2601667"/>
    <s v="2026000551"/>
    <s v="Produccion"/>
    <s v="Correduría"/>
    <s v="Temporal"/>
    <s v="Facturado"/>
    <x v="30"/>
    <d v="2026-01-21T00:00:00"/>
    <m/>
    <m/>
    <m/>
    <m/>
    <m/>
    <s v="Unico"/>
    <s v="Contingencias"/>
    <s v="Contingencias"/>
    <x v="9"/>
    <s v="CIRCLES GROUP, S.A."/>
    <s v="Euros"/>
    <n v="10579.29"/>
    <n v="1923.51"/>
    <n v="1923.51"/>
    <n v="0"/>
    <m/>
    <n v="0"/>
    <m/>
    <n v="0"/>
    <m/>
    <n v="0"/>
    <m/>
    <n v="0"/>
  </r>
  <r>
    <s v="ARAYTOR"/>
    <s v="29162607-X"/>
    <s v="RCEXP-CA19206"/>
    <n v="32573"/>
    <s v="2601586"/>
    <s v="2026000552"/>
    <s v="Produccion"/>
    <s v="Correduría"/>
    <s v="Temporal"/>
    <s v="Cobrado"/>
    <x v="30"/>
    <d v="2026-02-20T00:00:00"/>
    <d v="2026-02-20T00:00:00"/>
    <m/>
    <m/>
    <d v="2026-03-01T00:00:00"/>
    <m/>
    <s v="Unico"/>
    <s v="RC Empresa"/>
    <s v="RC Empresa"/>
    <x v="0"/>
    <s v="CIRCLES GROUP, S.A."/>
    <s v="Euros"/>
    <n v="693.48"/>
    <n v="126.08"/>
    <n v="126.08"/>
    <n v="0"/>
    <m/>
    <n v="0"/>
    <s v="HERRERA Y ASO.TEC. Y ASE. EN SEGU, S.L."/>
    <n v="69.349999999999994"/>
    <m/>
    <n v="0"/>
    <m/>
    <n v="0"/>
  </r>
  <r>
    <s v="ARAYTOR"/>
    <s v="N0171460I"/>
    <s v="RCEXP-CA19204"/>
    <n v="32574"/>
    <s v="2601561"/>
    <s v="2026000553"/>
    <s v="Produccion"/>
    <s v="Correduría"/>
    <s v="Temporal"/>
    <s v="Cobrado"/>
    <x v="30"/>
    <d v="2026-02-02T00:00:00"/>
    <d v="2026-01-22T00:00:00"/>
    <m/>
    <m/>
    <m/>
    <d v="2026-02-03T00:00:00"/>
    <s v="Unico"/>
    <s v="RC Empresa"/>
    <s v="RC Empresa"/>
    <x v="0"/>
    <s v="CIRCLES GROUP, S.A."/>
    <s v="Euros"/>
    <n v="554.79"/>
    <n v="100.87"/>
    <n v="100.87"/>
    <n v="0"/>
    <m/>
    <n v="0"/>
    <m/>
    <n v="0"/>
    <m/>
    <n v="0"/>
    <m/>
    <n v="0"/>
  </r>
  <r>
    <s v="ARAYTOR"/>
    <s v="B88262431"/>
    <s v="CE93461"/>
    <n v="32581"/>
    <s v="2601590"/>
    <s v="2026000554"/>
    <s v="Produccion"/>
    <s v="Correduría"/>
    <s v="Temporal"/>
    <s v="Cobrado"/>
    <x v="30"/>
    <d v="2026-01-21T00:00:00"/>
    <d v="2026-01-29T00:00:00"/>
    <m/>
    <m/>
    <m/>
    <m/>
    <s v="Unico"/>
    <s v="Contingencias"/>
    <s v="Contingencias"/>
    <x v="9"/>
    <s v="CIRCLES GROUP, S.A."/>
    <s v="Euros"/>
    <n v="6967.18"/>
    <n v="1266.76"/>
    <n v="1266.76"/>
    <n v="0"/>
    <m/>
    <n v="0"/>
    <m/>
    <n v="0"/>
    <m/>
    <n v="0"/>
    <m/>
    <n v="0"/>
  </r>
  <r>
    <s v="ARAYTOR"/>
    <s v="H06407746"/>
    <s v="119683152"/>
    <n v="1670"/>
    <s v="462941081"/>
    <s v="2026000555"/>
    <s v="Cartera"/>
    <s v="Correduría"/>
    <s v="Renovable"/>
    <s v="Facturado"/>
    <x v="31"/>
    <d v="2026-03-24T00:00:00"/>
    <m/>
    <m/>
    <m/>
    <m/>
    <m/>
    <s v="Anual"/>
    <s v="Defensa Juridica Comunidad de Propietari"/>
    <s v="Defensa Juridica Comunidades"/>
    <x v="7"/>
    <s v="ARAG, S.E. Sucursal en España"/>
    <s v="Euros"/>
    <n v="537.45000000000005"/>
    <n v="107.49"/>
    <n v="107.49"/>
    <n v="0"/>
    <m/>
    <n v="0"/>
    <s v="Joan Bou Jovè"/>
    <n v="64.489999999999995"/>
    <m/>
    <n v="0"/>
    <m/>
    <n v="0"/>
  </r>
  <r>
    <s v="ARAYTOR"/>
    <s v="37283160E"/>
    <s v="058272293"/>
    <n v="32588"/>
    <s v="880262674"/>
    <s v="2026000556"/>
    <s v="Produccion"/>
    <s v="Compañía"/>
    <s v="Renovable"/>
    <s v="Cobrado"/>
    <x v="31"/>
    <d v="2026-01-23T00:00:00"/>
    <d v="2026-01-23T00:00:00"/>
    <m/>
    <m/>
    <m/>
    <d v="2026-02-01T00:00:00"/>
    <s v="Anual"/>
    <s v="1231 Allianz VH.Com.V.03 (2ª Categ.)"/>
    <s v="Vehiculos"/>
    <x v="1"/>
    <s v="ALLIANZ"/>
    <s v="Euros"/>
    <n v="1971.55"/>
    <n v="157.72"/>
    <n v="157.72"/>
    <n v="0"/>
    <m/>
    <n v="0"/>
    <m/>
    <n v="0"/>
    <m/>
    <n v="0"/>
    <m/>
    <n v="0"/>
  </r>
  <r>
    <s v="ARAYTOR"/>
    <s v="46202369S"/>
    <s v="048617586"/>
    <n v="23325"/>
    <s v="590296293"/>
    <s v="2026000557"/>
    <s v="Cartera"/>
    <s v="Compañía"/>
    <s v="Renovable"/>
    <s v="Facturado"/>
    <x v="31"/>
    <d v="2026-04-01T00:00:00"/>
    <m/>
    <m/>
    <m/>
    <m/>
    <m/>
    <s v="Anual"/>
    <s v="1285 Allianz Auto Plus TR"/>
    <s v="Vehiculos"/>
    <x v="1"/>
    <s v="ALLIANZ"/>
    <s v="Euros"/>
    <n v="637.78"/>
    <n v="70.16"/>
    <n v="70.16"/>
    <n v="0"/>
    <m/>
    <n v="0"/>
    <m/>
    <n v="0"/>
    <m/>
    <n v="0"/>
    <m/>
    <n v="0"/>
  </r>
  <r>
    <s v="ARAYTOR"/>
    <s v="46327330V"/>
    <s v="049189927"/>
    <n v="23691"/>
    <s v="590369389"/>
    <s v="2026000558"/>
    <s v="Cartera"/>
    <s v="Compañía"/>
    <s v="Renovable"/>
    <s v="Facturado"/>
    <x v="31"/>
    <d v="2026-04-01T00:00:00"/>
    <m/>
    <m/>
    <m/>
    <m/>
    <m/>
    <s v="Cuatrimestral"/>
    <s v="1260 Furgoneta Robo, Incendio"/>
    <s v="Vehiculos"/>
    <x v="1"/>
    <s v="ALLIANZ"/>
    <s v="Euros"/>
    <n v="271.61"/>
    <n v="29.88"/>
    <n v="29.88"/>
    <n v="0"/>
    <m/>
    <n v="0"/>
    <m/>
    <n v="0"/>
    <m/>
    <n v="0"/>
    <m/>
    <n v="0"/>
  </r>
  <r>
    <s v="ARAYTOR"/>
    <s v="B08451536"/>
    <s v="050058772"/>
    <n v="24886"/>
    <s v="590449447"/>
    <s v="2026000559"/>
    <s v="Cartera"/>
    <s v="Compañía"/>
    <s v="Renovable"/>
    <s v="Anulado"/>
    <x v="31"/>
    <d v="2026-04-01T00:00:00"/>
    <m/>
    <m/>
    <d v="2026-02-17T00:00:00"/>
    <m/>
    <m/>
    <s v="Anual"/>
    <s v="1255 ALLIANZ AUTO TODO RIESGO"/>
    <s v="Vehiculos"/>
    <x v="1"/>
    <s v="ALLIANZ"/>
    <s v="Euros"/>
    <n v="826.59"/>
    <n v="90.93"/>
    <n v="90.93"/>
    <n v="0"/>
    <m/>
    <n v="0"/>
    <m/>
    <n v="0"/>
    <m/>
    <n v="0"/>
    <m/>
    <n v="0"/>
  </r>
  <r>
    <s v="ARAYTOR"/>
    <s v="B54005228"/>
    <s v="053621696"/>
    <n v="26345"/>
    <s v="590834747"/>
    <s v="2026000560"/>
    <s v="Cartera"/>
    <s v="Compañía"/>
    <s v="Renovable"/>
    <s v="Facturado"/>
    <x v="31"/>
    <d v="2026-04-01T00:00:00"/>
    <m/>
    <m/>
    <m/>
    <m/>
    <m/>
    <s v="Anual"/>
    <s v="Multirriesgo Empresarial"/>
    <s v="PYME"/>
    <x v="3"/>
    <s v="ALLIANZ"/>
    <s v="Euros"/>
    <n v="644.02"/>
    <n v="128.80000000000001"/>
    <n v="128.80000000000001"/>
    <n v="0"/>
    <m/>
    <n v="0"/>
    <m/>
    <n v="0"/>
    <m/>
    <n v="0"/>
    <m/>
    <n v="0"/>
  </r>
  <r>
    <s v="ARAYTOR"/>
    <s v="B54005228"/>
    <s v="055222510"/>
    <n v="28009"/>
    <s v="591206010"/>
    <s v="2026000561"/>
    <s v="Cartera"/>
    <s v="Compañía"/>
    <s v="Renovable"/>
    <s v="Facturado"/>
    <x v="31"/>
    <d v="2026-04-01T00:00:00"/>
    <m/>
    <m/>
    <m/>
    <m/>
    <m/>
    <s v="Anual"/>
    <s v="2064 - Allianz Pyme Comercio Comercio"/>
    <s v="Comercio"/>
    <x v="3"/>
    <s v="ALLIANZ"/>
    <s v="Euros"/>
    <n v="1048.58"/>
    <n v="209.72"/>
    <n v="209.72"/>
    <n v="0"/>
    <m/>
    <n v="0"/>
    <m/>
    <n v="0"/>
    <m/>
    <n v="0"/>
    <m/>
    <n v="0"/>
  </r>
  <r>
    <s v="ARAYTOR"/>
    <s v="B54005228"/>
    <s v="055306754"/>
    <n v="28072"/>
    <s v="591415108"/>
    <s v="2026000562"/>
    <s v="Cartera"/>
    <s v="Compañía"/>
    <s v="Renovable"/>
    <s v="Facturado"/>
    <x v="31"/>
    <d v="2026-04-01T00:00:00"/>
    <m/>
    <m/>
    <m/>
    <m/>
    <m/>
    <s v="Anual"/>
    <s v="Multirriesgo Empresarial"/>
    <s v="PYME"/>
    <x v="3"/>
    <s v="ALLIANZ"/>
    <s v="Euros"/>
    <n v="1015.56"/>
    <n v="203.11"/>
    <n v="203.11"/>
    <n v="0"/>
    <m/>
    <n v="0"/>
    <m/>
    <n v="0"/>
    <m/>
    <n v="0"/>
    <m/>
    <n v="0"/>
  </r>
  <r>
    <s v="ARAYTOR"/>
    <s v="46231593Y"/>
    <s v="057068162"/>
    <n v="31023"/>
    <s v="592231231"/>
    <s v="2026000563"/>
    <s v="Cartera"/>
    <s v="Compañía"/>
    <s v="Renovable"/>
    <s v="Facturado"/>
    <x v="31"/>
    <d v="2026-04-01T00:00:00"/>
    <m/>
    <m/>
    <m/>
    <m/>
    <m/>
    <s v="Anual"/>
    <s v="1285 Allianz Auto Plus TR"/>
    <s v="Vehiculos"/>
    <x v="1"/>
    <s v="ALLIANZ"/>
    <s v="Euros"/>
    <n v="674.33"/>
    <n v="60.69"/>
    <n v="60.69"/>
    <n v="0"/>
    <m/>
    <n v="0"/>
    <m/>
    <n v="0"/>
    <m/>
    <n v="0"/>
    <m/>
    <n v="0"/>
  </r>
  <r>
    <s v="ARAYTOR"/>
    <s v="37666201K"/>
    <s v="021924365"/>
    <n v="2581"/>
    <s v="592319325"/>
    <s v="2026000564"/>
    <s v="Cartera"/>
    <s v="Correduría"/>
    <s v="Renovable"/>
    <s v="Facturado"/>
    <x v="31"/>
    <d v="2026-04-01T00:00:00"/>
    <m/>
    <m/>
    <m/>
    <m/>
    <m/>
    <s v="Anual"/>
    <s v="1224 - Autogrup V.03 (Moto)"/>
    <s v="Motocicletas"/>
    <x v="1"/>
    <s v="ALLIANZ"/>
    <s v="Euros"/>
    <n v="205.81"/>
    <n v="26.76"/>
    <n v="26.76"/>
    <n v="0"/>
    <m/>
    <n v="0"/>
    <m/>
    <n v="0"/>
    <m/>
    <n v="0"/>
    <m/>
    <n v="0"/>
  </r>
  <r>
    <s v="ARAYTOR"/>
    <s v="46121096R"/>
    <s v="057043346"/>
    <n v="31009"/>
    <s v="593236197"/>
    <s v="2026000565"/>
    <s v="Cartera"/>
    <s v="Compañía"/>
    <s v="Renovable"/>
    <s v="Facturado"/>
    <x v="31"/>
    <d v="2026-04-01T00:00:00"/>
    <m/>
    <m/>
    <m/>
    <m/>
    <m/>
    <s v="Anual"/>
    <s v="1234 Allianz Moto V.03"/>
    <s v="Vehiculos"/>
    <x v="1"/>
    <s v="ALLIANZ"/>
    <s v="Euros"/>
    <n v="118.65"/>
    <n v="14.24"/>
    <n v="14.24"/>
    <n v="0"/>
    <m/>
    <n v="0"/>
    <m/>
    <n v="0"/>
    <m/>
    <n v="0"/>
    <m/>
    <n v="0"/>
  </r>
  <r>
    <s v="ARAYTOR"/>
    <s v="B60448487"/>
    <s v="042743768"/>
    <n v="18922"/>
    <s v="593588795"/>
    <s v="2026000566"/>
    <s v="Cartera"/>
    <s v="Correduría"/>
    <s v="Renovable"/>
    <s v="Facturado"/>
    <x v="31"/>
    <d v="2026-04-01T00:00:00"/>
    <m/>
    <m/>
    <m/>
    <m/>
    <m/>
    <s v="Trimestral"/>
    <s v="375 - Responsabilidades Maritimas"/>
    <s v="RC Operador"/>
    <x v="0"/>
    <s v="ALLIANZ"/>
    <s v="Euros"/>
    <n v="3137.5"/>
    <n v="392.19"/>
    <n v="392.19"/>
    <n v="0"/>
    <m/>
    <n v="0"/>
    <m/>
    <n v="0"/>
    <m/>
    <n v="0"/>
    <m/>
    <n v="0"/>
  </r>
  <r>
    <s v="ARAYTOR"/>
    <s v="B50717750"/>
    <s v="043231983"/>
    <n v="19143"/>
    <s v="593594934"/>
    <s v="2026000567"/>
    <s v="Cartera"/>
    <s v="Correduría"/>
    <s v="Renovable"/>
    <s v="Cobrado"/>
    <x v="31"/>
    <d v="2026-04-01T00:00:00"/>
    <d v="2026-04-01T00:00:00"/>
    <m/>
    <m/>
    <m/>
    <m/>
    <s v="Anual"/>
    <s v="156 Accidentes Convenio"/>
    <s v="Accidentes"/>
    <x v="4"/>
    <s v="ALLIANZ"/>
    <s v="Euros"/>
    <n v="284.58"/>
    <n v="56.92"/>
    <n v="56.92"/>
    <n v="0"/>
    <m/>
    <n v="0"/>
    <m/>
    <n v="0"/>
    <m/>
    <n v="0"/>
    <m/>
    <n v="0"/>
  </r>
  <r>
    <s v="ARAYTOR"/>
    <s v="B06592133"/>
    <s v="056953763"/>
    <n v="30898"/>
    <s v="593925567"/>
    <s v="2026000568"/>
    <s v="Cartera"/>
    <s v="Correduría"/>
    <s v="Renovable"/>
    <s v="Facturado"/>
    <x v="31"/>
    <d v="2026-04-01T00:00:00"/>
    <m/>
    <m/>
    <m/>
    <m/>
    <m/>
    <s v="Anual"/>
    <s v="136  - Accidentes Convenio PYME"/>
    <s v="Accidentes Colectivo"/>
    <x v="10"/>
    <s v="ALLIANZ"/>
    <s v="Euros"/>
    <n v="589.33000000000004"/>
    <n v="117.87"/>
    <n v="117.87"/>
    <n v="0"/>
    <m/>
    <n v="0"/>
    <m/>
    <n v="0"/>
    <m/>
    <n v="0"/>
    <m/>
    <n v="0"/>
  </r>
  <r>
    <s v="ARAYTOR"/>
    <s v="79290605Z"/>
    <s v="047502795"/>
    <n v="22966"/>
    <s v="592668705"/>
    <s v="2026000569"/>
    <s v="Cartera"/>
    <s v="Compañía"/>
    <s v="Renovable"/>
    <s v="Facturado"/>
    <x v="31"/>
    <d v="2026-04-01T00:00:00"/>
    <m/>
    <m/>
    <m/>
    <m/>
    <m/>
    <s v="Trimestral"/>
    <s v="1231 Allianz VH.Com.V.03 (2ª Categ.)"/>
    <s v="Vehiculos"/>
    <x v="1"/>
    <s v="ALLIANZ"/>
    <s v="Euros"/>
    <n v="268.56"/>
    <n v="21.48"/>
    <n v="21.48"/>
    <n v="0"/>
    <m/>
    <n v="0"/>
    <m/>
    <n v="0"/>
    <m/>
    <n v="0"/>
    <m/>
    <n v="0"/>
  </r>
  <r>
    <s v="ARAYTOR"/>
    <s v="B60448487"/>
    <s v="034923901"/>
    <n v="14726"/>
    <s v="593476397"/>
    <s v="2026000570"/>
    <s v="Cartera"/>
    <s v="Correduría"/>
    <s v="Renovable"/>
    <s v="Facturado"/>
    <x v="31"/>
    <d v="2026-04-01T00:00:00"/>
    <m/>
    <m/>
    <m/>
    <m/>
    <m/>
    <s v="Trimestral"/>
    <s v="2028 Multirriesgo Empresarial"/>
    <s v="PYME"/>
    <x v="3"/>
    <s v="ALLIANZ"/>
    <s v="Euros"/>
    <n v="2876.51"/>
    <n v="575.29999999999995"/>
    <n v="575.29999999999995"/>
    <n v="0"/>
    <m/>
    <n v="0"/>
    <m/>
    <n v="0"/>
    <m/>
    <n v="0"/>
    <m/>
    <n v="0"/>
  </r>
  <r>
    <s v="ARAYTOR"/>
    <s v="V56146996"/>
    <s v="30/1113710"/>
    <n v="32589"/>
    <s v="264318796"/>
    <s v="2026000571"/>
    <s v="Produccion"/>
    <s v="Compañía"/>
    <s v="Temporal"/>
    <s v="Cobrado"/>
    <x v="31"/>
    <d v="2026-01-25T00:00:00"/>
    <d v="2026-01-29T00:00:00"/>
    <m/>
    <m/>
    <m/>
    <d v="2026-02-03T00:00:00"/>
    <s v="Unico"/>
    <s v="30 Accidentes "/>
    <s v="Accidentes Colectivo"/>
    <x v="10"/>
    <s v="FIATC "/>
    <s v="Euros"/>
    <n v="81.150000000000006"/>
    <n v="16.23"/>
    <n v="16.23"/>
    <n v="0"/>
    <m/>
    <n v="0"/>
    <m/>
    <n v="0"/>
    <m/>
    <n v="0"/>
    <m/>
    <n v="0"/>
  </r>
  <r>
    <s v="ARAYTOR"/>
    <s v="B16918211"/>
    <s v="8-10.896.139-P"/>
    <n v="27798"/>
    <s v="474095206-F"/>
    <s v="2026000573"/>
    <s v="Cartera"/>
    <s v="Correduría"/>
    <s v="Renovable"/>
    <s v="Cobrado"/>
    <x v="31"/>
    <d v="2026-02-18T00:00:00"/>
    <d v="2026-02-18T00:00:00"/>
    <m/>
    <m/>
    <m/>
    <d v="2026-03-01T00:00:00"/>
    <s v="Anual"/>
    <s v="01242 - RC comercio, cultura, ocio"/>
    <s v="RC General"/>
    <x v="0"/>
    <s v="OCCIDENT GCO, S.A.U."/>
    <s v="Euros"/>
    <n v="954"/>
    <n v="143.1"/>
    <n v="143.1"/>
    <n v="0"/>
    <m/>
    <n v="0"/>
    <m/>
    <n v="0"/>
    <m/>
    <n v="0"/>
    <m/>
    <n v="0"/>
  </r>
  <r>
    <s v="ARAYTOR"/>
    <s v="B64753791"/>
    <s v="550468692"/>
    <n v="13069"/>
    <s v="462519950"/>
    <s v="2026000574"/>
    <s v="Ajustes"/>
    <s v="Correduría"/>
    <s v="Renovable"/>
    <s v="Anulado"/>
    <x v="32"/>
    <d v="2026-01-19T00:00:00"/>
    <m/>
    <d v="2026-03-01T00:00:00"/>
    <d v="2026-01-28T00:00:00"/>
    <m/>
    <m/>
    <s v="Anual"/>
    <s v="Arag Subsidio"/>
    <s v="Subsidio Carnet Puntos"/>
    <x v="3"/>
    <s v="ARAG, S.E. Sucursal en España"/>
    <s v="Euros"/>
    <n v="-63.77"/>
    <n v="-12.75"/>
    <n v="-12.75"/>
    <n v="0"/>
    <m/>
    <n v="0"/>
    <m/>
    <n v="0"/>
    <m/>
    <n v="0"/>
    <m/>
    <n v="0"/>
  </r>
  <r>
    <s v="ARAYTOR"/>
    <s v="Q2878017I"/>
    <s v="CE92613"/>
    <n v="32498"/>
    <s v="2600081"/>
    <s v="2026000575"/>
    <s v="Produccion"/>
    <s v="Correduría"/>
    <s v="Temporal"/>
    <s v="Cobrado"/>
    <x v="33"/>
    <d v="2026-01-05T00:00:00"/>
    <d v="2026-01-27T00:00:00"/>
    <m/>
    <m/>
    <d v="2026-01-27T00:00:00"/>
    <d v="2026-02-03T00:00:00"/>
    <s v="Unico"/>
    <s v="Contingencias"/>
    <s v="Contingencias"/>
    <x v="9"/>
    <s v="CIRCLES GROUP, S.A."/>
    <s v="Euros"/>
    <n v="5464.63"/>
    <n v="993.57"/>
    <n v="993.57"/>
    <n v="0"/>
    <m/>
    <n v="0"/>
    <s v="VC SABSEG COMERCIAL RISK CdS, S.A."/>
    <n v="546.46"/>
    <m/>
    <n v="0"/>
    <m/>
    <n v="0"/>
  </r>
  <r>
    <s v="ARAYTOR"/>
    <s v="Q2878017I"/>
    <s v="CE92613"/>
    <n v="32498"/>
    <s v="2600625"/>
    <s v="2026000576"/>
    <s v="Produccion"/>
    <s v="Correduría"/>
    <s v="Temporal"/>
    <s v="Cobrado"/>
    <x v="33"/>
    <d v="2026-01-05T00:00:00"/>
    <d v="2026-01-27T00:00:00"/>
    <m/>
    <m/>
    <d v="2026-01-27T00:00:00"/>
    <d v="2026-02-03T00:00:00"/>
    <s v="Unico"/>
    <s v="Contingencias"/>
    <s v="Contingencias"/>
    <x v="9"/>
    <s v="CIRCLES GROUP, S.A."/>
    <s v="Euros"/>
    <n v="2980.77"/>
    <n v="541.96"/>
    <n v="541.96"/>
    <n v="0"/>
    <m/>
    <n v="0"/>
    <s v="VC SABSEG COMERCIAL RISK CdS, S.A."/>
    <n v="298.08"/>
    <m/>
    <n v="0"/>
    <m/>
    <n v="0"/>
  </r>
  <r>
    <s v="ARAYTOR"/>
    <s v="B56168289"/>
    <s v="393925"/>
    <n v="32590"/>
    <s v="555691"/>
    <s v="2026000577"/>
    <s v="Produccion"/>
    <s v="Correduría"/>
    <s v="Temporal"/>
    <s v="Cobrado"/>
    <x v="33"/>
    <d v="2026-02-09T00:00:00"/>
    <d v="2026-02-03T00:00:00"/>
    <m/>
    <m/>
    <m/>
    <d v="2026-03-01T00:00:00"/>
    <s v="Unico"/>
    <s v="Temporal Nominado"/>
    <s v="Asistencia en Viaje"/>
    <x v="7"/>
    <s v="Iris Global Soluciones"/>
    <s v="Euros"/>
    <n v="506.8"/>
    <n v="126.7"/>
    <n v="126.7"/>
    <n v="0"/>
    <m/>
    <n v="0"/>
    <m/>
    <n v="0"/>
    <m/>
    <n v="0"/>
    <m/>
    <n v="0"/>
  </r>
  <r>
    <s v="ARAYTOR"/>
    <s v="B42902676"/>
    <s v="RCEXP-CA14178"/>
    <n v="26121"/>
    <s v="2601837"/>
    <s v="2026000578"/>
    <s v="Produccion"/>
    <s v="Correduría"/>
    <s v="Temporal"/>
    <s v="Cobrado"/>
    <x v="33"/>
    <d v="2026-02-27T00:00:00"/>
    <d v="2026-02-27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G82937905"/>
    <s v="RCEXP-CA14214"/>
    <n v="26145"/>
    <s v="2601803"/>
    <s v="2026000579"/>
    <s v="Produccion"/>
    <s v="Correduría"/>
    <s v="Temporal"/>
    <s v="Cobrado"/>
    <x v="33"/>
    <d v="2026-02-03T00:00:00"/>
    <d v="2026-02-05T00:00:00"/>
    <m/>
    <m/>
    <d v="2026-03-01T00:00:00"/>
    <d v="2026-02-15T00:00:00"/>
    <s v="Unico"/>
    <s v="RC Empresa"/>
    <s v="RC Empresa"/>
    <x v="0"/>
    <s v="CIRCLES GROUP, S.A."/>
    <s v="Euros"/>
    <n v="693.48"/>
    <n v="126.08"/>
    <n v="126.08"/>
    <n v="0"/>
    <m/>
    <n v="0"/>
    <s v="VC CARANTIA TRES, S.L."/>
    <n v="100.86"/>
    <m/>
    <n v="0"/>
    <m/>
    <n v="0"/>
  </r>
  <r>
    <s v="ARAYTOR"/>
    <s v="B82760695"/>
    <s v="RCEXP-CA17380"/>
    <n v="30594"/>
    <s v="2601767"/>
    <s v="2026000580"/>
    <s v="Produccion"/>
    <s v="Correduría"/>
    <s v="Temporal"/>
    <s v="Cobrado"/>
    <x v="33"/>
    <d v="2026-02-11T00:00:00"/>
    <d v="2026-02-11T00:00:00"/>
    <m/>
    <m/>
    <m/>
    <d v="2026-02-15T00:00:00"/>
    <s v="Unico"/>
    <s v="RC Empresa"/>
    <s v="RC Empresa"/>
    <x v="0"/>
    <s v="CIRCLES GROUP, S.A."/>
    <s v="Euros"/>
    <n v="878.41"/>
    <n v="159.71"/>
    <n v="159.71"/>
    <n v="0"/>
    <m/>
    <n v="0"/>
    <m/>
    <n v="0"/>
    <m/>
    <n v="0"/>
    <m/>
    <n v="0"/>
  </r>
  <r>
    <s v="ARAYTOR"/>
    <s v="B44789170"/>
    <s v="CE89795"/>
    <n v="31338"/>
    <s v="2601849"/>
    <s v="2026000581"/>
    <s v="Produccion"/>
    <s v="Correduría"/>
    <s v="Temporal"/>
    <s v="Cobrado"/>
    <x v="33"/>
    <d v="2025-06-06T00:00:00"/>
    <d v="2026-01-29T00:00:00"/>
    <m/>
    <m/>
    <m/>
    <d v="2026-02-03T00:00:00"/>
    <s v="Unico"/>
    <s v="Contingencias"/>
    <s v="Contingencias"/>
    <x v="9"/>
    <s v="CIRCLES GROUP, S.A."/>
    <s v="Euros"/>
    <n v="706.74"/>
    <n v="70.67"/>
    <n v="70.67"/>
    <n v="0"/>
    <m/>
    <n v="0"/>
    <m/>
    <n v="0"/>
    <m/>
    <n v="0"/>
    <m/>
    <n v="0"/>
  </r>
  <r>
    <s v="ARAYTOR"/>
    <s v="B75679969"/>
    <s v="RCEXP-CA17898"/>
    <n v="31210"/>
    <s v="2601825"/>
    <s v="2026000582"/>
    <s v="Produccion"/>
    <s v="Correduría"/>
    <s v="Temporal"/>
    <s v="Facturado"/>
    <x v="33"/>
    <d v="2026-01-01T00:00:00"/>
    <m/>
    <m/>
    <m/>
    <m/>
    <m/>
    <s v="Unico"/>
    <s v="RC Empresa"/>
    <s v="RC Empresa"/>
    <x v="0"/>
    <s v="CIRCLES GROUP, S.A."/>
    <s v="Euros"/>
    <n v="-900"/>
    <n v="-163.63999999999999"/>
    <n v="-163.63999999999999"/>
    <n v="0"/>
    <m/>
    <n v="0"/>
    <m/>
    <n v="0"/>
    <m/>
    <n v="0"/>
    <m/>
    <n v="0"/>
  </r>
  <r>
    <s v="ARAYTOR"/>
    <s v="G62083357"/>
    <s v="CE92708"/>
    <n v="32322"/>
    <s v="2601765"/>
    <s v="2026000583"/>
    <s v="Produccion"/>
    <s v="Correduría"/>
    <s v="Temporal"/>
    <s v="Cobrado"/>
    <x v="33"/>
    <d v="2025-12-18T00:00:00"/>
    <d v="2026-01-26T00:00:00"/>
    <m/>
    <m/>
    <m/>
    <d v="2026-02-03T00:00:00"/>
    <s v="Unico"/>
    <s v="Contingencias"/>
    <s v="Contingencias"/>
    <x v="9"/>
    <s v="CIRCLES GROUP, S.A."/>
    <s v="Euros"/>
    <n v="681.74"/>
    <n v="123.96"/>
    <n v="123.96"/>
    <n v="0"/>
    <m/>
    <n v="0"/>
    <m/>
    <n v="0"/>
    <m/>
    <n v="0"/>
    <m/>
    <n v="0"/>
  </r>
  <r>
    <s v="ARAYTOR"/>
    <s v="G67656256"/>
    <s v="CE92708"/>
    <n v="32322"/>
    <s v="2601864"/>
    <s v="2026000584"/>
    <s v="Produccion"/>
    <s v="Correduría"/>
    <s v="Temporal"/>
    <s v="Cobrado"/>
    <x v="33"/>
    <d v="2025-12-18T00:00:00"/>
    <d v="2026-01-28T00:00:00"/>
    <m/>
    <m/>
    <m/>
    <d v="2026-02-03T00:00:00"/>
    <s v="Unico"/>
    <s v="Contingencias"/>
    <s v="Contingencias"/>
    <x v="9"/>
    <s v="CIRCLES GROUP, S.A."/>
    <s v="Euros"/>
    <n v="47.24"/>
    <n v="8.58"/>
    <n v="8.58"/>
    <n v="0"/>
    <m/>
    <n v="0"/>
    <m/>
    <n v="0"/>
    <m/>
    <n v="0"/>
    <m/>
    <n v="0"/>
  </r>
  <r>
    <s v="ARAYTOR"/>
    <s v="V70779822"/>
    <s v="CE92406"/>
    <n v="32516"/>
    <s v="2601787"/>
    <s v="2026000585"/>
    <s v="Produccion"/>
    <s v="Correduría"/>
    <s v="Temporal"/>
    <s v="Facturado"/>
    <x v="33"/>
    <d v="2026-01-02T00:00:00"/>
    <m/>
    <m/>
    <m/>
    <m/>
    <m/>
    <s v="Unico"/>
    <s v="Contingencias"/>
    <s v="Contingencias"/>
    <x v="9"/>
    <s v="CIRCLES GROUP, S.A."/>
    <s v="Euros"/>
    <n v="4207.1099999999997"/>
    <n v="764.93"/>
    <n v="764.93"/>
    <n v="0"/>
    <m/>
    <n v="0"/>
    <m/>
    <n v="0"/>
    <m/>
    <n v="0"/>
    <m/>
    <n v="0"/>
  </r>
  <r>
    <s v="ARAYTOR"/>
    <s v="B11459435"/>
    <s v="CE93029"/>
    <n v="32502"/>
    <s v="2601778"/>
    <s v="2026000586"/>
    <s v="Produccion"/>
    <s v="Correduría"/>
    <s v="Temporal"/>
    <s v="Facturado"/>
    <x v="33"/>
    <d v="2026-01-02T00:00:00"/>
    <m/>
    <m/>
    <m/>
    <m/>
    <m/>
    <s v="Unico"/>
    <s v="Contingencias"/>
    <s v="Contingencias"/>
    <x v="9"/>
    <s v="CIRCLES GROUP, S.A."/>
    <s v="Euros"/>
    <n v="-13043.18"/>
    <n v="-2371.48"/>
    <n v="-2371.48"/>
    <n v="0"/>
    <m/>
    <n v="0"/>
    <m/>
    <n v="0"/>
    <m/>
    <n v="0"/>
    <m/>
    <n v="0"/>
  </r>
  <r>
    <s v="ARAYTOR"/>
    <s v="B11459435"/>
    <s v="CE93056"/>
    <n v="32529"/>
    <s v="2601786"/>
    <s v="2026000587"/>
    <s v="Produccion"/>
    <s v="Correduría"/>
    <s v="Temporal"/>
    <s v="Facturado"/>
    <x v="33"/>
    <d v="2026-01-08T00:00:00"/>
    <m/>
    <m/>
    <m/>
    <m/>
    <m/>
    <s v="Unico"/>
    <s v="Contingencias"/>
    <s v="Contingencias"/>
    <x v="9"/>
    <s v="CIRCLES GROUP, S.A."/>
    <s v="Euros"/>
    <n v="2163.66"/>
    <n v="393.4"/>
    <n v="393.4"/>
    <n v="0"/>
    <m/>
    <n v="0"/>
    <m/>
    <n v="0"/>
    <m/>
    <n v="0"/>
    <m/>
    <n v="0"/>
  </r>
  <r>
    <s v="ARAYTOR"/>
    <s v="B66196858"/>
    <s v="RCEXP-CA19215"/>
    <n v="32591"/>
    <s v="2601766"/>
    <s v="2026000588"/>
    <s v="Produccion"/>
    <s v="Correduría"/>
    <s v="Temporal"/>
    <s v="Cobrado"/>
    <x v="33"/>
    <d v="2026-02-11T00:00:00"/>
    <d v="2026-02-09T00:00:00"/>
    <m/>
    <m/>
    <m/>
    <d v="2026-02-15T00:00:00"/>
    <s v="Unico"/>
    <s v="RC Empresa"/>
    <s v="RC Empresa"/>
    <x v="0"/>
    <s v="CIRCLES GROUP, S.A."/>
    <s v="Euros"/>
    <n v="554.79"/>
    <n v="100.87"/>
    <n v="100.87"/>
    <n v="0"/>
    <m/>
    <n v="0"/>
    <m/>
    <n v="0"/>
    <m/>
    <n v="0"/>
    <m/>
    <n v="0"/>
  </r>
  <r>
    <s v="ARAYTOR"/>
    <s v="54480764C"/>
    <s v="RCEXP-CA19224"/>
    <n v="32592"/>
    <s v="2601802"/>
    <s v="2026000589"/>
    <s v="Produccion"/>
    <s v="Correduría"/>
    <s v="Temporal"/>
    <s v="Cobrado"/>
    <x v="33"/>
    <d v="2026-01-30T00:00:00"/>
    <d v="2026-01-30T00:00:00"/>
    <m/>
    <m/>
    <m/>
    <d v="2026-02-03T00:00:00"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G67656256"/>
    <s v="CE92708"/>
    <n v="32322"/>
    <s v="2601919"/>
    <s v="2026000590"/>
    <s v="Produccion"/>
    <s v="Correduría"/>
    <s v="Temporal"/>
    <s v="Cobrado"/>
    <x v="34"/>
    <d v="2025-12-18T00:00:00"/>
    <d v="2026-01-28T00:00:00"/>
    <m/>
    <m/>
    <m/>
    <d v="2026-02-03T00:00:00"/>
    <s v="Unico"/>
    <s v="Contingencias"/>
    <s v="Contingencias"/>
    <x v="9"/>
    <s v="CIRCLES GROUP, S.A."/>
    <s v="Euros"/>
    <n v="27.01"/>
    <n v="4.91"/>
    <n v="4.91"/>
    <n v="0"/>
    <m/>
    <n v="0"/>
    <m/>
    <n v="0"/>
    <m/>
    <n v="0"/>
    <m/>
    <n v="0"/>
  </r>
  <r>
    <s v="ARAYTOR"/>
    <s v="B06592133"/>
    <s v="CE92666"/>
    <n v="32518"/>
    <s v="2601918"/>
    <s v="2026000591"/>
    <s v="Produccion"/>
    <s v="Correduría"/>
    <s v="Temporal"/>
    <s v="Facturado"/>
    <x v="34"/>
    <d v="2026-01-02T00:00:00"/>
    <m/>
    <m/>
    <m/>
    <m/>
    <m/>
    <s v="Unico"/>
    <s v="Contingencias"/>
    <s v="Contingencias"/>
    <x v="9"/>
    <s v="CIRCLES GROUP, S.A."/>
    <s v="Euros"/>
    <n v="5012.87"/>
    <n v="91.44"/>
    <n v="91.44"/>
    <n v="0"/>
    <m/>
    <n v="0"/>
    <m/>
    <n v="0"/>
    <m/>
    <n v="0"/>
    <m/>
    <n v="0"/>
  </r>
  <r>
    <s v="ARAYTOR"/>
    <s v="G66303124"/>
    <s v="040929334"/>
    <n v="17955"/>
    <s v="880355718"/>
    <s v="2026000592"/>
    <s v="Cartera"/>
    <s v="Compañía"/>
    <s v="Renovable"/>
    <s v="Cobrado"/>
    <x v="34"/>
    <d v="2026-01-20T00:00:00"/>
    <d v="2026-01-26T00:00:00"/>
    <m/>
    <m/>
    <m/>
    <d v="2026-02-01T00:00:00"/>
    <s v="Anual"/>
    <s v="133 Accidentes Colectivo"/>
    <s v="Accidentes Colectivo"/>
    <x v="10"/>
    <s v="ALLIANZ"/>
    <s v="Euros"/>
    <n v="40.39"/>
    <n v="10.1"/>
    <n v="10.1"/>
    <n v="0"/>
    <m/>
    <n v="0"/>
    <m/>
    <n v="0"/>
    <m/>
    <n v="0"/>
    <m/>
    <n v="0"/>
  </r>
  <r>
    <s v="ARAYTOR"/>
    <s v="49162191J"/>
    <s v="8-23.322.518-K"/>
    <n v="27634"/>
    <s v="474104457-Z"/>
    <s v="2026000593"/>
    <s v="Cartera"/>
    <s v="Compañía"/>
    <s v="Renovable"/>
    <s v="Cobrado"/>
    <x v="34"/>
    <d v="2026-02-01T00:00:00"/>
    <d v="2026-02-03T00:00:00"/>
    <m/>
    <m/>
    <m/>
    <m/>
    <s v="Anual"/>
    <s v="Automoviles (2)"/>
    <s v="Turismo"/>
    <x v="1"/>
    <s v="OCCIDENT GCO, S.A.U."/>
    <s v="Euros"/>
    <n v="962.88"/>
    <n v="86.66"/>
    <n v="86.66"/>
    <n v="0"/>
    <m/>
    <n v="0"/>
    <m/>
    <n v="0"/>
    <m/>
    <n v="0"/>
    <m/>
    <n v="0"/>
  </r>
  <r>
    <s v="ARAYTOR"/>
    <s v="H63136683"/>
    <s v="66/5028257"/>
    <n v="32594"/>
    <s v="264324056"/>
    <s v="2026000594"/>
    <s v="Produccion"/>
    <s v="Compañía"/>
    <s v="Renovable"/>
    <s v="Cobrado"/>
    <x v="34"/>
    <d v="2026-01-26T00:00:00"/>
    <d v="2026-01-30T00:00:00"/>
    <m/>
    <m/>
    <m/>
    <d v="2026-02-03T00:00:00"/>
    <s v="Semestral"/>
    <s v="0100 - Propiedad de Edificios"/>
    <s v="Comunidad de Propietarios"/>
    <x v="3"/>
    <s v="FIATC "/>
    <s v="Euros"/>
    <n v="407.98"/>
    <n v="102.01"/>
    <n v="102.01"/>
    <n v="0"/>
    <m/>
    <n v="0"/>
    <m/>
    <n v="0"/>
    <m/>
    <n v="0"/>
    <m/>
    <n v="0"/>
  </r>
  <r>
    <s v="ARAYTOR"/>
    <s v="B10785590"/>
    <s v="86/5049718"/>
    <n v="32571"/>
    <s v="264321229"/>
    <s v="2026000595"/>
    <s v="Produccion"/>
    <s v="Correduría"/>
    <s v="Renovable"/>
    <s v="Facturado"/>
    <x v="34"/>
    <d v="2026-01-21T00:00:00"/>
    <m/>
    <m/>
    <m/>
    <m/>
    <m/>
    <s v="Anual"/>
    <s v="0100 - Maxi Empresa"/>
    <s v="PYME"/>
    <x v="3"/>
    <s v="FIATC "/>
    <s v="Euros"/>
    <n v="2553.69"/>
    <n v="510.74"/>
    <n v="510.74"/>
    <n v="0"/>
    <m/>
    <n v="0"/>
    <m/>
    <n v="0"/>
    <m/>
    <n v="0"/>
    <m/>
    <n v="0"/>
  </r>
  <r>
    <s v="ARAYTOR"/>
    <s v="B66323890"/>
    <s v="20/9091368"/>
    <n v="32595"/>
    <s v="264326313"/>
    <s v="2026000596"/>
    <s v="Produccion"/>
    <s v="Compañía"/>
    <s v="Renovable"/>
    <s v="Cobrado"/>
    <x v="34"/>
    <d v="2026-01-27T00:00:00"/>
    <d v="2026-02-03T00:00:00"/>
    <m/>
    <m/>
    <m/>
    <d v="2026-02-03T00:00:00"/>
    <s v="Anual"/>
    <s v="M - MAXI-AUTO"/>
    <s v="Vehiculos"/>
    <x v="1"/>
    <s v="FIATC "/>
    <s v="Euros"/>
    <n v="980.08"/>
    <n v="139.82"/>
    <n v="139.82"/>
    <n v="0"/>
    <m/>
    <n v="0"/>
    <m/>
    <n v="0"/>
    <m/>
    <n v="0"/>
    <m/>
    <n v="0"/>
  </r>
  <r>
    <s v="ARAYTOR"/>
    <s v="B66323890"/>
    <s v="20/7084837"/>
    <n v="25507"/>
    <s v="264326314"/>
    <s v="2026000597"/>
    <s v="Suplemento modificacion de produccion"/>
    <s v="Compañía"/>
    <s v="Renovable"/>
    <s v="Cobrado"/>
    <x v="34"/>
    <d v="2026-01-27T00:00:00"/>
    <d v="2026-02-03T00:00:00"/>
    <m/>
    <m/>
    <m/>
    <d v="2026-02-03T00:00:00"/>
    <s v="Anual"/>
    <s v="M - MAXI-AUTO"/>
    <s v="Vehiculos"/>
    <x v="1"/>
    <s v="FIATC "/>
    <s v="Euros"/>
    <n v="-486.44"/>
    <n v="-69.459999999999994"/>
    <n v="-69.459999999999994"/>
    <n v="0"/>
    <m/>
    <n v="0"/>
    <m/>
    <n v="0"/>
    <m/>
    <n v="0"/>
    <m/>
    <n v="0"/>
  </r>
  <r>
    <s v="ARAYTOR"/>
    <s v="B66800731"/>
    <s v="29/452"/>
    <n v="9100"/>
    <s v="264330590 Error"/>
    <s v="2026000598"/>
    <s v="Suplemento modificacion de produccion"/>
    <s v="Correduría"/>
    <s v="Renovable"/>
    <s v="Anulado"/>
    <x v="34"/>
    <d v="2026-02-01T00:00:00"/>
    <m/>
    <d v="2026-01-31T00:00:00"/>
    <d v="2026-01-30T00:00:00"/>
    <m/>
    <m/>
    <s v="Anual"/>
    <s v="2010 Mediatc Progess"/>
    <s v="Colectivo Salud"/>
    <x v="10"/>
    <s v="FIATC "/>
    <s v="Euros"/>
    <n v="1882.6"/>
    <n v="150.61000000000001"/>
    <n v="150.61000000000001"/>
    <n v="0"/>
    <m/>
    <n v="0"/>
    <m/>
    <n v="0"/>
    <m/>
    <n v="0"/>
    <m/>
    <n v="0"/>
  </r>
  <r>
    <s v="ARAYTOR"/>
    <s v="B09614017"/>
    <s v="RCEXP-CA12244"/>
    <n v="24906"/>
    <s v="2601966"/>
    <s v="2026000599"/>
    <s v="Produccion"/>
    <s v="Correduría"/>
    <s v="Temporal"/>
    <s v="Facturado"/>
    <x v="35"/>
    <d v="2026-03-22T00:00:00"/>
    <m/>
    <m/>
    <m/>
    <m/>
    <m/>
    <s v="Unico"/>
    <s v="RC Empresa"/>
    <s v="RC Empresa"/>
    <x v="0"/>
    <s v="CIRCLES GROUP, S.A."/>
    <s v="Euros"/>
    <n v="4800"/>
    <n v="872.73"/>
    <n v="872.73"/>
    <n v="0"/>
    <m/>
    <n v="0"/>
    <m/>
    <n v="0"/>
    <m/>
    <n v="0"/>
    <m/>
    <n v="0"/>
  </r>
  <r>
    <s v="ARAYTOR"/>
    <s v="B13792452"/>
    <s v="RCEXP-CA14222"/>
    <n v="26135"/>
    <s v="2601963"/>
    <s v="2026000600"/>
    <s v="Produccion"/>
    <s v="Correduría"/>
    <s v="Temporal"/>
    <s v="Cobrado"/>
    <x v="35"/>
    <d v="2026-03-01T00:00:00"/>
    <d v="2026-02-03T00:00:00"/>
    <m/>
    <m/>
    <m/>
    <d v="2026-02-03T00:00:00"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85462257"/>
    <s v="RCEXP-CA16646"/>
    <n v="29142"/>
    <s v="2601962"/>
    <s v="2026000601"/>
    <s v="Produccion"/>
    <s v="Correduría"/>
    <s v="Temporal"/>
    <s v="Cobrado"/>
    <x v="35"/>
    <d v="2026-02-01T00:00:00"/>
    <d v="2026-02-16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37285250L"/>
    <s v="89289614"/>
    <n v="32582"/>
    <s v="22054956"/>
    <s v="2026000602"/>
    <s v="Produccion"/>
    <s v="Compañía"/>
    <s v="Renovable"/>
    <s v="Cobrado"/>
    <x v="35"/>
    <d v="2026-02-01T00:00:00"/>
    <d v="2026-02-02T00:00:00"/>
    <m/>
    <m/>
    <m/>
    <d v="2026-02-11T00:00:00"/>
    <s v="Anual"/>
    <s v="08760 - MOTO360"/>
    <s v="Vehiculos"/>
    <x v="1"/>
    <s v="AXA"/>
    <s v="Euros"/>
    <n v="97.88"/>
    <n v="12.72"/>
    <n v="12.72"/>
    <n v="0"/>
    <m/>
    <n v="0"/>
    <m/>
    <n v="0"/>
    <m/>
    <n v="0"/>
    <m/>
    <n v="0"/>
  </r>
  <r>
    <s v="ARAYTOR"/>
    <s v="37285250L"/>
    <s v="89289516"/>
    <n v="32583"/>
    <s v="22066014"/>
    <s v="2026000603"/>
    <s v="Produccion"/>
    <s v="Compañía"/>
    <s v="Renovable"/>
    <s v="Cobrado"/>
    <x v="35"/>
    <d v="2026-02-01T00:00:00"/>
    <d v="2026-02-02T00:00:00"/>
    <m/>
    <m/>
    <m/>
    <d v="2026-02-11T00:00:00"/>
    <s v="Anual"/>
    <s v="08760 - MOTO360"/>
    <s v="Vehiculos"/>
    <x v="1"/>
    <s v="AXA"/>
    <s v="Euros"/>
    <n v="105.36"/>
    <n v="13.7"/>
    <n v="13.7"/>
    <n v="0"/>
    <m/>
    <n v="0"/>
    <m/>
    <n v="0"/>
    <m/>
    <n v="0"/>
    <m/>
    <n v="0"/>
  </r>
  <r>
    <s v="ARAYTOR"/>
    <s v="09450744K"/>
    <s v="89301057"/>
    <n v="32593"/>
    <s v="18137525"/>
    <s v="2026000604"/>
    <s v="Produccion"/>
    <s v="Compañía"/>
    <s v="Renovable"/>
    <s v="Cobrado"/>
    <x v="35"/>
    <d v="2026-02-15T00:00:00"/>
    <d v="2026-02-16T00:00:00"/>
    <m/>
    <m/>
    <m/>
    <d v="2026-02-17T00:00:00"/>
    <s v="Anual"/>
    <s v="08759 - COCHE360"/>
    <s v="Vehiculos"/>
    <x v="1"/>
    <s v="AXA"/>
    <s v="Euros"/>
    <n v="415.81"/>
    <n v="66.53"/>
    <n v="66.53"/>
    <n v="0"/>
    <m/>
    <n v="0"/>
    <m/>
    <n v="0"/>
    <m/>
    <n v="0"/>
    <m/>
    <n v="0"/>
  </r>
  <r>
    <s v="ARAYTOR"/>
    <s v="G67656256"/>
    <s v="CE92708"/>
    <n v="32322"/>
    <s v="2602020"/>
    <s v="2026000605"/>
    <s v="Produccion"/>
    <s v="Correduría"/>
    <s v="Temporal"/>
    <s v="Cobrado"/>
    <x v="36"/>
    <d v="2025-12-18T00:00:00"/>
    <d v="2026-02-02T00:00:00"/>
    <m/>
    <m/>
    <m/>
    <d v="2026-02-03T00:00:00"/>
    <s v="Unico"/>
    <s v="Contingencias"/>
    <s v="Contingencias"/>
    <x v="9"/>
    <s v="CIRCLES GROUP, S.A."/>
    <s v="Euros"/>
    <n v="965.23"/>
    <n v="175.5"/>
    <n v="175.5"/>
    <n v="0"/>
    <m/>
    <n v="0"/>
    <m/>
    <n v="0"/>
    <m/>
    <n v="0"/>
    <m/>
    <n v="0"/>
  </r>
  <r>
    <s v="ARAYTOR"/>
    <s v="V67736157"/>
    <s v="CE92403"/>
    <n v="32597"/>
    <s v="2602007"/>
    <s v="2026000606"/>
    <s v="Produccion"/>
    <s v="Correduría"/>
    <s v="Temporal"/>
    <s v="Cobrado"/>
    <x v="36"/>
    <d v="2026-01-28T00:00:00"/>
    <d v="2026-01-30T00:00:00"/>
    <m/>
    <m/>
    <m/>
    <d v="2026-02-15T00:00:00"/>
    <s v="Unico"/>
    <s v="Contingencias"/>
    <s v="Contingencias"/>
    <x v="9"/>
    <s v="CIRCLES GROUP, S.A."/>
    <s v="Euros"/>
    <n v="6749.58"/>
    <n v="1227.2"/>
    <n v="1227.2"/>
    <n v="0"/>
    <m/>
    <n v="0"/>
    <m/>
    <n v="0"/>
    <m/>
    <n v="0"/>
    <m/>
    <n v="0"/>
  </r>
  <r>
    <s v="ARAYTOR"/>
    <s v="B16580656"/>
    <s v="CE92928"/>
    <n v="32572"/>
    <s v="2602057"/>
    <s v="2026000607"/>
    <s v="Produccion"/>
    <s v="Correduría"/>
    <s v="Temporal"/>
    <s v="Cobrado"/>
    <x v="36"/>
    <d v="2026-01-21T00:00:00"/>
    <d v="2026-01-29T00:00:00"/>
    <m/>
    <m/>
    <m/>
    <m/>
    <s v="Unico"/>
    <s v="Contingencias"/>
    <s v="Contingencias"/>
    <x v="9"/>
    <s v="CIRCLES GROUP, S.A."/>
    <s v="Euros"/>
    <n v="1120.96"/>
    <n v="203.81"/>
    <n v="203.81"/>
    <n v="0"/>
    <m/>
    <n v="0"/>
    <m/>
    <n v="0"/>
    <m/>
    <n v="0"/>
    <m/>
    <n v="0"/>
  </r>
  <r>
    <s v="ARAYTOR"/>
    <s v="V75418368"/>
    <s v="CE92914"/>
    <n v="32600"/>
    <s v="2602058"/>
    <s v="2026000608"/>
    <s v="Produccion"/>
    <s v="Correduría"/>
    <s v="Temporal"/>
    <s v="Cobrado"/>
    <x v="36"/>
    <d v="2026-02-28T00:00:00"/>
    <d v="2026-02-13T00:00:00"/>
    <m/>
    <m/>
    <m/>
    <m/>
    <s v="Unico"/>
    <s v="Contingencias"/>
    <s v="Contingencias"/>
    <x v="9"/>
    <s v="CIRCLES GROUP, S.A."/>
    <s v="Euros"/>
    <n v="10410.549999999999"/>
    <n v="1892.83"/>
    <n v="1892.83"/>
    <n v="0"/>
    <m/>
    <n v="0"/>
    <m/>
    <n v="0"/>
    <m/>
    <n v="0"/>
    <m/>
    <n v="0"/>
  </r>
  <r>
    <s v="ARAYTOR"/>
    <s v="V75418368"/>
    <s v="CE92914"/>
    <n v="32600"/>
    <s v="2602059"/>
    <s v="2026000609"/>
    <s v="Produccion"/>
    <s v="Correduría"/>
    <s v="Temporal"/>
    <s v="Facturado"/>
    <x v="36"/>
    <d v="2026-02-28T00:00:00"/>
    <m/>
    <m/>
    <m/>
    <m/>
    <m/>
    <s v="Unico"/>
    <s v="Contingencias"/>
    <s v="Contingencias"/>
    <x v="9"/>
    <s v="CIRCLES GROUP, S.A."/>
    <s v="Euros"/>
    <n v="10410.549999999999"/>
    <n v="1892.83"/>
    <n v="1892.83"/>
    <n v="0"/>
    <m/>
    <n v="0"/>
    <m/>
    <n v="0"/>
    <m/>
    <n v="0"/>
    <m/>
    <n v="0"/>
  </r>
  <r>
    <s v="ARAYTOR"/>
    <s v="V-67615849"/>
    <s v="CE93540"/>
    <n v="32601"/>
    <s v="2602003"/>
    <s v="2026000610"/>
    <s v="Produccion"/>
    <s v="Correduría"/>
    <s v="Temporal"/>
    <s v="Cobrado"/>
    <x v="36"/>
    <d v="2026-01-28T00:00:00"/>
    <d v="2026-02-10T00:00:00"/>
    <m/>
    <m/>
    <m/>
    <d v="2026-02-15T00:00:00"/>
    <s v="Unico"/>
    <s v="Contingencias"/>
    <s v="Contingencias"/>
    <x v="9"/>
    <s v="CIRCLES GROUP, S.A."/>
    <s v="Euros"/>
    <n v="2079.06"/>
    <n v="378.02"/>
    <n v="378.02"/>
    <n v="0"/>
    <m/>
    <n v="0"/>
    <m/>
    <n v="0"/>
    <m/>
    <n v="0"/>
    <m/>
    <n v="0"/>
  </r>
  <r>
    <s v="ARAYTOR"/>
    <s v="516313177"/>
    <s v="RCEXP-CA19241"/>
    <n v="32602"/>
    <s v="2602065"/>
    <s v="2026000611"/>
    <s v="Produccion"/>
    <s v="Correduría"/>
    <s v="Temporal"/>
    <s v="Cobrado"/>
    <x v="36"/>
    <d v="2026-04-01T00:00:00"/>
    <d v="2026-01-30T00:00:00"/>
    <m/>
    <m/>
    <m/>
    <d v="2026-02-03T00:00:00"/>
    <s v="Unico"/>
    <s v="RC Empresa"/>
    <s v="RC Empresa"/>
    <x v="0"/>
    <s v="CIRCLES GROUP, S.A."/>
    <s v="Euros"/>
    <n v="688.07"/>
    <n v="125.1"/>
    <n v="125.1"/>
    <n v="0"/>
    <m/>
    <n v="0"/>
    <m/>
    <n v="0"/>
    <m/>
    <n v="0"/>
    <m/>
    <n v="0"/>
  </r>
  <r>
    <s v="ARAYTOR"/>
    <s v="B11459435"/>
    <s v="CE93480"/>
    <n v="32603"/>
    <s v="2602000"/>
    <s v="2026000612"/>
    <s v="Produccion"/>
    <s v="Correduría"/>
    <s v="Temporal"/>
    <s v="Cobrado"/>
    <x v="36"/>
    <d v="2026-01-28T00:00:00"/>
    <d v="2026-02-10T00:00:00"/>
    <m/>
    <m/>
    <m/>
    <m/>
    <s v="Unico"/>
    <s v="Contingencias"/>
    <s v="Contingencias"/>
    <x v="9"/>
    <s v="CIRCLES GROUP, S.A."/>
    <s v="Euros"/>
    <n v="3039.45"/>
    <n v="552.62"/>
    <n v="552.62"/>
    <n v="0"/>
    <m/>
    <n v="0"/>
    <m/>
    <n v="0"/>
    <m/>
    <n v="0"/>
    <m/>
    <n v="0"/>
  </r>
  <r>
    <s v="ARAYTOR"/>
    <s v="B11459435"/>
    <s v="CE93480"/>
    <n v="32603"/>
    <s v="2602001"/>
    <s v="2026000613"/>
    <s v="Produccion"/>
    <s v="Correduría"/>
    <s v="Temporal"/>
    <s v="Facturado"/>
    <x v="36"/>
    <d v="2026-01-28T00:00:00"/>
    <m/>
    <m/>
    <m/>
    <m/>
    <m/>
    <s v="Unico"/>
    <s v="Contingencias"/>
    <s v="Contingencias"/>
    <x v="9"/>
    <s v="CIRCLES GROUP, S.A."/>
    <s v="Euros"/>
    <n v="6078.89"/>
    <n v="1105.26"/>
    <n v="1105.26"/>
    <n v="0"/>
    <m/>
    <n v="0"/>
    <m/>
    <n v="0"/>
    <m/>
    <n v="0"/>
    <m/>
    <n v="0"/>
  </r>
  <r>
    <s v="ARAYTOR"/>
    <s v="B11459435"/>
    <s v="CE93480"/>
    <n v="32603"/>
    <s v="2602002"/>
    <s v="2026000614"/>
    <s v="Produccion"/>
    <s v="Correduría"/>
    <s v="Temporal"/>
    <s v="Facturado"/>
    <x v="36"/>
    <d v="2026-01-28T00:00:00"/>
    <m/>
    <m/>
    <m/>
    <m/>
    <m/>
    <s v="Unico"/>
    <s v="Contingencias"/>
    <s v="Contingencias"/>
    <x v="9"/>
    <s v="CIRCLES GROUP, S.A."/>
    <s v="Euros"/>
    <n v="6078.89"/>
    <n v="1105.26"/>
    <n v="1105.26"/>
    <n v="0"/>
    <m/>
    <n v="0"/>
    <m/>
    <n v="0"/>
    <m/>
    <n v="0"/>
    <m/>
    <n v="0"/>
  </r>
  <r>
    <s v="ARAYTOR"/>
    <s v="B11459435"/>
    <s v="CE93481"/>
    <n v="32604"/>
    <s v="2602005"/>
    <s v="2026000615"/>
    <s v="Produccion"/>
    <s v="Correduría"/>
    <s v="Temporal"/>
    <s v="Facturado"/>
    <x v="36"/>
    <d v="2026-01-28T00:00:00"/>
    <m/>
    <m/>
    <m/>
    <m/>
    <m/>
    <s v="Unico"/>
    <s v="Contingencias"/>
    <s v="Contingencias"/>
    <x v="9"/>
    <s v="CIRCLES GROUP, S.A."/>
    <s v="Euros"/>
    <n v="3698.57"/>
    <n v="672.47"/>
    <n v="672.47"/>
    <n v="0"/>
    <m/>
    <n v="0"/>
    <m/>
    <n v="0"/>
    <m/>
    <n v="0"/>
    <m/>
    <n v="0"/>
  </r>
  <r>
    <s v="ARAYTOR"/>
    <s v="B11459435"/>
    <s v="CE93481"/>
    <n v="32604"/>
    <s v="2602006"/>
    <s v="2026000616"/>
    <s v="Produccion"/>
    <s v="Correduría"/>
    <s v="Temporal"/>
    <s v="Facturado"/>
    <x v="36"/>
    <d v="2026-01-28T00:00:00"/>
    <m/>
    <m/>
    <m/>
    <m/>
    <m/>
    <s v="Unico"/>
    <s v="Contingencias"/>
    <s v="Contingencias"/>
    <x v="9"/>
    <s v="CIRCLES GROUP, S.A."/>
    <s v="Euros"/>
    <n v="3698.57"/>
    <n v="672.47"/>
    <n v="672.47"/>
    <n v="0"/>
    <m/>
    <n v="0"/>
    <m/>
    <n v="0"/>
    <m/>
    <n v="0"/>
    <m/>
    <n v="0"/>
  </r>
  <r>
    <s v="ARAYTOR"/>
    <s v="B11459435"/>
    <s v="CE93481"/>
    <n v="32604"/>
    <s v="2602004"/>
    <s v="2026000617"/>
    <s v="Produccion"/>
    <s v="Correduría"/>
    <s v="Temporal"/>
    <s v="Cobrado"/>
    <x v="36"/>
    <d v="2026-01-28T00:00:00"/>
    <d v="2026-02-18T00:00:00"/>
    <m/>
    <m/>
    <m/>
    <m/>
    <s v="Unico"/>
    <s v="Contingencias"/>
    <s v="Contingencias"/>
    <x v="9"/>
    <s v="CIRCLES GROUP, S.A."/>
    <s v="Euros"/>
    <n v="1849.28"/>
    <n v="336.24"/>
    <n v="336.24"/>
    <n v="0"/>
    <m/>
    <n v="0"/>
    <m/>
    <n v="0"/>
    <m/>
    <n v="0"/>
    <m/>
    <n v="0"/>
  </r>
  <r>
    <s v="ARAYTOR"/>
    <s v="B18956045"/>
    <s v="CE93538"/>
    <n v="32598"/>
    <s v="2602008"/>
    <s v="2026000618"/>
    <s v="Produccion"/>
    <s v="Correduría"/>
    <s v="Temporal"/>
    <s v="Cobrado"/>
    <x v="36"/>
    <d v="2026-01-28T00:00:00"/>
    <d v="2026-02-25T00:00:00"/>
    <m/>
    <m/>
    <m/>
    <m/>
    <s v="Unico"/>
    <s v="Contingencias"/>
    <s v="Contingencias"/>
    <x v="9"/>
    <s v="CIRCLES GROUP, S.A."/>
    <s v="Euros"/>
    <n v="4926.49"/>
    <n v="895.72"/>
    <n v="895.72"/>
    <n v="0"/>
    <m/>
    <n v="0"/>
    <m/>
    <n v="0"/>
    <m/>
    <n v="0"/>
    <m/>
    <n v="0"/>
  </r>
  <r>
    <s v="ARAYTOR"/>
    <s v="B11459435"/>
    <s v="CE93569"/>
    <n v="32605"/>
    <s v="2602028"/>
    <s v="2026000619"/>
    <s v="Produccion"/>
    <s v="Correduría"/>
    <s v="Temporal"/>
    <s v="Cobrado"/>
    <x v="36"/>
    <d v="2026-01-29T00:00:00"/>
    <d v="2026-01-30T00:00:00"/>
    <m/>
    <m/>
    <m/>
    <m/>
    <s v="Unico"/>
    <s v="Contingencias"/>
    <s v="Contingencias"/>
    <x v="9"/>
    <s v="CIRCLES GROUP, S.A."/>
    <s v="Euros"/>
    <n v="4599.1000000000004"/>
    <n v="836.2"/>
    <n v="836.2"/>
    <n v="0"/>
    <m/>
    <n v="0"/>
    <m/>
    <n v="0"/>
    <m/>
    <n v="0"/>
    <m/>
    <n v="0"/>
  </r>
  <r>
    <s v="ARAYTOR"/>
    <s v="B11459435"/>
    <s v="CE93569"/>
    <n v="32605"/>
    <s v="2602029"/>
    <s v="2026000620"/>
    <s v="Produccion"/>
    <s v="Correduría"/>
    <s v="Temporal"/>
    <s v="Facturado"/>
    <x v="36"/>
    <d v="2026-01-29T00:00:00"/>
    <m/>
    <m/>
    <m/>
    <m/>
    <m/>
    <s v="Unico"/>
    <s v="Contingencias"/>
    <s v="Contingencias"/>
    <x v="9"/>
    <s v="CIRCLES GROUP, S.A."/>
    <s v="Euros"/>
    <n v="9198.19"/>
    <n v="1672.4"/>
    <n v="1672.4"/>
    <n v="0"/>
    <m/>
    <n v="0"/>
    <m/>
    <n v="0"/>
    <m/>
    <n v="0"/>
    <m/>
    <n v="0"/>
  </r>
  <r>
    <s v="ARAYTOR"/>
    <s v="B11459435"/>
    <s v="CE93569"/>
    <n v="32605"/>
    <s v="2602030"/>
    <s v="2026000621"/>
    <s v="Produccion"/>
    <s v="Correduría"/>
    <s v="Temporal"/>
    <s v="Facturado"/>
    <x v="36"/>
    <d v="2026-01-29T00:00:00"/>
    <m/>
    <m/>
    <m/>
    <m/>
    <m/>
    <s v="Unico"/>
    <s v="Contingencias"/>
    <s v="Contingencias"/>
    <x v="9"/>
    <s v="CIRCLES GROUP, S.A."/>
    <s v="Euros"/>
    <n v="9198.19"/>
    <n v="1672.4"/>
    <n v="1672.4"/>
    <n v="0"/>
    <m/>
    <n v="0"/>
    <m/>
    <n v="0"/>
    <m/>
    <n v="0"/>
    <m/>
    <n v="0"/>
  </r>
  <r>
    <s v="ARAYTOR"/>
    <s v="B66800731"/>
    <s v="29/452"/>
    <n v="9100"/>
    <s v="264330590"/>
    <s v="2026000630"/>
    <s v="Cartera"/>
    <s v="Correduría"/>
    <s v="Renovable"/>
    <s v="Facturado"/>
    <x v="36"/>
    <d v="2026-02-01T00:00:00"/>
    <m/>
    <m/>
    <m/>
    <m/>
    <m/>
    <s v="Anual"/>
    <s v="2010 Mediatc Progess"/>
    <s v="Colectivo Salud"/>
    <x v="10"/>
    <s v="FIATC "/>
    <s v="Euros"/>
    <n v="1882.6"/>
    <n v="150.61000000000001"/>
    <n v="150.61000000000001"/>
    <n v="0"/>
    <m/>
    <n v="0"/>
    <m/>
    <n v="0"/>
    <m/>
    <n v="0"/>
    <m/>
    <n v="0"/>
  </r>
  <r>
    <s v="ARAYTOR"/>
    <s v="B44809572"/>
    <s v="050081337-00163"/>
    <n v="32606"/>
    <s v="880732007"/>
    <s v="2026000632"/>
    <s v="Produccion"/>
    <s v="Compañía"/>
    <s v="Renovable"/>
    <s v="Cobrado"/>
    <x v="37"/>
    <d v="2026-01-28T00:00:00"/>
    <d v="2026-01-29T00:00:00"/>
    <m/>
    <m/>
    <m/>
    <d v="2026-02-01T00:00:00"/>
    <s v="Anual"/>
    <s v="1221 Allianz V.03 (VH.Com.2ª categ.)"/>
    <s v="Vehiculos"/>
    <x v="1"/>
    <s v="ALLIANZ"/>
    <s v="Euros"/>
    <n v="509.87"/>
    <n v="40.79"/>
    <n v="40.79"/>
    <n v="0"/>
    <m/>
    <n v="0"/>
    <m/>
    <n v="0"/>
    <m/>
    <n v="0"/>
    <m/>
    <n v="0"/>
  </r>
  <r>
    <s v="ARAYTOR"/>
    <s v="40373995W"/>
    <s v="058296878"/>
    <n v="32607"/>
    <s v="880734094"/>
    <s v="2026000633"/>
    <s v="Produccion"/>
    <s v="Compañía"/>
    <s v="Renovable"/>
    <s v="Cobrado"/>
    <x v="37"/>
    <d v="2026-02-09T00:00:00"/>
    <d v="2026-02-09T00:00:00"/>
    <m/>
    <m/>
    <m/>
    <m/>
    <s v="Anual"/>
    <s v="1289 Allianz Auto Plus"/>
    <s v="Vehiculos"/>
    <x v="1"/>
    <s v="ALLIANZ"/>
    <s v="Euros"/>
    <n v="289.29000000000002"/>
    <n v="40.5"/>
    <n v="40.5"/>
    <n v="0"/>
    <m/>
    <n v="0"/>
    <m/>
    <n v="0"/>
    <m/>
    <n v="0"/>
    <m/>
    <n v="0"/>
  </r>
  <r>
    <s v="ARAYTOR"/>
    <s v="33908250V"/>
    <s v="20/9039420"/>
    <n v="30693"/>
    <s v="264335123 Sustituido"/>
    <s v="2026000634"/>
    <s v="Suplemento modificacion de produccion"/>
    <s v="Compañía"/>
    <s v="Renovable"/>
    <s v="Anulado"/>
    <x v="37"/>
    <d v="2026-01-29T00:00:00"/>
    <m/>
    <m/>
    <d v="2026-01-31T00:00:00"/>
    <m/>
    <m/>
    <s v="Anual"/>
    <s v="M - MAXI-AUTO"/>
    <s v="Vehiculos"/>
    <x v="1"/>
    <s v="FIATC "/>
    <s v="Euros"/>
    <n v="15.11"/>
    <n v="2"/>
    <n v="2"/>
    <n v="0"/>
    <m/>
    <n v="0"/>
    <m/>
    <n v="0"/>
    <m/>
    <n v="0"/>
    <m/>
    <n v="0"/>
  </r>
  <r>
    <s v="ARAYTOR"/>
    <s v="33908250V"/>
    <s v="20/9039420"/>
    <n v="30693"/>
    <s v="264335123"/>
    <s v="2026000635"/>
    <s v="Suplemento modificacion de produccion"/>
    <s v="Correduría"/>
    <s v="Renovable"/>
    <s v="Cobrado"/>
    <x v="37"/>
    <d v="2026-01-29T00:00:00"/>
    <d v="2026-01-31T00:00:00"/>
    <m/>
    <m/>
    <m/>
    <d v="2026-02-01T00:00:00"/>
    <s v="Anual"/>
    <s v="M - MAXI-AUTO"/>
    <s v="Vehiculos"/>
    <x v="1"/>
    <s v="FIATC "/>
    <s v="Euros"/>
    <n v="15.11"/>
    <n v="2"/>
    <n v="2"/>
    <n v="0"/>
    <m/>
    <n v="0"/>
    <m/>
    <n v="0"/>
    <m/>
    <n v="0"/>
    <m/>
    <n v="0"/>
  </r>
  <r>
    <s v="ARAYTOR"/>
    <s v="53299579T"/>
    <s v="3615550"/>
    <n v="32608"/>
    <s v="3615550-1"/>
    <s v="2026000636"/>
    <s v="Suplemento modificacion de produccion"/>
    <s v="Correduría"/>
    <s v="Renovable"/>
    <s v="Cobrado"/>
    <x v="37"/>
    <d v="2026-01-29T00:00:00"/>
    <d v="2026-02-12T00:00:00"/>
    <m/>
    <m/>
    <m/>
    <d v="2026-03-01T00:00:00"/>
    <s v="Anual"/>
    <s v="RC Musica"/>
    <s v="RC Promotor Musica"/>
    <x v="0"/>
    <s v="Hiscox S.A Sucursal en España"/>
    <s v="Euros"/>
    <n v="465.85"/>
    <n v="116.47"/>
    <n v="116.47"/>
    <n v="0"/>
    <m/>
    <n v="0"/>
    <m/>
    <n v="0"/>
    <m/>
    <n v="0"/>
    <m/>
    <n v="0"/>
  </r>
  <r>
    <s v="ARAYTOR"/>
    <s v="B13675491"/>
    <s v="RCEXP-CA15838"/>
    <n v="27893"/>
    <s v="2602073"/>
    <s v="2026000637"/>
    <s v="Produccion"/>
    <s v="Correduría"/>
    <s v="Temporal"/>
    <s v="Facturado"/>
    <x v="37"/>
    <d v="2026-03-11T00:00:00"/>
    <m/>
    <m/>
    <m/>
    <m/>
    <m/>
    <s v="Unico"/>
    <s v="RC Empresa"/>
    <s v="RC Empresa"/>
    <x v="0"/>
    <s v="CIRCLES GROUP, S.A."/>
    <s v="Euros"/>
    <n v="3080"/>
    <n v="560"/>
    <n v="560"/>
    <n v="0"/>
    <m/>
    <n v="0"/>
    <m/>
    <n v="0"/>
    <m/>
    <n v="0"/>
    <m/>
    <n v="0"/>
  </r>
  <r>
    <s v="ARAYTOR"/>
    <s v="B56381478"/>
    <s v="CE87610"/>
    <n v="30577"/>
    <s v="2602113"/>
    <s v="2026000638"/>
    <s v="Produccion"/>
    <s v="Correduría"/>
    <s v="Temporal"/>
    <s v="Cobrado"/>
    <x v="37"/>
    <d v="2025-02-06T00:00:00"/>
    <d v="2026-02-02T00:00:00"/>
    <m/>
    <m/>
    <m/>
    <d v="2026-02-03T00:00:00"/>
    <s v="Unico"/>
    <s v="Contingencias"/>
    <s v="Contingencias"/>
    <x v="9"/>
    <s v="CIRCLES GROUP, S.A."/>
    <s v="Euros"/>
    <n v="46684.36"/>
    <n v="4668.4399999999996"/>
    <n v="4668.4399999999996"/>
    <n v="0"/>
    <m/>
    <n v="0"/>
    <m/>
    <n v="0"/>
    <m/>
    <n v="0"/>
    <m/>
    <n v="0"/>
  </r>
  <r>
    <s v="ARAYTOR"/>
    <s v="F56739055"/>
    <s v="RCEXP-CA17405"/>
    <n v="30621"/>
    <s v="2602019"/>
    <s v="2026000639"/>
    <s v="Produccion"/>
    <s v="Correduría"/>
    <s v="Temporal"/>
    <s v="Cobrado"/>
    <x v="37"/>
    <d v="2026-02-27T00:00:00"/>
    <d v="2026-02-27T00:00:00"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88262431"/>
    <s v="CE92657"/>
    <n v="32251"/>
    <s v="2602084"/>
    <s v="2026000640"/>
    <s v="Produccion"/>
    <s v="Correduría"/>
    <s v="Temporal"/>
    <s v="Cobrado"/>
    <x v="37"/>
    <d v="2025-11-24T00:00:00"/>
    <d v="2026-02-03T00:00:00"/>
    <m/>
    <m/>
    <m/>
    <m/>
    <s v="Unico"/>
    <s v="Contingencias"/>
    <s v="Contingencias"/>
    <x v="9"/>
    <s v="CIRCLES GROUP, S.A."/>
    <s v="Euros"/>
    <n v="9405.69"/>
    <n v="1710.12"/>
    <n v="1710.12"/>
    <n v="0"/>
    <m/>
    <n v="0"/>
    <m/>
    <n v="0"/>
    <m/>
    <n v="0"/>
    <m/>
    <n v="0"/>
  </r>
  <r>
    <s v="ARAYTOR"/>
    <s v="G22005573"/>
    <s v="CE92865"/>
    <n v="32609"/>
    <s v="2602085"/>
    <s v="2026000641"/>
    <s v="Produccion"/>
    <s v="Correduría"/>
    <s v="Temporal"/>
    <s v="Cobrado"/>
    <x v="37"/>
    <d v="2026-01-29T00:00:00"/>
    <d v="2026-02-13T00:00:00"/>
    <m/>
    <m/>
    <d v="2026-03-01T00:00:00"/>
    <m/>
    <s v="Unico"/>
    <s v="Contingencias"/>
    <s v="Contingencias"/>
    <x v="9"/>
    <s v="CIRCLES GROUP, S.A."/>
    <s v="Euros"/>
    <n v="661.12"/>
    <n v="120.2"/>
    <n v="120.2"/>
    <n v="0"/>
    <m/>
    <n v="0"/>
    <s v="GRUPO GALILEA, S.A."/>
    <n v="66.11"/>
    <m/>
    <n v="0"/>
    <m/>
    <n v="0"/>
  </r>
  <r>
    <s v="ARAYTOR"/>
    <s v="B67875161"/>
    <s v="CE93104"/>
    <n v="32528"/>
    <s v="2602056"/>
    <s v="2026000642"/>
    <s v="Produccion"/>
    <s v="Correduría"/>
    <s v="Temporal"/>
    <s v="Cobrado"/>
    <x v="37"/>
    <d v="2026-01-08T00:00:00"/>
    <d v="2026-01-30T00:00:00"/>
    <m/>
    <m/>
    <m/>
    <d v="2026-02-15T00:00:00"/>
    <s v="Unico"/>
    <s v="Contingencias"/>
    <s v="Contingencias"/>
    <x v="9"/>
    <s v="CIRCLES GROUP, S.A."/>
    <s v="Euros"/>
    <n v="711.7"/>
    <n v="129.4"/>
    <n v="129.4"/>
    <n v="0"/>
    <m/>
    <n v="0"/>
    <m/>
    <n v="0"/>
    <m/>
    <n v="0"/>
    <m/>
    <n v="0"/>
  </r>
  <r>
    <s v="ARAYTOR"/>
    <s v="A58569815"/>
    <s v="CE92332-CE93405"/>
    <n v="32568"/>
    <s v="2602086"/>
    <s v="2026000643"/>
    <s v="Produccion"/>
    <s v="Correduría"/>
    <s v="Temporal"/>
    <s v="Cobrado"/>
    <x v="37"/>
    <d v="2026-01-19T00:00:00"/>
    <d v="2026-03-02T00:00:00"/>
    <m/>
    <m/>
    <m/>
    <m/>
    <s v="Unico"/>
    <s v="Contingencias"/>
    <s v="Contingencias"/>
    <x v="9"/>
    <s v="CIRCLES GROUP, S.A."/>
    <s v="Euros"/>
    <n v="154.28"/>
    <n v="28.05"/>
    <n v="28.05"/>
    <n v="0"/>
    <m/>
    <n v="0"/>
    <m/>
    <n v="0"/>
    <m/>
    <n v="0"/>
    <m/>
    <n v="0"/>
  </r>
  <r>
    <s v="ARAYTOR"/>
    <s v="A58569815"/>
    <s v="CE92332-CE93405"/>
    <n v="32568"/>
    <s v="2602087"/>
    <s v="2026000644"/>
    <s v="Produccion"/>
    <s v="Correduría"/>
    <s v="Temporal"/>
    <s v="Facturado"/>
    <x v="37"/>
    <d v="2026-01-19T00:00:00"/>
    <m/>
    <m/>
    <m/>
    <m/>
    <m/>
    <s v="Unico"/>
    <s v="Contingencias"/>
    <s v="Contingencias"/>
    <x v="9"/>
    <s v="CIRCLES GROUP, S.A."/>
    <s v="Euros"/>
    <n v="-30.86"/>
    <n v="-5.61"/>
    <n v="-5.61"/>
    <n v="0"/>
    <m/>
    <n v="0"/>
    <m/>
    <n v="0"/>
    <m/>
    <n v="0"/>
    <m/>
    <n v="0"/>
  </r>
  <r>
    <s v="ARAYTOR"/>
    <s v="B05458138"/>
    <s v="CE93568"/>
    <n v="32610"/>
    <s v="2602100"/>
    <s v="2026000645"/>
    <s v="Produccion"/>
    <s v="Correduría"/>
    <s v="Temporal"/>
    <s v="Cobrado"/>
    <x v="37"/>
    <d v="2026-01-29T00:00:00"/>
    <d v="2026-02-24T00:00:00"/>
    <m/>
    <m/>
    <m/>
    <m/>
    <s v="Unico"/>
    <s v="Contingencias"/>
    <s v="Contingencias"/>
    <x v="9"/>
    <s v="CIRCLES GROUP, S.A."/>
    <s v="Euros"/>
    <n v="1557.24"/>
    <n v="283.13"/>
    <n v="283.13"/>
    <n v="0"/>
    <m/>
    <n v="0"/>
    <m/>
    <n v="0"/>
    <m/>
    <n v="0"/>
    <m/>
    <n v="0"/>
  </r>
  <r>
    <s v="ARAYTOR"/>
    <s v="B88262431"/>
    <s v="CE93571"/>
    <n v="32611"/>
    <s v="2602054"/>
    <s v="2026000646"/>
    <s v="Produccion"/>
    <s v="Correduría"/>
    <s v="Temporal"/>
    <s v="Cobrado"/>
    <x v="37"/>
    <d v="2026-01-29T00:00:00"/>
    <d v="2026-02-03T00:00:00"/>
    <m/>
    <m/>
    <m/>
    <m/>
    <s v="Unico"/>
    <s v="Contingencias"/>
    <s v="Contingencias"/>
    <x v="9"/>
    <s v="CIRCLES GROUP, S.A."/>
    <s v="Euros"/>
    <n v="1453.44"/>
    <n v="264.26"/>
    <n v="264.26"/>
    <n v="0"/>
    <m/>
    <n v="0"/>
    <m/>
    <n v="0"/>
    <m/>
    <n v="0"/>
    <m/>
    <n v="0"/>
  </r>
  <r>
    <s v="ARAYTOR"/>
    <s v="B64753791"/>
    <s v="550468692"/>
    <n v="13069"/>
    <s v="463603126"/>
    <s v="2026000648"/>
    <s v="Ajustes"/>
    <s v="Correduría"/>
    <s v="Renovable"/>
    <s v="Cobrado"/>
    <x v="37"/>
    <d v="2026-01-31T00:00:00"/>
    <d v="2026-02-25T00:00:00"/>
    <m/>
    <m/>
    <m/>
    <d v="2026-03-01T00:00:00"/>
    <s v="Anual"/>
    <s v="Arag Subsidio"/>
    <s v="Subsidio Carnet Puntos"/>
    <x v="3"/>
    <s v="ARAG, S.E. Sucursal en España"/>
    <s v="Euros"/>
    <n v="-60.46"/>
    <n v="-12.09"/>
    <n v="-12.09"/>
    <n v="0"/>
    <m/>
    <n v="0"/>
    <m/>
    <n v="0"/>
    <m/>
    <n v="0"/>
    <m/>
    <n v="0"/>
  </r>
  <r>
    <s v="ARAYTOR"/>
    <s v="01919448"/>
    <s v="6143255"/>
    <n v="5000"/>
    <m/>
    <s v="2026000649"/>
    <s v="Cartera"/>
    <s v="Correduría"/>
    <s v="Renovable"/>
    <s v="Cobrado"/>
    <x v="37"/>
    <d v="2026-02-26T00:00:00"/>
    <d v="2026-02-26T00:00:00"/>
    <m/>
    <m/>
    <m/>
    <m/>
    <s v="Anual"/>
    <s v="Turismo"/>
    <s v="Turismo"/>
    <x v="1"/>
    <s v="FIATC  Andorra"/>
    <s v="Euros"/>
    <n v="2274.7800000000002"/>
    <n v="110.55"/>
    <n v="110.55"/>
    <n v="0"/>
    <m/>
    <n v="0"/>
    <m/>
    <n v="0"/>
    <m/>
    <n v="0"/>
    <m/>
    <n v="0"/>
  </r>
  <r>
    <s v="ARAYTOR"/>
    <s v="A708371H"/>
    <s v="5082917"/>
    <n v="17825"/>
    <m/>
    <s v="2026000650"/>
    <s v="Cartera"/>
    <s v="Compañía"/>
    <s v="Renovable"/>
    <s v="Facturado"/>
    <x v="37"/>
    <d v="2026-01-05T00:00:00"/>
    <m/>
    <m/>
    <m/>
    <m/>
    <m/>
    <s v="Anual"/>
    <s v="Hogar Andorra"/>
    <s v="Hogar"/>
    <x v="2"/>
    <s v="FIATC  Andorra"/>
    <s v="Euros"/>
    <n v="259.61"/>
    <n v="23.36"/>
    <n v="23.36"/>
    <n v="0"/>
    <m/>
    <n v="0"/>
    <m/>
    <n v="0"/>
    <m/>
    <n v="0"/>
    <m/>
    <n v="0"/>
  </r>
  <r>
    <s v="ARAYTOR"/>
    <s v="B87672788"/>
    <s v="HDIP62115438"/>
    <n v="27987"/>
    <m/>
    <s v="2026000651"/>
    <s v="Cartera"/>
    <s v="Correduría"/>
    <s v="Renovable"/>
    <s v="Facturado"/>
    <x v="37"/>
    <d v="2026-03-19T00:00:00"/>
    <m/>
    <m/>
    <m/>
    <m/>
    <m/>
    <s v="Anual"/>
    <s v="Hiscox Profesional"/>
    <s v="RC Directivos"/>
    <x v="8"/>
    <s v="Hiscox S.A Sucursal en España"/>
    <s v="Euros"/>
    <n v="702.46"/>
    <n v="140.49"/>
    <n v="140.49"/>
    <n v="0"/>
    <m/>
    <n v="0"/>
    <m/>
    <n v="0"/>
    <m/>
    <n v="0"/>
    <m/>
    <n v="0"/>
  </r>
  <r>
    <s v="ARAYTOR"/>
    <s v="B98540255"/>
    <s v="HD IP6 2056629"/>
    <n v="19285"/>
    <m/>
    <s v="2026000652"/>
    <s v="Cartera"/>
    <s v="Correduría"/>
    <s v="Renovable"/>
    <s v="Facturado"/>
    <x v="37"/>
    <d v="2026-04-03T00:00:00"/>
    <m/>
    <m/>
    <m/>
    <m/>
    <m/>
    <s v="Anual"/>
    <s v="Hiscox Profesional"/>
    <s v="RC Directivos"/>
    <x v="8"/>
    <s v="Hiscox S.A Sucursal en España"/>
    <s v="Euros"/>
    <n v="1113.51"/>
    <n v="222.71"/>
    <n v="222.71"/>
    <n v="0"/>
    <m/>
    <n v="0"/>
    <m/>
    <n v="0"/>
    <m/>
    <n v="0"/>
    <m/>
    <n v="0"/>
  </r>
  <r>
    <s v="ARAYTOR"/>
    <s v="PAP096935"/>
    <s v="27190164"/>
    <n v="32264"/>
    <s v="27190164 Error comision"/>
    <s v="2026000653"/>
    <s v="Cartera"/>
    <s v="Correduría"/>
    <s v="Temporal"/>
    <s v="Cobrado"/>
    <x v="37"/>
    <d v="2025-12-15T00:00:00"/>
    <d v="2026-01-31T00:00:00"/>
    <m/>
    <m/>
    <m/>
    <d v="2026-02-01T00:00:00"/>
    <s v="Unico"/>
    <s v="Asistencia en Viaje"/>
    <s v="Asistencia en Viaje"/>
    <x v="7"/>
    <s v="EUROP ASSISTANCE ESPAÑA, S.A"/>
    <s v="Euros"/>
    <n v="0"/>
    <n v="14.55"/>
    <n v="14.55"/>
    <n v="0"/>
    <m/>
    <n v="0"/>
    <m/>
    <n v="0"/>
    <m/>
    <n v="0"/>
    <m/>
    <n v="0"/>
  </r>
  <r>
    <s v="ARAYTOR"/>
    <s v="B98366461"/>
    <s v="HD IP6 2058335"/>
    <n v="19273"/>
    <m/>
    <s v="2026000654"/>
    <s v="Cartera"/>
    <s v="Correduría"/>
    <s v="Renovable"/>
    <s v="Facturado"/>
    <x v="37"/>
    <d v="2026-04-03T00:00:00"/>
    <m/>
    <m/>
    <m/>
    <m/>
    <m/>
    <s v="Anual"/>
    <s v="Hiscox Profesional"/>
    <s v="RC Directivos"/>
    <x v="8"/>
    <s v="Hiscox S.A Sucursal en España"/>
    <s v="Euros"/>
    <n v="942.2"/>
    <n v="188.43"/>
    <n v="188.43"/>
    <n v="0"/>
    <m/>
    <n v="0"/>
    <m/>
    <n v="0"/>
    <m/>
    <n v="0"/>
    <m/>
    <n v="0"/>
  </r>
  <r>
    <s v="ARAYTOR"/>
    <s v="B56525603"/>
    <s v="3556253"/>
    <n v="27289"/>
    <s v="3556253-3 Error comision"/>
    <s v="2026000655"/>
    <s v="Cartera"/>
    <s v="Correduría"/>
    <s v="Renovable"/>
    <s v="Cobrado"/>
    <x v="38"/>
    <d v="2025-11-25T00:00:00"/>
    <d v="2026-02-01T00:00:00"/>
    <m/>
    <m/>
    <m/>
    <d v="2026-02-01T00:00:00"/>
    <s v="Anual"/>
    <s v="RC Musica"/>
    <s v="RC Promotor Musica"/>
    <x v="0"/>
    <s v="Hiscox S.A Sucursal en España"/>
    <s v="Euros"/>
    <n v="0"/>
    <n v="-378.52"/>
    <n v="-378.52"/>
    <n v="0"/>
    <m/>
    <n v="0"/>
    <m/>
    <n v="0"/>
    <m/>
    <n v="0"/>
    <m/>
    <n v="0"/>
  </r>
  <r>
    <s v="ARAYTOR"/>
    <s v="W0050944H"/>
    <s v="3556391"/>
    <n v="27310"/>
    <s v="3556391-9 Errro comision"/>
    <s v="2026000656"/>
    <s v="Cartera"/>
    <s v="Correduría"/>
    <s v="Renovable"/>
    <s v="Cobrado"/>
    <x v="38"/>
    <d v="2025-11-26T00:00:00"/>
    <d v="2026-02-01T00:00:00"/>
    <m/>
    <m/>
    <m/>
    <d v="2026-02-01T00:00:00"/>
    <s v="Anual"/>
    <s v="RC Musica"/>
    <s v="RC Promotor Musica"/>
    <x v="0"/>
    <s v="Hiscox S.A Sucursal en España"/>
    <s v="Euros"/>
    <n v="0"/>
    <n v="67.17"/>
    <n v="67.17"/>
    <n v="0"/>
    <m/>
    <n v="0"/>
    <m/>
    <n v="0"/>
    <m/>
    <n v="0"/>
    <m/>
    <n v="0"/>
  </r>
  <r>
    <s v="ARAYTOR"/>
    <s v="W0050944H"/>
    <s v="3556391"/>
    <n v="27310"/>
    <s v="3556391-10 Error comision"/>
    <s v="2026000657"/>
    <s v="Cartera"/>
    <s v="Correduría"/>
    <s v="Renovable"/>
    <s v="Cobrado"/>
    <x v="38"/>
    <d v="2025-11-26T00:00:00"/>
    <d v="2026-02-01T00:00:00"/>
    <m/>
    <m/>
    <m/>
    <d v="2026-02-01T00:00:00"/>
    <s v="Anual"/>
    <s v="RC Musica"/>
    <s v="RC Promotor Musica"/>
    <x v="0"/>
    <s v="Hiscox S.A Sucursal en España"/>
    <s v="Euros"/>
    <n v="0"/>
    <n v="67.17"/>
    <n v="67.17"/>
    <n v="0"/>
    <m/>
    <n v="0"/>
    <m/>
    <n v="0"/>
    <m/>
    <n v="0"/>
    <m/>
    <n v="0"/>
  </r>
  <r>
    <s v="ARAYTOR"/>
    <s v="B44927051"/>
    <s v="396101"/>
    <n v="32612"/>
    <s v="558635"/>
    <s v="2026000660"/>
    <s v="Produccion"/>
    <s v="Correduría"/>
    <s v="Temporal"/>
    <s v="Cobrado"/>
    <x v="39"/>
    <d v="2026-03-05T00:00:00"/>
    <d v="2026-02-27T00:00:00"/>
    <m/>
    <m/>
    <m/>
    <m/>
    <s v="Unico"/>
    <s v="Temporal Nominado"/>
    <s v="Asistencia en Viaje"/>
    <x v="7"/>
    <s v="Iris Global Soluciones"/>
    <s v="Euros"/>
    <n v="704"/>
    <n v="176"/>
    <n v="176"/>
    <n v="0"/>
    <m/>
    <n v="0"/>
    <m/>
    <n v="0"/>
    <m/>
    <n v="0"/>
    <m/>
    <n v="0"/>
  </r>
  <r>
    <s v="ARAYTOR"/>
    <s v="B73908402"/>
    <s v="ESBOP248542"/>
    <n v="28905"/>
    <m/>
    <s v="2026000661"/>
    <s v="Cartera"/>
    <s v="Correduría"/>
    <s v="Renovable"/>
    <s v="Cobrado"/>
    <x v="39"/>
    <d v="2026-01-01T00:00:00"/>
    <d v="2026-02-16T00:00:00"/>
    <m/>
    <m/>
    <m/>
    <m/>
    <s v="Mensual"/>
    <s v="Ticketing"/>
    <s v="Asistencia en Viaje"/>
    <x v="7"/>
    <s v="CHUBB EUROPEAN GROUP LIMITED"/>
    <s v="Euros"/>
    <n v="1134.98"/>
    <n v="56.75"/>
    <n v="56.75"/>
    <n v="0"/>
    <m/>
    <n v="0"/>
    <m/>
    <n v="0"/>
    <m/>
    <n v="0"/>
    <m/>
    <n v="0"/>
  </r>
  <r>
    <s v="ARAYTOR"/>
    <s v="B10804300"/>
    <s v="ESBOP247880"/>
    <n v="28349"/>
    <m/>
    <s v="2026000664"/>
    <s v="Cartera"/>
    <s v="Correduría"/>
    <s v="Renovable"/>
    <s v="Anulado"/>
    <x v="39"/>
    <d v="2026-01-01T00:00:00"/>
    <m/>
    <d v="2026-03-01T00:00:00"/>
    <d v="2026-02-15T00:00:00"/>
    <m/>
    <m/>
    <s v="Mensual"/>
    <s v="Ticketing"/>
    <s v="Asistencia en Viaje"/>
    <x v="7"/>
    <s v="CHUBB EUROPEAN GROUP LIMITED"/>
    <s v="Euros"/>
    <n v="962.22"/>
    <n v="48.11"/>
    <n v="48.11"/>
    <n v="0"/>
    <m/>
    <n v="0"/>
    <m/>
    <n v="0"/>
    <m/>
    <n v="0"/>
    <m/>
    <n v="0"/>
  </r>
  <r>
    <s v="ARAYTOR"/>
    <s v="B63644462"/>
    <s v="HDIP63559043"/>
    <n v="27414"/>
    <m/>
    <s v="2026000665"/>
    <s v="Cartera"/>
    <s v="Correduría"/>
    <s v="Renovable"/>
    <s v="Cobrado"/>
    <x v="39"/>
    <d v="2026-01-01T00:00:00"/>
    <d v="2026-02-04T00:00:00"/>
    <m/>
    <m/>
    <m/>
    <d v="2026-02-09T00:00:00"/>
    <s v="Anual"/>
    <s v="RC Profesional"/>
    <s v="RC Profesional"/>
    <x v="8"/>
    <s v="Hiscox S.A Sucursal en España"/>
    <s v="Euros"/>
    <n v="1068"/>
    <n v="0"/>
    <n v="0"/>
    <n v="0"/>
    <m/>
    <n v="0"/>
    <m/>
    <n v="0"/>
    <m/>
    <n v="0"/>
    <m/>
    <n v="0"/>
  </r>
  <r>
    <s v="ARAYTOR"/>
    <s v="02246934H"/>
    <s v="RCEXP-CA15497"/>
    <n v="27571"/>
    <s v="2602166"/>
    <s v="2026000672"/>
    <s v="Produccion"/>
    <s v="Correduría"/>
    <s v="Temporal"/>
    <s v="Cobrado"/>
    <x v="40"/>
    <d v="2026-02-01T00:00:00"/>
    <d v="2026-02-05T00:00:00"/>
    <m/>
    <m/>
    <m/>
    <d v="2026-02-15T00:00:00"/>
    <s v="Unico"/>
    <s v="RC Empresa"/>
    <s v="RC Empresa"/>
    <x v="0"/>
    <s v="CIRCLES GROUP, S.A."/>
    <s v="Euros"/>
    <n v="1368"/>
    <n v="248.72"/>
    <n v="248.72"/>
    <n v="0"/>
    <m/>
    <n v="0"/>
    <m/>
    <n v="0"/>
    <m/>
    <n v="0"/>
    <m/>
    <n v="0"/>
  </r>
  <r>
    <s v="ARAYTOR"/>
    <s v="B56704265"/>
    <s v="RCEXP-CA15634"/>
    <n v="27618"/>
    <s v="2602224"/>
    <s v="2026000673"/>
    <s v="Produccion"/>
    <s v="Correduría"/>
    <s v="Temporal"/>
    <s v="Facturado"/>
    <x v="40"/>
    <d v="2026-02-01T00:00:00"/>
    <m/>
    <m/>
    <m/>
    <m/>
    <m/>
    <s v="Unico"/>
    <s v="RC Empresa"/>
    <s v="RC Empresa"/>
    <x v="0"/>
    <s v="CIRCLES GROUP, S.A."/>
    <s v="Euros"/>
    <n v="24640"/>
    <n v="4480"/>
    <n v="4480"/>
    <n v="0"/>
    <m/>
    <n v="0"/>
    <m/>
    <n v="0"/>
    <m/>
    <n v="0"/>
    <m/>
    <n v="0"/>
  </r>
  <r>
    <s v="ARAYTOR"/>
    <s v="PT513019626"/>
    <s v="RCEXP-CA17306"/>
    <n v="30520"/>
    <s v="2602167"/>
    <s v="2026000674"/>
    <s v="Produccion"/>
    <s v="Correduría"/>
    <s v="Temporal"/>
    <s v="Cobrado"/>
    <x v="40"/>
    <d v="2026-02-01T00:00:00"/>
    <d v="2026-02-05T00:00:00"/>
    <m/>
    <m/>
    <m/>
    <d v="2026-02-15T00:00:00"/>
    <s v="Unico"/>
    <s v="RC Empresa"/>
    <s v="RC Empresa"/>
    <x v="0"/>
    <s v="CIRCLES GROUP, S.A."/>
    <s v="Euros"/>
    <n v="3919.94"/>
    <n v="712.72"/>
    <n v="712.72"/>
    <n v="0"/>
    <m/>
    <n v="0"/>
    <m/>
    <n v="0"/>
    <m/>
    <n v="0"/>
    <m/>
    <n v="0"/>
  </r>
  <r>
    <s v="ARAYTOR"/>
    <s v="PT513019626"/>
    <s v="RCEXP-CA17306"/>
    <n v="30520"/>
    <s v="2602168"/>
    <s v="2026000675"/>
    <s v="Produccion"/>
    <s v="Correduría"/>
    <s v="Temporal"/>
    <s v="Facturado"/>
    <x v="40"/>
    <d v="2026-02-01T00:00:00"/>
    <m/>
    <m/>
    <m/>
    <m/>
    <m/>
    <s v="Unico"/>
    <s v="RC Empresa"/>
    <s v="RC Empresa"/>
    <x v="0"/>
    <s v="CIRCLES GROUP, S.A."/>
    <s v="Euros"/>
    <n v="3919.94"/>
    <n v="712.72"/>
    <n v="712.72"/>
    <n v="0"/>
    <m/>
    <n v="0"/>
    <m/>
    <n v="0"/>
    <m/>
    <n v="0"/>
    <m/>
    <n v="0"/>
  </r>
  <r>
    <s v="ARAYTOR"/>
    <s v="B99489080"/>
    <s v="CE89304"/>
    <n v="31336"/>
    <s v="2602193"/>
    <s v="2026000676"/>
    <s v="Produccion"/>
    <s v="Correduría"/>
    <s v="Temporal"/>
    <s v="Cobrado"/>
    <x v="40"/>
    <d v="2025-06-05T00:00:00"/>
    <d v="2026-02-17T00:00:00"/>
    <m/>
    <m/>
    <m/>
    <m/>
    <s v="Unico"/>
    <s v="Contingencias"/>
    <s v="Contingencias"/>
    <x v="9"/>
    <s v="CIRCLES GROUP, S.A."/>
    <s v="Euros"/>
    <n v="3483.59"/>
    <n v="633.38"/>
    <n v="633.38"/>
    <n v="0"/>
    <m/>
    <n v="0"/>
    <m/>
    <n v="0"/>
    <m/>
    <n v="0"/>
    <m/>
    <n v="0"/>
  </r>
  <r>
    <s v="ARAYTOR"/>
    <s v="B88262431"/>
    <s v="CE92034"/>
    <n v="32153"/>
    <s v="2602190"/>
    <s v="2026000677"/>
    <s v="Produccion"/>
    <s v="Correduría"/>
    <s v="Temporal"/>
    <s v="Cobrado"/>
    <x v="40"/>
    <d v="2025-10-28T00:00:00"/>
    <d v="2026-02-03T00:00:00"/>
    <m/>
    <m/>
    <m/>
    <m/>
    <s v="Unico"/>
    <s v="Contingencias"/>
    <s v="Contingencias"/>
    <x v="9"/>
    <s v="CIRCLES GROUP, S.A."/>
    <s v="Euros"/>
    <n v="2166.31"/>
    <n v="393.88"/>
    <n v="393.88"/>
    <n v="0"/>
    <m/>
    <n v="0"/>
    <m/>
    <n v="0"/>
    <m/>
    <n v="0"/>
    <m/>
    <n v="0"/>
  </r>
  <r>
    <s v="ARAYTOR"/>
    <s v="V70779822"/>
    <s v="CE92406"/>
    <n v="32516"/>
    <s v="2602229"/>
    <s v="2026000678"/>
    <s v="Produccion"/>
    <s v="Correduría"/>
    <s v="Temporal"/>
    <s v="Facturado"/>
    <x v="40"/>
    <d v="2026-01-02T00:00:00"/>
    <m/>
    <m/>
    <m/>
    <m/>
    <m/>
    <s v="Unico"/>
    <s v="Contingencias"/>
    <s v="Contingencias"/>
    <x v="9"/>
    <s v="CIRCLES GROUP, S.A."/>
    <s v="Euros"/>
    <n v="15261.22"/>
    <n v="2774.77"/>
    <n v="2774.77"/>
    <n v="0"/>
    <m/>
    <n v="0"/>
    <m/>
    <n v="0"/>
    <m/>
    <n v="0"/>
    <m/>
    <n v="0"/>
  </r>
  <r>
    <s v="ARAYTOR"/>
    <s v="V70779822"/>
    <s v="CE92406"/>
    <n v="32516"/>
    <s v="2602230"/>
    <s v="2026000679"/>
    <s v="Produccion"/>
    <s v="Correduría"/>
    <s v="Temporal"/>
    <s v="Facturado"/>
    <x v="40"/>
    <d v="2026-01-02T00:00:00"/>
    <m/>
    <m/>
    <m/>
    <m/>
    <m/>
    <s v="Unico"/>
    <s v="Contingencias"/>
    <s v="Contingencias"/>
    <x v="9"/>
    <s v="CIRCLES GROUP, S.A."/>
    <s v="Euros"/>
    <n v="15261.22"/>
    <n v="2774.77"/>
    <n v="2774.77"/>
    <n v="0"/>
    <m/>
    <n v="0"/>
    <m/>
    <n v="0"/>
    <m/>
    <n v="0"/>
    <m/>
    <n v="0"/>
  </r>
  <r>
    <s v="ARAYTOR"/>
    <s v="B83958934"/>
    <s v="CE92561"/>
    <n v="32244"/>
    <s v="2602194"/>
    <s v="2026000680"/>
    <s v="Produccion"/>
    <s v="Correduría"/>
    <s v="Temporal"/>
    <s v="Cobrado"/>
    <x v="40"/>
    <d v="2025-11-20T00:00:00"/>
    <d v="2026-02-26T00:00:00"/>
    <m/>
    <m/>
    <m/>
    <m/>
    <s v="Unico"/>
    <s v="Contingencias"/>
    <s v="Contingencias"/>
    <x v="9"/>
    <s v="CIRCLES GROUP, S.A."/>
    <s v="Euros"/>
    <n v="7220.06"/>
    <n v="1312.74"/>
    <n v="1312.74"/>
    <n v="0"/>
    <m/>
    <n v="0"/>
    <m/>
    <n v="0"/>
    <m/>
    <n v="0"/>
    <m/>
    <n v="0"/>
  </r>
  <r>
    <s v="ARAYTOR"/>
    <s v="B11459435"/>
    <s v="CE93055"/>
    <n v="32505"/>
    <s v="2602189"/>
    <s v="2026000681"/>
    <s v="Produccion"/>
    <s v="Correduría"/>
    <s v="Temporal"/>
    <s v="Cobrado"/>
    <x v="40"/>
    <d v="2026-01-02T00:00:00"/>
    <d v="2026-02-20T00:00:00"/>
    <m/>
    <m/>
    <m/>
    <m/>
    <s v="Unico"/>
    <s v="Contingencias"/>
    <s v="Contingencias"/>
    <x v="9"/>
    <s v="CIRCLES GROUP, S.A."/>
    <s v="Euros"/>
    <n v="289.13"/>
    <n v="52.57"/>
    <n v="52.57"/>
    <n v="0"/>
    <m/>
    <n v="0"/>
    <m/>
    <n v="0"/>
    <m/>
    <n v="0"/>
    <m/>
    <n v="0"/>
  </r>
  <r>
    <s v="ARAYTOR"/>
    <s v="B63930564"/>
    <s v="RCEXP-CA19244"/>
    <n v="32613"/>
    <s v="2602165"/>
    <s v="2026000682"/>
    <s v="Produccion"/>
    <s v="Correduría"/>
    <s v="Temporal"/>
    <s v="Cobrado"/>
    <x v="40"/>
    <d v="2026-02-01T00:00:00"/>
    <d v="2026-02-12T00:00:00"/>
    <m/>
    <m/>
    <d v="2026-03-01T00:00:00"/>
    <d v="2026-02-15T00:00:00"/>
    <s v="Unico"/>
    <s v="RC Empresa"/>
    <s v="RC Empresa"/>
    <x v="0"/>
    <s v="CIRCLES GROUP, S.A."/>
    <s v="Euros"/>
    <n v="508.55"/>
    <n v="92.46"/>
    <n v="92.46"/>
    <n v="0"/>
    <m/>
    <n v="0"/>
    <s v="RIBE &amp; SALAT, S.A."/>
    <n v="50.86"/>
    <m/>
    <n v="0"/>
    <m/>
    <n v="0"/>
  </r>
  <r>
    <s v="ARAYTOR"/>
    <s v="B88262431"/>
    <s v="CE93583"/>
    <n v="32614"/>
    <s v="2602110"/>
    <s v="2026000683"/>
    <s v="Produccion"/>
    <s v="Correduría"/>
    <s v="Temporal"/>
    <s v="Cobrado"/>
    <x v="40"/>
    <d v="2026-01-30T00:00:00"/>
    <d v="2026-02-03T00:00:00"/>
    <m/>
    <m/>
    <m/>
    <m/>
    <s v="Unico"/>
    <s v="Contingencias"/>
    <s v="Contingencias"/>
    <x v="9"/>
    <s v="CIRCLES GROUP, S.A."/>
    <s v="Euros"/>
    <n v="9621.3700000000008"/>
    <n v="1749.34"/>
    <n v="1749.34"/>
    <n v="0"/>
    <m/>
    <n v="0"/>
    <m/>
    <n v="0"/>
    <m/>
    <n v="0"/>
    <m/>
    <n v="0"/>
  </r>
  <r>
    <s v="ARAYTOR"/>
    <s v="B88211040"/>
    <s v="RCEXP-CA19257"/>
    <n v="32615"/>
    <s v="2602235"/>
    <s v="2026000684"/>
    <s v="Produccion"/>
    <s v="Correduría"/>
    <s v="Temporal"/>
    <s v="Cobrado"/>
    <x v="40"/>
    <d v="2026-02-04T00:00:00"/>
    <d v="2026-02-05T00:00:00"/>
    <m/>
    <m/>
    <m/>
    <d v="2026-02-15T00:00:00"/>
    <s v="Unico"/>
    <s v="RC Empresa"/>
    <s v="RC Empresa"/>
    <x v="0"/>
    <s v="CIRCLES GROUP, S.A."/>
    <s v="Euros"/>
    <n v="554.79"/>
    <n v="100.87"/>
    <n v="100.87"/>
    <n v="0"/>
    <m/>
    <n v="0"/>
    <m/>
    <n v="0"/>
    <m/>
    <n v="0"/>
    <m/>
    <n v="0"/>
  </r>
  <r>
    <s v="ARAYTOR"/>
    <s v="39108504V"/>
    <s v="0060004306298"/>
    <n v="15454"/>
    <m/>
    <s v="2026000685"/>
    <s v="Cartera"/>
    <s v="Compañía"/>
    <s v="Renovable"/>
    <s v="Cobrado"/>
    <x v="40"/>
    <d v="2026-01-01T00:00:00"/>
    <d v="2026-01-29T00:00:00"/>
    <m/>
    <m/>
    <d v="2026-03-01T00:00:00"/>
    <d v="2026-01-29T00:00:00"/>
    <s v="Mensual"/>
    <s v="Mundisalud classic"/>
    <s v="Mixta"/>
    <x v="4"/>
    <s v="DKV"/>
    <s v="Euros"/>
    <n v="548"/>
    <n v="82.19"/>
    <n v="82.19"/>
    <n v="0"/>
    <m/>
    <n v="0"/>
    <s v="TON ABAD (ANTIC)"/>
    <n v="0"/>
    <m/>
    <n v="0"/>
    <m/>
    <n v="0"/>
  </r>
  <r>
    <s v="ARAYTOR"/>
    <s v="B17858630"/>
    <s v="ESBOP247259"/>
    <n v="27765"/>
    <m/>
    <s v="2026000686"/>
    <s v="Cartera"/>
    <s v="Correduría"/>
    <s v="Renovable"/>
    <s v="Facturado"/>
    <x v="40"/>
    <d v="2026-01-01T00:00:00"/>
    <m/>
    <m/>
    <m/>
    <m/>
    <m/>
    <s v="Mensual"/>
    <s v="Ticketing"/>
    <s v="Asistencia en Viaje"/>
    <x v="7"/>
    <s v="CHUBB EUROPEAN GROUP LIMITED"/>
    <s v="Euros"/>
    <n v="33.29"/>
    <n v="1.66"/>
    <n v="1.66"/>
    <n v="0"/>
    <m/>
    <n v="0"/>
    <m/>
    <n v="0"/>
    <m/>
    <n v="0"/>
    <m/>
    <n v="0"/>
  </r>
  <r>
    <s v="ARAYTOR"/>
    <s v="50897109H"/>
    <s v="058313507"/>
    <n v="32616"/>
    <s v="881016731"/>
    <s v="2026000687"/>
    <s v="Produccion"/>
    <s v="Compañía"/>
    <s v="Renovable"/>
    <s v="Cobrado"/>
    <x v="40"/>
    <d v="2026-01-30T00:00:00"/>
    <d v="2026-02-02T00:00:00"/>
    <m/>
    <m/>
    <m/>
    <m/>
    <s v="Anual"/>
    <s v="1285 Allianz Auto Plus TR"/>
    <s v="Vehiculos"/>
    <x v="1"/>
    <s v="ALLIANZ"/>
    <s v="Euros"/>
    <n v="782.4"/>
    <n v="86.06"/>
    <n v="86.06"/>
    <n v="0"/>
    <m/>
    <n v="0"/>
    <m/>
    <n v="0"/>
    <m/>
    <n v="0"/>
    <m/>
    <n v="0"/>
  </r>
  <r>
    <s v="ARAYTOR"/>
    <s v="40528504C"/>
    <s v="050081337-00103"/>
    <n v="26677"/>
    <s v="880910637"/>
    <s v="2026000688"/>
    <s v="Cartera"/>
    <s v="Correduría"/>
    <s v="Renovable"/>
    <s v="Cobrado"/>
    <x v="40"/>
    <d v="2025-04-01T00:00:00"/>
    <d v="2026-02-03T00:00:00"/>
    <m/>
    <m/>
    <m/>
    <d v="2026-04-01T00:00:00"/>
    <s v="Anual"/>
    <s v="1221 Allianz V.03 (VH.Com.2ª categ.)"/>
    <s v="Vehiculos"/>
    <x v="1"/>
    <s v="ALLIANZ"/>
    <s v="Euros"/>
    <n v="-376.68"/>
    <n v="-30.13"/>
    <n v="-30.13"/>
    <n v="0"/>
    <m/>
    <n v="0"/>
    <m/>
    <n v="0"/>
    <m/>
    <n v="0"/>
    <m/>
    <n v="0"/>
  </r>
  <r>
    <s v="ARAYTOR"/>
    <s v="45486979V"/>
    <s v="06056508"/>
    <n v="5092"/>
    <s v="51586036"/>
    <s v="2026000689"/>
    <s v="Suplemento modificacion de produccion"/>
    <s v="Compañía"/>
    <s v="Renovable"/>
    <s v="Anulado"/>
    <x v="40"/>
    <d v="2026-02-01T00:00:00"/>
    <m/>
    <m/>
    <d v="2026-02-12T00:00:00"/>
    <d v="2026-03-01T00:00:00"/>
    <m/>
    <s v="Mensual"/>
    <s v="08792 - SALUD INDIVIDUAL MIGRACION"/>
    <s v="Cuadro Cerrado"/>
    <x v="4"/>
    <s v="AXA"/>
    <s v="Euros"/>
    <n v="287.11"/>
    <n v="28.71"/>
    <n v="28.71"/>
    <n v="0"/>
    <m/>
    <n v="0"/>
    <s v="TON ABAD (ANTIC)"/>
    <n v="0"/>
    <m/>
    <n v="0"/>
    <m/>
    <n v="0"/>
  </r>
  <r>
    <s v="ARAYTOR"/>
    <s v="B59437178"/>
    <s v="019969297"/>
    <n v="1383"/>
    <s v="577126422 Sobre"/>
    <s v="2026000690"/>
    <s v="Cartera"/>
    <s v="Correduría"/>
    <s v="Renovable"/>
    <s v="Cobrado"/>
    <x v="40"/>
    <d v="2025-11-29T00:00:00"/>
    <d v="2026-02-03T00:00:00"/>
    <m/>
    <m/>
    <m/>
    <d v="2026-02-01T00:00:00"/>
    <s v="Anual"/>
    <s v="Multirriesgo Empresarial"/>
    <s v="PYME"/>
    <x v="3"/>
    <s v="ALLIANZ"/>
    <s v="Euros"/>
    <n v="0"/>
    <n v="671.73"/>
    <n v="671.73"/>
    <n v="0"/>
    <m/>
    <n v="0"/>
    <m/>
    <n v="0"/>
    <m/>
    <n v="0"/>
    <m/>
    <n v="0"/>
  </r>
  <r>
    <s v="ARAYTOR"/>
    <s v="B64753791"/>
    <s v="040484951"/>
    <n v="17727"/>
    <s v="577127206 Sobre"/>
    <s v="2026000691"/>
    <s v="Cartera"/>
    <s v="Correduría"/>
    <s v="Renovable"/>
    <s v="Cobrado"/>
    <x v="40"/>
    <d v="2025-12-01T00:00:00"/>
    <d v="2026-02-03T00:00:00"/>
    <m/>
    <m/>
    <m/>
    <d v="2026-02-01T00:00:00"/>
    <s v="Anual"/>
    <s v="133 Accidentes Colectivo"/>
    <s v="Accidentes Colectivo"/>
    <x v="10"/>
    <s v="ALLIANZ"/>
    <s v="Euros"/>
    <n v="0"/>
    <n v="54.29"/>
    <n v="54.29"/>
    <n v="0"/>
    <m/>
    <n v="0"/>
    <m/>
    <n v="0"/>
    <m/>
    <n v="0"/>
    <m/>
    <n v="0"/>
  </r>
  <r>
    <s v="ARAYTOR"/>
    <s v="B60448487"/>
    <s v="030693631"/>
    <n v="12015"/>
    <s v="577126828 Sobre"/>
    <s v="2026000692"/>
    <s v="Cartera"/>
    <s v="Correduría"/>
    <s v="Renovable"/>
    <s v="Cobrado"/>
    <x v="40"/>
    <d v="2025-12-31T00:00:00"/>
    <d v="2026-02-03T00:00:00"/>
    <m/>
    <m/>
    <m/>
    <d v="2026-02-01T00:00:00"/>
    <s v="Anual"/>
    <s v="156 Accidentes Convenio"/>
    <s v="Accidentes"/>
    <x v="4"/>
    <s v="ALLIANZ"/>
    <s v="Euros"/>
    <n v="0"/>
    <n v="23.8"/>
    <n v="23.8"/>
    <n v="0"/>
    <m/>
    <n v="0"/>
    <m/>
    <n v="0"/>
    <m/>
    <n v="0"/>
    <m/>
    <n v="0"/>
  </r>
  <r>
    <s v="ARAYTOR"/>
    <s v="39718933A"/>
    <s v="041003380"/>
    <n v="17990"/>
    <s v="577127214 Sobre"/>
    <s v="2026000693"/>
    <s v="Cartera"/>
    <s v="Correduría"/>
    <s v="Renovable"/>
    <s v="Cobrado"/>
    <x v="40"/>
    <d v="2025-12-31T00:00:00"/>
    <d v="2026-02-03T00:00:00"/>
    <m/>
    <m/>
    <m/>
    <d v="2026-02-01T00:00:00"/>
    <s v="Anual"/>
    <s v="156 Accidentes Convenio"/>
    <s v="Accidentes"/>
    <x v="4"/>
    <s v="ALLIANZ"/>
    <s v="Euros"/>
    <n v="0"/>
    <n v="2.4300000000000002"/>
    <n v="2.4300000000000002"/>
    <n v="0"/>
    <m/>
    <n v="0"/>
    <m/>
    <n v="0"/>
    <m/>
    <n v="0"/>
    <m/>
    <n v="0"/>
  </r>
  <r>
    <s v="ARAYTOR"/>
    <s v="B97548986"/>
    <s v="RCEXP-CA15661"/>
    <n v="27701"/>
    <s v="2602290"/>
    <s v="2026000694"/>
    <s v="Produccion"/>
    <s v="Correduría"/>
    <s v="Temporal"/>
    <s v="Cobrado"/>
    <x v="41"/>
    <d v="2026-02-07T00:00:00"/>
    <d v="2026-02-16T00:00:00"/>
    <m/>
    <m/>
    <d v="2026-03-01T00:00:00"/>
    <m/>
    <s v="Unico"/>
    <s v="RC Empresa"/>
    <s v="RC Empresa"/>
    <x v="0"/>
    <s v="CIRCLES GROUP, S.A."/>
    <s v="Euros"/>
    <n v="693.48"/>
    <n v="126.08"/>
    <n v="126.08"/>
    <n v="0"/>
    <m/>
    <n v="0"/>
    <s v="CUENTA CON MEDIO CdS, S.L."/>
    <n v="69.349999999999994"/>
    <m/>
    <n v="0"/>
    <m/>
    <n v="0"/>
  </r>
  <r>
    <s v="ARAYTOR"/>
    <s v="V87534483"/>
    <s v="RCEXP-CA15768"/>
    <n v="27866"/>
    <s v="2602319"/>
    <s v="2026000695"/>
    <s v="Produccion"/>
    <s v="Correduría"/>
    <s v="Temporal"/>
    <s v="Cobrado"/>
    <x v="41"/>
    <d v="2026-03-01T00:00:00"/>
    <d v="2026-03-02T00:00:00"/>
    <m/>
    <m/>
    <m/>
    <m/>
    <s v="Unico"/>
    <s v="RC Empresa"/>
    <s v="RC Empresa"/>
    <x v="0"/>
    <s v="CIRCLES GROUP, S.A."/>
    <s v="Euros"/>
    <n v="4824"/>
    <n v="877.1"/>
    <n v="877.1"/>
    <n v="0"/>
    <m/>
    <n v="0"/>
    <m/>
    <n v="0"/>
    <m/>
    <n v="0"/>
    <m/>
    <n v="0"/>
  </r>
  <r>
    <s v="ARAYTOR"/>
    <s v="V42575910"/>
    <s v="RCEXP-CA15770"/>
    <n v="27869"/>
    <s v="2602318"/>
    <s v="2026000696"/>
    <s v="Produccion"/>
    <s v="Correduría"/>
    <s v="Temporal"/>
    <s v="Cobrado"/>
    <x v="41"/>
    <d v="2026-03-01T00:00:00"/>
    <d v="2026-03-02T00:00:00"/>
    <m/>
    <m/>
    <m/>
    <m/>
    <s v="Unico"/>
    <s v="RC Empresa"/>
    <s v="RC Empresa"/>
    <x v="0"/>
    <s v="CIRCLES GROUP, S.A."/>
    <s v="Euros"/>
    <n v="4020"/>
    <n v="730.91"/>
    <n v="730.91"/>
    <n v="0"/>
    <m/>
    <n v="0"/>
    <m/>
    <n v="0"/>
    <m/>
    <n v="0"/>
    <m/>
    <n v="0"/>
  </r>
  <r>
    <s v="ARAYTOR"/>
    <s v="V44814002"/>
    <s v="RCEXP-CA15769"/>
    <n v="27870"/>
    <s v="2602296"/>
    <s v="2026000697"/>
    <s v="Produccion"/>
    <s v="Correduría"/>
    <s v="Temporal"/>
    <s v="Cobrado"/>
    <x v="41"/>
    <d v="2026-03-01T00:00:00"/>
    <d v="2026-03-02T00:00:00"/>
    <m/>
    <m/>
    <m/>
    <m/>
    <s v="Unico"/>
    <s v="RC Empresa"/>
    <s v="RC Empresa"/>
    <x v="0"/>
    <s v="CIRCLES GROUP, S.A."/>
    <s v="Euros"/>
    <n v="3350"/>
    <n v="609.1"/>
    <n v="609.1"/>
    <n v="0"/>
    <m/>
    <n v="0"/>
    <m/>
    <n v="0"/>
    <m/>
    <n v="0"/>
    <m/>
    <n v="0"/>
  </r>
  <r>
    <s v="ARAYTOR"/>
    <s v="B54749163"/>
    <s v="RCEXP-CA17310"/>
    <n v="30509"/>
    <s v="2602291"/>
    <s v="2026000698"/>
    <s v="Produccion"/>
    <s v="Correduría"/>
    <s v="Temporal"/>
    <s v="Cobrado"/>
    <x v="41"/>
    <d v="2026-03-01T00:00:00"/>
    <d v="2026-03-02T00:00:00"/>
    <m/>
    <m/>
    <m/>
    <m/>
    <s v="Unico"/>
    <s v="RC Empresa"/>
    <s v="RC Empresa"/>
    <x v="0"/>
    <s v="CIRCLES GROUP, S.A."/>
    <s v="Euros"/>
    <n v="4154"/>
    <n v="755.27"/>
    <n v="755.27"/>
    <n v="0"/>
    <m/>
    <n v="0"/>
    <m/>
    <n v="0"/>
    <m/>
    <n v="0"/>
    <m/>
    <n v="0"/>
  </r>
  <r>
    <s v="ARAYTOR"/>
    <s v="A82822735"/>
    <s v="RCEXP-CA17395"/>
    <n v="30598"/>
    <s v="2602289"/>
    <s v="2026000699"/>
    <s v="Produccion"/>
    <s v="Correduría"/>
    <s v="Temporal"/>
    <s v="Cobrado"/>
    <x v="41"/>
    <d v="2026-02-11T00:00:00"/>
    <d v="2026-02-05T00:00:00"/>
    <m/>
    <m/>
    <m/>
    <d v="2026-02-15T00:00:00"/>
    <s v="Unico"/>
    <s v="RC Empresa"/>
    <s v="RC Empresa"/>
    <x v="0"/>
    <s v="CIRCLES GROUP, S.A."/>
    <s v="Euros"/>
    <n v="920"/>
    <n v="167.27"/>
    <n v="167.27"/>
    <n v="0"/>
    <m/>
    <n v="0"/>
    <m/>
    <n v="0"/>
    <m/>
    <n v="0"/>
    <m/>
    <n v="0"/>
  </r>
  <r>
    <s v="ARAYTOR"/>
    <s v="B76702331"/>
    <s v="RCEXP-CA19267"/>
    <n v="32617"/>
    <s v="2602287"/>
    <s v="2026000700"/>
    <s v="Produccion"/>
    <s v="Correduría"/>
    <s v="Temporal"/>
    <s v="Cobrado"/>
    <x v="41"/>
    <d v="2026-02-03T00:00:00"/>
    <d v="2026-02-03T00:00:00"/>
    <m/>
    <m/>
    <m/>
    <d v="2026-02-15T00:00:00"/>
    <s v="Unico"/>
    <s v="RC Empresa"/>
    <s v="RC Empresa"/>
    <x v="0"/>
    <s v="CIRCLES GROUP, S.A."/>
    <s v="Euros"/>
    <n v="2088"/>
    <n v="379.64"/>
    <n v="379.64"/>
    <n v="0"/>
    <m/>
    <n v="0"/>
    <m/>
    <n v="0"/>
    <m/>
    <n v="0"/>
    <m/>
    <n v="0"/>
  </r>
  <r>
    <s v="ARAYTOR"/>
    <s v="B63777049"/>
    <s v="RCEXP-CA19266"/>
    <n v="32619"/>
    <s v="2602288"/>
    <s v="2026000701"/>
    <s v="Produccion"/>
    <s v="Correduría"/>
    <s v="Temporal"/>
    <s v="Cobrado"/>
    <x v="41"/>
    <d v="2026-02-24T00:00:00"/>
    <d v="2026-02-24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50717750"/>
    <s v="050081337-00158"/>
    <n v="32259"/>
    <s v="876091145-30 Retrocesion"/>
    <s v="2026000702"/>
    <s v="Cartera"/>
    <s v="Correduría"/>
    <s v="Renovable"/>
    <s v="Cobrado"/>
    <x v="41"/>
    <d v="2025-12-01T00:00:00"/>
    <d v="2026-02-04T00:00:00"/>
    <m/>
    <m/>
    <m/>
    <d v="2026-02-04T00:00:00"/>
    <s v="Anual"/>
    <s v="1221 Allianz V.03 (VH.Com.2ª categ.)"/>
    <s v="Vehiculos"/>
    <x v="1"/>
    <s v="ALLIANZ"/>
    <s v="Euros"/>
    <n v="0"/>
    <n v="-6.95"/>
    <n v="-6.95"/>
    <n v="0"/>
    <m/>
    <n v="0"/>
    <m/>
    <n v="0"/>
    <m/>
    <n v="0"/>
    <m/>
    <n v="0"/>
  </r>
  <r>
    <s v="ARAYTOR"/>
    <s v="B10804300"/>
    <s v="ESBOP247880"/>
    <n v="28349"/>
    <m/>
    <s v="2026000703"/>
    <s v="Cartera"/>
    <s v="Correduría"/>
    <s v="Renovable"/>
    <s v="Anulado"/>
    <x v="41"/>
    <d v="2026-02-01T00:00:00"/>
    <m/>
    <d v="2026-03-01T00:00:00"/>
    <d v="2026-02-15T00:00:00"/>
    <m/>
    <m/>
    <s v="Mensual"/>
    <s v="Ticketing"/>
    <s v="Asistencia en Viaje"/>
    <x v="7"/>
    <s v="CHUBB EUROPEAN GROUP LIMITED"/>
    <s v="Euros"/>
    <n v="979.34"/>
    <n v="48.97"/>
    <n v="48.97"/>
    <n v="0"/>
    <m/>
    <n v="0"/>
    <m/>
    <n v="0"/>
    <m/>
    <n v="0"/>
    <m/>
    <n v="0"/>
  </r>
  <r>
    <s v="ARAYTOR"/>
    <s v="B10804300"/>
    <s v="ESBOP247880"/>
    <n v="28349"/>
    <m/>
    <s v="2026000710"/>
    <s v="Cartera"/>
    <s v="Correduría"/>
    <s v="Renovable"/>
    <s v="Cobrado"/>
    <x v="41"/>
    <d v="2026-01-01T00:00:00"/>
    <d v="2026-02-11T00:00:00"/>
    <m/>
    <m/>
    <m/>
    <m/>
    <s v="Mensual"/>
    <s v="Ticketing"/>
    <s v="Asistencia en Viaje"/>
    <x v="7"/>
    <s v="CHUBB EUROPEAN GROUP LIMITED"/>
    <s v="Euros"/>
    <n v="980.55"/>
    <n v="49.03"/>
    <n v="49.03"/>
    <n v="0"/>
    <m/>
    <n v="0"/>
    <m/>
    <n v="0"/>
    <m/>
    <n v="0"/>
    <m/>
    <n v="0"/>
  </r>
  <r>
    <s v="ARAYTOR"/>
    <s v="J75869925"/>
    <s v="399039"/>
    <n v="32620"/>
    <s v="562265"/>
    <s v="2026000717"/>
    <s v="Produccion"/>
    <s v="Correduría"/>
    <s v="Temporal"/>
    <s v="Cobrado"/>
    <x v="42"/>
    <d v="2026-02-26T00:00:00"/>
    <d v="2026-02-20T00:00:00"/>
    <m/>
    <m/>
    <m/>
    <d v="2026-03-01T00:00:00"/>
    <s v="Unico"/>
    <s v="Temporal Nominado"/>
    <s v="Asistencia en Viaje"/>
    <x v="7"/>
    <s v="Iris Global Soluciones"/>
    <s v="Euros"/>
    <n v="286.62"/>
    <n v="71.66"/>
    <n v="71.66"/>
    <n v="0"/>
    <m/>
    <n v="0"/>
    <m/>
    <n v="0"/>
    <m/>
    <n v="0"/>
    <m/>
    <n v="0"/>
  </r>
  <r>
    <s v="ARAYTOR"/>
    <s v="B60592870"/>
    <s v="3563927"/>
    <n v="27972"/>
    <s v="3563927-3"/>
    <s v="2026000718"/>
    <s v="Suplemento modificacion de produccion"/>
    <s v="Correduría"/>
    <s v="Renovable"/>
    <s v="Facturado"/>
    <x v="42"/>
    <d v="2026-03-20T00:00:00"/>
    <m/>
    <m/>
    <m/>
    <m/>
    <m/>
    <s v="Anual"/>
    <s v="RC Musica"/>
    <s v="RC Promotor Musica"/>
    <x v="0"/>
    <s v="Hiscox S.A Sucursal en España"/>
    <s v="Euros"/>
    <n v="432.61"/>
    <n v="108.17"/>
    <n v="108.17"/>
    <n v="0"/>
    <m/>
    <n v="0"/>
    <m/>
    <n v="0"/>
    <m/>
    <n v="0"/>
    <m/>
    <n v="0"/>
  </r>
  <r>
    <s v="ARAYTOR"/>
    <s v="B61805552"/>
    <s v="RCEXP-CA10350"/>
    <n v="23299"/>
    <s v="2602454"/>
    <s v="2026000719"/>
    <s v="Produccion"/>
    <s v="Correduría"/>
    <s v="Temporal"/>
    <s v="Facturado"/>
    <x v="42"/>
    <d v="2026-03-19T00:00:00"/>
    <m/>
    <m/>
    <m/>
    <m/>
    <m/>
    <s v="Unico"/>
    <s v="RC Empresa"/>
    <s v="RC Empresa"/>
    <x v="0"/>
    <s v="CIRCLES GROUP, S.A."/>
    <s v="Euros"/>
    <n v="2281.5"/>
    <n v="414.82"/>
    <n v="414.82"/>
    <n v="0"/>
    <m/>
    <n v="0"/>
    <m/>
    <n v="0"/>
    <m/>
    <n v="0"/>
    <m/>
    <n v="0"/>
  </r>
  <r>
    <s v="ARAYTOR"/>
    <s v="B39496096"/>
    <s v="RCEXP-CA10444"/>
    <n v="23292"/>
    <s v="2602422"/>
    <s v="2026000720"/>
    <s v="Produccion"/>
    <s v="Correduría"/>
    <s v="Temporal"/>
    <s v="Facturado"/>
    <x v="42"/>
    <d v="2025-03-08T00:00:00"/>
    <m/>
    <m/>
    <m/>
    <m/>
    <m/>
    <s v="Unico"/>
    <s v="RC Empresa"/>
    <s v="RC Empresa"/>
    <x v="0"/>
    <s v="CIRCLES GROUP, S.A."/>
    <s v="Euros"/>
    <n v="1596"/>
    <n v="290.18"/>
    <n v="290.18"/>
    <n v="0"/>
    <m/>
    <n v="0"/>
    <m/>
    <n v="0"/>
    <m/>
    <n v="0"/>
    <m/>
    <n v="0"/>
  </r>
  <r>
    <s v="ARAYTOR"/>
    <s v="B10829950"/>
    <s v="RCEXP-CA15660"/>
    <n v="27711"/>
    <s v="2602415"/>
    <s v="2026000721"/>
    <s v="Produccion"/>
    <s v="Correduría"/>
    <s v="Temporal"/>
    <s v="Facturado"/>
    <x v="42"/>
    <d v="2026-02-08T00:00:00"/>
    <m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72792120"/>
    <s v="RCEXP-CA16558"/>
    <n v="28903"/>
    <s v="2602424"/>
    <s v="2026000722"/>
    <s v="Produccion"/>
    <s v="Correduría"/>
    <s v="Temporal"/>
    <s v="Cobrado"/>
    <x v="42"/>
    <d v="2025-09-29T00:00:00"/>
    <d v="2026-02-07T00:00:00"/>
    <m/>
    <m/>
    <m/>
    <d v="2026-02-15T00:00:00"/>
    <s v="Unico"/>
    <s v="RC Empresa"/>
    <s v="RC Empresa"/>
    <x v="0"/>
    <s v="CIRCLES GROUP, S.A."/>
    <s v="Euros"/>
    <n v="-970.87"/>
    <n v="176.52"/>
    <n v="176.52"/>
    <n v="0"/>
    <m/>
    <n v="0"/>
    <m/>
    <n v="0"/>
    <m/>
    <n v="0"/>
    <m/>
    <n v="0"/>
  </r>
  <r>
    <s v="ARAYTOR"/>
    <s v="B63337315"/>
    <s v="RCEXP-CA16648"/>
    <n v="30529"/>
    <s v="2602416"/>
    <s v="2026000723"/>
    <s v="Produccion"/>
    <s v="Correduría"/>
    <s v="Temporal"/>
    <s v="Facturado"/>
    <x v="42"/>
    <d v="2026-03-07T00:00:00"/>
    <m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PT513019626"/>
    <s v="RCEXP-CA17306"/>
    <n v="30520"/>
    <s v="2602347"/>
    <s v="2026000724"/>
    <s v="Produccion"/>
    <s v="Correduría"/>
    <s v="Temporal"/>
    <s v="Cobrado"/>
    <x v="42"/>
    <d v="2025-02-01T00:00:00"/>
    <d v="2026-02-12T00:00:00"/>
    <m/>
    <m/>
    <m/>
    <d v="2026-02-15T00:00:00"/>
    <s v="Unico"/>
    <s v="RC Empresa"/>
    <s v="RC Empresa"/>
    <x v="0"/>
    <s v="CIRCLES GROUP, S.A."/>
    <s v="Euros"/>
    <n v="4014.61"/>
    <n v="729.93"/>
    <n v="729.93"/>
    <n v="0"/>
    <m/>
    <n v="0"/>
    <m/>
    <n v="0"/>
    <m/>
    <n v="0"/>
    <m/>
    <n v="0"/>
  </r>
  <r>
    <s v="ARAYTOR"/>
    <s v="B55123913"/>
    <s v="RCEXP-CA17363"/>
    <n v="30559"/>
    <s v="2602366"/>
    <s v="2026000725"/>
    <s v="Produccion"/>
    <s v="Correduría"/>
    <s v="Temporal"/>
    <s v="Cobrado"/>
    <x v="42"/>
    <d v="2026-02-19T00:00:00"/>
    <d v="2026-02-05T00:00:00"/>
    <m/>
    <m/>
    <m/>
    <d v="2026-02-15T00:00:00"/>
    <s v="Unico"/>
    <s v="RC Empresa"/>
    <s v="RC Empresa"/>
    <x v="0"/>
    <s v="CIRCLES GROUP, S.A."/>
    <s v="Euros"/>
    <n v="977.9"/>
    <n v="177.8"/>
    <n v="177.8"/>
    <n v="0"/>
    <m/>
    <n v="0"/>
    <m/>
    <n v="0"/>
    <m/>
    <n v="0"/>
    <m/>
    <n v="0"/>
  </r>
  <r>
    <s v="ARAYTOR"/>
    <s v="B75660159"/>
    <s v="RCEXP-CA17430"/>
    <n v="30643"/>
    <s v="2602365"/>
    <s v="2026000726"/>
    <s v="Produccion"/>
    <s v="Correduría"/>
    <s v="Temporal"/>
    <s v="Cobrado"/>
    <x v="42"/>
    <d v="2026-02-20T00:00:00"/>
    <d v="2026-02-17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56437155"/>
    <s v="RCEXP-CA17474"/>
    <n v="30741"/>
    <s v="2602450"/>
    <s v="2026000727"/>
    <s v="Produccion"/>
    <s v="Correduría"/>
    <s v="Temporal"/>
    <s v="Facturado"/>
    <x v="42"/>
    <d v="2026-03-10T00:00:00"/>
    <m/>
    <m/>
    <m/>
    <m/>
    <m/>
    <s v="Unico"/>
    <s v="RC Empresa"/>
    <s v="RC Empresa"/>
    <x v="0"/>
    <s v="CIRCLES GROUP, S.A."/>
    <s v="Euros"/>
    <n v="6090"/>
    <n v="1107.28"/>
    <n v="1107.28"/>
    <n v="0"/>
    <m/>
    <n v="0"/>
    <m/>
    <n v="0"/>
    <m/>
    <n v="0"/>
    <m/>
    <n v="0"/>
  </r>
  <r>
    <s v="ARAYTOR"/>
    <s v="B56437155"/>
    <s v="RCEXP-CA17474"/>
    <n v="30741"/>
    <s v="2602451"/>
    <s v="2026000728"/>
    <s v="Produccion"/>
    <s v="Correduría"/>
    <s v="Temporal"/>
    <s v="Facturado"/>
    <x v="42"/>
    <d v="2026-03-10T00:00:00"/>
    <m/>
    <m/>
    <m/>
    <m/>
    <m/>
    <s v="Unico"/>
    <s v="RC Empresa"/>
    <s v="RC Empresa"/>
    <x v="0"/>
    <s v="CIRCLES GROUP, S.A."/>
    <s v="Euros"/>
    <n v="6090"/>
    <n v="1107.28"/>
    <n v="1107.28"/>
    <n v="0"/>
    <m/>
    <n v="0"/>
    <m/>
    <n v="0"/>
    <m/>
    <n v="0"/>
    <m/>
    <n v="0"/>
  </r>
  <r>
    <s v="ARAYTOR"/>
    <s v="B56437155"/>
    <s v="RCEXP-CA17474"/>
    <n v="30741"/>
    <s v="2602452"/>
    <s v="2026000729"/>
    <s v="Produccion"/>
    <s v="Correduría"/>
    <s v="Temporal"/>
    <s v="Facturado"/>
    <x v="42"/>
    <d v="2026-03-10T00:00:00"/>
    <m/>
    <m/>
    <m/>
    <m/>
    <m/>
    <s v="Unico"/>
    <s v="RC Empresa"/>
    <s v="RC Empresa"/>
    <x v="0"/>
    <s v="CIRCLES GROUP, S.A."/>
    <s v="Euros"/>
    <n v="6090"/>
    <n v="1107.28"/>
    <n v="1107.28"/>
    <n v="0"/>
    <m/>
    <n v="0"/>
    <m/>
    <n v="0"/>
    <m/>
    <n v="0"/>
    <m/>
    <n v="0"/>
  </r>
  <r>
    <s v="ARAYTOR"/>
    <s v="B56437155"/>
    <s v="RCEXP-CA17474"/>
    <n v="30741"/>
    <s v="2602453"/>
    <s v="2026000730"/>
    <s v="Produccion"/>
    <s v="Correduría"/>
    <s v="Temporal"/>
    <s v="Facturado"/>
    <x v="42"/>
    <d v="2026-03-10T00:00:00"/>
    <m/>
    <m/>
    <m/>
    <m/>
    <m/>
    <s v="Unico"/>
    <s v="RC Empresa"/>
    <s v="RC Empresa"/>
    <x v="0"/>
    <s v="CIRCLES GROUP, S.A."/>
    <s v="Euros"/>
    <n v="6090"/>
    <n v="1107.28"/>
    <n v="1107.28"/>
    <n v="0"/>
    <m/>
    <n v="0"/>
    <m/>
    <n v="0"/>
    <m/>
    <n v="0"/>
    <m/>
    <n v="0"/>
  </r>
  <r>
    <s v="ARAYTOR"/>
    <s v="B65015075"/>
    <s v="CE92565"/>
    <n v="32274"/>
    <s v="2602433"/>
    <s v="2026000731"/>
    <s v="Produccion"/>
    <s v="Correduría"/>
    <s v="Temporal"/>
    <s v="Facturado"/>
    <x v="42"/>
    <d v="2025-12-03T00:00:00"/>
    <m/>
    <m/>
    <m/>
    <m/>
    <m/>
    <s v="Unico"/>
    <s v="Contingencias"/>
    <s v="Contingencias"/>
    <x v="9"/>
    <s v="CIRCLES GROUP, S.A."/>
    <s v="Euros"/>
    <n v="1432.93"/>
    <n v="260.52999999999997"/>
    <n v="260.52999999999997"/>
    <n v="0"/>
    <m/>
    <n v="0"/>
    <m/>
    <n v="0"/>
    <m/>
    <n v="0"/>
    <m/>
    <n v="0"/>
  </r>
  <r>
    <s v="ARAYTOR"/>
    <s v="B65893604"/>
    <s v="CE92764"/>
    <n v="32277"/>
    <s v="2602435"/>
    <s v="2026000732"/>
    <s v="Produccion"/>
    <s v="Correduría"/>
    <s v="Temporal"/>
    <s v="Facturado"/>
    <x v="42"/>
    <d v="2025-12-03T00:00:00"/>
    <m/>
    <m/>
    <m/>
    <m/>
    <m/>
    <s v="Unico"/>
    <s v="Contingencias"/>
    <s v="Contingencias"/>
    <x v="9"/>
    <s v="CIRCLES GROUP, S.A."/>
    <s v="Euros"/>
    <n v="291.8"/>
    <n v="53.06"/>
    <n v="53.06"/>
    <n v="0"/>
    <m/>
    <n v="0"/>
    <m/>
    <n v="0"/>
    <m/>
    <n v="0"/>
    <m/>
    <n v="0"/>
  </r>
  <r>
    <s v="ARAYTOR"/>
    <s v="V67469189"/>
    <s v="CE92765"/>
    <n v="32279"/>
    <s v="2602434"/>
    <s v="2026000733"/>
    <s v="Produccion"/>
    <s v="Correduría"/>
    <s v="Temporal"/>
    <s v="Facturado"/>
    <x v="42"/>
    <d v="2025-12-03T00:00:00"/>
    <m/>
    <m/>
    <m/>
    <m/>
    <m/>
    <s v="Unico"/>
    <s v="Contingencias"/>
    <s v="Contingencias"/>
    <x v="9"/>
    <s v="CIRCLES GROUP, S.A."/>
    <s v="Euros"/>
    <n v="3576.13"/>
    <n v="650.20000000000005"/>
    <n v="650.20000000000005"/>
    <n v="0"/>
    <m/>
    <n v="0"/>
    <m/>
    <n v="0"/>
    <m/>
    <n v="0"/>
    <m/>
    <n v="0"/>
  </r>
  <r>
    <s v="ARAYTOR"/>
    <s v="B06592133"/>
    <s v="CE92890"/>
    <n v="32618"/>
    <s v="2602335"/>
    <s v="2026000734"/>
    <s v="Produccion"/>
    <s v="Correduría"/>
    <s v="Temporal"/>
    <s v="Cobrado"/>
    <x v="42"/>
    <d v="2026-02-03T00:00:00"/>
    <d v="2026-02-19T00:00:00"/>
    <m/>
    <m/>
    <m/>
    <m/>
    <s v="Unico"/>
    <s v="Contingencias"/>
    <s v="Contingencias"/>
    <x v="9"/>
    <s v="CIRCLES GROUP, S.A."/>
    <s v="Euros"/>
    <n v="4108"/>
    <n v="746.9"/>
    <n v="746.9"/>
    <n v="0"/>
    <m/>
    <n v="0"/>
    <m/>
    <n v="0"/>
    <m/>
    <n v="0"/>
    <m/>
    <n v="0"/>
  </r>
  <r>
    <s v="ARAYTOR"/>
    <s v="B06592133"/>
    <s v="CE92890"/>
    <n v="32618"/>
    <s v="2602336"/>
    <s v="2026000735"/>
    <s v="Produccion"/>
    <s v="Correduría"/>
    <s v="Temporal"/>
    <s v="Facturado"/>
    <x v="42"/>
    <d v="2026-02-03T00:00:00"/>
    <m/>
    <m/>
    <m/>
    <m/>
    <m/>
    <s v="Unico"/>
    <s v="Contingencias"/>
    <s v="Contingencias"/>
    <x v="9"/>
    <s v="CIRCLES GROUP, S.A."/>
    <s v="Euros"/>
    <n v="4108"/>
    <n v="746.9"/>
    <n v="746.9"/>
    <n v="0"/>
    <m/>
    <n v="0"/>
    <m/>
    <n v="0"/>
    <m/>
    <n v="0"/>
    <m/>
    <n v="0"/>
  </r>
  <r>
    <s v="ARAYTOR"/>
    <s v="B56574494"/>
    <s v="CE93449"/>
    <n v="32621"/>
    <s v="2602405"/>
    <s v="2026000736"/>
    <s v="Produccion"/>
    <s v="Correduría"/>
    <s v="Temporal"/>
    <s v="Cobrado"/>
    <x v="42"/>
    <d v="2026-02-03T00:00:00"/>
    <d v="2026-02-19T00:00:00"/>
    <m/>
    <m/>
    <m/>
    <m/>
    <s v="Unico"/>
    <s v="Contingencias"/>
    <s v="Contingencias"/>
    <x v="9"/>
    <s v="CIRCLES GROUP, S.A."/>
    <s v="Euros"/>
    <n v="369.86"/>
    <n v="67.239999999999995"/>
    <n v="67.239999999999995"/>
    <n v="0"/>
    <m/>
    <n v="0"/>
    <m/>
    <n v="0"/>
    <m/>
    <n v="0"/>
    <m/>
    <n v="0"/>
  </r>
  <r>
    <s v="ARAYTOR"/>
    <s v="B56574494"/>
    <s v="CE93449"/>
    <n v="32621"/>
    <s v="2602404"/>
    <s v="2026000737"/>
    <s v="Produccion"/>
    <s v="Correduría"/>
    <s v="Temporal"/>
    <s v="Cobrado"/>
    <x v="42"/>
    <d v="2026-02-03T00:00:00"/>
    <d v="2026-02-19T00:00:00"/>
    <m/>
    <m/>
    <m/>
    <m/>
    <s v="Unico"/>
    <s v="Contingencias"/>
    <s v="Contingencias"/>
    <x v="9"/>
    <s v="CIRCLES GROUP, S.A."/>
    <s v="Euros"/>
    <n v="1811.47"/>
    <n v="329.36"/>
    <n v="329.36"/>
    <n v="0"/>
    <m/>
    <n v="0"/>
    <m/>
    <n v="0"/>
    <m/>
    <n v="0"/>
    <m/>
    <n v="0"/>
  </r>
  <r>
    <s v="ARAYTOR"/>
    <s v="B55576631"/>
    <s v="CE93455"/>
    <n v="32622"/>
    <s v="2602406"/>
    <s v="2026000738"/>
    <s v="Produccion"/>
    <s v="Correduría"/>
    <s v="Temporal"/>
    <s v="Facturado"/>
    <x v="42"/>
    <d v="2026-02-03T00:00:00"/>
    <m/>
    <m/>
    <m/>
    <m/>
    <m/>
    <s v="Unico"/>
    <s v="Contingencias"/>
    <s v="Contingencias"/>
    <x v="9"/>
    <s v="CIRCLES GROUP, S.A."/>
    <s v="Euros"/>
    <n v="7588.73"/>
    <n v="1379.76"/>
    <n v="1379.76"/>
    <n v="0"/>
    <m/>
    <n v="0"/>
    <m/>
    <n v="0"/>
    <m/>
    <n v="0"/>
    <m/>
    <n v="0"/>
  </r>
  <r>
    <s v="ARAYTOR"/>
    <s v="B11459435"/>
    <s v="CE93584"/>
    <n v="32623"/>
    <s v="2602488"/>
    <s v="2026000739"/>
    <s v="Produccion"/>
    <s v="Correduría"/>
    <s v="Temporal"/>
    <s v="Cobrado"/>
    <x v="42"/>
    <d v="2026-02-05T00:00:00"/>
    <d v="2026-02-20T00:00:00"/>
    <m/>
    <m/>
    <m/>
    <m/>
    <s v="Unico"/>
    <s v="Contingencias"/>
    <s v="Contingencias"/>
    <x v="9"/>
    <s v="CIRCLES GROUP, S.A."/>
    <s v="Euros"/>
    <n v="1052.6099999999999"/>
    <n v="191.38"/>
    <n v="191.38"/>
    <n v="0"/>
    <m/>
    <n v="0"/>
    <m/>
    <n v="0"/>
    <m/>
    <n v="0"/>
    <m/>
    <n v="0"/>
  </r>
  <r>
    <s v="ARAYTOR"/>
    <s v="B11459435"/>
    <s v="CE93575"/>
    <n v="32624"/>
    <s v="2602504"/>
    <s v="2026000740"/>
    <s v="Produccion"/>
    <s v="Correduría"/>
    <s v="Temporal"/>
    <s v="Facturado"/>
    <x v="42"/>
    <d v="2026-02-04T00:00:00"/>
    <m/>
    <m/>
    <m/>
    <m/>
    <m/>
    <s v="Unico"/>
    <s v="Contingencias"/>
    <s v="Contingencias"/>
    <x v="9"/>
    <s v="CIRCLES GROUP, S.A."/>
    <s v="Euros"/>
    <n v="6420.98"/>
    <n v="1167.46"/>
    <n v="1167.46"/>
    <n v="0"/>
    <m/>
    <n v="0"/>
    <m/>
    <n v="0"/>
    <m/>
    <n v="0"/>
    <m/>
    <n v="0"/>
  </r>
  <r>
    <s v="ARAYTOR"/>
    <s v="B11459435"/>
    <s v="CE93575"/>
    <n v="32624"/>
    <s v="2602490"/>
    <s v="2026000741"/>
    <s v="Produccion"/>
    <s v="Correduría"/>
    <s v="Temporal"/>
    <s v="Cobrado"/>
    <x v="42"/>
    <d v="2026-02-04T00:00:00"/>
    <d v="2026-02-24T00:00:00"/>
    <m/>
    <m/>
    <m/>
    <m/>
    <s v="Unico"/>
    <s v="Contingencias"/>
    <s v="Contingencias"/>
    <x v="9"/>
    <s v="CIRCLES GROUP, S.A."/>
    <s v="Euros"/>
    <n v="6420.98"/>
    <n v="1167.46"/>
    <n v="1167.46"/>
    <n v="0"/>
    <m/>
    <n v="0"/>
    <m/>
    <n v="0"/>
    <m/>
    <n v="0"/>
    <m/>
    <n v="0"/>
  </r>
  <r>
    <s v="ARAYTOR"/>
    <s v="B88262431"/>
    <s v="CE93583"/>
    <n v="32614"/>
    <s v="2602337"/>
    <s v="2026000742"/>
    <s v="Produccion"/>
    <s v="Correduría"/>
    <s v="Temporal"/>
    <s v="Cobrado"/>
    <x v="42"/>
    <d v="2026-01-30T00:00:00"/>
    <d v="2026-02-17T00:00:00"/>
    <m/>
    <m/>
    <m/>
    <m/>
    <s v="Unico"/>
    <s v="Contingencias"/>
    <s v="Contingencias"/>
    <x v="9"/>
    <s v="CIRCLES GROUP, S.A."/>
    <s v="Euros"/>
    <n v="-3043.52"/>
    <n v="-553.36"/>
    <n v="-553.36"/>
    <n v="0"/>
    <m/>
    <n v="0"/>
    <m/>
    <n v="0"/>
    <m/>
    <n v="0"/>
    <m/>
    <n v="0"/>
  </r>
  <r>
    <s v="ARAYTOR"/>
    <s v="B88130125"/>
    <s v="CE93602"/>
    <n v="32626"/>
    <s v="2602489"/>
    <s v="2026000743"/>
    <s v="Produccion"/>
    <s v="Correduría"/>
    <s v="Temporal"/>
    <s v="Cobrado"/>
    <x v="42"/>
    <d v="2026-02-05T00:00:00"/>
    <d v="2026-02-11T00:00:00"/>
    <m/>
    <m/>
    <m/>
    <d v="2026-02-15T00:00:00"/>
    <s v="Unico"/>
    <s v="Contingencias"/>
    <s v="Contingencias"/>
    <x v="9"/>
    <s v="CIRCLES GROUP, S.A."/>
    <s v="Euros"/>
    <n v="4003.33"/>
    <n v="727.88"/>
    <n v="727.88"/>
    <n v="0"/>
    <m/>
    <n v="0"/>
    <m/>
    <n v="0"/>
    <m/>
    <n v="0"/>
    <m/>
    <n v="0"/>
  </r>
  <r>
    <s v="ARAYTOR"/>
    <s v="B23970254"/>
    <s v="RCEXP-CA19278"/>
    <n v="32627"/>
    <s v="2602367"/>
    <s v="2026000744"/>
    <s v="Produccion"/>
    <s v="Correduría"/>
    <s v="Temporal"/>
    <s v="Cobrado"/>
    <x v="42"/>
    <d v="2026-02-04T00:00:00"/>
    <d v="2026-02-16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09439582Z"/>
    <s v="CE93612"/>
    <n v="32628"/>
    <s v="2602436"/>
    <s v="2026000745"/>
    <s v="Produccion"/>
    <s v="Correduría"/>
    <s v="Temporal"/>
    <s v="Cobrado"/>
    <x v="42"/>
    <d v="2026-02-04T00:00:00"/>
    <d v="2026-02-05T00:00:00"/>
    <m/>
    <m/>
    <m/>
    <d v="2026-02-15T00:00:00"/>
    <s v="Unico"/>
    <s v="Contingencias"/>
    <s v="Contingencias"/>
    <x v="9"/>
    <s v="CIRCLES GROUP, S.A."/>
    <s v="Euros"/>
    <n v="598.07000000000005"/>
    <n v="108.74"/>
    <n v="108.74"/>
    <n v="0"/>
    <m/>
    <n v="0"/>
    <m/>
    <n v="0"/>
    <m/>
    <n v="0"/>
    <m/>
    <n v="0"/>
  </r>
  <r>
    <s v="ARAYTOR"/>
    <s v="09439582Z"/>
    <s v="CE93612"/>
    <n v="32628"/>
    <s v="2602437"/>
    <s v="2026000746"/>
    <s v="Produccion"/>
    <s v="Correduría"/>
    <s v="Temporal"/>
    <s v="Cobrado"/>
    <x v="42"/>
    <d v="2026-02-04T00:00:00"/>
    <d v="2026-02-05T00:00:00"/>
    <m/>
    <m/>
    <m/>
    <d v="2026-02-15T00:00:00"/>
    <s v="Unico"/>
    <s v="Contingencias"/>
    <s v="Contingencias"/>
    <x v="9"/>
    <s v="CIRCLES GROUP, S.A."/>
    <s v="Euros"/>
    <n v="215.69"/>
    <n v="39.22"/>
    <n v="39.22"/>
    <n v="0"/>
    <m/>
    <n v="0"/>
    <m/>
    <n v="0"/>
    <m/>
    <n v="0"/>
    <m/>
    <n v="0"/>
  </r>
  <r>
    <s v="ARAYTOR"/>
    <s v="B44550390"/>
    <s v="CE93614"/>
    <n v="32629"/>
    <s v="2602431"/>
    <s v="2026000747"/>
    <s v="Produccion"/>
    <s v="Correduría"/>
    <s v="Temporal"/>
    <s v="Facturado"/>
    <x v="42"/>
    <d v="2026-02-04T00:00:00"/>
    <m/>
    <m/>
    <m/>
    <m/>
    <m/>
    <s v="Unico"/>
    <s v="Contingencias"/>
    <s v="Contingencias"/>
    <x v="9"/>
    <s v="CIRCLES GROUP, S.A."/>
    <s v="Euros"/>
    <n v="1946.55"/>
    <n v="353.92"/>
    <n v="353.92"/>
    <n v="0"/>
    <m/>
    <n v="0"/>
    <m/>
    <n v="0"/>
    <m/>
    <n v="0"/>
    <m/>
    <n v="0"/>
  </r>
  <r>
    <s v="ARAYTOR"/>
    <s v="B87842589"/>
    <s v="RCEXP-CA19288"/>
    <n v="32630"/>
    <s v="2602475"/>
    <s v="2026000748"/>
    <s v="Produccion"/>
    <s v="Correduría"/>
    <s v="Temporal"/>
    <s v="Cobrado"/>
    <x v="42"/>
    <d v="2026-02-28T00:00:00"/>
    <d v="2026-02-11T00:00:00"/>
    <m/>
    <m/>
    <m/>
    <d v="2026-02-15T00:00:00"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V56617145"/>
    <s v="CE93616"/>
    <n v="32631"/>
    <s v="2602432"/>
    <s v="2026000749"/>
    <s v="Produccion"/>
    <s v="Correduría"/>
    <s v="Temporal"/>
    <s v="Cobrado"/>
    <x v="42"/>
    <d v="2026-02-04T00:00:00"/>
    <d v="2026-02-17T00:00:00"/>
    <m/>
    <m/>
    <m/>
    <m/>
    <s v="Unico"/>
    <s v="Contingencias"/>
    <s v="Contingencias"/>
    <x v="9"/>
    <s v="CIRCLES GROUP, S.A."/>
    <s v="Euros"/>
    <n v="5316.78"/>
    <n v="966.69"/>
    <n v="966.69"/>
    <n v="0"/>
    <m/>
    <n v="0"/>
    <m/>
    <n v="0"/>
    <m/>
    <n v="0"/>
    <m/>
    <n v="0"/>
  </r>
  <r>
    <s v="ARAYTOR"/>
    <s v="B22593933"/>
    <s v="RCEXP-CA19289"/>
    <n v="32633"/>
    <s v="2602512"/>
    <s v="2026000750"/>
    <s v="Produccion"/>
    <s v="Correduría"/>
    <s v="Temporal"/>
    <s v="Cobrado"/>
    <x v="42"/>
    <d v="2026-02-04T00:00:00"/>
    <d v="2026-02-06T00:00:00"/>
    <m/>
    <m/>
    <m/>
    <d v="2026-02-15T00:00:00"/>
    <s v="Unico"/>
    <s v="RC Empresa"/>
    <s v="RC Empresa"/>
    <x v="0"/>
    <s v="CIRCLES GROUP, S.A."/>
    <s v="Euros"/>
    <n v="1875"/>
    <n v="340.91"/>
    <n v="340.91"/>
    <n v="0"/>
    <m/>
    <n v="0"/>
    <m/>
    <n v="0"/>
    <m/>
    <n v="0"/>
    <m/>
    <n v="0"/>
  </r>
  <r>
    <s v="ARAYTOR"/>
    <s v="B05456934"/>
    <s v="CE87594"/>
    <n v="30397"/>
    <s v="2602545"/>
    <s v="2026000751"/>
    <s v="Produccion"/>
    <s v="Correduría"/>
    <s v="Temporal"/>
    <s v="Facturado"/>
    <x v="43"/>
    <d v="2025-01-08T00:00:00"/>
    <m/>
    <m/>
    <m/>
    <m/>
    <m/>
    <s v="Unico"/>
    <s v="Contingencias"/>
    <s v="Contingencias"/>
    <x v="9"/>
    <s v="CIRCLES GROUP, S.A."/>
    <s v="Euros"/>
    <n v="7216.67"/>
    <n v="1312.12"/>
    <n v="1312.12"/>
    <n v="0"/>
    <m/>
    <n v="0"/>
    <m/>
    <n v="0"/>
    <m/>
    <n v="0"/>
    <m/>
    <n v="0"/>
  </r>
  <r>
    <s v="ARAYTOR"/>
    <s v="B05456934"/>
    <s v="CE87594"/>
    <n v="30397"/>
    <s v="2602546"/>
    <s v="2026000752"/>
    <s v="Produccion"/>
    <s v="Correduría"/>
    <s v="Temporal"/>
    <s v="Facturado"/>
    <x v="43"/>
    <d v="2025-01-08T00:00:00"/>
    <m/>
    <m/>
    <m/>
    <m/>
    <m/>
    <s v="Unico"/>
    <s v="Contingencias"/>
    <s v="Contingencias"/>
    <x v="9"/>
    <s v="CIRCLES GROUP, S.A."/>
    <s v="Euros"/>
    <n v="7216.67"/>
    <n v="1312.12"/>
    <n v="1312.12"/>
    <n v="0"/>
    <m/>
    <n v="0"/>
    <m/>
    <n v="0"/>
    <m/>
    <n v="0"/>
    <m/>
    <n v="0"/>
  </r>
  <r>
    <s v="ARAYTOR"/>
    <s v="B33594284"/>
    <s v="CE93603"/>
    <n v="32625"/>
    <s v="2602549"/>
    <s v="2026000753"/>
    <s v="Produccion"/>
    <s v="Correduría"/>
    <s v="Temporal"/>
    <s v="Cobrado"/>
    <x v="43"/>
    <d v="2026-02-05T00:00:00"/>
    <d v="2026-02-23T00:00:00"/>
    <m/>
    <m/>
    <m/>
    <m/>
    <s v="Unico"/>
    <s v="Contingencias"/>
    <s v="Contingencias"/>
    <x v="9"/>
    <s v="CIRCLES GROUP, S.A."/>
    <s v="Euros"/>
    <n v="2427.1799999999998"/>
    <n v="441.31"/>
    <n v="441.31"/>
    <n v="0"/>
    <m/>
    <n v="0"/>
    <m/>
    <n v="0"/>
    <m/>
    <n v="0"/>
    <m/>
    <n v="0"/>
  </r>
  <r>
    <s v="ARAYTOR"/>
    <s v="B20981593"/>
    <s v="CE93624"/>
    <n v="32632"/>
    <s v="2602550"/>
    <s v="2026000754"/>
    <s v="Produccion"/>
    <s v="Correduría"/>
    <s v="Temporal"/>
    <s v="Cobrado"/>
    <x v="43"/>
    <d v="2026-02-05T00:00:00"/>
    <d v="2026-02-20T00:00:00"/>
    <m/>
    <m/>
    <m/>
    <m/>
    <s v="Unico"/>
    <s v="Contingencias"/>
    <s v="Contingencias"/>
    <x v="9"/>
    <s v="CIRCLES GROUP, S.A."/>
    <s v="Euros"/>
    <n v="7309.13"/>
    <n v="1328.94"/>
    <n v="1328.94"/>
    <n v="0"/>
    <m/>
    <n v="0"/>
    <m/>
    <n v="0"/>
    <m/>
    <n v="0"/>
    <m/>
    <n v="0"/>
  </r>
  <r>
    <s v="ARAYTOR"/>
    <s v="B65015075"/>
    <s v="CE93640"/>
    <n v="32634"/>
    <s v="2602548"/>
    <s v="2026000755"/>
    <s v="Produccion"/>
    <s v="Correduría"/>
    <s v="Temporal"/>
    <s v="Cobrado"/>
    <x v="43"/>
    <d v="2026-02-05T00:00:00"/>
    <d v="2026-02-07T00:00:00"/>
    <m/>
    <m/>
    <m/>
    <d v="2026-02-15T00:00:00"/>
    <s v="Unico"/>
    <s v="Contingencias"/>
    <s v="Contingencias"/>
    <x v="9"/>
    <s v="CIRCLES GROUP, S.A."/>
    <s v="Euros"/>
    <n v="847.98"/>
    <n v="154.18"/>
    <n v="154.18"/>
    <n v="0"/>
    <m/>
    <n v="0"/>
    <m/>
    <n v="0"/>
    <m/>
    <n v="0"/>
    <m/>
    <n v="0"/>
  </r>
  <r>
    <s v="ARAYTOR"/>
    <s v="B16549719"/>
    <s v="40/5165576"/>
    <n v="32305"/>
    <s v="264343802"/>
    <s v="2026000757"/>
    <s v="Produccion"/>
    <s v="Compañía"/>
    <s v="Renovable"/>
    <s v="Facturado"/>
    <x v="43"/>
    <d v="2026-03-11T00:00:00"/>
    <m/>
    <m/>
    <m/>
    <m/>
    <m/>
    <s v="Trimestral"/>
    <s v="0100Responsabilidad Civil General"/>
    <s v="RC General"/>
    <x v="0"/>
    <s v="FIATC "/>
    <s v="Euros"/>
    <n v="940.46"/>
    <n v="188.09"/>
    <n v="188.09"/>
    <n v="0"/>
    <m/>
    <n v="0"/>
    <m/>
    <n v="0"/>
    <m/>
    <n v="0"/>
    <m/>
    <n v="0"/>
  </r>
  <r>
    <s v="ARAYTOR"/>
    <s v="B16549719"/>
    <s v="86/5049443"/>
    <n v="32306"/>
    <s v="264347904"/>
    <s v="2026000758"/>
    <s v="Produccion"/>
    <s v="Compañía"/>
    <s v="Renovable"/>
    <s v="Facturado"/>
    <x v="43"/>
    <d v="2026-03-11T00:00:00"/>
    <m/>
    <m/>
    <m/>
    <m/>
    <m/>
    <s v="Trimestral"/>
    <s v="0200 Maxi Hosteleria"/>
    <s v="PYME"/>
    <x v="3"/>
    <s v="FIATC "/>
    <s v="Euros"/>
    <n v="2589.0700000000002"/>
    <n v="517.82000000000005"/>
    <n v="517.82000000000005"/>
    <n v="0"/>
    <m/>
    <n v="0"/>
    <m/>
    <n v="0"/>
    <m/>
    <n v="0"/>
    <m/>
    <n v="0"/>
  </r>
  <r>
    <s v="ARAYTOR"/>
    <s v="B40173676"/>
    <s v="94/5026614"/>
    <n v="30423"/>
    <s v="264348513"/>
    <s v="2026000759"/>
    <s v="Cartera"/>
    <s v="Correduría"/>
    <s v="Renovable"/>
    <s v="Cobrado"/>
    <x v="43"/>
    <d v="2026-03-01T00:00:00"/>
    <d v="2026-03-01T00:00:00"/>
    <m/>
    <m/>
    <m/>
    <m/>
    <s v="Trimestral"/>
    <s v="0100 - Multiriesgo Transportista"/>
    <s v="Daños Vehiculos"/>
    <x v="6"/>
    <s v="FIATC "/>
    <s v="Euros"/>
    <n v="185.4"/>
    <n v="14.83"/>
    <n v="14.83"/>
    <n v="0"/>
    <m/>
    <n v="0"/>
    <m/>
    <n v="0"/>
    <m/>
    <n v="0"/>
    <m/>
    <n v="0"/>
  </r>
  <r>
    <s v="ARAYTOR"/>
    <s v="B40173676"/>
    <s v="94/5026615"/>
    <n v="30424"/>
    <s v="264348514"/>
    <s v="2026000760"/>
    <s v="Cartera"/>
    <s v="Correduría"/>
    <s v="Renovable"/>
    <s v="Cobrado"/>
    <x v="43"/>
    <d v="2026-03-01T00:00:00"/>
    <d v="2026-03-01T00:00:00"/>
    <m/>
    <m/>
    <m/>
    <m/>
    <s v="Trimestral"/>
    <s v="0100 - Multiriesgo Transportista"/>
    <s v="Daños Vehiculos"/>
    <x v="6"/>
    <s v="FIATC "/>
    <s v="Euros"/>
    <n v="185.4"/>
    <n v="14.83"/>
    <n v="14.83"/>
    <n v="0"/>
    <m/>
    <n v="0"/>
    <m/>
    <n v="0"/>
    <m/>
    <n v="0"/>
    <m/>
    <n v="0"/>
  </r>
  <r>
    <s v="ARAYTOR"/>
    <s v="B40173676"/>
    <s v="94/5028012"/>
    <n v="31364"/>
    <s v="264348523"/>
    <s v="2026000761"/>
    <s v="Cartera"/>
    <s v="Correduría"/>
    <s v="Renovable"/>
    <s v="Cobrado"/>
    <x v="43"/>
    <d v="2026-03-01T00:00:00"/>
    <d v="2026-03-01T00:00:00"/>
    <m/>
    <m/>
    <m/>
    <m/>
    <s v="Trimestral"/>
    <s v="0100 - Multiriesgo Transportista"/>
    <s v="Daños Vehiculos"/>
    <x v="6"/>
    <s v="FIATC "/>
    <s v="Euros"/>
    <n v="288.39999999999998"/>
    <n v="23.07"/>
    <n v="23.07"/>
    <n v="0"/>
    <m/>
    <n v="0"/>
    <m/>
    <n v="0"/>
    <m/>
    <n v="0"/>
    <m/>
    <n v="0"/>
  </r>
  <r>
    <s v="ARAYTOR"/>
    <s v="B43313915"/>
    <s v="20/7342549"/>
    <n v="29657"/>
    <s v="264339410"/>
    <s v="2026000762"/>
    <s v="Ajustes"/>
    <s v="Correduría"/>
    <s v="Renovable"/>
    <s v="Cobrado"/>
    <x v="43"/>
    <d v="2026-02-01T00:00:00"/>
    <d v="2026-02-07T00:00:00"/>
    <m/>
    <m/>
    <m/>
    <d v="2026-04-01T00:00:00"/>
    <s v="Trimestral"/>
    <s v="M - MAXI-AUTO"/>
    <s v="Vehiculos"/>
    <x v="1"/>
    <s v="FIATC "/>
    <s v="Euros"/>
    <n v="-244.62"/>
    <n v="-9.7899999999999991"/>
    <n v="-9.7899999999999991"/>
    <n v="0"/>
    <m/>
    <n v="0"/>
    <m/>
    <n v="0"/>
    <m/>
    <n v="0"/>
    <m/>
    <n v="0"/>
  </r>
  <r>
    <s v="ARAYTOR"/>
    <s v="B95431896"/>
    <s v="30/1114018"/>
    <n v="32636"/>
    <s v="264349595"/>
    <s v="2026000763"/>
    <s v="Produccion"/>
    <s v="Compañía"/>
    <s v="Temporal"/>
    <s v="Cobrado"/>
    <x v="43"/>
    <d v="2026-02-07T00:00:00"/>
    <d v="2026-02-11T00:00:00"/>
    <m/>
    <m/>
    <m/>
    <m/>
    <s v="Unico"/>
    <s v="30 Accidentes "/>
    <s v="Accidentes Colectivo"/>
    <x v="10"/>
    <s v="FIATC "/>
    <s v="Euros"/>
    <n v="111.52"/>
    <n v="20.079999999999998"/>
    <n v="20.079999999999998"/>
    <n v="0"/>
    <m/>
    <n v="0"/>
    <m/>
    <n v="0"/>
    <m/>
    <n v="0"/>
    <m/>
    <n v="0"/>
  </r>
  <r>
    <s v="ARAYTOR"/>
    <s v="B60448487"/>
    <s v="042743355-00096"/>
    <n v="32637"/>
    <s v="881181378"/>
    <s v="2026000764"/>
    <s v="Produccion"/>
    <s v="Correduría"/>
    <s v="Temporal"/>
    <s v="Cobrado"/>
    <x v="43"/>
    <d v="2026-01-09T00:00:00"/>
    <d v="2026-02-23T00:00:00"/>
    <m/>
    <m/>
    <m/>
    <d v="2026-04-01T00:00:00"/>
    <s v="Unico"/>
    <s v="378 Multimodal (Transportistas/Cargadodr"/>
    <s v="Daños Cargador"/>
    <x v="6"/>
    <s v="ALLIANZ"/>
    <s v="Euros"/>
    <n v="147.34"/>
    <n v="25.78"/>
    <n v="25.78"/>
    <n v="0"/>
    <m/>
    <n v="0"/>
    <m/>
    <n v="0"/>
    <m/>
    <n v="0"/>
    <m/>
    <n v="0"/>
  </r>
  <r>
    <s v="ARAYTOR"/>
    <s v="B21892682"/>
    <s v="86/5049841"/>
    <n v="32638"/>
    <s v="264350571"/>
    <s v="2026000765"/>
    <s v="Produccion"/>
    <s v="Correduría"/>
    <s v="Renovable"/>
    <s v="Cobrado"/>
    <x v="43"/>
    <d v="2026-02-03T00:00:00"/>
    <d v="2026-02-11T00:00:00"/>
    <m/>
    <m/>
    <m/>
    <d v="2026-04-01T00:00:00"/>
    <s v="Anual"/>
    <s v="0100 - Maxi Empresa"/>
    <s v="PYME"/>
    <x v="3"/>
    <s v="FIATC "/>
    <s v="Euros"/>
    <n v="1265.72"/>
    <n v="253.14"/>
    <n v="253.14"/>
    <n v="0"/>
    <m/>
    <n v="0"/>
    <m/>
    <n v="0"/>
    <m/>
    <n v="0"/>
    <m/>
    <n v="0"/>
  </r>
  <r>
    <s v="ARAYTOR"/>
    <s v="B03118775"/>
    <s v="40/5113119"/>
    <n v="21857"/>
    <s v="264351904"/>
    <s v="2026000766"/>
    <s v="Suplemento modificacion de produccion"/>
    <s v="Correduría"/>
    <s v="Renovable"/>
    <s v="Cobrado"/>
    <x v="43"/>
    <d v="2024-12-31T00:00:00"/>
    <d v="2026-02-23T00:00:00"/>
    <m/>
    <m/>
    <m/>
    <d v="2026-04-01T00:00:00"/>
    <s v="Semestral"/>
    <s v="Responsabilidad Civil"/>
    <s v="RC General"/>
    <x v="0"/>
    <s v="FIATC "/>
    <s v="Euros"/>
    <n v="82.6"/>
    <n v="16.52"/>
    <n v="16.52"/>
    <n v="0"/>
    <m/>
    <n v="0"/>
    <m/>
    <n v="0"/>
    <m/>
    <n v="0"/>
    <m/>
    <n v="0"/>
  </r>
  <r>
    <s v="ARAYTOR"/>
    <s v="B47428099"/>
    <s v="93/5005253"/>
    <n v="22920"/>
    <s v="264352700"/>
    <s v="2026000767"/>
    <s v="Suplemento modificacion de produccion"/>
    <s v="Correduría"/>
    <s v="Renovable"/>
    <s v="Facturado"/>
    <x v="43"/>
    <d v="2025-11-01T00:00:00"/>
    <m/>
    <m/>
    <m/>
    <m/>
    <m/>
    <s v="Mensual"/>
    <s v="Flotante"/>
    <s v="Daños Operador"/>
    <x v="6"/>
    <s v="FIATC "/>
    <s v="Euros"/>
    <n v="1178.8699999999999"/>
    <n v="235.77"/>
    <n v="235.77"/>
    <n v="0"/>
    <m/>
    <n v="0"/>
    <m/>
    <n v="0"/>
    <m/>
    <n v="0"/>
    <m/>
    <n v="0"/>
  </r>
  <r>
    <s v="ARAYTOR"/>
    <s v="B47428099"/>
    <s v="93/5005253"/>
    <n v="22920"/>
    <s v="264352780"/>
    <s v="2026000768"/>
    <s v="Suplemento modificacion de produccion"/>
    <s v="Correduría"/>
    <s v="Renovable"/>
    <s v="Facturado"/>
    <x v="43"/>
    <d v="2025-12-01T00:00:00"/>
    <m/>
    <m/>
    <m/>
    <m/>
    <m/>
    <s v="Mensual"/>
    <s v="Flotante"/>
    <s v="Daños Operador"/>
    <x v="6"/>
    <s v="FIATC "/>
    <s v="Euros"/>
    <n v="1103.08"/>
    <n v="220.62"/>
    <n v="220.62"/>
    <n v="0"/>
    <m/>
    <n v="0"/>
    <m/>
    <n v="0"/>
    <m/>
    <n v="0"/>
    <m/>
    <n v="0"/>
  </r>
  <r>
    <s v="ARAYTOR"/>
    <s v="B24367971"/>
    <s v="93/5005254"/>
    <n v="22921"/>
    <s v="264352647"/>
    <s v="2026000769"/>
    <s v="Suplemento modificacion de produccion"/>
    <s v="Correduría"/>
    <s v="Renovable"/>
    <s v="Facturado"/>
    <x v="43"/>
    <d v="2026-01-01T00:00:00"/>
    <m/>
    <m/>
    <m/>
    <m/>
    <m/>
    <s v="Anual"/>
    <s v="Flotante"/>
    <s v="Daños Operador"/>
    <x v="6"/>
    <s v="FIATC "/>
    <s v="Euros"/>
    <n v="563.63"/>
    <n v="112.73"/>
    <n v="112.73"/>
    <n v="0"/>
    <m/>
    <n v="0"/>
    <m/>
    <n v="0"/>
    <m/>
    <n v="0"/>
    <m/>
    <n v="0"/>
  </r>
  <r>
    <s v="ARAYTOR"/>
    <s v="B63644462"/>
    <s v="HDIP63559043"/>
    <n v="27414"/>
    <s v="Error Comision"/>
    <s v="2026000781"/>
    <s v="Cartera"/>
    <s v="Correduría"/>
    <s v="Renovable"/>
    <s v="Cobrado"/>
    <x v="44"/>
    <d v="2026-01-01T00:00:00"/>
    <d v="2026-02-09T00:00:00"/>
    <m/>
    <m/>
    <m/>
    <d v="2026-02-09T00:00:00"/>
    <s v="Anual"/>
    <s v="RC Profesional"/>
    <s v="RC Profesional"/>
    <x v="8"/>
    <s v="Hiscox S.A Sucursal en España"/>
    <s v="Euros"/>
    <n v="0"/>
    <n v="267"/>
    <n v="267"/>
    <n v="0"/>
    <m/>
    <n v="0"/>
    <m/>
    <n v="0"/>
    <m/>
    <n v="0"/>
    <m/>
    <n v="0"/>
  </r>
  <r>
    <s v="ARAYTOR"/>
    <s v="78049029R"/>
    <s v="66600580334"/>
    <n v="5117"/>
    <s v="202603009630"/>
    <s v="2026000782"/>
    <s v="Cartera"/>
    <s v="Compañía"/>
    <s v="Renovable"/>
    <s v="Cobrado"/>
    <x v="44"/>
    <d v="2026-02-01T00:00:00"/>
    <d v="2026-02-01T00:00:00"/>
    <m/>
    <m/>
    <d v="2026-03-01T00:00:00"/>
    <m/>
    <s v="Mensual"/>
    <s v="Modular Colectivos"/>
    <s v="Colectivo Salud"/>
    <x v="10"/>
    <s v="SEGURCAIXA ADESLAS, S.A."/>
    <s v="Euros"/>
    <n v="552.38"/>
    <n v="44.19"/>
    <n v="44.19"/>
    <n v="0"/>
    <m/>
    <n v="0"/>
    <s v="TON ABAD (ANTIC)"/>
    <n v="0"/>
    <m/>
    <n v="0"/>
    <m/>
    <n v="0"/>
  </r>
  <r>
    <s v="ARAYTOR"/>
    <s v="40981967S"/>
    <s v="66600580363"/>
    <n v="5137"/>
    <s v="202603034874"/>
    <s v="2026000783"/>
    <s v="Cartera"/>
    <s v="Compañía"/>
    <s v="Renovable"/>
    <s v="Cobrado"/>
    <x v="44"/>
    <d v="2026-02-01T00:00:00"/>
    <d v="2026-02-01T00:00:00"/>
    <m/>
    <m/>
    <d v="2026-03-01T00:00:00"/>
    <m/>
    <s v="Mensual"/>
    <s v="Modular Colectivos"/>
    <s v="Colectivo Salud"/>
    <x v="10"/>
    <s v="SEGURCAIXA ADESLAS, S.A."/>
    <s v="Euros"/>
    <n v="201.38"/>
    <n v="16.11"/>
    <n v="16.11"/>
    <n v="0"/>
    <m/>
    <n v="0"/>
    <s v="TON ABAD (ANTIC)"/>
    <n v="0"/>
    <m/>
    <n v="0"/>
    <m/>
    <n v="0"/>
  </r>
  <r>
    <s v="ARAYTOR"/>
    <s v="43498748K"/>
    <s v="81373806"/>
    <n v="13160"/>
    <s v="202602581640"/>
    <s v="2026000784"/>
    <s v="Cartera"/>
    <s v="Compañía"/>
    <s v="Renovable"/>
    <s v="Cobrado"/>
    <x v="44"/>
    <d v="2026-02-01T00:00:00"/>
    <d v="2026-02-01T00:00:00"/>
    <m/>
    <m/>
    <m/>
    <m/>
    <s v="Mensual"/>
    <s v="Adeslas Completa"/>
    <s v="Cuadro Cerrado"/>
    <x v="4"/>
    <s v="SEGURCAIXA ADESLAS, S.A."/>
    <s v="Euros"/>
    <n v="202.27"/>
    <n v="18.2"/>
    <n v="18.2"/>
    <n v="0"/>
    <m/>
    <n v="0"/>
    <m/>
    <n v="0"/>
    <m/>
    <n v="0"/>
    <m/>
    <n v="0"/>
  </r>
  <r>
    <s v="ARAYTOR"/>
    <s v="B67461962"/>
    <s v="81516158"/>
    <n v="20804"/>
    <s v="202602577399"/>
    <s v="2026000785"/>
    <s v="Cartera"/>
    <s v="Compañía"/>
    <s v="Renovable"/>
    <s v="Cobrado"/>
    <x v="44"/>
    <d v="2026-02-01T00:00:00"/>
    <d v="2026-02-01T00:00:00"/>
    <m/>
    <m/>
    <m/>
    <m/>
    <s v="Mensual"/>
    <s v="Plena Plus"/>
    <s v="Cuadro Cerrado"/>
    <x v="4"/>
    <s v="SEGURCAIXA ADESLAS, S.A."/>
    <s v="Euros"/>
    <n v="310.85000000000002"/>
    <n v="27.97"/>
    <n v="27.97"/>
    <n v="0"/>
    <m/>
    <n v="0"/>
    <m/>
    <n v="0"/>
    <m/>
    <n v="0"/>
    <m/>
    <n v="0"/>
  </r>
  <r>
    <s v="ARAYTOR"/>
    <s v="36473908W"/>
    <s v="81366906"/>
    <n v="12698"/>
    <s v="202602619592"/>
    <s v="2026000786"/>
    <s v="Cartera"/>
    <s v="Compañía"/>
    <s v="Renovable"/>
    <s v="Cobrado"/>
    <x v="44"/>
    <d v="2026-02-01T00:00:00"/>
    <d v="2026-02-01T00:00:00"/>
    <m/>
    <m/>
    <m/>
    <m/>
    <s v="Mensual"/>
    <s v="Dental"/>
    <s v="Dental"/>
    <x v="4"/>
    <s v="SEGURCAIXA ADESLAS, S.A."/>
    <s v="Euros"/>
    <n v="33.020000000000003"/>
    <n v="2.97"/>
    <n v="2.97"/>
    <n v="0"/>
    <m/>
    <n v="0"/>
    <m/>
    <n v="0"/>
    <m/>
    <n v="0"/>
    <m/>
    <n v="0"/>
  </r>
  <r>
    <s v="ARAYTOR"/>
    <s v="50736424B"/>
    <s v="282329055"/>
    <n v="19150"/>
    <s v="202602317410"/>
    <s v="2026000787"/>
    <s v="Cartera"/>
    <s v="Compañía"/>
    <s v="Renovable"/>
    <s v="Cobrado"/>
    <x v="44"/>
    <d v="2026-02-01T00:00:00"/>
    <d v="2026-02-01T00:00:00"/>
    <m/>
    <m/>
    <m/>
    <m/>
    <s v="Mensual"/>
    <s v="Plena Vital"/>
    <s v="Cuadro Cerrado"/>
    <x v="4"/>
    <s v="SEGURCAIXA ADESLAS, S.A."/>
    <s v="Euros"/>
    <n v="36.68"/>
    <n v="3.3"/>
    <n v="3.3"/>
    <n v="0"/>
    <m/>
    <n v="0"/>
    <m/>
    <n v="0"/>
    <m/>
    <n v="0"/>
    <m/>
    <n v="0"/>
  </r>
  <r>
    <s v="ARAYTOR"/>
    <s v="36784665Y"/>
    <s v="81343230"/>
    <n v="13993"/>
    <s v="202602595349"/>
    <s v="2026000788"/>
    <s v="Cartera"/>
    <s v="Compañía"/>
    <s v="Renovable"/>
    <s v="Cobrado"/>
    <x v="44"/>
    <d v="2026-02-01T00:00:00"/>
    <d v="2026-02-01T00:00:00"/>
    <m/>
    <m/>
    <m/>
    <m/>
    <s v="Mensual"/>
    <s v="Adeslas Completa"/>
    <s v="Cuadro Cerrado"/>
    <x v="4"/>
    <s v="SEGURCAIXA ADESLAS, S.A."/>
    <s v="Euros"/>
    <n v="491.64"/>
    <n v="0"/>
    <n v="0"/>
    <n v="0"/>
    <m/>
    <n v="0"/>
    <m/>
    <n v="0"/>
    <m/>
    <n v="0"/>
    <m/>
    <n v="0"/>
  </r>
  <r>
    <s v="ARAYTOR"/>
    <s v="36918203Y"/>
    <s v="81375862"/>
    <n v="13398"/>
    <s v="202602612447"/>
    <s v="2026000789"/>
    <s v="Cartera"/>
    <s v="Compañía"/>
    <s v="Renovable"/>
    <s v="Cobrado"/>
    <x v="44"/>
    <d v="2026-02-01T00:00:00"/>
    <d v="2026-02-01T00:00:00"/>
    <m/>
    <m/>
    <m/>
    <m/>
    <s v="Mensual"/>
    <s v="Adeslas Completa"/>
    <s v="Cuadro Cerrado"/>
    <x v="4"/>
    <s v="SEGURCAIXA ADESLAS, S.A."/>
    <s v="Euros"/>
    <n v="367.7"/>
    <n v="33.090000000000003"/>
    <n v="33.090000000000003"/>
    <n v="0"/>
    <m/>
    <n v="0"/>
    <m/>
    <n v="0"/>
    <m/>
    <n v="0"/>
    <m/>
    <n v="0"/>
  </r>
  <r>
    <s v="ARAYTOR"/>
    <s v="43119280F"/>
    <s v="282279213"/>
    <n v="12619"/>
    <s v="202602345686"/>
    <s v="2026000790"/>
    <s v="Cartera"/>
    <s v="Compañía"/>
    <s v="Renovable"/>
    <s v="Cobrado"/>
    <x v="44"/>
    <d v="2026-02-01T00:00:00"/>
    <d v="2026-02-01T00:00:00"/>
    <m/>
    <m/>
    <m/>
    <m/>
    <s v="Mensual"/>
    <s v="Adeslas Completa"/>
    <s v="Cuadro Cerrado"/>
    <x v="4"/>
    <s v="SEGURCAIXA ADESLAS, S.A."/>
    <s v="Euros"/>
    <n v="72.930000000000007"/>
    <n v="3.65"/>
    <n v="3.65"/>
    <n v="0"/>
    <m/>
    <n v="0"/>
    <m/>
    <n v="0"/>
    <m/>
    <n v="0"/>
    <m/>
    <n v="0"/>
  </r>
  <r>
    <s v="ARAYTOR"/>
    <s v="43505915N"/>
    <s v="66600580383"/>
    <n v="5157"/>
    <s v="202603084816"/>
    <s v="2026000791"/>
    <s v="Cartera"/>
    <s v="Compañía"/>
    <s v="Renovable"/>
    <s v="Cobrado"/>
    <x v="44"/>
    <d v="2026-02-01T00:00:00"/>
    <d v="2026-02-01T00:00:00"/>
    <m/>
    <m/>
    <m/>
    <m/>
    <s v="Mensual"/>
    <s v="Modular Colectivos"/>
    <s v="Colectivo Salud"/>
    <x v="10"/>
    <s v="SEGURCAIXA ADESLAS, S.A."/>
    <s v="Euros"/>
    <n v="69.900000000000006"/>
    <n v="5.59"/>
    <n v="5.59"/>
    <n v="0"/>
    <m/>
    <n v="0"/>
    <m/>
    <n v="0"/>
    <m/>
    <n v="0"/>
    <m/>
    <n v="0"/>
  </r>
  <r>
    <s v="ARAYTOR"/>
    <s v="02620075F"/>
    <s v="282157337"/>
    <n v="15477"/>
    <s v="202602263037"/>
    <s v="2026000792"/>
    <s v="Cartera"/>
    <s v="Compañía"/>
    <s v="Renovable"/>
    <s v="Cobrado"/>
    <x v="44"/>
    <d v="2026-02-01T00:00:00"/>
    <d v="2026-02-01T00:00:00"/>
    <m/>
    <m/>
    <m/>
    <m/>
    <s v="Mensual"/>
    <s v="Plena Vital"/>
    <s v="Cuadro Cerrado"/>
    <x v="4"/>
    <s v="SEGURCAIXA ADESLAS, S.A."/>
    <s v="Euros"/>
    <n v="373.24"/>
    <n v="33.590000000000003"/>
    <n v="33.590000000000003"/>
    <n v="0"/>
    <m/>
    <n v="0"/>
    <m/>
    <n v="0"/>
    <m/>
    <n v="0"/>
    <m/>
    <n v="0"/>
  </r>
  <r>
    <s v="ARAYTOR"/>
    <s v="38119496D"/>
    <s v="81386276"/>
    <n v="14503"/>
    <s v="202602625496"/>
    <s v="2026000793"/>
    <s v="Cartera"/>
    <s v="Compañía"/>
    <s v="Renovable"/>
    <s v="Cobrado"/>
    <x v="44"/>
    <d v="2026-02-01T00:00:00"/>
    <d v="2026-02-01T00:00:00"/>
    <m/>
    <m/>
    <m/>
    <m/>
    <s v="Mensual"/>
    <s v="Adeslas Completa"/>
    <s v="Cuadro Cerrado"/>
    <x v="4"/>
    <s v="SEGURCAIXA ADESLAS, S.A."/>
    <s v="Euros"/>
    <n v="122.04"/>
    <n v="10.98"/>
    <n v="10.98"/>
    <n v="0"/>
    <m/>
    <n v="0"/>
    <m/>
    <n v="0"/>
    <m/>
    <n v="0"/>
    <m/>
    <n v="0"/>
  </r>
  <r>
    <s v="ARAYTOR"/>
    <s v="N0021150H"/>
    <s v="RCEXP-CA17491"/>
    <n v="30758"/>
    <s v="2602016"/>
    <s v="2026000794"/>
    <s v="Produccion"/>
    <s v="Correduría"/>
    <s v="Temporal"/>
    <s v="Cobrado"/>
    <x v="44"/>
    <d v="2026-03-07T00:00:00"/>
    <d v="2026-02-09T00:00:00"/>
    <m/>
    <m/>
    <d v="2026-03-01T00:00:00"/>
    <m/>
    <s v="Unico"/>
    <s v="RC Empresa"/>
    <s v="RC Empresa"/>
    <x v="0"/>
    <s v="CIRCLES GROUP, S.A."/>
    <s v="Euros"/>
    <n v="920"/>
    <n v="167.27"/>
    <n v="167.27"/>
    <n v="0"/>
    <m/>
    <n v="0"/>
    <s v="GRUPO GALILEA, S.A."/>
    <n v="92"/>
    <m/>
    <n v="0"/>
    <m/>
    <n v="0"/>
  </r>
  <r>
    <s v="ARAYTOR"/>
    <s v="N0021150H"/>
    <s v="RCEXP-CA17491"/>
    <n v="30758"/>
    <s v="2602204"/>
    <s v="2026000795"/>
    <s v="Produccion"/>
    <s v="Correduría"/>
    <s v="Temporal"/>
    <s v="Cobrado"/>
    <x v="44"/>
    <d v="2026-03-07T00:00:00"/>
    <d v="2026-02-09T00:00:00"/>
    <m/>
    <m/>
    <d v="2026-03-01T00:00:00"/>
    <m/>
    <s v="Unico"/>
    <s v="RC Empresa"/>
    <s v="RC Empresa"/>
    <x v="0"/>
    <s v="CIRCLES GROUP, S.A."/>
    <s v="Euros"/>
    <n v="-920"/>
    <n v="-167.27"/>
    <n v="-167.27"/>
    <n v="0"/>
    <m/>
    <n v="0"/>
    <s v="GRUPO GALILEA, S.A."/>
    <n v="-92"/>
    <m/>
    <n v="0"/>
    <m/>
    <n v="0"/>
  </r>
  <r>
    <s v="ARAYTOR"/>
    <s v="B70981816"/>
    <s v="400540"/>
    <n v="32639"/>
    <s v="564132"/>
    <s v="2026000796"/>
    <s v="Produccion"/>
    <s v="Correduría"/>
    <s v="Temporal"/>
    <s v="Cobrado"/>
    <x v="44"/>
    <d v="2026-02-06T00:00:00"/>
    <d v="2026-02-16T00:00:00"/>
    <m/>
    <m/>
    <m/>
    <d v="2026-03-01T00:00:00"/>
    <s v="Unico"/>
    <s v="Temporal Nominado"/>
    <s v="Asistencia en Viaje"/>
    <x v="7"/>
    <s v="Iris Global Soluciones"/>
    <s v="Euros"/>
    <n v="15675.52"/>
    <n v="3918.88"/>
    <n v="3918.88"/>
    <n v="0"/>
    <m/>
    <n v="0"/>
    <m/>
    <n v="0"/>
    <m/>
    <n v="0"/>
    <m/>
    <n v="0"/>
  </r>
  <r>
    <s v="ARAYTOR"/>
    <s v="37167136X"/>
    <s v="JE-5-084000058"/>
    <n v="1776"/>
    <s v="5665745644"/>
    <s v="2026000797"/>
    <s v="Cartera"/>
    <s v="Compañía"/>
    <s v="Renovable"/>
    <s v="Facturado"/>
    <x v="44"/>
    <d v="2026-03-08T00:00:00"/>
    <m/>
    <m/>
    <m/>
    <m/>
    <m/>
    <s v="Anual"/>
    <s v="65 -  Salud"/>
    <s v="Cuadro Cerrado"/>
    <x v="4"/>
    <s v="GENERALI ESPAÑA"/>
    <s v="Euros"/>
    <n v="14754.68"/>
    <n v="2334.02"/>
    <n v="2334.02"/>
    <n v="0"/>
    <m/>
    <n v="0"/>
    <m/>
    <n v="0"/>
    <m/>
    <n v="0"/>
    <m/>
    <n v="0"/>
  </r>
  <r>
    <s v="ARAYTOR"/>
    <s v="38109730H"/>
    <s v="038301593"/>
    <n v="16731"/>
    <s v="595782412"/>
    <s v="2026000798"/>
    <s v="Cartera"/>
    <s v="Compañía"/>
    <s v="Renovable"/>
    <s v="Facturado"/>
    <x v="44"/>
    <d v="2026-04-23T00:00:00"/>
    <m/>
    <m/>
    <m/>
    <m/>
    <m/>
    <s v="Mensual"/>
    <s v="68 - Allianz Riesgo Renovable"/>
    <s v="Vida Individual"/>
    <x v="5"/>
    <s v="ALLIANZ"/>
    <s v="Euros"/>
    <n v="103.21"/>
    <n v="21.05"/>
    <n v="21.05"/>
    <n v="0"/>
    <m/>
    <n v="0"/>
    <m/>
    <n v="0"/>
    <m/>
    <n v="0"/>
    <m/>
    <n v="0"/>
  </r>
  <r>
    <s v="ARAYTOR"/>
    <s v="45865660A"/>
    <s v="RCEXP-CA18278"/>
    <n v="31780"/>
    <s v="2524347 Subsanacion error"/>
    <s v="2026000799"/>
    <s v="Produccion"/>
    <s v="Correduría"/>
    <s v="Temporal"/>
    <s v="Cobrado"/>
    <x v="44"/>
    <d v="2025-11-08T00:00:00"/>
    <d v="2026-02-09T00:00:00"/>
    <m/>
    <m/>
    <m/>
    <d v="2026-02-09T00:00:00"/>
    <s v="Unico"/>
    <s v="RC Empresa"/>
    <s v="RC Empresa"/>
    <x v="0"/>
    <s v="CIRCLES GROUP, S.A."/>
    <s v="Euros"/>
    <n v="-3.25"/>
    <n v="-184.92"/>
    <n v="-184.92"/>
    <n v="0"/>
    <m/>
    <n v="0"/>
    <m/>
    <n v="0"/>
    <m/>
    <n v="0"/>
    <m/>
    <n v="0"/>
  </r>
  <r>
    <s v="ARAYTOR"/>
    <s v="B34159806"/>
    <s v="RCEXP-CA16768"/>
    <n v="29175"/>
    <s v="2518132 Subsanacion comision"/>
    <s v="2026000800"/>
    <s v="Produccion"/>
    <s v="Correduría"/>
    <s v="Temporal"/>
    <s v="Cobrado"/>
    <x v="44"/>
    <d v="2025-11-09T00:00:00"/>
    <d v="2026-02-09T00:00:00"/>
    <m/>
    <m/>
    <m/>
    <d v="2026-02-09T00:00:00"/>
    <s v="Unico"/>
    <s v="RC Empresa"/>
    <s v="RC Empresa"/>
    <x v="0"/>
    <s v="CIRCLES GROUP, S.A."/>
    <s v="Euros"/>
    <n v="0"/>
    <n v="-365.08"/>
    <n v="-365.08"/>
    <n v="0"/>
    <m/>
    <n v="0"/>
    <m/>
    <n v="0"/>
    <m/>
    <n v="0"/>
    <m/>
    <n v="0"/>
  </r>
  <r>
    <s v="ARAYTOR"/>
    <s v="B59343673"/>
    <s v="RCEXP-CA9020"/>
    <n v="22587"/>
    <s v="2602590"/>
    <s v="2026000801"/>
    <s v="Produccion"/>
    <s v="Correduría"/>
    <s v="Temporal"/>
    <s v="Cobrado"/>
    <x v="45"/>
    <d v="2026-02-19T00:00:00"/>
    <d v="2026-02-19T00:00:00"/>
    <m/>
    <m/>
    <m/>
    <m/>
    <s v="Unico"/>
    <s v="RC Empresa"/>
    <s v="RC Empresa"/>
    <x v="0"/>
    <s v="CIRCLES GROUP, S.A."/>
    <s v="Euros"/>
    <n v="3127.5"/>
    <n v="568.64"/>
    <n v="568.64"/>
    <n v="0"/>
    <m/>
    <n v="0"/>
    <m/>
    <n v="0"/>
    <m/>
    <n v="0"/>
    <m/>
    <n v="0"/>
  </r>
  <r>
    <s v="ARAYTOR"/>
    <s v="B59343673"/>
    <s v="RCEXP-CA9020"/>
    <n v="22587"/>
    <s v="2602591"/>
    <s v="2026000802"/>
    <s v="Produccion"/>
    <s v="Correduría"/>
    <s v="Temporal"/>
    <s v="Facturado"/>
    <x v="45"/>
    <d v="2026-02-19T00:00:00"/>
    <m/>
    <m/>
    <m/>
    <m/>
    <m/>
    <s v="Unico"/>
    <s v="RC Empresa"/>
    <s v="RC Empresa"/>
    <x v="0"/>
    <s v="CIRCLES GROUP, S.A."/>
    <s v="Euros"/>
    <n v="3127.5"/>
    <n v="568.64"/>
    <n v="568.64"/>
    <n v="0"/>
    <m/>
    <n v="0"/>
    <m/>
    <n v="0"/>
    <m/>
    <n v="0"/>
    <m/>
    <n v="0"/>
  </r>
  <r>
    <s v="ARAYTOR"/>
    <s v="B72399660"/>
    <s v="RCEXP-CA14131"/>
    <n v="26059"/>
    <s v="2602597"/>
    <s v="2026000803"/>
    <s v="Produccion"/>
    <s v="Correduría"/>
    <s v="Temporal"/>
    <s v="Cobrado"/>
    <x v="45"/>
    <d v="2024-02-10T00:00:00"/>
    <d v="2026-02-24T00:00:00"/>
    <m/>
    <m/>
    <m/>
    <m/>
    <s v="Unico"/>
    <s v="RC Empresa"/>
    <s v="RC Empresa"/>
    <x v="0"/>
    <s v="CIRCLES GROUP, S.A."/>
    <s v="Euros"/>
    <n v="178.76"/>
    <n v="32.51"/>
    <n v="32.51"/>
    <n v="0"/>
    <m/>
    <n v="0"/>
    <m/>
    <n v="0"/>
    <m/>
    <n v="0"/>
    <m/>
    <n v="0"/>
  </r>
  <r>
    <s v="ARAYTOR"/>
    <s v="B55747513"/>
    <s v="RCEXP-CA15823"/>
    <n v="27885"/>
    <s v="2602595"/>
    <s v="2026000804"/>
    <s v="Produccion"/>
    <s v="Correduría"/>
    <s v="Temporal"/>
    <s v="Facturado"/>
    <x v="45"/>
    <d v="2026-03-08T00:00:00"/>
    <m/>
    <m/>
    <m/>
    <m/>
    <m/>
    <s v="Unico"/>
    <s v="RC Empresa"/>
    <s v="RC Empresa"/>
    <x v="0"/>
    <s v="CIRCLES GROUP, S.A."/>
    <s v="Euros"/>
    <n v="1872"/>
    <n v="340.36"/>
    <n v="340.36"/>
    <n v="0"/>
    <m/>
    <n v="0"/>
    <m/>
    <n v="0"/>
    <m/>
    <n v="0"/>
    <m/>
    <n v="0"/>
  </r>
  <r>
    <s v="ARAYTOR"/>
    <s v="B75300079"/>
    <s v="RCEXP-CA17588"/>
    <n v="30889"/>
    <s v="2602596"/>
    <s v="2026000805"/>
    <s v="Produccion"/>
    <s v="Correduría"/>
    <s v="Temporal"/>
    <s v="Cobrado"/>
    <x v="45"/>
    <d v="2026-03-28T00:00:00"/>
    <d v="2026-02-09T00:00:00"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21762331"/>
    <s v="CE92332-CE93394"/>
    <n v="32640"/>
    <s v="2602578"/>
    <s v="2026000806"/>
    <s v="Produccion"/>
    <s v="Correduría"/>
    <s v="Temporal"/>
    <s v="Facturado"/>
    <x v="45"/>
    <d v="2026-02-06T00:00:00"/>
    <m/>
    <m/>
    <m/>
    <m/>
    <m/>
    <s v="Unico"/>
    <s v="Contingencias"/>
    <s v="Contingencias"/>
    <x v="9"/>
    <s v="CIRCLES GROUP, S.A."/>
    <s v="Euros"/>
    <n v="10824.46"/>
    <n v="1968.08"/>
    <n v="1968.08"/>
    <n v="0"/>
    <m/>
    <n v="0"/>
    <m/>
    <n v="0"/>
    <m/>
    <n v="0"/>
    <m/>
    <n v="0"/>
  </r>
  <r>
    <s v="ARAYTOR"/>
    <s v="B21762331"/>
    <s v="CE92332-CE93394"/>
    <n v="32640"/>
    <s v="2602579"/>
    <s v="2026000807"/>
    <s v="Produccion"/>
    <s v="Correduría"/>
    <s v="Temporal"/>
    <s v="Facturado"/>
    <x v="45"/>
    <d v="2026-02-06T00:00:00"/>
    <m/>
    <m/>
    <m/>
    <m/>
    <m/>
    <s v="Unico"/>
    <s v="Contingencias"/>
    <s v="Contingencias"/>
    <x v="9"/>
    <s v="CIRCLES GROUP, S.A."/>
    <s v="Euros"/>
    <n v="-2164.92"/>
    <n v="-393.62"/>
    <n v="-393.62"/>
    <n v="0"/>
    <m/>
    <n v="0"/>
    <m/>
    <n v="0"/>
    <m/>
    <n v="0"/>
    <m/>
    <n v="0"/>
  </r>
  <r>
    <s v="ARAYTOR"/>
    <s v="B44884518"/>
    <s v="CE93684"/>
    <n v="32641"/>
    <s v="2602583"/>
    <s v="2026000808"/>
    <s v="Produccion"/>
    <s v="Correduría"/>
    <s v="Temporal"/>
    <s v="Cobrado"/>
    <x v="45"/>
    <d v="2026-02-06T00:00:00"/>
    <d v="2026-02-20T00:00:00"/>
    <m/>
    <m/>
    <m/>
    <m/>
    <s v="Unico"/>
    <s v="Contingencias"/>
    <s v="Contingencias"/>
    <x v="9"/>
    <s v="CIRCLES GROUP, S.A."/>
    <s v="Euros"/>
    <n v="1524.24"/>
    <n v="277.14"/>
    <n v="277.14"/>
    <n v="0"/>
    <m/>
    <n v="0"/>
    <m/>
    <n v="0"/>
    <m/>
    <n v="0"/>
    <m/>
    <n v="0"/>
  </r>
  <r>
    <s v="ARAYTOR"/>
    <s v="PT513019626"/>
    <s v="CE93619"/>
    <n v="32642"/>
    <s v="2602617"/>
    <s v="2026000809"/>
    <s v="Produccion"/>
    <s v="Correduría"/>
    <s v="Temporal"/>
    <s v="Cobrado"/>
    <x v="45"/>
    <d v="2026-02-09T00:00:00"/>
    <d v="2026-02-12T00:00:00"/>
    <m/>
    <m/>
    <m/>
    <d v="2026-02-15T00:00:00"/>
    <s v="Unico"/>
    <s v="Contingencias"/>
    <s v="Contingencias"/>
    <x v="9"/>
    <s v="CIRCLES GROUP, S.A."/>
    <s v="Euros"/>
    <n v="3724.57"/>
    <n v="677.2"/>
    <n v="677.2"/>
    <n v="0"/>
    <m/>
    <n v="0"/>
    <m/>
    <n v="0"/>
    <m/>
    <n v="0"/>
    <m/>
    <n v="0"/>
  </r>
  <r>
    <s v="ARAYTOR"/>
    <s v="B09872953"/>
    <s v="RCEXP-CA19297"/>
    <n v="32643"/>
    <s v="2602598"/>
    <s v="2026000810"/>
    <s v="Produccion"/>
    <s v="Correduría"/>
    <s v="Temporal"/>
    <s v="Cobrado"/>
    <x v="45"/>
    <d v="2026-02-10T00:00:00"/>
    <d v="2026-02-16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71476604X"/>
    <s v="CE93639"/>
    <n v="32644"/>
    <s v="2602616"/>
    <s v="2026000811"/>
    <s v="Produccion"/>
    <s v="Correduría"/>
    <s v="Temporal"/>
    <s v="Cobrado"/>
    <x v="45"/>
    <d v="2026-02-06T00:00:00"/>
    <d v="2026-02-23T00:00:00"/>
    <m/>
    <m/>
    <m/>
    <m/>
    <s v="Unico"/>
    <s v="Contingencias"/>
    <s v="Contingencias"/>
    <x v="9"/>
    <s v="CIRCLES GROUP, S.A."/>
    <s v="Euros"/>
    <n v="184.93"/>
    <n v="33.619999999999997"/>
    <n v="33.619999999999997"/>
    <n v="0"/>
    <m/>
    <n v="0"/>
    <m/>
    <n v="0"/>
    <m/>
    <n v="0"/>
    <m/>
    <n v="0"/>
  </r>
  <r>
    <s v="ARAYTOR"/>
    <s v="71476604X"/>
    <s v="CE93639"/>
    <n v="32644"/>
    <s v="2602615"/>
    <s v="2026000812"/>
    <s v="Produccion"/>
    <s v="Correduría"/>
    <s v="Temporal"/>
    <s v="Cobrado"/>
    <x v="45"/>
    <d v="2026-02-06T00:00:00"/>
    <d v="2026-02-23T00:00:00"/>
    <m/>
    <m/>
    <m/>
    <m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88262431"/>
    <s v="CE93675"/>
    <n v="32645"/>
    <s v="2602551"/>
    <s v="2026000813"/>
    <s v="Produccion"/>
    <s v="Correduría"/>
    <s v="Temporal"/>
    <s v="Cobrado"/>
    <x v="45"/>
    <d v="2026-02-06T00:00:00"/>
    <d v="2026-02-17T00:00:00"/>
    <m/>
    <m/>
    <m/>
    <m/>
    <s v="Unico"/>
    <s v="Contingencias"/>
    <s v="Contingencias"/>
    <x v="9"/>
    <s v="CIRCLES GROUP, S.A."/>
    <s v="Euros"/>
    <n v="22016.27"/>
    <n v="4002.96"/>
    <n v="4002.96"/>
    <n v="0"/>
    <m/>
    <n v="0"/>
    <m/>
    <n v="0"/>
    <m/>
    <n v="0"/>
    <m/>
    <n v="0"/>
  </r>
  <r>
    <s v="ARAYTOR"/>
    <s v="B88262431"/>
    <s v="CE93678"/>
    <n v="32646"/>
    <s v="2602552"/>
    <s v="2026000814"/>
    <s v="Produccion"/>
    <s v="Correduría"/>
    <s v="Temporal"/>
    <s v="Cobrado"/>
    <x v="45"/>
    <d v="2026-02-06T00:00:00"/>
    <d v="2026-02-17T00:00:00"/>
    <m/>
    <m/>
    <m/>
    <m/>
    <s v="Unico"/>
    <s v="Contingencias"/>
    <s v="Contingencias"/>
    <x v="9"/>
    <s v="CIRCLES GROUP, S.A."/>
    <s v="Euros"/>
    <n v="2438.6"/>
    <n v="443.38"/>
    <n v="443.38"/>
    <n v="0"/>
    <m/>
    <n v="0"/>
    <m/>
    <n v="0"/>
    <m/>
    <n v="0"/>
    <m/>
    <n v="0"/>
  </r>
  <r>
    <s v="ARAYTOR"/>
    <s v="A58569815"/>
    <s v="CE92332-CE93683"/>
    <n v="32647"/>
    <s v="2602580"/>
    <s v="2026000815"/>
    <s v="Produccion"/>
    <s v="Correduría"/>
    <s v="Temporal"/>
    <s v="Cobrado"/>
    <x v="45"/>
    <d v="2026-02-06T00:00:00"/>
    <d v="2026-03-02T00:00:00"/>
    <m/>
    <m/>
    <m/>
    <m/>
    <s v="Unico"/>
    <s v="Contingencias"/>
    <s v="Contingencias"/>
    <x v="9"/>
    <s v="CIRCLES GROUP, S.A."/>
    <s v="Euros"/>
    <n v="1552.02"/>
    <n v="282.18"/>
    <n v="282.18"/>
    <n v="0"/>
    <m/>
    <n v="0"/>
    <m/>
    <n v="0"/>
    <m/>
    <n v="0"/>
    <m/>
    <n v="0"/>
  </r>
  <r>
    <s v="ARAYTOR"/>
    <s v="A58569815"/>
    <s v="CE92332-CE93683"/>
    <n v="32647"/>
    <s v="2602581"/>
    <s v="2026000816"/>
    <s v="Produccion"/>
    <s v="Correduría"/>
    <s v="Temporal"/>
    <s v="Facturado"/>
    <x v="45"/>
    <d v="2026-02-06T00:00:00"/>
    <m/>
    <m/>
    <m/>
    <m/>
    <m/>
    <s v="Unico"/>
    <s v="Contingencias"/>
    <s v="Contingencias"/>
    <x v="9"/>
    <s v="CIRCLES GROUP, S.A."/>
    <s v="Euros"/>
    <n v="-310.41000000000003"/>
    <n v="-56.44"/>
    <n v="-56.44"/>
    <n v="0"/>
    <m/>
    <n v="0"/>
    <m/>
    <n v="0"/>
    <m/>
    <n v="0"/>
    <m/>
    <n v="0"/>
  </r>
  <r>
    <s v="ARAYTOR"/>
    <s v="B27740117"/>
    <s v="UYG782000467"/>
    <n v="28086"/>
    <s v="5620092799"/>
    <s v="2026000817"/>
    <s v="Ajustes"/>
    <s v="Correduría"/>
    <s v="Renovable"/>
    <s v="Cobrado"/>
    <x v="45"/>
    <d v="2025-10-15T00:00:00"/>
    <d v="2026-02-10T00:00:00"/>
    <m/>
    <m/>
    <m/>
    <d v="2026-02-10T00:00:00"/>
    <s v="Anual"/>
    <s v="Vehículos Industriales"/>
    <s v="Furgonetas"/>
    <x v="1"/>
    <s v="GENERALI ESPAÑA"/>
    <s v="Euros"/>
    <n v="-434.57"/>
    <n v="-52.15"/>
    <n v="-52.15"/>
    <n v="0"/>
    <m/>
    <n v="0"/>
    <m/>
    <n v="0"/>
    <m/>
    <n v="0"/>
    <m/>
    <n v="0"/>
  </r>
  <r>
    <s v="ARAYTOR"/>
    <s v="B59437178"/>
    <s v="L1-G-620001114"/>
    <n v="1621"/>
    <s v="5678633844"/>
    <s v="2026000818"/>
    <s v="Cartera"/>
    <s v="Correduría"/>
    <s v="Renovable"/>
    <s v="Cobrado"/>
    <x v="45"/>
    <d v="2022-02-17T00:00:00"/>
    <d v="2026-02-17T00:00:00"/>
    <m/>
    <m/>
    <m/>
    <d v="2026-02-10T00:00:00"/>
    <s v="Anual"/>
    <s v="Accidentes Convenio"/>
    <s v="Accidentes"/>
    <x v="4"/>
    <s v="GENERALI ESPAÑA"/>
    <s v="Euros"/>
    <n v="-607.03"/>
    <n v="-136.59"/>
    <n v="-136.59"/>
    <n v="0"/>
    <m/>
    <n v="0"/>
    <m/>
    <n v="0"/>
    <m/>
    <n v="0"/>
    <m/>
    <n v="0"/>
  </r>
  <r>
    <s v="ARAYTOR"/>
    <s v="B59437178"/>
    <s v="L1-G-620001114"/>
    <n v="1621"/>
    <s v="5672551599"/>
    <s v="2026000819"/>
    <s v="Cartera"/>
    <s v="Correduría"/>
    <s v="Renovable"/>
    <s v="Cobrado"/>
    <x v="45"/>
    <d v="2026-02-17T00:00:00"/>
    <d v="2026-02-17T00:00:00"/>
    <m/>
    <m/>
    <m/>
    <d v="2026-02-10T00:00:00"/>
    <s v="Anual"/>
    <s v="Accidentes Convenio"/>
    <s v="Accidentes"/>
    <x v="4"/>
    <s v="GENERALI ESPAÑA"/>
    <s v="Euros"/>
    <n v="1951.36"/>
    <n v="439.05"/>
    <n v="439.05"/>
    <n v="0"/>
    <m/>
    <n v="0"/>
    <m/>
    <n v="0"/>
    <m/>
    <n v="0"/>
    <m/>
    <n v="0"/>
  </r>
  <r>
    <s v="ARAYTOR"/>
    <s v="B01805746"/>
    <s v="401245"/>
    <n v="32648"/>
    <s v="565051"/>
    <s v="2026000820"/>
    <s v="Produccion"/>
    <s v="Correduría"/>
    <s v="Temporal"/>
    <s v="Cobrado"/>
    <x v="45"/>
    <d v="2026-02-10T00:00:00"/>
    <d v="2026-02-16T00:00:00"/>
    <m/>
    <m/>
    <m/>
    <d v="2026-03-01T00:00:00"/>
    <s v="Unico"/>
    <s v="Temporal Nominado"/>
    <s v="Asistencia en Viaje"/>
    <x v="7"/>
    <s v="Iris Global Soluciones"/>
    <s v="Euros"/>
    <n v="31.8"/>
    <n v="7.95"/>
    <n v="7.95"/>
    <n v="0"/>
    <m/>
    <n v="0"/>
    <m/>
    <n v="0"/>
    <m/>
    <n v="0"/>
    <m/>
    <n v="0"/>
  </r>
  <r>
    <s v="ARAYTOR"/>
    <s v="B19417310"/>
    <s v="3561339"/>
    <n v="27785"/>
    <s v="3561339-3"/>
    <s v="2026000821"/>
    <s v="Suplemento modificacion de produccion"/>
    <s v="Correduría"/>
    <s v="Renovable"/>
    <s v="Facturado"/>
    <x v="46"/>
    <d v="2026-02-17T00:00:00"/>
    <m/>
    <m/>
    <m/>
    <m/>
    <m/>
    <s v="Anual"/>
    <s v="RC Musica"/>
    <s v="RC Promotor Musica"/>
    <x v="0"/>
    <s v="Hiscox S.A Sucursal en España"/>
    <s v="Euros"/>
    <n v="829.22"/>
    <n v="207.32"/>
    <n v="207.32"/>
    <n v="0"/>
    <m/>
    <n v="0"/>
    <m/>
    <n v="0"/>
    <m/>
    <n v="0"/>
    <m/>
    <n v="0"/>
  </r>
  <r>
    <s v="ARAYTOR"/>
    <s v="B64554777"/>
    <s v="RCEXP-CA15670"/>
    <n v="27738"/>
    <s v="2602685"/>
    <s v="2026000822"/>
    <s v="Produccion"/>
    <s v="Correduría"/>
    <s v="Temporal"/>
    <s v="Facturado"/>
    <x v="46"/>
    <d v="2026-03-12T00:00:00"/>
    <m/>
    <m/>
    <m/>
    <m/>
    <m/>
    <s v="Unico"/>
    <s v="RC Empresa"/>
    <s v="RC Empresa"/>
    <x v="0"/>
    <s v="CIRCLES GROUP, S.A."/>
    <s v="Euros"/>
    <n v="1364"/>
    <n v="248"/>
    <n v="248"/>
    <n v="0"/>
    <m/>
    <n v="0"/>
    <m/>
    <n v="0"/>
    <m/>
    <n v="0"/>
    <m/>
    <n v="0"/>
  </r>
  <r>
    <s v="ARAYTOR"/>
    <s v="V44779031"/>
    <s v="RCEXP-CA17569"/>
    <n v="30866"/>
    <s v="2602745"/>
    <s v="2026000823"/>
    <s v="Produccion"/>
    <s v="Correduría"/>
    <s v="Temporal"/>
    <s v="Facturado"/>
    <x v="46"/>
    <d v="2026-03-26T00:00:00"/>
    <m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75737197"/>
    <s v="RCEXP-CA17531"/>
    <n v="30774"/>
    <s v="2602707"/>
    <s v="2026000824"/>
    <s v="Produccion"/>
    <s v="Correduría"/>
    <s v="Temporal"/>
    <s v="Facturado"/>
    <x v="46"/>
    <d v="2026-03-12T00:00:00"/>
    <m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67360073"/>
    <s v="CE93324"/>
    <n v="32649"/>
    <s v="2602686"/>
    <s v="2026000825"/>
    <s v="Produccion"/>
    <s v="Correduría"/>
    <s v="Temporal"/>
    <s v="Cobrado"/>
    <x v="46"/>
    <d v="2026-02-09T00:00:00"/>
    <d v="2026-02-16T00:00:00"/>
    <m/>
    <m/>
    <m/>
    <m/>
    <s v="Unico"/>
    <s v="Contingencias"/>
    <s v="Contingencias"/>
    <x v="9"/>
    <s v="CIRCLES GROUP, S.A."/>
    <s v="Euros"/>
    <n v="13743.42"/>
    <n v="2498.8000000000002"/>
    <n v="2498.8000000000002"/>
    <n v="0"/>
    <m/>
    <n v="0"/>
    <m/>
    <n v="0"/>
    <m/>
    <n v="0"/>
    <m/>
    <n v="0"/>
  </r>
  <r>
    <s v="ARAYTOR"/>
    <s v="B66894619"/>
    <s v="CE93626"/>
    <n v="32650"/>
    <s v="2602683"/>
    <s v="2026000826"/>
    <s v="Produccion"/>
    <s v="Correduría"/>
    <s v="Temporal"/>
    <s v="Cobrado"/>
    <x v="46"/>
    <d v="2026-02-09T00:00:00"/>
    <d v="2026-03-03T00:00:00"/>
    <m/>
    <m/>
    <m/>
    <m/>
    <s v="Unico"/>
    <s v="Contingencias"/>
    <s v="Contingencias"/>
    <x v="9"/>
    <s v="CIRCLES GROUP, S.A."/>
    <s v="Euros"/>
    <n v="5690.13"/>
    <n v="1034.57"/>
    <n v="1034.57"/>
    <n v="0"/>
    <m/>
    <n v="0"/>
    <m/>
    <n v="0"/>
    <m/>
    <n v="0"/>
    <m/>
    <n v="0"/>
  </r>
  <r>
    <s v="ARAYTOR"/>
    <s v="B66894619"/>
    <s v="CE93626"/>
    <n v="32650"/>
    <s v="2602684"/>
    <s v="2026000827"/>
    <s v="Produccion"/>
    <s v="Correduría"/>
    <s v="Temporal"/>
    <s v="Facturado"/>
    <x v="46"/>
    <d v="2026-02-09T00:00:00"/>
    <m/>
    <m/>
    <m/>
    <m/>
    <m/>
    <s v="Unico"/>
    <s v="Contingencias"/>
    <s v="Contingencias"/>
    <x v="9"/>
    <s v="CIRCLES GROUP, S.A."/>
    <s v="Euros"/>
    <n v="5690.13"/>
    <n v="1034.57"/>
    <n v="1034.57"/>
    <n v="0"/>
    <m/>
    <n v="0"/>
    <m/>
    <n v="0"/>
    <m/>
    <n v="0"/>
    <m/>
    <n v="0"/>
  </r>
  <r>
    <s v="ARAYTOR"/>
    <s v="B65015075"/>
    <s v="CE93674"/>
    <n v="32651"/>
    <s v="2602682"/>
    <s v="2026000828"/>
    <s v="Produccion"/>
    <s v="Correduría"/>
    <s v="Temporal"/>
    <s v="Cobrado"/>
    <x v="46"/>
    <d v="2026-02-09T00:00:00"/>
    <d v="2026-02-24T00:00:00"/>
    <m/>
    <m/>
    <m/>
    <m/>
    <s v="Unico"/>
    <s v="Contingencias"/>
    <s v="Contingencias"/>
    <x v="9"/>
    <s v="CIRCLES GROUP, S.A."/>
    <s v="Euros"/>
    <n v="3339.8"/>
    <n v="607.24"/>
    <n v="607.24"/>
    <n v="0"/>
    <m/>
    <n v="0"/>
    <m/>
    <n v="0"/>
    <m/>
    <n v="0"/>
    <m/>
    <n v="0"/>
  </r>
  <r>
    <s v="ARAYTOR"/>
    <s v="B65015075"/>
    <s v="CE93694"/>
    <n v="32652"/>
    <s v="2602688"/>
    <s v="2026000829"/>
    <s v="Produccion"/>
    <s v="Correduría"/>
    <s v="Temporal"/>
    <s v="Cobrado"/>
    <x v="46"/>
    <d v="2026-02-09T00:00:00"/>
    <d v="2026-02-24T00:00:00"/>
    <m/>
    <m/>
    <m/>
    <m/>
    <s v="Unico"/>
    <s v="Contingencias"/>
    <s v="Contingencias"/>
    <x v="9"/>
    <s v="CIRCLES GROUP, S.A."/>
    <s v="Euros"/>
    <n v="945.81"/>
    <n v="171.96"/>
    <n v="171.96"/>
    <n v="0"/>
    <m/>
    <n v="0"/>
    <m/>
    <n v="0"/>
    <m/>
    <n v="0"/>
    <m/>
    <n v="0"/>
  </r>
  <r>
    <s v="ARAYTOR"/>
    <s v="B65015075"/>
    <s v="CE93685"/>
    <n v="32653"/>
    <s v="2602681"/>
    <s v="2026000830"/>
    <s v="Produccion"/>
    <s v="Correduría"/>
    <s v="Temporal"/>
    <s v="Cobrado"/>
    <x v="46"/>
    <d v="2026-02-09T00:00:00"/>
    <d v="2026-02-23T00:00:00"/>
    <m/>
    <m/>
    <m/>
    <m/>
    <s v="Unico"/>
    <s v="Contingencias"/>
    <s v="Contingencias"/>
    <x v="9"/>
    <s v="CIRCLES GROUP, S.A."/>
    <s v="Euros"/>
    <n v="986.93"/>
    <n v="179.44"/>
    <n v="179.44"/>
    <n v="0"/>
    <m/>
    <n v="0"/>
    <m/>
    <n v="0"/>
    <m/>
    <n v="0"/>
    <m/>
    <n v="0"/>
  </r>
  <r>
    <s v="ARAYTOR"/>
    <s v="B65015075"/>
    <s v="CE93700"/>
    <n v="32654"/>
    <s v="2602687"/>
    <s v="2026000831"/>
    <s v="Produccion"/>
    <s v="Correduría"/>
    <s v="Temporal"/>
    <s v="Cobrado"/>
    <x v="46"/>
    <d v="2026-02-09T00:00:00"/>
    <d v="2026-02-23T00:00:00"/>
    <m/>
    <m/>
    <m/>
    <m/>
    <s v="Unico"/>
    <s v="Contingencias"/>
    <s v="Contingencias"/>
    <x v="9"/>
    <s v="CIRCLES GROUP, S.A."/>
    <s v="Euros"/>
    <n v="1140.07"/>
    <n v="207.28"/>
    <n v="207.28"/>
    <n v="0"/>
    <m/>
    <n v="0"/>
    <m/>
    <n v="0"/>
    <m/>
    <n v="0"/>
    <m/>
    <n v="0"/>
  </r>
  <r>
    <s v="ARAYTOR"/>
    <s v="B65893604"/>
    <s v="CE93686"/>
    <n v="32655"/>
    <s v="2602680"/>
    <s v="2026000832"/>
    <s v="Produccion"/>
    <s v="Correduría"/>
    <s v="Temporal"/>
    <s v="Cobrado"/>
    <x v="46"/>
    <d v="2026-02-09T00:00:00"/>
    <d v="2026-02-23T00:00:00"/>
    <m/>
    <m/>
    <m/>
    <m/>
    <s v="Unico"/>
    <s v="Contingencias"/>
    <s v="Contingencias"/>
    <x v="9"/>
    <s v="CIRCLES GROUP, S.A."/>
    <s v="Euros"/>
    <n v="2017.53"/>
    <n v="366.82"/>
    <n v="366.82"/>
    <n v="0"/>
    <m/>
    <n v="0"/>
    <m/>
    <n v="0"/>
    <m/>
    <n v="0"/>
    <m/>
    <n v="0"/>
  </r>
  <r>
    <s v="ARAYTOR"/>
    <s v="B82604968"/>
    <s v="CE93693"/>
    <n v="32656"/>
    <s v="2602678"/>
    <s v="2026000833"/>
    <s v="Produccion"/>
    <s v="Correduría"/>
    <s v="Temporal"/>
    <s v="Cobrado"/>
    <x v="46"/>
    <d v="2026-02-09T00:00:00"/>
    <d v="2026-02-23T00:00:00"/>
    <m/>
    <m/>
    <m/>
    <m/>
    <s v="Unico"/>
    <s v="Contingencias"/>
    <s v="Contingencias"/>
    <x v="9"/>
    <s v="CIRCLES GROUP, S.A."/>
    <s v="Euros"/>
    <n v="1003.05"/>
    <n v="182.38"/>
    <n v="182.38"/>
    <n v="0"/>
    <m/>
    <n v="0"/>
    <m/>
    <n v="0"/>
    <m/>
    <n v="0"/>
    <m/>
    <n v="0"/>
  </r>
  <r>
    <s v="ARAYTOR"/>
    <s v="B10785590"/>
    <s v="86/5049718"/>
    <n v="32571"/>
    <s v="264353582"/>
    <s v="2026000834"/>
    <s v="Suplemento modificacion de produccion"/>
    <s v="Correduría"/>
    <s v="Renovable"/>
    <s v="Facturado"/>
    <x v="46"/>
    <d v="2026-02-03T00:00:00"/>
    <m/>
    <m/>
    <m/>
    <m/>
    <m/>
    <s v="Anual"/>
    <s v="0100 - Maxi Empresa"/>
    <s v="PYME"/>
    <x v="3"/>
    <s v="FIATC "/>
    <s v="Euros"/>
    <n v="1800.67"/>
    <n v="360.14"/>
    <n v="360.14"/>
    <n v="0"/>
    <m/>
    <n v="0"/>
    <m/>
    <n v="0"/>
    <m/>
    <n v="0"/>
    <m/>
    <n v="0"/>
  </r>
  <r>
    <s v="ARAYTOR"/>
    <s v="B10785590"/>
    <s v="66/5026102"/>
    <n v="28294"/>
    <s v="264353993"/>
    <s v="2026000835"/>
    <s v="Ajustes"/>
    <s v="Correduría"/>
    <s v="Renovable"/>
    <s v="Facturado"/>
    <x v="46"/>
    <d v="2026-02-03T00:00:00"/>
    <m/>
    <m/>
    <m/>
    <m/>
    <m/>
    <s v="Anual"/>
    <s v="0100 - Propiedad de Edificios"/>
    <s v="Comunidad de Propietarios"/>
    <x v="3"/>
    <s v="FIATC "/>
    <s v="Euros"/>
    <n v="-562.33000000000004"/>
    <n v="-140.57"/>
    <n v="-140.57"/>
    <n v="0"/>
    <m/>
    <n v="0"/>
    <m/>
    <n v="0"/>
    <m/>
    <n v="0"/>
    <m/>
    <n v="0"/>
  </r>
  <r>
    <s v="ARAYTOR"/>
    <s v="B47428099"/>
    <s v="93/5005253"/>
    <n v="22920"/>
    <s v="264353283"/>
    <s v="2026000836"/>
    <s v="Suplemento modificacion de produccion"/>
    <s v="Correduría"/>
    <s v="Renovable"/>
    <s v="Facturado"/>
    <x v="46"/>
    <d v="2026-01-01T00:00:00"/>
    <m/>
    <m/>
    <m/>
    <m/>
    <m/>
    <s v="Mensual"/>
    <s v="Flotante"/>
    <s v="Daños Operador"/>
    <x v="6"/>
    <s v="FIATC "/>
    <s v="Euros"/>
    <n v="863.34"/>
    <n v="172.67"/>
    <n v="172.67"/>
    <n v="0"/>
    <m/>
    <n v="0"/>
    <m/>
    <n v="0"/>
    <m/>
    <n v="0"/>
    <m/>
    <n v="0"/>
  </r>
  <r>
    <s v="ARAYTOR"/>
    <s v="B61446837"/>
    <s v="00941107"/>
    <n v="5604"/>
    <s v="05303501"/>
    <s v="2026000837"/>
    <s v="Cartera"/>
    <s v="Compañía"/>
    <s v="Renovable"/>
    <s v="Facturado"/>
    <x v="46"/>
    <d v="2026-03-26T00:00:00"/>
    <m/>
    <m/>
    <m/>
    <m/>
    <m/>
    <s v="Anual"/>
    <s v="08757 - RC GENERAL"/>
    <s v="RC Empresa"/>
    <x v="0"/>
    <s v="AXA"/>
    <s v="Euros"/>
    <n v="917.3"/>
    <n v="201.8"/>
    <n v="183.45"/>
    <n v="0"/>
    <m/>
    <n v="0"/>
    <m/>
    <n v="0"/>
    <m/>
    <n v="0"/>
    <m/>
    <n v="0"/>
  </r>
  <r>
    <s v="ARAYTOR"/>
    <s v="B40556953"/>
    <s v="85043453"/>
    <n v="26176"/>
    <s v="05436718"/>
    <s v="2026000838"/>
    <s v="Cartera"/>
    <s v="Correduría"/>
    <s v="Renovable"/>
    <s v="Facturado"/>
    <x v="46"/>
    <d v="2026-03-09T00:00:00"/>
    <m/>
    <m/>
    <m/>
    <m/>
    <m/>
    <s v="Anual"/>
    <s v="08676 Empresa Flexible"/>
    <s v="PYME"/>
    <x v="3"/>
    <s v="AXA"/>
    <s v="Euros"/>
    <n v="1213.43"/>
    <n v="266.93"/>
    <n v="242.66"/>
    <n v="0"/>
    <m/>
    <n v="0"/>
    <m/>
    <n v="0"/>
    <m/>
    <n v="0"/>
    <m/>
    <n v="0"/>
  </r>
  <r>
    <s v="ARAYTOR"/>
    <s v="B56988678"/>
    <s v="85390725"/>
    <n v="27850"/>
    <s v="05477299"/>
    <s v="2026000839"/>
    <s v="Cartera"/>
    <s v="Correduría"/>
    <s v="Renovable"/>
    <s v="Facturado"/>
    <x v="46"/>
    <d v="2026-03-01T00:00:00"/>
    <m/>
    <m/>
    <m/>
    <m/>
    <m/>
    <s v="Anual"/>
    <s v="08757 - RC GENERAL"/>
    <s v="RC Empresa"/>
    <x v="0"/>
    <s v="AXA"/>
    <s v="Euros"/>
    <n v="3811.37"/>
    <n v="838.53"/>
    <n v="762.3"/>
    <n v="0"/>
    <m/>
    <n v="0"/>
    <m/>
    <n v="0"/>
    <m/>
    <n v="0"/>
    <m/>
    <n v="0"/>
  </r>
  <r>
    <s v="ARAYTOR"/>
    <s v="B61446837"/>
    <s v="28206607"/>
    <n v="2635"/>
    <s v="06706031"/>
    <s v="2026000840"/>
    <s v="Cartera"/>
    <s v="Compañía"/>
    <s v="Renovable"/>
    <s v="Facturado"/>
    <x v="46"/>
    <d v="2026-03-26T00:00:00"/>
    <m/>
    <m/>
    <m/>
    <m/>
    <m/>
    <s v="Anual"/>
    <s v="08676 Empresa Flexible"/>
    <s v="PYME"/>
    <x v="3"/>
    <s v="AXA"/>
    <s v="Euros"/>
    <n v="1434.68"/>
    <n v="315.62"/>
    <n v="286.93"/>
    <n v="0"/>
    <m/>
    <n v="0"/>
    <m/>
    <n v="0"/>
    <m/>
    <n v="0"/>
    <m/>
    <n v="0"/>
  </r>
  <r>
    <s v="ARAYTOR"/>
    <s v="35018236T"/>
    <s v="00066033"/>
    <n v="16643"/>
    <s v="09886851"/>
    <s v="2026000841"/>
    <s v="Cartera"/>
    <s v="Compañía"/>
    <s v="Renovable"/>
    <s v="Facturado"/>
    <x v="46"/>
    <d v="2026-03-01T00:00:00"/>
    <m/>
    <m/>
    <m/>
    <m/>
    <m/>
    <s v="Mensual"/>
    <s v="18 Salud"/>
    <s v="Salud"/>
    <x v="4"/>
    <s v="AXA"/>
    <s v="Euros"/>
    <n v="1147.0999999999999"/>
    <n v="117.19"/>
    <n v="94.25"/>
    <n v="0"/>
    <m/>
    <n v="0"/>
    <m/>
    <n v="0"/>
    <m/>
    <n v="0"/>
    <m/>
    <n v="0"/>
  </r>
  <r>
    <s v="ARAYTOR"/>
    <s v="46228015Q"/>
    <s v="90263936"/>
    <n v="11223"/>
    <s v="09970940"/>
    <s v="2026000842"/>
    <s v="Cartera"/>
    <s v="Compañía"/>
    <s v="Renovable"/>
    <s v="Facturado"/>
    <x v="46"/>
    <d v="2026-03-01T00:00:00"/>
    <m/>
    <m/>
    <m/>
    <m/>
    <m/>
    <s v="Mensual"/>
    <s v="08926 - Optima Salud"/>
    <s v="Cuadro Cerrado"/>
    <x v="4"/>
    <s v="AXA"/>
    <s v="Euros"/>
    <n v="292.45999999999998"/>
    <n v="27.93"/>
    <n v="22.08"/>
    <n v="0"/>
    <m/>
    <n v="0"/>
    <m/>
    <n v="0"/>
    <m/>
    <n v="0"/>
    <m/>
    <n v="0"/>
  </r>
  <r>
    <s v="ARAYTOR"/>
    <s v="79022111E"/>
    <s v="90841866"/>
    <n v="17919"/>
    <s v="10023719"/>
    <s v="2026000843"/>
    <s v="Cartera"/>
    <s v="Compañía"/>
    <s v="Renovable"/>
    <s v="Facturado"/>
    <x v="46"/>
    <d v="2026-03-01T00:00:00"/>
    <m/>
    <m/>
    <m/>
    <m/>
    <m/>
    <s v="Anual"/>
    <s v="Optima Plus"/>
    <s v="Mixta"/>
    <x v="4"/>
    <s v="AXA"/>
    <s v="Euros"/>
    <n v="3147"/>
    <n v="314.70999999999998"/>
    <n v="251.77"/>
    <n v="0"/>
    <m/>
    <n v="0"/>
    <m/>
    <n v="0"/>
    <m/>
    <n v="0"/>
    <m/>
    <n v="0"/>
  </r>
  <r>
    <s v="ARAYTOR"/>
    <s v="15910356Z"/>
    <s v="90710728"/>
    <n v="16581"/>
    <s v="10373065"/>
    <s v="2026000844"/>
    <s v="Cartera"/>
    <s v="Compañía"/>
    <s v="Renovable"/>
    <s v="Facturado"/>
    <x v="46"/>
    <d v="2026-03-01T00:00:00"/>
    <m/>
    <m/>
    <m/>
    <m/>
    <m/>
    <s v="Mensual"/>
    <s v="18 Salud"/>
    <s v="Salud"/>
    <x v="4"/>
    <s v="AXA"/>
    <s v="Euros"/>
    <n v="1204.3599999999999"/>
    <n v="110.88"/>
    <n v="86.79"/>
    <n v="0"/>
    <m/>
    <n v="0"/>
    <m/>
    <n v="0"/>
    <m/>
    <n v="0"/>
    <m/>
    <n v="0"/>
  </r>
  <r>
    <s v="ARAYTOR"/>
    <s v="24871474X"/>
    <s v="90967997"/>
    <n v="18997"/>
    <s v="10445193"/>
    <s v="2026000845"/>
    <s v="Cartera"/>
    <s v="Compañía"/>
    <s v="Renovable"/>
    <s v="Facturado"/>
    <x v="46"/>
    <d v="2026-03-01T00:00:00"/>
    <m/>
    <m/>
    <m/>
    <m/>
    <m/>
    <s v="Anual"/>
    <s v="Optima Plus"/>
    <s v="Mixta"/>
    <x v="4"/>
    <s v="AXA"/>
    <s v="Euros"/>
    <n v="3872.4"/>
    <n v="387.23"/>
    <n v="309.77999999999997"/>
    <n v="0"/>
    <m/>
    <n v="0"/>
    <m/>
    <n v="0"/>
    <m/>
    <n v="0"/>
    <m/>
    <n v="0"/>
  </r>
  <r>
    <s v="ARAYTOR"/>
    <s v="38089835H"/>
    <s v="91568745"/>
    <n v="23206"/>
    <s v="10465386"/>
    <s v="2026000846"/>
    <s v="Cartera"/>
    <s v="Compañía"/>
    <s v="Renovable"/>
    <s v="Facturado"/>
    <x v="46"/>
    <d v="2026-03-01T00:00:00"/>
    <m/>
    <m/>
    <m/>
    <m/>
    <m/>
    <s v="Mensual"/>
    <s v="18 Salud"/>
    <s v="Salud"/>
    <x v="4"/>
    <s v="AXA"/>
    <s v="Euros"/>
    <n v="338.32"/>
    <n v="32.299999999999997"/>
    <n v="25.53"/>
    <n v="0"/>
    <m/>
    <n v="0"/>
    <m/>
    <n v="0"/>
    <m/>
    <n v="0"/>
    <m/>
    <n v="0"/>
  </r>
  <r>
    <s v="ARAYTOR"/>
    <s v="38119133Z"/>
    <s v="00101232"/>
    <n v="5050"/>
    <s v="10524833"/>
    <s v="2026000847"/>
    <s v="Cartera"/>
    <s v="Compañía"/>
    <s v="Renovable"/>
    <s v="Facturado"/>
    <x v="46"/>
    <d v="2026-03-01T00:00:00"/>
    <m/>
    <m/>
    <m/>
    <m/>
    <m/>
    <s v="Mensual"/>
    <s v="Complet Clinic"/>
    <s v="Cuadro Cerrado"/>
    <x v="4"/>
    <s v="AXA"/>
    <s v="Euros"/>
    <n v="91.92"/>
    <n v="10.51"/>
    <n v="8.67"/>
    <n v="0"/>
    <m/>
    <n v="0"/>
    <s v="TON ABAD (ANTIC)"/>
    <n v="0"/>
    <m/>
    <n v="0"/>
    <m/>
    <n v="0"/>
  </r>
  <r>
    <s v="ARAYTOR"/>
    <s v="35120326Q"/>
    <s v="90768579"/>
    <n v="17370"/>
    <s v="11228468"/>
    <s v="2026000848"/>
    <s v="Cartera"/>
    <s v="Compañía"/>
    <s v="Renovable"/>
    <s v="Facturado"/>
    <x v="46"/>
    <d v="2026-03-01T00:00:00"/>
    <m/>
    <m/>
    <m/>
    <m/>
    <m/>
    <s v="Mensual"/>
    <s v="08926 - Optima Salud"/>
    <s v="Cuadro Cerrado"/>
    <x v="4"/>
    <s v="AXA"/>
    <s v="Euros"/>
    <n v="121.62"/>
    <n v="11.61"/>
    <n v="9.18"/>
    <n v="0"/>
    <m/>
    <n v="0"/>
    <m/>
    <n v="0"/>
    <m/>
    <n v="0"/>
    <m/>
    <n v="0"/>
  </r>
  <r>
    <s v="ARAYTOR"/>
    <s v="X5708468Y"/>
    <s v="90894392"/>
    <n v="18507"/>
    <s v="11238781"/>
    <s v="2026000849"/>
    <s v="Cartera"/>
    <s v="Compañía"/>
    <s v="Renovable"/>
    <s v="Facturado"/>
    <x v="46"/>
    <d v="2026-03-01T00:00:00"/>
    <m/>
    <m/>
    <m/>
    <m/>
    <m/>
    <s v="Mensual"/>
    <s v="08926 - Optima Salud"/>
    <s v="Cuadro Cerrado"/>
    <x v="4"/>
    <s v="AXA"/>
    <s v="Euros"/>
    <n v="269.99"/>
    <n v="25.78"/>
    <n v="20.38"/>
    <n v="0"/>
    <m/>
    <n v="0"/>
    <m/>
    <n v="0"/>
    <m/>
    <n v="0"/>
    <m/>
    <n v="0"/>
  </r>
  <r>
    <s v="ARAYTOR"/>
    <s v="45486979V"/>
    <s v="06056508"/>
    <n v="5092"/>
    <s v="10783352"/>
    <s v="2026000850"/>
    <s v="Cartera"/>
    <s v="Compañía"/>
    <s v="Renovable"/>
    <s v="Facturado"/>
    <x v="46"/>
    <d v="2026-03-01T00:00:00"/>
    <m/>
    <m/>
    <m/>
    <m/>
    <m/>
    <s v="Mensual"/>
    <s v="08792 - SALUD INDIVIDUAL MIGRACION"/>
    <s v="Cuadro Cerrado"/>
    <x v="4"/>
    <s v="AXA"/>
    <s v="Euros"/>
    <n v="287.10000000000002"/>
    <n v="28.71"/>
    <n v="28.71"/>
    <n v="0"/>
    <m/>
    <n v="0"/>
    <s v="TON ABAD (ANTIC)"/>
    <n v="0"/>
    <m/>
    <n v="0"/>
    <m/>
    <n v="0"/>
  </r>
  <r>
    <s v="ARAYTOR"/>
    <s v="38803608D"/>
    <s v="8-23.684.684-F"/>
    <n v="32657"/>
    <s v="474314876-E"/>
    <s v="2026000851"/>
    <s v="Produccion"/>
    <s v="Correduría"/>
    <s v="Renovable"/>
    <s v="Cobrado"/>
    <x v="46"/>
    <d v="2026-02-09T00:00:00"/>
    <d v="2026-02-25T00:00:00"/>
    <m/>
    <m/>
    <m/>
    <d v="2026-03-01T00:00:00"/>
    <s v="Anual"/>
    <s v="01800 Automoviles"/>
    <s v="Vehiculos"/>
    <x v="1"/>
    <s v="OCCIDENT GCO, S.A.U."/>
    <s v="Euros"/>
    <n v="226.18"/>
    <n v="27.14"/>
    <n v="27.14"/>
    <n v="0"/>
    <m/>
    <n v="0"/>
    <m/>
    <n v="0"/>
    <m/>
    <n v="0"/>
    <m/>
    <n v="0"/>
  </r>
  <r>
    <s v="ARAYTOR"/>
    <s v="A708371H"/>
    <s v="152321998"/>
    <n v="32658"/>
    <m/>
    <s v="2026000852"/>
    <s v="Produccion"/>
    <s v="Compañía"/>
    <s v="Renovable"/>
    <s v="Facturado"/>
    <x v="46"/>
    <d v="2026-01-30T00:00:00"/>
    <m/>
    <m/>
    <m/>
    <m/>
    <m/>
    <s v="Anual"/>
    <s v="Hogar"/>
    <s v="Hogar"/>
    <x v="2"/>
    <s v="ZURICH (ANDORRA)"/>
    <s v="Euros"/>
    <n v="165.4"/>
    <n v="16.55"/>
    <n v="16.55"/>
    <n v="0"/>
    <m/>
    <n v="0"/>
    <m/>
    <n v="0"/>
    <m/>
    <n v="0"/>
    <m/>
    <n v="0"/>
  </r>
  <r>
    <s v="ARAYTOR"/>
    <s v="A708371H"/>
    <s v="152322178"/>
    <n v="32659"/>
    <m/>
    <s v="2026000853"/>
    <s v="Produccion"/>
    <s v="Compañía"/>
    <s v="Renovable"/>
    <s v="Facturado"/>
    <x v="46"/>
    <d v="2026-01-30T00:00:00"/>
    <m/>
    <m/>
    <m/>
    <m/>
    <m/>
    <s v="Anual"/>
    <s v="Hogar"/>
    <s v="Hogar"/>
    <x v="2"/>
    <s v="ZURICH (ANDORRA)"/>
    <s v="Euros"/>
    <n v="189.66"/>
    <n v="18.96"/>
    <n v="18.96"/>
    <n v="0"/>
    <m/>
    <n v="0"/>
    <m/>
    <n v="0"/>
    <m/>
    <n v="0"/>
    <m/>
    <n v="0"/>
  </r>
  <r>
    <s v="ARAYTOR"/>
    <s v="B01694280"/>
    <s v="RCEXP-CA15658"/>
    <n v="27658"/>
    <s v="2602804"/>
    <s v="2026000854"/>
    <s v="Produccion"/>
    <s v="Correduría"/>
    <s v="Temporal"/>
    <s v="Cobrado"/>
    <x v="47"/>
    <d v="2026-03-13T00:00:00"/>
    <d v="2026-02-12T00:00:00"/>
    <m/>
    <m/>
    <d v="2026-03-01T00:00:00"/>
    <m/>
    <s v="Unico"/>
    <s v="RC Empresa"/>
    <s v="RC Empresa"/>
    <x v="0"/>
    <s v="CIRCLES GROUP, S.A."/>
    <s v="Euros"/>
    <n v="693.48"/>
    <n v="126.08"/>
    <n v="126.08"/>
    <n v="0"/>
    <m/>
    <n v="0"/>
    <s v="GRUPO GALILEA, S.A."/>
    <n v="69.349999999999994"/>
    <m/>
    <n v="0"/>
    <m/>
    <n v="0"/>
  </r>
  <r>
    <s v="ARAYTOR"/>
    <s v="B56950801"/>
    <s v="RCEXP-CA15674"/>
    <n v="27743"/>
    <s v="2602805"/>
    <s v="2026000855"/>
    <s v="Produccion"/>
    <s v="Correduría"/>
    <s v="Temporal"/>
    <s v="Cobrado"/>
    <x v="47"/>
    <d v="2026-03-01T00:00:00"/>
    <d v="2026-03-02T00:00:00"/>
    <m/>
    <m/>
    <m/>
    <m/>
    <s v="Unico"/>
    <s v="RC Empresa"/>
    <s v="RC Empresa"/>
    <x v="0"/>
    <s v="CIRCLES GROUP, S.A."/>
    <s v="Euros"/>
    <n v="610.26"/>
    <n v="110.96"/>
    <n v="110.96"/>
    <n v="0"/>
    <m/>
    <n v="0"/>
    <m/>
    <n v="0"/>
    <m/>
    <n v="0"/>
    <m/>
    <n v="0"/>
  </r>
  <r>
    <s v="ARAYTOR"/>
    <s v="U98779614"/>
    <s v="RCEXP-CA15792"/>
    <n v="27889"/>
    <s v="2602803"/>
    <s v="2026000856"/>
    <s v="Produccion"/>
    <s v="Correduría"/>
    <s v="Temporal"/>
    <s v="Facturado"/>
    <x v="47"/>
    <d v="2026-03-22T00:00:00"/>
    <m/>
    <m/>
    <m/>
    <m/>
    <m/>
    <s v="Unico"/>
    <s v="RC Empresa"/>
    <s v="RC Empresa"/>
    <x v="0"/>
    <s v="CIRCLES GROUP, S.A."/>
    <s v="Euros"/>
    <n v="1180"/>
    <n v="214.55"/>
    <n v="214.55"/>
    <n v="0"/>
    <m/>
    <n v="0"/>
    <s v="RAMON MONTE S.C.S, S.L."/>
    <n v="118"/>
    <m/>
    <n v="0"/>
    <m/>
    <n v="0"/>
  </r>
  <r>
    <s v="ARAYTOR"/>
    <s v="B56863251"/>
    <s v="RCEXP-CA17409"/>
    <n v="30623"/>
    <s v="2602801"/>
    <s v="2026000857"/>
    <s v="Produccion"/>
    <s v="Correduría"/>
    <s v="Temporal"/>
    <s v="Cobrado"/>
    <x v="47"/>
    <d v="2026-02-15T00:00:00"/>
    <d v="2026-02-23T00:00:00"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V56801111"/>
    <s v="CE93722"/>
    <n v="32660"/>
    <s v="2602775"/>
    <s v="2026000858"/>
    <s v="Produccion"/>
    <s v="Correduría"/>
    <s v="Temporal"/>
    <s v="Facturado"/>
    <x v="47"/>
    <d v="2026-02-10T00:00:00"/>
    <m/>
    <m/>
    <m/>
    <m/>
    <m/>
    <s v="Unico"/>
    <s v="Contingencias"/>
    <s v="Contingencias"/>
    <x v="9"/>
    <s v="CIRCLES GROUP, S.A."/>
    <s v="Euros"/>
    <n v="47487.3"/>
    <n v="8634.06"/>
    <n v="8634.06"/>
    <n v="0"/>
    <m/>
    <n v="0"/>
    <m/>
    <n v="0"/>
    <m/>
    <n v="0"/>
    <m/>
    <n v="0"/>
  </r>
  <r>
    <s v="ARAYTOR"/>
    <s v="G43490309"/>
    <s v="CE93657"/>
    <n v="32661"/>
    <s v="2602776"/>
    <s v="2026000859"/>
    <s v="Produccion"/>
    <s v="Correduría"/>
    <s v="Temporal"/>
    <s v="Cobrado"/>
    <x v="47"/>
    <d v="2026-02-10T00:00:00"/>
    <d v="2026-02-17T00:00:00"/>
    <m/>
    <m/>
    <m/>
    <m/>
    <s v="Unico"/>
    <s v="Contingencias"/>
    <s v="Contingencias"/>
    <x v="9"/>
    <s v="CIRCLES GROUP, S.A."/>
    <s v="Euros"/>
    <n v="2661.58"/>
    <n v="483.92"/>
    <n v="483.92"/>
    <n v="0"/>
    <m/>
    <n v="0"/>
    <m/>
    <n v="0"/>
    <m/>
    <n v="0"/>
    <m/>
    <n v="0"/>
  </r>
  <r>
    <s v="ARAYTOR"/>
    <s v="B19367739"/>
    <s v="RCEXP-CA19326"/>
    <n v="32662"/>
    <s v="2602806"/>
    <s v="2026000860"/>
    <s v="Produccion"/>
    <s v="Correduría"/>
    <s v="Temporal"/>
    <s v="Cobrado"/>
    <x v="47"/>
    <d v="2026-02-13T00:00:00"/>
    <d v="2026-02-23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V09673997"/>
    <s v="CE93721"/>
    <n v="32663"/>
    <s v="2602774"/>
    <s v="2026000861"/>
    <s v="Produccion"/>
    <s v="Correduría"/>
    <s v="Temporal"/>
    <s v="Cobrado"/>
    <x v="47"/>
    <d v="2026-02-10T00:00:00"/>
    <d v="2026-02-13T00:00:00"/>
    <m/>
    <m/>
    <m/>
    <m/>
    <s v="Unico"/>
    <s v="Contingencias"/>
    <s v="Contingencias"/>
    <x v="9"/>
    <s v="CIRCLES GROUP, S.A."/>
    <s v="Euros"/>
    <n v="1941.92"/>
    <n v="353.08"/>
    <n v="353.08"/>
    <n v="0"/>
    <m/>
    <n v="0"/>
    <m/>
    <n v="0"/>
    <m/>
    <n v="0"/>
    <m/>
    <n v="0"/>
  </r>
  <r>
    <s v="ARAYTOR"/>
    <s v="41539186J"/>
    <s v="RCEXP-CA19324"/>
    <n v="32664"/>
    <s v="2602802"/>
    <s v="2026000862"/>
    <s v="Produccion"/>
    <s v="Correduría"/>
    <s v="Temporal"/>
    <s v="Facturado"/>
    <x v="47"/>
    <d v="2026-03-12T00:00:00"/>
    <m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32017964"/>
    <s v="8-23.685.512-F"/>
    <n v="32665"/>
    <s v="474330055-W"/>
    <s v="2026000863"/>
    <s v="Produccion"/>
    <s v="Correduría"/>
    <s v="Renovable"/>
    <s v="Cobrado"/>
    <x v="47"/>
    <d v="2026-02-10T00:00:00"/>
    <d v="2026-02-13T00:00:00"/>
    <m/>
    <m/>
    <m/>
    <d v="2026-03-01T00:00:00"/>
    <s v="Anual"/>
    <s v="01802 - Vehiculos"/>
    <s v="Vehiculos"/>
    <x v="1"/>
    <s v="OCCIDENT GCO, S.A.U."/>
    <s v="Euros"/>
    <n v="1723.97"/>
    <n v="172.4"/>
    <n v="172.4"/>
    <n v="0"/>
    <m/>
    <n v="0"/>
    <m/>
    <n v="0"/>
    <m/>
    <n v="0"/>
    <m/>
    <n v="0"/>
  </r>
  <r>
    <s v="ARAYTOR"/>
    <s v="38803608D"/>
    <s v="8-22.754.961-C"/>
    <n v="22940"/>
    <s v="474322857-E"/>
    <s v="2026000864"/>
    <s v="Cartera"/>
    <s v="Correduría"/>
    <s v="Renovable"/>
    <s v="Cobrado"/>
    <x v="47"/>
    <d v="2026-03-01T00:00:00"/>
    <d v="2026-03-02T00:00:00"/>
    <m/>
    <m/>
    <m/>
    <m/>
    <s v="Anual"/>
    <s v="01802 - Vehiculos"/>
    <s v="Vehiculos"/>
    <x v="1"/>
    <s v="OCCIDENT GCO, S.A.U."/>
    <s v="Euros"/>
    <n v="286.2"/>
    <n v="34.35"/>
    <n v="34.35"/>
    <n v="0"/>
    <m/>
    <n v="0"/>
    <m/>
    <n v="0"/>
    <m/>
    <n v="0"/>
    <m/>
    <n v="0"/>
  </r>
  <r>
    <s v="ARAYTOR"/>
    <s v="B43741891"/>
    <s v="041598239"/>
    <n v="18331"/>
    <s v="881723971"/>
    <s v="2026000865"/>
    <s v="Suplemento modificacion de produccion"/>
    <s v="Correduría"/>
    <s v="Renovable"/>
    <s v="Cobrado"/>
    <x v="47"/>
    <d v="2025-01-01T00:00:00"/>
    <d v="2026-02-13T00:00:00"/>
    <m/>
    <m/>
    <m/>
    <d v="2026-04-01T00:00:00"/>
    <s v="Anual"/>
    <s v="156 Accidentes Convenio"/>
    <s v="Accidentes"/>
    <x v="4"/>
    <s v="ALLIANZ"/>
    <s v="Euros"/>
    <n v="1553.52"/>
    <n v="310.7"/>
    <n v="310.7"/>
    <n v="0"/>
    <m/>
    <n v="0"/>
    <m/>
    <n v="0"/>
    <m/>
    <n v="0"/>
    <m/>
    <n v="0"/>
  </r>
  <r>
    <s v="ARAYTOR"/>
    <s v="47275804V"/>
    <s v="29/3119294"/>
    <n v="32298"/>
    <s v="264469717"/>
    <s v="2026000866"/>
    <s v="Cartera"/>
    <s v="Compañía"/>
    <s v="Renovable"/>
    <s v="Facturado"/>
    <x v="47"/>
    <d v="2026-03-01T00:00:00"/>
    <m/>
    <m/>
    <m/>
    <m/>
    <m/>
    <s v="Mensual"/>
    <s v="6 - MEDIFIATC PROGRES"/>
    <s v="Colectivo Salud"/>
    <x v="10"/>
    <s v="FIATC "/>
    <s v="Euros"/>
    <n v="53.58"/>
    <n v="4.29"/>
    <n v="4.29"/>
    <n v="0"/>
    <m/>
    <n v="0"/>
    <m/>
    <n v="0"/>
    <m/>
    <n v="0"/>
    <m/>
    <n v="0"/>
  </r>
  <r>
    <s v="ARAYTOR"/>
    <s v="B16549719"/>
    <s v="30/1112596"/>
    <n v="32301"/>
    <s v="264477347"/>
    <s v="2026000867"/>
    <s v="Produccion"/>
    <s v="Compañía"/>
    <s v="Renovable"/>
    <s v="Facturado"/>
    <x v="47"/>
    <d v="2026-03-11T00:00:00"/>
    <m/>
    <m/>
    <m/>
    <m/>
    <m/>
    <s v="Trimestral"/>
    <s v="1 - Accidentes colectivo exteriorizacion"/>
    <s v="Accidentes"/>
    <x v="4"/>
    <s v="FIATC "/>
    <s v="Euros"/>
    <n v="123.1"/>
    <n v="24.62"/>
    <n v="24.62"/>
    <n v="0"/>
    <m/>
    <n v="0"/>
    <m/>
    <n v="0"/>
    <m/>
    <n v="0"/>
    <m/>
    <n v="0"/>
  </r>
  <r>
    <s v="ARAYTOR"/>
    <s v="B64069917"/>
    <s v="65/5143777"/>
    <n v="19865"/>
    <s v="264355330"/>
    <s v="2026000868"/>
    <s v="Suplemento modificacion de produccion"/>
    <s v="Correduría"/>
    <s v="Renovable"/>
    <s v="Cobrado"/>
    <x v="47"/>
    <d v="2026-02-05T00:00:00"/>
    <d v="2026-02-26T00:00:00"/>
    <m/>
    <m/>
    <d v="2026-03-01T00:00:00"/>
    <d v="2026-04-01T00:00:00"/>
    <s v="Anual"/>
    <s v="0120 - Maxi Hogar 3000"/>
    <s v="Hogar"/>
    <x v="2"/>
    <s v="FIATC "/>
    <s v="Euros"/>
    <n v="180.01"/>
    <n v="45.02"/>
    <n v="45.02"/>
    <n v="0"/>
    <m/>
    <n v="0"/>
    <s v="PADUQUATRE, S.L."/>
    <n v="22.51"/>
    <m/>
    <n v="0"/>
    <m/>
    <n v="0"/>
  </r>
  <r>
    <s v="ARAYTOR"/>
    <s v="B01805746"/>
    <s v="30/1114185"/>
    <n v="32666"/>
    <s v="264538063"/>
    <s v="2026000869"/>
    <s v="Produccion"/>
    <s v="Compañía"/>
    <s v="Temporal"/>
    <s v="Cobrado"/>
    <x v="47"/>
    <d v="2026-02-12T00:00:00"/>
    <d v="2026-02-17T00:00:00"/>
    <m/>
    <m/>
    <m/>
    <m/>
    <s v="Unico"/>
    <s v="30 Accidentes "/>
    <s v="Accidentes Colectivo"/>
    <x v="10"/>
    <s v="FIATC "/>
    <s v="Euros"/>
    <n v="81.33"/>
    <n v="16.27"/>
    <n v="16.27"/>
    <n v="0"/>
    <m/>
    <n v="0"/>
    <m/>
    <n v="0"/>
    <m/>
    <n v="0"/>
    <m/>
    <n v="0"/>
  </r>
  <r>
    <s v="ARAYTOR"/>
    <s v="B27740117"/>
    <s v="86/5049896"/>
    <n v="32667"/>
    <s v="264538128"/>
    <s v="2026000870"/>
    <s v="Produccion"/>
    <s v="Correduría"/>
    <s v="Renovable"/>
    <s v="Cobrado"/>
    <x v="47"/>
    <d v="2026-02-09T00:00:00"/>
    <d v="2026-02-26T00:00:00"/>
    <m/>
    <m/>
    <m/>
    <d v="2026-04-01T00:00:00"/>
    <s v="Anual"/>
    <s v="0100 - Maxi Empresa"/>
    <s v="PYME"/>
    <x v="3"/>
    <s v="FIATC "/>
    <s v="Euros"/>
    <n v="1140.47"/>
    <n v="228.09"/>
    <n v="228.09"/>
    <n v="0"/>
    <m/>
    <n v="0"/>
    <m/>
    <n v="0"/>
    <m/>
    <n v="0"/>
    <m/>
    <n v="0"/>
  </r>
  <r>
    <s v="ARAYTOR"/>
    <s v="B40173676"/>
    <s v="20/7459755"/>
    <n v="31362"/>
    <s v="264501652"/>
    <s v="2026000871"/>
    <s v="Cartera"/>
    <s v="Correduría"/>
    <s v="Renovable"/>
    <s v="Facturado"/>
    <x v="47"/>
    <d v="2026-03-01T00:00:00"/>
    <m/>
    <m/>
    <m/>
    <m/>
    <m/>
    <s v="Trimestral"/>
    <s v="M - MAXI-AUTO"/>
    <s v="Vehiculos"/>
    <x v="1"/>
    <s v="FIATC "/>
    <s v="Euros"/>
    <n v="369.42"/>
    <n v="29.56"/>
    <n v="29.56"/>
    <n v="0"/>
    <m/>
    <n v="0"/>
    <m/>
    <n v="0"/>
    <m/>
    <n v="0"/>
    <m/>
    <n v="0"/>
  </r>
  <r>
    <s v="ARAYTOR"/>
    <s v="B40173676"/>
    <s v="20/7485405"/>
    <n v="31843"/>
    <s v="264502762"/>
    <s v="2026000872"/>
    <s v="Cartera"/>
    <s v="Correduría"/>
    <s v="Renovable"/>
    <s v="Facturado"/>
    <x v="47"/>
    <d v="2026-03-01T00:00:00"/>
    <m/>
    <m/>
    <m/>
    <m/>
    <m/>
    <s v="Trimestral"/>
    <s v="M - MAXI-AUTO"/>
    <s v="Vehiculos"/>
    <x v="1"/>
    <s v="FIATC "/>
    <s v="Euros"/>
    <n v="369.42"/>
    <n v="29.56"/>
    <n v="29.56"/>
    <n v="0"/>
    <m/>
    <n v="0"/>
    <m/>
    <n v="0"/>
    <m/>
    <n v="0"/>
    <m/>
    <n v="0"/>
  </r>
  <r>
    <s v="ARAYTOR"/>
    <s v="B47428099"/>
    <s v="20/7489419"/>
    <n v="31985"/>
    <s v="264503018"/>
    <s v="2026000873"/>
    <s v="Cartera"/>
    <s v="Correduría"/>
    <s v="Renovable"/>
    <s v="Facturado"/>
    <x v="47"/>
    <d v="2026-03-01T00:00:00"/>
    <m/>
    <m/>
    <m/>
    <m/>
    <m/>
    <s v="Trimestral"/>
    <s v="M - MAXI-AUTO"/>
    <s v="Vehiculos"/>
    <x v="1"/>
    <s v="FIATC "/>
    <s v="Euros"/>
    <n v="86.42"/>
    <n v="6.92"/>
    <n v="6.92"/>
    <n v="0"/>
    <m/>
    <n v="0"/>
    <m/>
    <n v="0"/>
    <m/>
    <n v="0"/>
    <m/>
    <n v="0"/>
  </r>
  <r>
    <s v="ARAYTOR"/>
    <s v="B47428099"/>
    <s v="20/7493409"/>
    <n v="32082"/>
    <s v="264503320"/>
    <s v="2026000874"/>
    <s v="Cartera"/>
    <s v="Correduría"/>
    <s v="Renovable"/>
    <s v="Facturado"/>
    <x v="47"/>
    <d v="2026-03-01T00:00:00"/>
    <m/>
    <m/>
    <m/>
    <m/>
    <m/>
    <s v="Trimestral"/>
    <s v="M - MAXI-AUTO"/>
    <s v="Vehiculos"/>
    <x v="1"/>
    <s v="FIATC "/>
    <s v="Euros"/>
    <n v="86.42"/>
    <n v="6.92"/>
    <n v="6.92"/>
    <n v="0"/>
    <m/>
    <n v="0"/>
    <m/>
    <n v="0"/>
    <m/>
    <n v="0"/>
    <m/>
    <n v="0"/>
  </r>
  <r>
    <s v="ARAYTOR"/>
    <s v="B47428099"/>
    <s v="20/7494780"/>
    <n v="32118"/>
    <s v="264503419"/>
    <s v="2026000875"/>
    <s v="Cartera"/>
    <s v="Correduría"/>
    <s v="Renovable"/>
    <s v="Facturado"/>
    <x v="47"/>
    <d v="2026-03-01T00:00:00"/>
    <m/>
    <m/>
    <m/>
    <m/>
    <m/>
    <s v="Trimestral"/>
    <s v="N - 20 Normal"/>
    <s v="Vehiculos"/>
    <x v="1"/>
    <s v="FIATC "/>
    <s v="Euros"/>
    <n v="407.4"/>
    <n v="32.6"/>
    <n v="32.6"/>
    <n v="0"/>
    <m/>
    <n v="0"/>
    <m/>
    <n v="0"/>
    <m/>
    <n v="0"/>
    <m/>
    <n v="0"/>
  </r>
  <r>
    <s v="ARAYTOR"/>
    <s v="B40173676"/>
    <s v="20/7506333"/>
    <n v="32284"/>
    <s v="264504101"/>
    <s v="2026000876"/>
    <s v="Produccion"/>
    <s v="Correduría"/>
    <s v="Renovable"/>
    <s v="Facturado"/>
    <x v="47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46651409A"/>
    <s v="1/94594"/>
    <n v="2414"/>
    <s v="264429614"/>
    <s v="2026000877"/>
    <s v="Cartera"/>
    <s v="Compañía"/>
    <s v="Renovable"/>
    <s v="Facturado"/>
    <x v="48"/>
    <d v="2026-03-01T00:00:00"/>
    <m/>
    <m/>
    <m/>
    <m/>
    <m/>
    <s v="Mensual"/>
    <s v="Temporal Renovable"/>
    <s v="Vida Individual"/>
    <x v="5"/>
    <s v="FIATC "/>
    <s v="Euros"/>
    <n v="870.58"/>
    <n v="104.47"/>
    <n v="104.47"/>
    <n v="0"/>
    <m/>
    <n v="0"/>
    <m/>
    <n v="0"/>
    <m/>
    <n v="0"/>
    <m/>
    <n v="0"/>
  </r>
  <r>
    <s v="ARAYTOR"/>
    <s v="33873117M"/>
    <s v="1/101850"/>
    <n v="4427"/>
    <s v="264430175"/>
    <s v="2026000878"/>
    <s v="Cartera"/>
    <s v="Compañía"/>
    <s v="Renovable"/>
    <s v="Facturado"/>
    <x v="48"/>
    <d v="2026-03-26T00:00:00"/>
    <m/>
    <m/>
    <m/>
    <m/>
    <m/>
    <s v="Mensual"/>
    <s v="Temporal Renovable"/>
    <s v="Vida Individual"/>
    <x v="5"/>
    <s v="FIATC "/>
    <s v="Euros"/>
    <n v="257.64999999999998"/>
    <n v="30.92"/>
    <n v="30.92"/>
    <n v="0"/>
    <m/>
    <n v="0"/>
    <m/>
    <n v="0"/>
    <m/>
    <n v="0"/>
    <m/>
    <n v="0"/>
  </r>
  <r>
    <s v="ARAYTOR"/>
    <s v="46133985X"/>
    <s v="1/113891"/>
    <n v="8153"/>
    <s v="264431202"/>
    <s v="2026000879"/>
    <s v="Cartera"/>
    <s v="Compañía"/>
    <s v="Renovable"/>
    <s v="Facturado"/>
    <x v="48"/>
    <d v="2026-03-01T00:00:00"/>
    <m/>
    <m/>
    <m/>
    <m/>
    <m/>
    <s v="Mensual"/>
    <s v="Temporal Renovable"/>
    <s v="Vida Individual"/>
    <x v="5"/>
    <s v="FIATC "/>
    <s v="Euros"/>
    <n v="132.33000000000001"/>
    <n v="15.88"/>
    <n v="15.88"/>
    <n v="0"/>
    <m/>
    <n v="0"/>
    <m/>
    <n v="0"/>
    <m/>
    <n v="0"/>
    <m/>
    <n v="0"/>
  </r>
  <r>
    <s v="ARAYTOR"/>
    <s v="46223486H"/>
    <s v="1/122588"/>
    <n v="10276"/>
    <s v="264432660"/>
    <s v="2026000880"/>
    <s v="Cartera"/>
    <s v="Correduría"/>
    <s v="Renovable"/>
    <s v="Facturado"/>
    <x v="48"/>
    <d v="2026-03-24T00:00:00"/>
    <m/>
    <m/>
    <m/>
    <m/>
    <m/>
    <s v="Anual"/>
    <s v="Temporal Renovable"/>
    <s v="Vida Individual"/>
    <x v="5"/>
    <s v="FIATC "/>
    <s v="Euros"/>
    <n v="2106.9"/>
    <n v="252.83"/>
    <n v="252.83"/>
    <n v="0"/>
    <m/>
    <n v="0"/>
    <m/>
    <n v="0"/>
    <m/>
    <n v="0"/>
    <m/>
    <n v="0"/>
  </r>
  <r>
    <s v="ARAYTOR"/>
    <s v="43427157Y"/>
    <s v="1/128445"/>
    <n v="11572"/>
    <s v="264433269"/>
    <s v="2026000881"/>
    <s v="Cartera"/>
    <s v="Correduría"/>
    <s v="Renovable"/>
    <s v="Cobrado"/>
    <x v="48"/>
    <d v="2026-03-06T00:00:00"/>
    <d v="2026-03-06T00:00:00"/>
    <m/>
    <m/>
    <m/>
    <m/>
    <s v="Semestral"/>
    <s v="Temporal Renovable"/>
    <s v="Vida Individual"/>
    <x v="5"/>
    <s v="FIATC "/>
    <s v="Euros"/>
    <n v="519.16"/>
    <n v="62.29"/>
    <n v="62.29"/>
    <n v="0"/>
    <m/>
    <n v="0"/>
    <m/>
    <n v="0"/>
    <m/>
    <n v="0"/>
    <m/>
    <n v="0"/>
  </r>
  <r>
    <s v="ARAYTOR"/>
    <s v="46223486H"/>
    <s v="1/144578"/>
    <n v="14699"/>
    <s v="264435036"/>
    <s v="2026000882"/>
    <s v="Cartera"/>
    <s v="Correduría"/>
    <s v="Renovable"/>
    <s v="Facturado"/>
    <x v="48"/>
    <d v="2026-03-24T00:00:00"/>
    <m/>
    <m/>
    <m/>
    <m/>
    <m/>
    <s v="Anual"/>
    <s v="Temporal Renovable"/>
    <s v="Vida Individual"/>
    <x v="5"/>
    <s v="FIATC "/>
    <s v="Euros"/>
    <n v="598.9"/>
    <n v="71.87"/>
    <n v="71.87"/>
    <n v="0"/>
    <m/>
    <n v="0"/>
    <m/>
    <n v="0"/>
    <m/>
    <n v="0"/>
    <m/>
    <n v="0"/>
  </r>
  <r>
    <s v="ARAYTOR"/>
    <s v="38109730H"/>
    <s v="1/152320"/>
    <n v="16730"/>
    <s v="264436730"/>
    <s v="2026000883"/>
    <s v="Cartera"/>
    <s v="Compañía"/>
    <s v="Renovable"/>
    <s v="Facturado"/>
    <x v="48"/>
    <d v="2026-03-23T00:00:00"/>
    <m/>
    <m/>
    <m/>
    <m/>
    <m/>
    <s v="Mensual"/>
    <s v="Temporal Renovable"/>
    <s v="Vida Individual"/>
    <x v="5"/>
    <s v="FIATC "/>
    <s v="Euros"/>
    <n v="82.13"/>
    <n v="9.85"/>
    <n v="9.85"/>
    <n v="0"/>
    <m/>
    <n v="0"/>
    <m/>
    <n v="0"/>
    <m/>
    <n v="0"/>
    <m/>
    <n v="0"/>
  </r>
  <r>
    <s v="ARAYTOR"/>
    <s v="43573274G"/>
    <s v="1/152999"/>
    <n v="16957"/>
    <s v="264437013"/>
    <s v="2026000884"/>
    <s v="Cartera"/>
    <s v="Correduría"/>
    <s v="Renovable"/>
    <s v="Facturado"/>
    <x v="48"/>
    <d v="2026-03-10T00:00:00"/>
    <m/>
    <m/>
    <m/>
    <m/>
    <m/>
    <s v="Anual"/>
    <s v="Temporal Renovable"/>
    <s v="Vida Individual"/>
    <x v="5"/>
    <s v="FIATC "/>
    <s v="Euros"/>
    <n v="553.32000000000005"/>
    <n v="66.400000000000006"/>
    <n v="66.400000000000006"/>
    <n v="0"/>
    <m/>
    <n v="0"/>
    <m/>
    <n v="0"/>
    <m/>
    <n v="0"/>
    <m/>
    <n v="0"/>
  </r>
  <r>
    <s v="ARAYTOR"/>
    <s v="B64753791"/>
    <s v="14/658342"/>
    <n v="23596"/>
    <s v="264356873"/>
    <s v="2026000885"/>
    <s v="Produccion"/>
    <s v="Compañía"/>
    <s v="Renovable"/>
    <s v="Facturado"/>
    <x v="48"/>
    <d v="2026-03-05T00:00:00"/>
    <m/>
    <m/>
    <m/>
    <m/>
    <m/>
    <s v="Mensual"/>
    <s v="48 - DINAMICO"/>
    <s v="Vida Mixto"/>
    <x v="13"/>
    <s v="FIATC "/>
    <s v="Euros"/>
    <n v="1875"/>
    <n v="3.75"/>
    <n v="3.75"/>
    <n v="0"/>
    <m/>
    <n v="0"/>
    <m/>
    <n v="0"/>
    <m/>
    <n v="0"/>
    <m/>
    <n v="0"/>
  </r>
  <r>
    <s v="ARAYTOR"/>
    <s v="B64753791"/>
    <s v="14/658345"/>
    <n v="23597"/>
    <s v="264356874"/>
    <s v="2026000886"/>
    <s v="Produccion"/>
    <s v="Compañía"/>
    <s v="Renovable"/>
    <s v="Facturado"/>
    <x v="48"/>
    <d v="2026-03-05T00:00:00"/>
    <m/>
    <m/>
    <m/>
    <m/>
    <m/>
    <s v="Mensual"/>
    <s v="48 - DINAMICO"/>
    <s v="Vida Mixto"/>
    <x v="13"/>
    <s v="FIATC "/>
    <s v="Euros"/>
    <n v="2175"/>
    <n v="4.3499999999999996"/>
    <n v="4.3499999999999996"/>
    <n v="0"/>
    <m/>
    <n v="0"/>
    <m/>
    <n v="0"/>
    <m/>
    <n v="0"/>
    <m/>
    <n v="0"/>
  </r>
  <r>
    <s v="ARAYTOR"/>
    <s v="B64753791"/>
    <s v="14/658346"/>
    <n v="23598"/>
    <s v="264356875"/>
    <s v="2026000887"/>
    <s v="Produccion"/>
    <s v="Compañía"/>
    <s v="Renovable"/>
    <s v="Facturado"/>
    <x v="48"/>
    <d v="2026-03-05T00:00:00"/>
    <m/>
    <m/>
    <m/>
    <m/>
    <m/>
    <s v="Mensual"/>
    <s v="48 - DINAMICO"/>
    <s v="Vida Mixto"/>
    <x v="13"/>
    <s v="FIATC "/>
    <s v="Euros"/>
    <n v="1320"/>
    <n v="2.64"/>
    <n v="2.64"/>
    <n v="0"/>
    <m/>
    <n v="0"/>
    <m/>
    <n v="0"/>
    <m/>
    <n v="0"/>
    <m/>
    <n v="0"/>
  </r>
  <r>
    <s v="ARAYTOR"/>
    <s v="B64753791"/>
    <s v="14/658347"/>
    <n v="23599"/>
    <s v="264356876"/>
    <s v="2026000888"/>
    <s v="Produccion"/>
    <s v="Compañía"/>
    <s v="Renovable"/>
    <s v="Facturado"/>
    <x v="48"/>
    <d v="2026-03-05T00:00:00"/>
    <m/>
    <m/>
    <m/>
    <m/>
    <m/>
    <s v="Mensual"/>
    <s v="48 - DINAMICO"/>
    <s v="Vida Mixto"/>
    <x v="13"/>
    <s v="FIATC "/>
    <s v="Euros"/>
    <n v="590"/>
    <n v="1.18"/>
    <n v="1.18"/>
    <n v="0"/>
    <m/>
    <n v="0"/>
    <m/>
    <n v="0"/>
    <m/>
    <n v="0"/>
    <m/>
    <n v="0"/>
  </r>
  <r>
    <s v="ARAYTOR"/>
    <s v="39140023A"/>
    <s v="20/6419334"/>
    <n v="14495"/>
    <s v="264517666"/>
    <s v="2026000889"/>
    <s v="Cartera"/>
    <s v="Correduría"/>
    <s v="Renovable"/>
    <s v="Cobrado"/>
    <x v="48"/>
    <d v="2026-03-01T00:00:00"/>
    <d v="2026-03-02T00:00:00"/>
    <m/>
    <m/>
    <m/>
    <m/>
    <s v="Anual"/>
    <s v="Turismo"/>
    <s v="Turismo"/>
    <x v="1"/>
    <s v="FIATC "/>
    <s v="Euros"/>
    <n v="263.23"/>
    <n v="38.159999999999997"/>
    <n v="38.159999999999997"/>
    <n v="0"/>
    <m/>
    <n v="0"/>
    <m/>
    <n v="0"/>
    <m/>
    <n v="0"/>
    <m/>
    <n v="0"/>
  </r>
  <r>
    <s v="ARAYTOR"/>
    <s v="B62545603"/>
    <s v="20/6688668"/>
    <n v="19072"/>
    <s v="264486766"/>
    <s v="2026000890"/>
    <s v="Cartera"/>
    <s v="Correduría"/>
    <s v="Renovable"/>
    <s v="Facturado"/>
    <x v="48"/>
    <d v="2026-03-07T00:00:00"/>
    <m/>
    <m/>
    <m/>
    <m/>
    <m/>
    <s v="Anual"/>
    <s v="Camion Rigido"/>
    <s v="Camión Rígido"/>
    <x v="14"/>
    <s v="FIATC "/>
    <s v="Euros"/>
    <n v="783.89"/>
    <n v="61.78"/>
    <n v="61.78"/>
    <n v="0"/>
    <m/>
    <n v="0"/>
    <m/>
    <n v="0"/>
    <m/>
    <n v="0"/>
    <m/>
    <n v="0"/>
  </r>
  <r>
    <s v="ARAYTOR"/>
    <s v="46119002T"/>
    <s v="20/6764686"/>
    <n v="20134"/>
    <s v="264524706"/>
    <s v="2026000891"/>
    <s v="Cartera"/>
    <s v="Correduría"/>
    <s v="Renovable"/>
    <s v="Facturado"/>
    <x v="48"/>
    <d v="2026-03-20T00:00:00"/>
    <m/>
    <m/>
    <m/>
    <m/>
    <m/>
    <s v="Anual"/>
    <s v="Turismo"/>
    <s v="Turismo"/>
    <x v="1"/>
    <s v="FIATC "/>
    <s v="Euros"/>
    <n v="1409.32"/>
    <n v="199.38"/>
    <n v="199.38"/>
    <n v="0"/>
    <m/>
    <n v="0"/>
    <m/>
    <n v="0"/>
    <m/>
    <n v="0"/>
    <m/>
    <n v="0"/>
  </r>
  <r>
    <s v="ARAYTOR"/>
    <s v="46212034C"/>
    <s v="20/6847756"/>
    <n v="22691"/>
    <s v="264525309"/>
    <s v="2026000892"/>
    <s v="Cartera"/>
    <s v="Correduría"/>
    <s v="Renovable"/>
    <s v="Cobrado"/>
    <x v="48"/>
    <d v="2026-03-01T00:00:00"/>
    <d v="2026-03-02T00:00:00"/>
    <m/>
    <m/>
    <m/>
    <m/>
    <s v="Anual"/>
    <s v="M - MAXI-AUTO"/>
    <s v="Vehiculos"/>
    <x v="1"/>
    <s v="FIATC "/>
    <s v="Euros"/>
    <n v="608.11"/>
    <n v="86.96"/>
    <n v="86.96"/>
    <n v="0"/>
    <m/>
    <n v="0"/>
    <m/>
    <n v="0"/>
    <m/>
    <n v="0"/>
    <m/>
    <n v="0"/>
  </r>
  <r>
    <s v="ARAYTOR"/>
    <s v="47947697B"/>
    <s v="20/6853017"/>
    <n v="22674"/>
    <s v="264525588"/>
    <s v="2026000893"/>
    <s v="Cartera"/>
    <s v="Correduría"/>
    <s v="Renovable"/>
    <s v="Facturado"/>
    <x v="48"/>
    <d v="2026-03-09T00:00:00"/>
    <m/>
    <m/>
    <m/>
    <m/>
    <m/>
    <s v="Anual"/>
    <s v="N - 20 Normal"/>
    <s v="Vehiculos"/>
    <x v="1"/>
    <s v="FIATC "/>
    <s v="Euros"/>
    <n v="141.79"/>
    <n v="19.690000000000001"/>
    <n v="19.690000000000001"/>
    <n v="0"/>
    <m/>
    <n v="0"/>
    <m/>
    <n v="0"/>
    <m/>
    <n v="0"/>
    <m/>
    <n v="0"/>
  </r>
  <r>
    <s v="ARAYTOR"/>
    <s v="B24367971"/>
    <s v="20/6932710"/>
    <n v="23295"/>
    <s v="264488670"/>
    <s v="2026000894"/>
    <s v="Cartera"/>
    <s v="Correduría"/>
    <s v="Renovable"/>
    <s v="Facturado"/>
    <x v="48"/>
    <d v="2026-03-15T00:00:00"/>
    <m/>
    <m/>
    <m/>
    <m/>
    <m/>
    <s v="Anual"/>
    <s v="N - 20 Normal"/>
    <s v="Vehiculos"/>
    <x v="1"/>
    <s v="FIATC "/>
    <s v="Euros"/>
    <n v="145.38"/>
    <n v="10.9"/>
    <n v="10.9"/>
    <n v="0"/>
    <m/>
    <n v="0"/>
    <m/>
    <n v="0"/>
    <m/>
    <n v="0"/>
    <m/>
    <n v="0"/>
  </r>
  <r>
    <s v="ARAYTOR"/>
    <s v="B98166358"/>
    <s v="20/6933934"/>
    <n v="23298"/>
    <s v="264526868"/>
    <s v="2026000895"/>
    <s v="Cartera"/>
    <s v="Correduría"/>
    <s v="Renovable"/>
    <s v="Facturado"/>
    <x v="48"/>
    <d v="2026-03-18T00:00:00"/>
    <m/>
    <m/>
    <m/>
    <m/>
    <m/>
    <s v="Anual"/>
    <s v="M - MAXI-AUTO"/>
    <s v="Vehiculos"/>
    <x v="1"/>
    <s v="FIATC "/>
    <s v="Euros"/>
    <n v="1009.55"/>
    <n v="143.97"/>
    <n v="143.97"/>
    <n v="0"/>
    <m/>
    <n v="0"/>
    <m/>
    <n v="0"/>
    <m/>
    <n v="0"/>
    <m/>
    <n v="0"/>
  </r>
  <r>
    <s v="ARAYTOR"/>
    <s v="B47428099"/>
    <s v="20/7094190"/>
    <n v="25658"/>
    <s v="264490037"/>
    <s v="2026000896"/>
    <s v="Cartera"/>
    <s v="Correduría"/>
    <s v="Renovable"/>
    <s v="Facturado"/>
    <x v="48"/>
    <d v="2026-03-01T00:00:00"/>
    <m/>
    <m/>
    <m/>
    <m/>
    <m/>
    <s v="Anual"/>
    <s v="M - MAXI-AUTO"/>
    <s v="Vehiculos"/>
    <x v="1"/>
    <s v="FIATC "/>
    <s v="Euros"/>
    <n v="86.42"/>
    <n v="12.23"/>
    <n v="12.23"/>
    <n v="0"/>
    <m/>
    <n v="0"/>
    <m/>
    <n v="0"/>
    <m/>
    <n v="0"/>
    <m/>
    <n v="0"/>
  </r>
  <r>
    <s v="ARAYTOR"/>
    <s v="36985724E"/>
    <s v="20/7250996"/>
    <n v="27860"/>
    <s v="264530440"/>
    <s v="2026000897"/>
    <s v="Cartera"/>
    <s v="Correduría"/>
    <s v="Renovable"/>
    <s v="Facturado"/>
    <x v="48"/>
    <d v="2026-03-08T00:00:00"/>
    <m/>
    <m/>
    <m/>
    <m/>
    <m/>
    <s v="Anual"/>
    <s v="M - MAXI-AUTO"/>
    <s v="Vehiculos"/>
    <x v="1"/>
    <s v="FIATC "/>
    <s v="Euros"/>
    <n v="1199.18"/>
    <n v="170.5"/>
    <n v="170.5"/>
    <n v="0"/>
    <m/>
    <n v="0"/>
    <m/>
    <n v="0"/>
    <m/>
    <n v="0"/>
    <m/>
    <n v="0"/>
  </r>
  <r>
    <s v="ARAYTOR"/>
    <s v="33908250V"/>
    <s v="20/9039420"/>
    <n v="30693"/>
    <s v="264532691"/>
    <s v="2026000898"/>
    <s v="Cartera"/>
    <s v="Compañía"/>
    <s v="Renovable"/>
    <s v="Facturado"/>
    <x v="48"/>
    <d v="2026-03-01T00:00:00"/>
    <m/>
    <m/>
    <m/>
    <m/>
    <m/>
    <s v="Anual"/>
    <s v="M - MAXI-AUTO"/>
    <s v="Vehiculos"/>
    <x v="1"/>
    <s v="FIATC "/>
    <s v="Euros"/>
    <n v="737.33"/>
    <n v="104.52"/>
    <n v="104.52"/>
    <n v="0"/>
    <m/>
    <n v="0"/>
    <m/>
    <n v="0"/>
    <m/>
    <n v="0"/>
    <m/>
    <n v="0"/>
  </r>
  <r>
    <s v="ARAYTOR"/>
    <s v="Y4497595M"/>
    <s v="20/9041538"/>
    <n v="30771"/>
    <s v="264533947"/>
    <s v="2026000899"/>
    <s v="Cartera"/>
    <s v="Correduría"/>
    <s v="Renovable"/>
    <s v="Facturado"/>
    <x v="48"/>
    <d v="2026-03-10T00:00:00"/>
    <m/>
    <m/>
    <m/>
    <m/>
    <m/>
    <s v="Anual"/>
    <s v="M - MAXI-AUTO"/>
    <s v="Vehiculos"/>
    <x v="1"/>
    <s v="FIATC "/>
    <s v="Euros"/>
    <n v="3253.4"/>
    <n v="457.39"/>
    <n v="457.39"/>
    <n v="0"/>
    <m/>
    <n v="0"/>
    <m/>
    <n v="0"/>
    <m/>
    <n v="0"/>
    <m/>
    <n v="0"/>
  </r>
  <r>
    <s v="ARAYTOR"/>
    <s v="B17858630"/>
    <s v="29/173335"/>
    <n v="11613"/>
    <s v="264366044"/>
    <s v="2026000900"/>
    <s v="Cartera"/>
    <s v="Compañía"/>
    <s v="Renovable"/>
    <s v="Facturado"/>
    <x v="48"/>
    <d v="2026-03-01T00:00:00"/>
    <m/>
    <m/>
    <m/>
    <m/>
    <m/>
    <s v="Trimestral"/>
    <s v="MEDIFIATC PROGRESS"/>
    <s v="Cuadro Cerrado"/>
    <x v="4"/>
    <s v="FIATC "/>
    <s v="Euros"/>
    <n v="378.4"/>
    <n v="30.27"/>
    <n v="30.27"/>
    <n v="0"/>
    <m/>
    <n v="0"/>
    <m/>
    <n v="0"/>
    <m/>
    <n v="0"/>
    <m/>
    <n v="0"/>
  </r>
  <r>
    <s v="ARAYTOR"/>
    <s v="B17858630"/>
    <s v="29/197770"/>
    <n v="11595"/>
    <s v="264369538"/>
    <s v="2026000901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301.64999999999998"/>
    <n v="24.13"/>
    <n v="24.13"/>
    <n v="0"/>
    <m/>
    <n v="0"/>
    <m/>
    <n v="0"/>
    <m/>
    <n v="0"/>
    <m/>
    <n v="0"/>
  </r>
  <r>
    <s v="ARAYTOR"/>
    <s v="47610003A"/>
    <s v="29/3002950"/>
    <n v="12891"/>
    <s v="264391758"/>
    <s v="2026000902"/>
    <s v="Cartera"/>
    <s v="Compañía"/>
    <s v="Renovable"/>
    <s v="Facturado"/>
    <x v="48"/>
    <d v="2026-03-01T00:00:00"/>
    <m/>
    <m/>
    <m/>
    <m/>
    <m/>
    <s v="Mensual"/>
    <s v="2010 Mediatc Progess"/>
    <s v="Colectivo Salud"/>
    <x v="10"/>
    <s v="FIATC "/>
    <s v="Euros"/>
    <n v="137.49"/>
    <n v="11"/>
    <n v="11"/>
    <n v="0"/>
    <m/>
    <n v="0"/>
    <m/>
    <n v="0"/>
    <m/>
    <n v="0"/>
    <m/>
    <n v="0"/>
  </r>
  <r>
    <s v="ARAYTOR"/>
    <s v="38051670X"/>
    <s v="29/3004653"/>
    <n v="12895"/>
    <s v="264391871"/>
    <s v="2026000903"/>
    <s v="Cartera"/>
    <s v="Compañía"/>
    <s v="Renovable"/>
    <s v="Facturado"/>
    <x v="48"/>
    <d v="2026-03-01T00:00:00"/>
    <m/>
    <m/>
    <m/>
    <m/>
    <m/>
    <s v="Mensual"/>
    <s v="2010 Mediatc Progess"/>
    <s v="Colectivo Salud"/>
    <x v="10"/>
    <s v="FIATC "/>
    <s v="Euros"/>
    <n v="252.12"/>
    <n v="20.170000000000002"/>
    <n v="20.170000000000002"/>
    <n v="0"/>
    <m/>
    <n v="0"/>
    <m/>
    <n v="0"/>
    <m/>
    <n v="0"/>
    <m/>
    <n v="0"/>
  </r>
  <r>
    <s v="ARAYTOR"/>
    <s v="46216659E"/>
    <s v="29/3007241"/>
    <n v="13082"/>
    <s v="264392652"/>
    <s v="2026000904"/>
    <s v="Cartera"/>
    <s v="Compañía"/>
    <s v="Renovable"/>
    <s v="Facturado"/>
    <x v="48"/>
    <d v="2026-03-01T00:00:00"/>
    <m/>
    <m/>
    <m/>
    <m/>
    <m/>
    <s v="Mensual"/>
    <s v="2010 Mediatc Progess"/>
    <s v="Colectivo Salud"/>
    <x v="10"/>
    <s v="FIATC "/>
    <s v="Euros"/>
    <n v="119.69"/>
    <n v="4.79"/>
    <n v="4.79"/>
    <n v="0"/>
    <m/>
    <n v="0"/>
    <m/>
    <n v="0"/>
    <m/>
    <n v="0"/>
    <m/>
    <n v="0"/>
  </r>
  <r>
    <s v="ARAYTOR"/>
    <s v="36929337P"/>
    <s v="29/3008707"/>
    <n v="13177"/>
    <s v="264392909"/>
    <s v="2026000905"/>
    <s v="Cartera"/>
    <s v="Compañía"/>
    <s v="Renovable"/>
    <s v="Facturado"/>
    <x v="48"/>
    <d v="2026-03-01T00:00:00"/>
    <m/>
    <m/>
    <m/>
    <m/>
    <m/>
    <s v="Mensual"/>
    <s v="2010 Mediatc Progess"/>
    <s v="Colectivo Salud"/>
    <x v="10"/>
    <s v="FIATC "/>
    <s v="Euros"/>
    <n v="164.45"/>
    <n v="13.16"/>
    <n v="13.16"/>
    <n v="0"/>
    <m/>
    <n v="0"/>
    <m/>
    <n v="0"/>
    <m/>
    <n v="0"/>
    <m/>
    <n v="0"/>
  </r>
  <r>
    <s v="ARAYTOR"/>
    <s v="46799386K"/>
    <s v="29/3011014"/>
    <n v="13423"/>
    <s v="264393435"/>
    <s v="2026000906"/>
    <s v="Cartera"/>
    <s v="Compañía"/>
    <s v="Renovable"/>
    <s v="Facturado"/>
    <x v="48"/>
    <d v="2026-03-01T00:00:00"/>
    <m/>
    <m/>
    <m/>
    <m/>
    <m/>
    <s v="Mensual"/>
    <s v="2010 Mediatc Progess"/>
    <s v="Colectivo Salud"/>
    <x v="10"/>
    <s v="FIATC "/>
    <s v="Euros"/>
    <n v="181.52"/>
    <n v="14.52"/>
    <n v="14.52"/>
    <n v="0"/>
    <m/>
    <n v="0"/>
    <m/>
    <n v="0"/>
    <m/>
    <n v="0"/>
    <m/>
    <n v="0"/>
  </r>
  <r>
    <s v="ARAYTOR"/>
    <s v="46612440L"/>
    <s v="29/3011134"/>
    <n v="13485"/>
    <s v="264393474"/>
    <s v="2026000907"/>
    <s v="Cartera"/>
    <s v="Compañía"/>
    <s v="Renovable"/>
    <s v="Facturado"/>
    <x v="48"/>
    <d v="2026-03-01T00:00:00"/>
    <m/>
    <m/>
    <m/>
    <m/>
    <m/>
    <s v="Mensual"/>
    <s v="2010 Mediatc Progess"/>
    <s v="Colectivo Salud"/>
    <x v="10"/>
    <s v="FIATC "/>
    <s v="Euros"/>
    <n v="100.66"/>
    <n v="8.0500000000000007"/>
    <n v="8.0500000000000007"/>
    <n v="0"/>
    <m/>
    <n v="0"/>
    <m/>
    <n v="0"/>
    <m/>
    <n v="0"/>
    <m/>
    <n v="0"/>
  </r>
  <r>
    <s v="ARAYTOR"/>
    <s v="46731149W"/>
    <s v="29/3011458"/>
    <n v="13555"/>
    <s v="264393531"/>
    <s v="2026000908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58.77"/>
    <n v="4.7"/>
    <n v="4.7"/>
    <n v="0"/>
    <m/>
    <n v="0"/>
    <m/>
    <n v="0"/>
    <m/>
    <n v="0"/>
    <m/>
    <n v="0"/>
  </r>
  <r>
    <s v="ARAYTOR"/>
    <s v="39363713H"/>
    <s v="29/3012975"/>
    <n v="14121"/>
    <s v="264393923"/>
    <s v="2026000909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191.65"/>
    <n v="15.33"/>
    <n v="15.33"/>
    <n v="0"/>
    <m/>
    <n v="0"/>
    <m/>
    <n v="0"/>
    <m/>
    <n v="0"/>
    <m/>
    <n v="0"/>
  </r>
  <r>
    <s v="ARAYTOR"/>
    <s v="46691745C"/>
    <s v="29/3015527"/>
    <n v="14287"/>
    <s v="264394430"/>
    <s v="2026000910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251.68"/>
    <n v="20.13"/>
    <n v="20.13"/>
    <n v="0"/>
    <m/>
    <n v="0"/>
    <m/>
    <n v="0"/>
    <m/>
    <n v="0"/>
    <m/>
    <n v="0"/>
  </r>
  <r>
    <s v="ARAYTOR"/>
    <s v="33893426M"/>
    <s v="29/3018245"/>
    <n v="14584"/>
    <s v="264395417"/>
    <s v="2026000911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439.45"/>
    <n v="35.159999999999997"/>
    <n v="35.159999999999997"/>
    <n v="0"/>
    <m/>
    <n v="0"/>
    <m/>
    <n v="0"/>
    <m/>
    <n v="0"/>
    <m/>
    <n v="0"/>
  </r>
  <r>
    <s v="ARAYTOR"/>
    <s v="43398436N"/>
    <s v="29/3020101"/>
    <n v="15342"/>
    <s v="264396243"/>
    <s v="2026000912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152.37"/>
    <n v="12.19"/>
    <n v="12.19"/>
    <n v="0"/>
    <m/>
    <n v="0"/>
    <m/>
    <n v="0"/>
    <m/>
    <n v="0"/>
    <m/>
    <n v="0"/>
  </r>
  <r>
    <s v="ARAYTOR"/>
    <s v="38870848C"/>
    <s v="29/3020817"/>
    <n v="17453"/>
    <s v="264401335"/>
    <s v="2026000913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139.96"/>
    <n v="11.2"/>
    <n v="11.2"/>
    <n v="0"/>
    <m/>
    <n v="0"/>
    <m/>
    <n v="0"/>
    <m/>
    <n v="0"/>
    <m/>
    <n v="0"/>
  </r>
  <r>
    <s v="ARAYTOR"/>
    <s v="38074869W"/>
    <s v="29/3020888"/>
    <n v="17703"/>
    <s v="264401938"/>
    <s v="2026000914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153.18"/>
    <n v="12.25"/>
    <n v="12.25"/>
    <n v="0"/>
    <m/>
    <n v="0"/>
    <m/>
    <n v="0"/>
    <m/>
    <n v="0"/>
    <m/>
    <n v="0"/>
  </r>
  <r>
    <s v="ARAYTOR"/>
    <s v="46678120B"/>
    <s v="29/3044031"/>
    <n v="23580"/>
    <s v="264422195"/>
    <s v="2026000915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85.29"/>
    <n v="6.82"/>
    <n v="6.82"/>
    <n v="0"/>
    <m/>
    <n v="0"/>
    <m/>
    <n v="0"/>
    <m/>
    <n v="0"/>
    <m/>
    <n v="0"/>
  </r>
  <r>
    <s v="ARAYTOR"/>
    <s v="46728875M"/>
    <s v="29/3048296"/>
    <n v="23974"/>
    <s v="264424240"/>
    <s v="2026000916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138.86000000000001"/>
    <n v="11.11"/>
    <n v="11.11"/>
    <n v="0"/>
    <m/>
    <n v="0"/>
    <m/>
    <n v="0"/>
    <m/>
    <n v="0"/>
    <m/>
    <n v="0"/>
  </r>
  <r>
    <s v="ARAYTOR"/>
    <s v="46223486H"/>
    <s v="30/283575"/>
    <n v="439"/>
    <s v="264474149"/>
    <s v="2026000917"/>
    <s v="Cartera"/>
    <s v="Correduría"/>
    <s v="Renovable"/>
    <s v="Facturado"/>
    <x v="48"/>
    <d v="2026-03-23T00:00:00"/>
    <m/>
    <m/>
    <m/>
    <m/>
    <m/>
    <s v="Anual"/>
    <s v="4 - ACCIDENTES INDIVIDUAL (G.00.2)"/>
    <s v="Accidentes Personales"/>
    <x v="4"/>
    <s v="FIATC "/>
    <s v="Euros"/>
    <n v="83.56"/>
    <n v="21.92"/>
    <n v="21.92"/>
    <n v="0"/>
    <m/>
    <n v="0"/>
    <m/>
    <n v="0"/>
    <m/>
    <n v="0"/>
    <m/>
    <n v="0"/>
  </r>
  <r>
    <s v="ARAYTOR"/>
    <s v="46133985X"/>
    <s v="30/1001171"/>
    <n v="8170"/>
    <s v="264474043"/>
    <s v="2026000918"/>
    <s v="Cartera"/>
    <s v="Correduría"/>
    <s v="Renovable"/>
    <s v="Facturado"/>
    <x v="48"/>
    <d v="2026-03-09T00:00:00"/>
    <m/>
    <m/>
    <m/>
    <m/>
    <m/>
    <s v="Mensual"/>
    <s v="4 - ACCIDENTES INDIVIDUAL (G.00.2)"/>
    <s v="Accidentes Personales"/>
    <x v="4"/>
    <s v="FIATC "/>
    <s v="Euros"/>
    <n v="28.82"/>
    <n v="8.64"/>
    <n v="8.64"/>
    <n v="0"/>
    <m/>
    <n v="0"/>
    <m/>
    <n v="0"/>
    <m/>
    <n v="0"/>
    <m/>
    <n v="0"/>
  </r>
  <r>
    <s v="ARAYTOR"/>
    <s v="43573274G"/>
    <s v="30/1007862"/>
    <n v="16930"/>
    <s v="264473665"/>
    <s v="2026000919"/>
    <s v="Cartera"/>
    <s v="Correduría"/>
    <s v="Renovable"/>
    <s v="Cobrado"/>
    <x v="48"/>
    <d v="2026-03-01T00:00:00"/>
    <d v="2026-03-02T00:00:00"/>
    <m/>
    <m/>
    <m/>
    <m/>
    <s v="Anual"/>
    <s v="4 - ACCIDENTES INDIVIDUAL (G.00.2)"/>
    <s v="Accidentes Personales"/>
    <x v="4"/>
    <s v="FIATC "/>
    <s v="Euros"/>
    <n v="139.86000000000001"/>
    <n v="41.96"/>
    <n v="41.96"/>
    <n v="0"/>
    <m/>
    <n v="0"/>
    <m/>
    <n v="0"/>
    <m/>
    <n v="0"/>
    <m/>
    <n v="0"/>
  </r>
  <r>
    <s v="ARAYTOR"/>
    <s v="B98151566"/>
    <s v="30/1094820"/>
    <n v="27993"/>
    <s v="264476559"/>
    <s v="2026000920"/>
    <s v="Cartera"/>
    <s v="Compañía"/>
    <s v="Renovable"/>
    <s v="Facturado"/>
    <x v="48"/>
    <d v="2026-03-21T00:00:00"/>
    <m/>
    <m/>
    <m/>
    <m/>
    <m/>
    <s v="Anual"/>
    <s v="1 - Accidentes colectivo exteriorizacion"/>
    <s v="Accidentes"/>
    <x v="4"/>
    <s v="FIATC "/>
    <s v="Euros"/>
    <n v="52.55"/>
    <n v="10.51"/>
    <n v="10.51"/>
    <n v="0"/>
    <m/>
    <n v="0"/>
    <m/>
    <n v="0"/>
    <m/>
    <n v="0"/>
    <m/>
    <n v="0"/>
  </r>
  <r>
    <s v="ARAYTOR"/>
    <s v="B86179074"/>
    <s v="40/5058714"/>
    <n v="15815"/>
    <s v="264343271"/>
    <s v="2026000922"/>
    <s v="Cartera"/>
    <s v="Correduría"/>
    <s v="Renovable"/>
    <s v="Cobrado"/>
    <x v="48"/>
    <d v="2026-03-01T00:00:00"/>
    <d v="2026-03-02T00:00:00"/>
    <m/>
    <m/>
    <m/>
    <m/>
    <s v="Trimestral"/>
    <s v="0100Responsabilidad Civil General"/>
    <s v="RC General"/>
    <x v="0"/>
    <s v="FIATC "/>
    <s v="Euros"/>
    <n v="555.6"/>
    <n v="111.12"/>
    <n v="111.12"/>
    <n v="0"/>
    <m/>
    <n v="0"/>
    <m/>
    <n v="0"/>
    <m/>
    <n v="0"/>
    <m/>
    <n v="0"/>
  </r>
  <r>
    <s v="ARAYTOR"/>
    <s v="B67411967"/>
    <s v="40/5077177"/>
    <n v="18067"/>
    <s v="264516093"/>
    <s v="2026000923"/>
    <s v="Cartera"/>
    <s v="Correduría"/>
    <s v="Renovable"/>
    <s v="Facturado"/>
    <x v="48"/>
    <d v="2026-03-31T00:00:00"/>
    <m/>
    <m/>
    <m/>
    <m/>
    <m/>
    <s v="Trimestral"/>
    <s v="0100Responsabilidad Civil General"/>
    <s v="RC General"/>
    <x v="0"/>
    <s v="FIATC "/>
    <s v="Euros"/>
    <n v="418.23"/>
    <n v="83.64"/>
    <n v="83.64"/>
    <n v="0"/>
    <m/>
    <n v="0"/>
    <m/>
    <n v="0"/>
    <m/>
    <n v="0"/>
    <m/>
    <n v="0"/>
  </r>
  <r>
    <s v="ARAYTOR"/>
    <s v="B75331793"/>
    <s v="40/5079443"/>
    <n v="18326"/>
    <s v="264343345"/>
    <s v="2026000924"/>
    <s v="Cartera"/>
    <s v="Correduría"/>
    <s v="Renovable"/>
    <s v="Facturado"/>
    <x v="48"/>
    <d v="2026-03-12T00:00:00"/>
    <m/>
    <m/>
    <m/>
    <m/>
    <m/>
    <s v="Trimestral"/>
    <s v="RC Promotor Musica"/>
    <s v="RC Promotor Musica"/>
    <x v="0"/>
    <s v="FIATC "/>
    <s v="Euros"/>
    <n v="405.06"/>
    <n v="81.02"/>
    <n v="81.02"/>
    <n v="0"/>
    <m/>
    <n v="0"/>
    <s v="HERRERA Y ASO.TEC. Y ASE. EN SEGU, S.L."/>
    <n v="40.51"/>
    <m/>
    <n v="0"/>
    <m/>
    <n v="0"/>
  </r>
  <r>
    <s v="ARAYTOR"/>
    <s v="B87519369"/>
    <s v="40/5128926"/>
    <n v="23805"/>
    <s v="264343552"/>
    <s v="2026000925"/>
    <s v="Cartera"/>
    <s v="Correduría"/>
    <s v="Renovable"/>
    <s v="Facturado"/>
    <x v="48"/>
    <d v="2026-03-21T00:00:00"/>
    <m/>
    <m/>
    <m/>
    <m/>
    <m/>
    <s v="Semestral"/>
    <s v="Responsabilidad Civil"/>
    <s v="RC General"/>
    <x v="0"/>
    <s v="FIATC "/>
    <s v="Euros"/>
    <n v="398.45"/>
    <n v="79.69"/>
    <n v="79.69"/>
    <n v="0"/>
    <m/>
    <n v="0"/>
    <m/>
    <n v="0"/>
    <m/>
    <n v="0"/>
    <m/>
    <n v="0"/>
  </r>
  <r>
    <s v="ARAYTOR"/>
    <s v="B88110820"/>
    <s v="40/5133155"/>
    <n v="24857"/>
    <s v="264520829"/>
    <s v="2026000926"/>
    <s v="Cartera"/>
    <s v="Correduría"/>
    <s v="Renovable"/>
    <s v="Cobrado"/>
    <x v="48"/>
    <d v="2026-03-02T00:00:00"/>
    <d v="2026-03-02T00:00:00"/>
    <m/>
    <m/>
    <m/>
    <m/>
    <s v="Anual"/>
    <s v="0100Responsabilidad Civil General"/>
    <s v="RC General"/>
    <x v="0"/>
    <s v="FIATC "/>
    <s v="Euros"/>
    <n v="11989.68"/>
    <n v="2397.9299999999998"/>
    <n v="2397.9299999999998"/>
    <n v="0"/>
    <m/>
    <n v="0"/>
    <m/>
    <n v="0"/>
    <m/>
    <n v="0"/>
    <m/>
    <n v="0"/>
  </r>
  <r>
    <s v="ARAYTOR"/>
    <s v="B09631748"/>
    <s v="40/5133751"/>
    <n v="24916"/>
    <s v="264521334"/>
    <s v="2026000927"/>
    <s v="Cartera"/>
    <s v="Correduría"/>
    <s v="Renovable"/>
    <s v="Facturado"/>
    <x v="48"/>
    <d v="2026-03-23T00:00:00"/>
    <m/>
    <m/>
    <m/>
    <m/>
    <m/>
    <s v="Anual"/>
    <s v="0100Responsabilidad Civil General"/>
    <s v="RC General"/>
    <x v="0"/>
    <s v="FIATC "/>
    <s v="Euros"/>
    <n v="1335.01"/>
    <n v="267"/>
    <n v="267"/>
    <n v="0"/>
    <m/>
    <n v="0"/>
    <m/>
    <n v="0"/>
    <m/>
    <n v="0"/>
    <m/>
    <n v="0"/>
  </r>
  <r>
    <s v="ARAYTOR"/>
    <s v="35070563W"/>
    <s v="54/65223"/>
    <n v="14219"/>
    <s v="264379150"/>
    <s v="2026000928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335.6"/>
    <n v="26.85"/>
    <n v="26.85"/>
    <n v="0"/>
    <m/>
    <n v="0"/>
    <m/>
    <n v="0"/>
    <m/>
    <n v="0"/>
    <m/>
    <n v="0"/>
  </r>
  <r>
    <s v="ARAYTOR"/>
    <s v="37640784L"/>
    <s v="54/143376"/>
    <n v="3559"/>
    <s v="264388080"/>
    <s v="2026000929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208.46"/>
    <n v="16.68"/>
    <n v="16.68"/>
    <n v="0"/>
    <m/>
    <n v="0"/>
    <m/>
    <n v="0"/>
    <m/>
    <n v="0"/>
    <m/>
    <n v="0"/>
  </r>
  <r>
    <s v="ARAYTOR"/>
    <s v="46308651Z"/>
    <s v="65/273329"/>
    <n v="4811"/>
    <s v="264516208"/>
    <s v="2026000930"/>
    <s v="Cartera"/>
    <s v="Correduría"/>
    <s v="Renovable"/>
    <s v="Cobrado"/>
    <x v="48"/>
    <d v="2026-03-01T00:00:00"/>
    <d v="2026-03-02T00:00:00"/>
    <m/>
    <m/>
    <m/>
    <m/>
    <s v="Anual"/>
    <s v="Maxi Hogar 3000 Araytor"/>
    <s v="Hogar"/>
    <x v="2"/>
    <s v="FIATC "/>
    <s v="Euros"/>
    <n v="1428.97"/>
    <n v="357.24"/>
    <n v="357.24"/>
    <n v="0"/>
    <m/>
    <n v="0"/>
    <m/>
    <n v="0"/>
    <m/>
    <n v="0"/>
    <m/>
    <n v="0"/>
  </r>
  <r>
    <s v="ARAYTOR"/>
    <s v="36490386N"/>
    <s v="65/273376"/>
    <n v="5328"/>
    <s v="264516224"/>
    <s v="2026000931"/>
    <s v="Cartera"/>
    <s v="Correduría"/>
    <s v="Renovable"/>
    <s v="Facturado"/>
    <x v="48"/>
    <d v="2026-03-10T00:00:00"/>
    <m/>
    <m/>
    <m/>
    <m/>
    <m/>
    <s v="Anual"/>
    <s v="Maxi Hogar 3000 Araytor"/>
    <s v="Hogar"/>
    <x v="2"/>
    <s v="FIATC "/>
    <s v="Euros"/>
    <n v="2594.98"/>
    <n v="648.74"/>
    <n v="648.74"/>
    <n v="0"/>
    <m/>
    <n v="0"/>
    <m/>
    <n v="0"/>
    <m/>
    <n v="0"/>
    <m/>
    <n v="0"/>
  </r>
  <r>
    <s v="ARAYTOR"/>
    <s v="46212453W"/>
    <s v="65/308127"/>
    <n v="3657"/>
    <s v="264517588"/>
    <s v="2026000932"/>
    <s v="Cartera"/>
    <s v="Correduría"/>
    <s v="Renovable"/>
    <s v="Facturado"/>
    <x v="48"/>
    <d v="2026-03-19T00:00:00"/>
    <m/>
    <m/>
    <m/>
    <m/>
    <m/>
    <s v="Anual"/>
    <s v="Maxi Hogar 3000 Araytor"/>
    <s v="Hogar"/>
    <x v="2"/>
    <s v="FIATC "/>
    <s v="Euros"/>
    <n v="541.74"/>
    <n v="135.44999999999999"/>
    <n v="135.44999999999999"/>
    <n v="0"/>
    <m/>
    <n v="0"/>
    <m/>
    <n v="0"/>
    <m/>
    <n v="0"/>
    <m/>
    <n v="0"/>
  </r>
  <r>
    <s v="ARAYTOR"/>
    <s v="37643484M"/>
    <s v="65/322969"/>
    <n v="4825"/>
    <s v="264517862"/>
    <s v="2026000933"/>
    <s v="Cartera"/>
    <s v="Correduría"/>
    <s v="Renovable"/>
    <s v="Cobrado"/>
    <x v="48"/>
    <d v="2026-03-06T00:00:00"/>
    <d v="2026-03-06T00:00:00"/>
    <m/>
    <m/>
    <m/>
    <m/>
    <s v="Anual"/>
    <s v="Maxi Hogar 3000 Araytor"/>
    <s v="Hogar"/>
    <x v="2"/>
    <s v="FIATC "/>
    <s v="Euros"/>
    <n v="336.75"/>
    <n v="84.19"/>
    <n v="84.19"/>
    <n v="0"/>
    <m/>
    <n v="0"/>
    <s v="Carlos Valls Rausa"/>
    <n v="63.14"/>
    <m/>
    <n v="0"/>
    <m/>
    <n v="0"/>
  </r>
  <r>
    <s v="ARAYTOR"/>
    <s v="74506121J"/>
    <s v="65/323366"/>
    <n v="4858"/>
    <s v="264517926"/>
    <s v="2026000934"/>
    <s v="Cartera"/>
    <s v="Correduría"/>
    <s v="Renovable"/>
    <s v="Facturado"/>
    <x v="48"/>
    <d v="2026-03-17T00:00:00"/>
    <m/>
    <m/>
    <m/>
    <m/>
    <m/>
    <s v="Anual"/>
    <s v="Maxi Hogar 3000 Araytor"/>
    <s v="Hogar"/>
    <x v="2"/>
    <s v="FIATC "/>
    <s v="Euros"/>
    <n v="186.58"/>
    <n v="46.65"/>
    <n v="46.65"/>
    <n v="0"/>
    <m/>
    <n v="0"/>
    <m/>
    <n v="0"/>
    <m/>
    <n v="0"/>
    <m/>
    <n v="0"/>
  </r>
  <r>
    <s v="ARAYTOR"/>
    <s v="17906803S"/>
    <s v="65/323983"/>
    <n v="5016"/>
    <s v="264518099"/>
    <s v="2026000935"/>
    <s v="Cartera"/>
    <s v="Correduría"/>
    <s v="Renovable"/>
    <s v="Facturado"/>
    <x v="48"/>
    <d v="2026-03-30T00:00:00"/>
    <m/>
    <m/>
    <m/>
    <m/>
    <m/>
    <s v="Anual"/>
    <s v="Maxi Hogar 3000 Araytor"/>
    <s v="Hogar"/>
    <x v="2"/>
    <s v="FIATC "/>
    <s v="Euros"/>
    <n v="241.97"/>
    <n v="60.49"/>
    <n v="60.49"/>
    <n v="0"/>
    <m/>
    <n v="0"/>
    <m/>
    <n v="0"/>
    <m/>
    <n v="0"/>
    <m/>
    <n v="0"/>
  </r>
  <r>
    <s v="ARAYTOR"/>
    <s v="46116926V"/>
    <s v="65/338660"/>
    <n v="7832"/>
    <s v="264518793"/>
    <s v="2026000936"/>
    <s v="Cartera"/>
    <s v="Correduría"/>
    <s v="Renovable"/>
    <s v="Cobrado"/>
    <x v="48"/>
    <d v="2026-03-01T00:00:00"/>
    <d v="2026-03-02T00:00:00"/>
    <m/>
    <m/>
    <m/>
    <m/>
    <s v="Anual"/>
    <s v="Maxi Hogar 3000 Araytor"/>
    <s v="Hogar"/>
    <x v="2"/>
    <s v="FIATC "/>
    <s v="Euros"/>
    <n v="316.08"/>
    <n v="79.03"/>
    <n v="79.03"/>
    <n v="0"/>
    <m/>
    <n v="0"/>
    <m/>
    <n v="0"/>
    <m/>
    <n v="0"/>
    <m/>
    <n v="0"/>
  </r>
  <r>
    <s v="ARAYTOR"/>
    <s v="46133873J"/>
    <s v="65/339356"/>
    <n v="8065"/>
    <s v="264518857"/>
    <s v="2026000937"/>
    <s v="Cartera"/>
    <s v="Correduría"/>
    <s v="Renovable"/>
    <s v="Cobrado"/>
    <x v="48"/>
    <d v="2026-03-04T00:00:00"/>
    <d v="2026-03-04T00:00:00"/>
    <m/>
    <m/>
    <m/>
    <m/>
    <s v="Anual"/>
    <s v="Maxi Hogar 3000 Araytor"/>
    <s v="Hogar"/>
    <x v="2"/>
    <s v="FIATC "/>
    <s v="Euros"/>
    <n v="364.88"/>
    <n v="91.23"/>
    <n v="91.23"/>
    <n v="0"/>
    <m/>
    <n v="0"/>
    <s v="TON ABAD (ANTIC)"/>
    <n v="0"/>
    <m/>
    <n v="0"/>
    <m/>
    <n v="0"/>
  </r>
  <r>
    <s v="ARAYTOR"/>
    <s v="13476997D"/>
    <s v="65/339790"/>
    <n v="8127"/>
    <s v="264519028"/>
    <s v="2026000938"/>
    <s v="Cartera"/>
    <s v="Correduría"/>
    <s v="Renovable"/>
    <s v="Facturado"/>
    <x v="48"/>
    <d v="2026-03-10T00:00:00"/>
    <m/>
    <m/>
    <m/>
    <m/>
    <m/>
    <s v="Anual"/>
    <s v="Maxi Hogar 3000 Araytor"/>
    <s v="Hogar"/>
    <x v="2"/>
    <s v="FIATC "/>
    <s v="Euros"/>
    <n v="162.27000000000001"/>
    <n v="40.56"/>
    <n v="40.56"/>
    <n v="0"/>
    <m/>
    <n v="0"/>
    <s v="TON ABAD (ANTIC)"/>
    <n v="0"/>
    <m/>
    <n v="0"/>
    <m/>
    <n v="0"/>
  </r>
  <r>
    <s v="ARAYTOR"/>
    <s v="46131316D"/>
    <s v="65/339791"/>
    <n v="8128"/>
    <s v="264519032"/>
    <s v="2026000939"/>
    <s v="Cartera"/>
    <s v="Correduría"/>
    <s v="Renovable"/>
    <s v="Facturado"/>
    <x v="48"/>
    <d v="2026-03-17T00:00:00"/>
    <m/>
    <m/>
    <m/>
    <m/>
    <m/>
    <s v="Anual"/>
    <s v="Maxi Hogar 3000 Araytor"/>
    <s v="Hogar"/>
    <x v="2"/>
    <s v="FIATC "/>
    <s v="Euros"/>
    <n v="163.84"/>
    <n v="40.97"/>
    <n v="40.97"/>
    <n v="0"/>
    <m/>
    <n v="0"/>
    <s v="TON ABAD (ANTIC)"/>
    <n v="0"/>
    <m/>
    <n v="0"/>
    <m/>
    <n v="0"/>
  </r>
  <r>
    <s v="ARAYTOR"/>
    <s v="38510135Q"/>
    <s v="65-340915"/>
    <n v="27595"/>
    <s v="264519589"/>
    <s v="2026000940"/>
    <s v="Cartera"/>
    <s v="Correduría"/>
    <s v="Renovable"/>
    <s v="Facturado"/>
    <x v="48"/>
    <d v="2026-03-26T00:00:00"/>
    <m/>
    <m/>
    <m/>
    <m/>
    <m/>
    <s v="Anual"/>
    <s v="0120 - Maxi Hogar 3000"/>
    <s v="Hogar"/>
    <x v="2"/>
    <s v="FIATC "/>
    <s v="Euros"/>
    <n v="317.11"/>
    <n v="79.290000000000006"/>
    <n v="79.290000000000006"/>
    <n v="0"/>
    <m/>
    <n v="0"/>
    <m/>
    <n v="0"/>
    <m/>
    <n v="0"/>
    <m/>
    <n v="0"/>
  </r>
  <r>
    <s v="ARAYTOR"/>
    <s v="46212453W"/>
    <s v="65/5046499"/>
    <n v="14558"/>
    <s v="264521837"/>
    <s v="2026000941"/>
    <s v="Cartera"/>
    <s v="Correduría"/>
    <s v="Renovable"/>
    <s v="Facturado"/>
    <x v="48"/>
    <d v="2026-03-18T00:00:00"/>
    <m/>
    <m/>
    <m/>
    <m/>
    <m/>
    <s v="Anual"/>
    <s v="0120 - Maxi Hogar 3000"/>
    <s v="Hogar"/>
    <x v="2"/>
    <s v="FIATC "/>
    <s v="Euros"/>
    <n v="424.75"/>
    <n v="106.18"/>
    <n v="106.18"/>
    <n v="0"/>
    <m/>
    <n v="0"/>
    <m/>
    <n v="0"/>
    <m/>
    <n v="0"/>
    <m/>
    <n v="0"/>
  </r>
  <r>
    <s v="ARAYTOR"/>
    <s v="B63194427"/>
    <s v="65/5179586"/>
    <n v="23303"/>
    <s v="264531124"/>
    <s v="2026000942"/>
    <s v="Cartera"/>
    <s v="Correduría"/>
    <s v="Renovable"/>
    <s v="Facturado"/>
    <x v="48"/>
    <d v="2026-03-18T00:00:00"/>
    <m/>
    <m/>
    <m/>
    <m/>
    <m/>
    <s v="Anual"/>
    <s v="100 MR Hogar"/>
    <s v="Hogar"/>
    <x v="2"/>
    <s v="FIATC "/>
    <s v="Euros"/>
    <n v="553.85"/>
    <n v="138.47"/>
    <n v="138.47"/>
    <n v="0"/>
    <m/>
    <n v="0"/>
    <m/>
    <n v="0"/>
    <m/>
    <n v="0"/>
    <m/>
    <n v="0"/>
  </r>
  <r>
    <s v="ARAYTOR"/>
    <s v="B98366461"/>
    <s v="65/5234449"/>
    <n v="30852"/>
    <s v="264537033"/>
    <s v="2026000943"/>
    <s v="Cartera"/>
    <s v="Correduría"/>
    <s v="Renovable"/>
    <s v="Facturado"/>
    <x v="48"/>
    <d v="2026-03-25T00:00:00"/>
    <m/>
    <m/>
    <m/>
    <m/>
    <m/>
    <s v="Anual"/>
    <s v="100 MR Hogar"/>
    <s v="Hogar"/>
    <x v="2"/>
    <s v="FIATC "/>
    <s v="Euros"/>
    <n v="593.11"/>
    <n v="148.29"/>
    <n v="148.29"/>
    <n v="0"/>
    <m/>
    <n v="0"/>
    <m/>
    <n v="0"/>
    <m/>
    <n v="0"/>
    <m/>
    <n v="0"/>
  </r>
  <r>
    <s v="ARAYTOR"/>
    <s v="H07112634"/>
    <s v="66/112020"/>
    <n v="10920"/>
    <s v="264345933"/>
    <s v="2026000944"/>
    <s v="Cartera"/>
    <s v="Correduría"/>
    <s v="Renovable"/>
    <s v="Facturado"/>
    <x v="48"/>
    <d v="2026-03-12T00:00:00"/>
    <m/>
    <m/>
    <m/>
    <m/>
    <m/>
    <s v="Trimestral"/>
    <s v="Multirriesgo Comunidad de Propietarios"/>
    <s v="Comunidad de Propietarios"/>
    <x v="3"/>
    <s v="FIATC "/>
    <s v="Euros"/>
    <n v="466.5"/>
    <n v="116.64"/>
    <n v="116.64"/>
    <n v="0"/>
    <m/>
    <n v="0"/>
    <m/>
    <n v="0"/>
    <m/>
    <n v="0"/>
    <m/>
    <n v="0"/>
  </r>
  <r>
    <s v="ARAYTOR"/>
    <s v="46539158S"/>
    <s v="73/1117231"/>
    <n v="19164"/>
    <s v="264551307"/>
    <s v="2026000945"/>
    <s v="Cartera"/>
    <s v="Compañía"/>
    <s v="Renovable"/>
    <s v="Facturado"/>
    <x v="48"/>
    <d v="2026-03-28T00:00:00"/>
    <m/>
    <m/>
    <m/>
    <m/>
    <m/>
    <s v="Anual"/>
    <s v="Gestisep"/>
    <s v="Decesos"/>
    <x v="4"/>
    <s v="FIATC "/>
    <s v="Euros"/>
    <n v="262.36"/>
    <n v="52.48"/>
    <n v="52.48"/>
    <n v="0"/>
    <m/>
    <n v="0"/>
    <m/>
    <n v="0"/>
    <m/>
    <n v="0"/>
    <m/>
    <n v="0"/>
  </r>
  <r>
    <s v="ARAYTOR"/>
    <s v="47601192R"/>
    <s v="82/3002534"/>
    <n v="15469"/>
    <s v="264397478"/>
    <s v="2026000946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237.37"/>
    <n v="18.989999999999998"/>
    <n v="18.989999999999998"/>
    <n v="0"/>
    <m/>
    <n v="0"/>
    <m/>
    <n v="0"/>
    <m/>
    <n v="0"/>
    <m/>
    <n v="0"/>
  </r>
  <r>
    <s v="ARAYTOR"/>
    <s v="46060139V"/>
    <s v="82/3020746"/>
    <n v="17864"/>
    <s v="264402798"/>
    <s v="2026000947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212.37"/>
    <n v="16.989999999999998"/>
    <n v="16.989999999999998"/>
    <n v="0"/>
    <m/>
    <n v="0"/>
    <m/>
    <n v="0"/>
    <m/>
    <n v="0"/>
    <m/>
    <n v="0"/>
  </r>
  <r>
    <s v="ARAYTOR"/>
    <s v="37679304Z"/>
    <s v="82/3041020"/>
    <n v="27416"/>
    <s v="264409318"/>
    <s v="2026000948"/>
    <s v="Cartera"/>
    <s v="Compañía"/>
    <s v="Renovable"/>
    <s v="Facturado"/>
    <x v="48"/>
    <d v="2026-03-01T00:00:00"/>
    <m/>
    <m/>
    <m/>
    <m/>
    <m/>
    <s v="Mensual"/>
    <s v="MEDIFIATC PROGRESS"/>
    <s v="Cuadro Cerrado"/>
    <x v="4"/>
    <s v="FIATC "/>
    <s v="Euros"/>
    <n v="388.36"/>
    <n v="0"/>
    <n v="0"/>
    <n v="0"/>
    <m/>
    <n v="0"/>
    <m/>
    <n v="0"/>
    <m/>
    <n v="0"/>
    <m/>
    <n v="0"/>
  </r>
  <r>
    <s v="ARAYTOR"/>
    <s v="B59331512"/>
    <s v="85/112871"/>
    <n v="8077"/>
    <s v="264508440"/>
    <s v="2026000949"/>
    <s v="Cartera"/>
    <s v="Correduría"/>
    <s v="Renovable"/>
    <s v="Cobrado"/>
    <x v="48"/>
    <d v="2026-03-02T00:00:00"/>
    <d v="2026-03-02T00:00:00"/>
    <m/>
    <m/>
    <m/>
    <m/>
    <s v="Anual"/>
    <s v="Multirriesgo del Comercio (1)"/>
    <s v="Oficinas"/>
    <x v="3"/>
    <s v="FIATC "/>
    <s v="Euros"/>
    <n v="752.4"/>
    <n v="169.3"/>
    <n v="169.3"/>
    <n v="0"/>
    <m/>
    <n v="0"/>
    <m/>
    <n v="0"/>
    <m/>
    <n v="0"/>
    <m/>
    <n v="0"/>
  </r>
  <r>
    <s v="ARAYTOR"/>
    <s v="B67345520"/>
    <s v="85/5057422"/>
    <n v="20140"/>
    <s v="264514399"/>
    <s v="2026000951"/>
    <s v="Cartera"/>
    <s v="Correduría"/>
    <s v="Renovable"/>
    <s v="Facturado"/>
    <x v="48"/>
    <d v="2026-03-21T00:00:00"/>
    <m/>
    <m/>
    <m/>
    <m/>
    <m/>
    <s v="Anual"/>
    <s v="Multirriesgo del Comercio (1)"/>
    <s v="Oficinas"/>
    <x v="3"/>
    <s v="FIATC "/>
    <s v="Euros"/>
    <n v="484.31"/>
    <n v="108.97"/>
    <n v="108.97"/>
    <n v="0"/>
    <m/>
    <n v="0"/>
    <m/>
    <n v="0"/>
    <m/>
    <n v="0"/>
    <m/>
    <n v="0"/>
  </r>
  <r>
    <s v="ARAYTOR"/>
    <s v="23856344P"/>
    <s v="85/5062938"/>
    <n v="23181"/>
    <s v="264346892"/>
    <s v="2026000952"/>
    <s v="Cartera"/>
    <s v="Correduría"/>
    <s v="Renovable"/>
    <s v="Facturado"/>
    <x v="48"/>
    <d v="2026-03-21T00:00:00"/>
    <m/>
    <m/>
    <m/>
    <m/>
    <m/>
    <s v="Trimestral"/>
    <s v="100 MR Negocios"/>
    <s v="Comercio"/>
    <x v="3"/>
    <s v="FIATC "/>
    <s v="Euros"/>
    <n v="266.83"/>
    <n v="60.04"/>
    <n v="60.04"/>
    <n v="0"/>
    <m/>
    <n v="0"/>
    <m/>
    <n v="0"/>
    <m/>
    <n v="0"/>
    <m/>
    <n v="0"/>
  </r>
  <r>
    <s v="ARAYTOR"/>
    <s v="B65684227"/>
    <s v="85/5066625"/>
    <n v="24861"/>
    <s v="264516343"/>
    <s v="2026000953"/>
    <s v="Cartera"/>
    <s v="Correduría"/>
    <s v="Renovable"/>
    <s v="Cobrado"/>
    <x v="48"/>
    <d v="2026-03-03T00:00:00"/>
    <d v="2026-03-03T00:00:00"/>
    <m/>
    <m/>
    <m/>
    <m/>
    <s v="Anual"/>
    <s v="100 MR Negocios"/>
    <s v="Comercio"/>
    <x v="3"/>
    <s v="FIATC "/>
    <s v="Euros"/>
    <n v="364.42"/>
    <n v="81.99"/>
    <n v="81.99"/>
    <n v="0"/>
    <m/>
    <n v="0"/>
    <m/>
    <n v="0"/>
    <m/>
    <n v="0"/>
    <m/>
    <n v="0"/>
  </r>
  <r>
    <s v="ARAYTOR"/>
    <s v="B62678990"/>
    <s v="86/5011101"/>
    <n v="11824"/>
    <s v="264508659"/>
    <s v="2026000954"/>
    <s v="Cartera"/>
    <s v="Correduría"/>
    <s v="Renovable"/>
    <s v="Facturado"/>
    <x v="48"/>
    <d v="2026-03-21T00:00:00"/>
    <m/>
    <m/>
    <m/>
    <m/>
    <m/>
    <s v="Semestral"/>
    <s v="0100 - Maxi Empresa"/>
    <s v="PYME"/>
    <x v="3"/>
    <s v="FIATC "/>
    <s v="Euros"/>
    <n v="2213.35"/>
    <n v="442.68"/>
    <n v="442.68"/>
    <n v="0"/>
    <m/>
    <n v="0"/>
    <m/>
    <n v="0"/>
    <m/>
    <n v="0"/>
    <m/>
    <n v="0"/>
  </r>
  <r>
    <s v="ARAYTOR"/>
    <s v="B22156194"/>
    <s v="86/5021547"/>
    <n v="15598"/>
    <s v="264509451"/>
    <s v="2026000955"/>
    <s v="Cartera"/>
    <s v="Correduría"/>
    <s v="Renovable"/>
    <s v="Cobrado"/>
    <x v="48"/>
    <d v="2026-03-15T00:00:00"/>
    <d v="2026-03-15T00:00:00"/>
    <m/>
    <m/>
    <m/>
    <m/>
    <s v="Semestral"/>
    <s v="0100 - Maxi Empresa"/>
    <s v="PYME"/>
    <x v="3"/>
    <s v="FIATC "/>
    <s v="Euros"/>
    <n v="1962.27"/>
    <n v="392.44"/>
    <n v="392.44"/>
    <n v="0"/>
    <m/>
    <n v="0"/>
    <m/>
    <n v="0"/>
    <m/>
    <n v="0"/>
    <m/>
    <n v="0"/>
  </r>
  <r>
    <s v="ARAYTOR"/>
    <s v="B88110820"/>
    <s v="86/5041684"/>
    <n v="24845"/>
    <s v="264513638"/>
    <s v="2026000957"/>
    <s v="Cartera"/>
    <s v="Correduría"/>
    <s v="Renovable"/>
    <s v="Cobrado"/>
    <x v="48"/>
    <d v="2026-03-01T00:00:00"/>
    <d v="2026-03-02T00:00:00"/>
    <m/>
    <m/>
    <m/>
    <m/>
    <s v="Anual"/>
    <s v="0200 Maxi Hosteleria"/>
    <s v="PYME"/>
    <x v="3"/>
    <s v="FIATC "/>
    <s v="Euros"/>
    <n v="12012.53"/>
    <n v="2402.5"/>
    <n v="2402.5"/>
    <n v="0"/>
    <m/>
    <n v="0"/>
    <m/>
    <n v="0"/>
    <m/>
    <n v="0"/>
    <m/>
    <n v="0"/>
  </r>
  <r>
    <s v="ARAYTOR"/>
    <s v="B83958934"/>
    <s v="89/272803"/>
    <n v="20064"/>
    <s v="264562631"/>
    <s v="2026000960"/>
    <s v="Cartera"/>
    <s v="Correduría"/>
    <s v="Renovable"/>
    <s v="Cobrado"/>
    <x v="48"/>
    <d v="2026-03-02T00:00:00"/>
    <d v="2026-03-02T00:00:00"/>
    <m/>
    <m/>
    <m/>
    <m/>
    <s v="Anual"/>
    <s v="Asistencia en Viaje"/>
    <s v="Asistencia en Viaje"/>
    <x v="7"/>
    <s v="FIATC "/>
    <s v="Euros"/>
    <n v="2316.0300000000002"/>
    <n v="347.41"/>
    <n v="347.41"/>
    <n v="0"/>
    <m/>
    <n v="0"/>
    <m/>
    <n v="0"/>
    <m/>
    <n v="0"/>
    <m/>
    <n v="0"/>
  </r>
  <r>
    <s v="ARAYTOR"/>
    <s v="G58394289"/>
    <s v="92/5000685"/>
    <n v="13218"/>
    <s v="264506881"/>
    <s v="2026000961"/>
    <s v="Cartera"/>
    <s v="Correduría"/>
    <s v="Renovable"/>
    <s v="Facturado"/>
    <x v="48"/>
    <d v="2026-03-20T00:00:00"/>
    <m/>
    <m/>
    <m/>
    <m/>
    <m/>
    <s v="Anual"/>
    <s v="Póliza Patrón"/>
    <s v="Embarcaciones de Recreo"/>
    <x v="12"/>
    <s v="FIATC "/>
    <s v="Euros"/>
    <n v="311.05"/>
    <n v="46.65"/>
    <n v="46.65"/>
    <n v="0"/>
    <m/>
    <n v="0"/>
    <m/>
    <n v="0"/>
    <m/>
    <n v="0"/>
    <m/>
    <n v="0"/>
  </r>
  <r>
    <s v="ARAYTOR"/>
    <s v="37743940C"/>
    <s v="92/5003383"/>
    <n v="17011"/>
    <s v="264507075"/>
    <s v="2026000962"/>
    <s v="Cartera"/>
    <s v="Correduría"/>
    <s v="Renovable"/>
    <s v="Facturado"/>
    <x v="48"/>
    <d v="2026-03-18T00:00:00"/>
    <m/>
    <m/>
    <m/>
    <m/>
    <m/>
    <s v="Anual"/>
    <s v="R.C. General (Embarcaciones)"/>
    <s v="Embarcaciones de Recreo"/>
    <x v="12"/>
    <s v="FIATC "/>
    <s v="Euros"/>
    <n v="1133.73"/>
    <n v="170.07"/>
    <n v="170.07"/>
    <n v="0"/>
    <m/>
    <n v="0"/>
    <m/>
    <n v="0"/>
    <m/>
    <n v="0"/>
    <m/>
    <n v="0"/>
  </r>
  <r>
    <s v="ARAYTOR"/>
    <s v="B61360806"/>
    <s v="92/5067270"/>
    <n v="27971"/>
    <s v="264518898"/>
    <s v="2026000963"/>
    <s v="Cartera"/>
    <s v="Correduría"/>
    <s v="Renovable"/>
    <s v="Facturado"/>
    <x v="48"/>
    <d v="2026-03-15T00:00:00"/>
    <m/>
    <m/>
    <m/>
    <m/>
    <m/>
    <s v="Anual"/>
    <s v="0100 - Multiriesgo Embarcaciones"/>
    <s v="Embarcaciones de Recreo"/>
    <x v="12"/>
    <s v="FIATC "/>
    <s v="Euros"/>
    <n v="5342.47"/>
    <n v="801.37"/>
    <n v="801.37"/>
    <n v="0"/>
    <m/>
    <n v="0"/>
    <m/>
    <n v="0"/>
    <m/>
    <n v="0"/>
    <m/>
    <n v="0"/>
  </r>
  <r>
    <s v="ARAYTOR"/>
    <s v="B64753791"/>
    <s v="93/28176"/>
    <n v="13101"/>
    <s v="264507544"/>
    <s v="2026000964"/>
    <s v="Cartera"/>
    <s v="Correduría"/>
    <s v="Renovable"/>
    <s v="Facturado"/>
    <x v="48"/>
    <d v="2026-03-18T00:00:00"/>
    <m/>
    <m/>
    <m/>
    <m/>
    <m/>
    <s v="Anual"/>
    <s v="Transporte Terrestre de Mercancias (1)"/>
    <s v="Daños Cargador"/>
    <x v="6"/>
    <s v="FIATC "/>
    <s v="Euros"/>
    <n v="5580.64"/>
    <n v="1116.1300000000001"/>
    <n v="1116.1300000000001"/>
    <n v="0"/>
    <m/>
    <n v="0"/>
    <m/>
    <n v="0"/>
    <m/>
    <n v="0"/>
    <m/>
    <n v="0"/>
  </r>
  <r>
    <s v="ARAYTOR"/>
    <s v="B22156194"/>
    <s v="93/29772"/>
    <n v="15575"/>
    <s v="264507656"/>
    <s v="2026000965"/>
    <s v="Cartera"/>
    <s v="Correduría"/>
    <s v="Renovable"/>
    <s v="Cobrado"/>
    <x v="48"/>
    <d v="2026-03-15T00:00:00"/>
    <d v="2026-03-15T00:00:00"/>
    <m/>
    <m/>
    <m/>
    <m/>
    <s v="Semestral"/>
    <s v="Transporte Terrestre de Mercancias (1)"/>
    <s v="Daños Cargador"/>
    <x v="6"/>
    <s v="FIATC "/>
    <s v="Euros"/>
    <n v="2315.62"/>
    <n v="463.12"/>
    <n v="463.12"/>
    <n v="0"/>
    <m/>
    <n v="0"/>
    <m/>
    <n v="0"/>
    <m/>
    <n v="0"/>
    <m/>
    <n v="0"/>
  </r>
  <r>
    <s v="ARAYTOR"/>
    <s v="B44809572"/>
    <s v="93/5007419"/>
    <n v="26291"/>
    <s v="264508988"/>
    <s v="2026000966"/>
    <s v="Cartera"/>
    <s v="Correduría"/>
    <s v="Renovable"/>
    <s v="Facturado"/>
    <x v="48"/>
    <d v="2026-03-27T00:00:00"/>
    <m/>
    <m/>
    <m/>
    <m/>
    <m/>
    <s v="Anual"/>
    <s v="0150 - 6-Transportista Daños Facturación"/>
    <s v="Daños Operador"/>
    <x v="6"/>
    <s v="FIATC "/>
    <s v="Euros"/>
    <n v="1800"/>
    <n v="360"/>
    <n v="360"/>
    <n v="0"/>
    <m/>
    <n v="0"/>
    <m/>
    <n v="0"/>
    <m/>
    <n v="0"/>
    <m/>
    <n v="0"/>
  </r>
  <r>
    <s v="ARAYTOR"/>
    <s v="B62971247"/>
    <s v="40/188221"/>
    <n v="788"/>
    <s v="264343128"/>
    <s v="2026000967"/>
    <s v="Cartera"/>
    <s v="Correduría"/>
    <s v="Renovable"/>
    <s v="Facturado"/>
    <x v="48"/>
    <d v="2026-03-30T00:00:00"/>
    <m/>
    <m/>
    <m/>
    <m/>
    <m/>
    <s v="Semestral"/>
    <s v="RC Operador Transporte"/>
    <s v="RC Operador Transporte"/>
    <x v="0"/>
    <s v="FIATC "/>
    <s v="Euros"/>
    <n v="6494.52"/>
    <n v="1298.9000000000001"/>
    <n v="1298.9000000000001"/>
    <n v="0"/>
    <m/>
    <n v="0"/>
    <m/>
    <n v="0"/>
    <m/>
    <n v="0"/>
    <m/>
    <n v="0"/>
  </r>
  <r>
    <s v="ARAYTOR"/>
    <s v="H65098857"/>
    <s v="66/5013117"/>
    <n v="19014"/>
    <s v="264513110"/>
    <s v="2026000969"/>
    <s v="Cartera"/>
    <s v="Compañía"/>
    <s v="Renovable"/>
    <s v="Facturado"/>
    <x v="48"/>
    <d v="2026-03-01T00:00:00"/>
    <m/>
    <m/>
    <m/>
    <m/>
    <m/>
    <s v="Semestral"/>
    <s v="Multirriesgo Comunidad de Propietarios"/>
    <s v="Comunidad de Propietarios"/>
    <x v="3"/>
    <s v="FIATC "/>
    <s v="Euros"/>
    <n v="523.36"/>
    <n v="130.86000000000001"/>
    <n v="130.86000000000001"/>
    <n v="0"/>
    <m/>
    <n v="0"/>
    <m/>
    <n v="0"/>
    <m/>
    <n v="0"/>
    <m/>
    <n v="0"/>
  </r>
  <r>
    <s v="ARAYTOR"/>
    <s v="B40173676"/>
    <s v="20/6815043"/>
    <n v="21058"/>
    <s v="264487548"/>
    <s v="2026000970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45"/>
    <n v="21106"/>
    <s v="264487549"/>
    <s v="2026000971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338.23"/>
    <n v="27.06"/>
    <n v="27.06"/>
    <n v="0"/>
    <m/>
    <n v="0"/>
    <m/>
    <n v="0"/>
    <m/>
    <n v="0"/>
    <m/>
    <n v="0"/>
  </r>
  <r>
    <s v="ARAYTOR"/>
    <s v="B40173676"/>
    <s v="20/6815047"/>
    <n v="21107"/>
    <s v="264487550"/>
    <s v="2026000972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338.23"/>
    <n v="27.06"/>
    <n v="27.06"/>
    <n v="0"/>
    <m/>
    <n v="0"/>
    <m/>
    <n v="0"/>
    <m/>
    <n v="0"/>
    <m/>
    <n v="0"/>
  </r>
  <r>
    <s v="ARAYTOR"/>
    <s v="B47428099"/>
    <s v="20/6815052"/>
    <n v="21053"/>
    <s v="264487551"/>
    <s v="2026000973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659.01"/>
    <n v="52.73"/>
    <n v="52.73"/>
    <n v="0"/>
    <m/>
    <n v="0"/>
    <m/>
    <n v="0"/>
    <m/>
    <n v="0"/>
    <m/>
    <n v="0"/>
  </r>
  <r>
    <s v="ARAYTOR"/>
    <s v="B40173676"/>
    <s v="20/6815053"/>
    <n v="21057"/>
    <s v="264487552"/>
    <s v="2026000974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56"/>
    <n v="21066"/>
    <s v="264487553"/>
    <s v="2026000975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1"/>
    <n v="21077"/>
    <s v="264487554"/>
    <s v="2026000976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3"/>
    <n v="21059"/>
    <s v="264487555"/>
    <s v="2026000977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4"/>
    <n v="21079"/>
    <s v="264487556"/>
    <s v="2026000978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5"/>
    <n v="21080"/>
    <s v="264487557"/>
    <s v="2026000979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6"/>
    <n v="21061"/>
    <s v="264487558"/>
    <s v="2026000980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7"/>
    <n v="21086"/>
    <s v="264487559"/>
    <s v="2026000981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68"/>
    <n v="21085"/>
    <s v="264487560"/>
    <s v="2026000982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0"/>
    <n v="21083"/>
    <s v="264487561"/>
    <s v="2026000983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1"/>
    <n v="21082"/>
    <s v="264487562"/>
    <s v="2026000984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2"/>
    <n v="21081"/>
    <s v="264487563"/>
    <s v="2026000985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3"/>
    <n v="21062"/>
    <s v="264487564"/>
    <s v="2026000986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4"/>
    <n v="21063"/>
    <s v="264487565"/>
    <s v="2026000987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6"/>
    <n v="21073"/>
    <s v="264487566"/>
    <s v="2026000988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8"/>
    <n v="21072"/>
    <s v="264487567"/>
    <s v="2026000989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79"/>
    <n v="21076"/>
    <s v="264487568"/>
    <s v="2026000990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80"/>
    <n v="21075"/>
    <s v="264487569"/>
    <s v="2026000991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15081"/>
    <n v="21074"/>
    <s v="264487570"/>
    <s v="2026000992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7428099"/>
    <s v="20/6815082"/>
    <n v="21039"/>
    <s v="264487571"/>
    <s v="2026000993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84"/>
    <n v="21045"/>
    <s v="264487572"/>
    <s v="2026000994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85"/>
    <n v="21043"/>
    <s v="264487573"/>
    <s v="2026000995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86"/>
    <n v="21010"/>
    <s v="264487574"/>
    <s v="2026000996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87"/>
    <n v="21046"/>
    <s v="264487575"/>
    <s v="2026000997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88"/>
    <n v="21050"/>
    <s v="264487576"/>
    <s v="2026000998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89"/>
    <n v="21049"/>
    <s v="264487577"/>
    <s v="2026000999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0"/>
    <n v="21051"/>
    <s v="264487578"/>
    <s v="2026001000"/>
    <s v="Cartera"/>
    <s v="Correduría"/>
    <s v="Renovable"/>
    <s v="Cobrado"/>
    <x v="48"/>
    <d v="2026-03-01T00:00:00"/>
    <d v="2026-03-01T00:00:00"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1"/>
    <n v="21037"/>
    <s v="264487579"/>
    <s v="2026001001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2"/>
    <n v="21042"/>
    <s v="264487580"/>
    <s v="2026001002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3"/>
    <n v="21041"/>
    <s v="264487581"/>
    <s v="2026001003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4"/>
    <n v="21040"/>
    <s v="264487582"/>
    <s v="2026001004"/>
    <s v="Cartera"/>
    <s v="Correduría"/>
    <s v="Renovable"/>
    <s v="Cobrado"/>
    <x v="48"/>
    <d v="2026-03-01T00:00:00"/>
    <d v="2026-03-01T00:00:00"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5"/>
    <n v="21048"/>
    <s v="264487583"/>
    <s v="2026001005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6"/>
    <n v="21047"/>
    <s v="264487584"/>
    <s v="2026001006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097"/>
    <n v="21052"/>
    <s v="264487585"/>
    <s v="2026001007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15100"/>
    <n v="21044"/>
    <s v="264487586"/>
    <s v="2026001008"/>
    <s v="Cartera"/>
    <s v="Correduría"/>
    <s v="Renovable"/>
    <s v="Facturado"/>
    <x v="48"/>
    <d v="2026-03-01T00:00:00"/>
    <m/>
    <m/>
    <m/>
    <m/>
    <m/>
    <s v="Trimestral"/>
    <s v="Camion Rigido"/>
    <s v="Camión Rígido"/>
    <x v="14"/>
    <s v="FIATC "/>
    <s v="Euros"/>
    <n v="503.5"/>
    <n v="40.29"/>
    <n v="40.29"/>
    <n v="0"/>
    <m/>
    <n v="0"/>
    <m/>
    <n v="0"/>
    <m/>
    <n v="0"/>
    <m/>
    <n v="0"/>
  </r>
  <r>
    <s v="ARAYTOR"/>
    <s v="B40173676"/>
    <s v="20/6815106"/>
    <n v="21099"/>
    <s v="264487587"/>
    <s v="2026001009"/>
    <s v="Cartera"/>
    <s v="Correduría"/>
    <s v="Renovable"/>
    <s v="Facturado"/>
    <x v="48"/>
    <d v="2026-03-01T00:00:00"/>
    <m/>
    <m/>
    <m/>
    <m/>
    <m/>
    <s v="Trimestral"/>
    <s v="Tractora"/>
    <s v="Tractora"/>
    <x v="14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815108"/>
    <n v="21105"/>
    <s v="264487588"/>
    <s v="2026001010"/>
    <s v="Cartera"/>
    <s v="Correduría"/>
    <s v="Renovable"/>
    <s v="Facturado"/>
    <x v="48"/>
    <d v="2026-03-01T00:00:00"/>
    <m/>
    <m/>
    <m/>
    <m/>
    <m/>
    <s v="Trimestral"/>
    <s v="Tractora"/>
    <s v="Tractora"/>
    <x v="14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815109"/>
    <n v="21104"/>
    <s v="264487589"/>
    <s v="2026001011"/>
    <s v="Cartera"/>
    <s v="Correduría"/>
    <s v="Renovable"/>
    <s v="Facturado"/>
    <x v="48"/>
    <d v="2026-03-01T00:00:00"/>
    <m/>
    <m/>
    <m/>
    <m/>
    <m/>
    <s v="Trimestral"/>
    <s v="Tractora"/>
    <s v="Tractora"/>
    <x v="14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815111"/>
    <n v="21101"/>
    <s v="264487590"/>
    <s v="2026001012"/>
    <s v="Cartera"/>
    <s v="Correduría"/>
    <s v="Renovable"/>
    <s v="Facturado"/>
    <x v="48"/>
    <d v="2026-03-01T00:00:00"/>
    <m/>
    <m/>
    <m/>
    <m/>
    <m/>
    <s v="Trimestral"/>
    <s v="Tractora"/>
    <s v="Tractora"/>
    <x v="14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815120"/>
    <n v="21096"/>
    <s v="264487591"/>
    <s v="2026001013"/>
    <s v="Cartera"/>
    <s v="Correduría"/>
    <s v="Renovable"/>
    <s v="Facturado"/>
    <x v="48"/>
    <d v="2026-03-01T00:00:00"/>
    <m/>
    <m/>
    <m/>
    <m/>
    <m/>
    <s v="Trimestral"/>
    <s v="Tractora"/>
    <s v="Tractora"/>
    <x v="14"/>
    <s v="FIATC "/>
    <s v="Euros"/>
    <n v="369.35"/>
    <n v="29.55"/>
    <n v="29.55"/>
    <n v="0"/>
    <m/>
    <n v="0"/>
    <m/>
    <n v="0"/>
    <m/>
    <n v="0"/>
    <m/>
    <n v="0"/>
  </r>
  <r>
    <s v="ARAYTOR"/>
    <s v="B47428099"/>
    <s v="20/6815139"/>
    <n v="21008"/>
    <s v="264487592"/>
    <s v="2026001014"/>
    <s v="Cartera"/>
    <s v="Correduría"/>
    <s v="Renovable"/>
    <s v="Facturado"/>
    <x v="48"/>
    <d v="2026-03-01T00:00:00"/>
    <m/>
    <m/>
    <m/>
    <m/>
    <m/>
    <s v="Trimestral"/>
    <s v="Furgonetas"/>
    <s v="Furgonetas"/>
    <x v="1"/>
    <s v="FIATC "/>
    <s v="Euros"/>
    <n v="407.4"/>
    <n v="32.6"/>
    <n v="32.6"/>
    <n v="0"/>
    <m/>
    <n v="0"/>
    <m/>
    <n v="0"/>
    <m/>
    <n v="0"/>
    <m/>
    <n v="0"/>
  </r>
  <r>
    <s v="ARAYTOR"/>
    <s v="B47428099"/>
    <s v="20/6815147"/>
    <n v="21025"/>
    <s v="264487593"/>
    <s v="2026001015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48"/>
    <n v="21031"/>
    <s v="264487594"/>
    <s v="2026001016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49"/>
    <n v="21030"/>
    <s v="264487595"/>
    <s v="2026001017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0"/>
    <n v="21032"/>
    <s v="264487596"/>
    <s v="2026001018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1"/>
    <n v="21033"/>
    <s v="264487597"/>
    <s v="2026001019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3"/>
    <n v="21022"/>
    <s v="264487598"/>
    <s v="2026001020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4"/>
    <n v="21019"/>
    <s v="264487599"/>
    <s v="2026001021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5"/>
    <n v="21024"/>
    <s v="264487600"/>
    <s v="2026001022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6"/>
    <n v="21021"/>
    <s v="264487601"/>
    <s v="2026001023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7"/>
    <n v="21020"/>
    <s v="264487602"/>
    <s v="2026001024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8"/>
    <n v="21029"/>
    <s v="264487603"/>
    <s v="2026001025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59"/>
    <n v="21026"/>
    <s v="264487604"/>
    <s v="2026001026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60"/>
    <n v="21028"/>
    <s v="264487605"/>
    <s v="2026001027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62"/>
    <n v="21027"/>
    <s v="264487606"/>
    <s v="2026001028"/>
    <s v="Cartera"/>
    <s v="Correduría"/>
    <s v="Renovable"/>
    <s v="Facturado"/>
    <x v="48"/>
    <d v="2026-03-01T00:00:00"/>
    <m/>
    <m/>
    <m/>
    <m/>
    <m/>
    <s v="Trimestral"/>
    <s v="Vehiculos Industriales"/>
    <s v="Vehiculos Industrial"/>
    <x v="14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15168"/>
    <n v="21034"/>
    <s v="264487607"/>
    <s v="2026001029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130.91"/>
    <n v="10.47"/>
    <n v="10.47"/>
    <n v="0"/>
    <m/>
    <n v="0"/>
    <m/>
    <n v="0"/>
    <m/>
    <n v="0"/>
    <m/>
    <n v="0"/>
  </r>
  <r>
    <s v="ARAYTOR"/>
    <s v="B47428099"/>
    <s v="20/6815171"/>
    <n v="21035"/>
    <s v="264487608"/>
    <s v="2026001030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130.91"/>
    <n v="10.47"/>
    <n v="10.47"/>
    <n v="0"/>
    <m/>
    <n v="0"/>
    <m/>
    <n v="0"/>
    <m/>
    <n v="0"/>
    <m/>
    <n v="0"/>
  </r>
  <r>
    <s v="ARAYTOR"/>
    <s v="B47428099"/>
    <s v="20/6815177"/>
    <n v="21036"/>
    <s v="264487609"/>
    <s v="2026001031"/>
    <s v="Cartera"/>
    <s v="Correduría"/>
    <s v="Renovable"/>
    <s v="Facturado"/>
    <x v="48"/>
    <d v="2026-03-01T00:00:00"/>
    <m/>
    <m/>
    <m/>
    <m/>
    <m/>
    <s v="Trimestral"/>
    <s v="Tractora"/>
    <s v="Tractora"/>
    <x v="14"/>
    <s v="FIATC "/>
    <s v="Euros"/>
    <n v="556.23"/>
    <n v="44.51"/>
    <n v="44.51"/>
    <n v="0"/>
    <m/>
    <n v="0"/>
    <m/>
    <n v="0"/>
    <m/>
    <n v="0"/>
    <m/>
    <n v="0"/>
  </r>
  <r>
    <s v="ARAYTOR"/>
    <s v="B47428099"/>
    <s v="20/6815180"/>
    <n v="21016"/>
    <s v="264487610"/>
    <s v="2026001032"/>
    <s v="Cartera"/>
    <s v="Correduría"/>
    <s v="Renovable"/>
    <s v="Facturado"/>
    <x v="48"/>
    <d v="2026-03-01T00:00:00"/>
    <m/>
    <m/>
    <m/>
    <m/>
    <m/>
    <s v="Trimestral"/>
    <s v="Maxi"/>
    <s v="Turismo"/>
    <x v="1"/>
    <s v="FIATC "/>
    <s v="Euros"/>
    <n v="86.42"/>
    <n v="6.92"/>
    <n v="6.92"/>
    <n v="0"/>
    <m/>
    <n v="0"/>
    <m/>
    <n v="0"/>
    <m/>
    <n v="0"/>
    <m/>
    <n v="0"/>
  </r>
  <r>
    <s v="ARAYTOR"/>
    <s v="B47428099"/>
    <s v="20/6815181"/>
    <n v="21013"/>
    <s v="264487611"/>
    <s v="2026001033"/>
    <s v="Cartera"/>
    <s v="Correduría"/>
    <s v="Renovable"/>
    <s v="Facturado"/>
    <x v="48"/>
    <d v="2026-03-01T00:00:00"/>
    <m/>
    <m/>
    <m/>
    <m/>
    <m/>
    <s v="Trimestral"/>
    <s v="Maxi"/>
    <s v="Turismo"/>
    <x v="1"/>
    <s v="FIATC "/>
    <s v="Euros"/>
    <n v="86.42"/>
    <n v="6.92"/>
    <n v="6.92"/>
    <n v="0"/>
    <m/>
    <n v="0"/>
    <m/>
    <n v="0"/>
    <m/>
    <n v="0"/>
    <m/>
    <n v="0"/>
  </r>
  <r>
    <s v="ARAYTOR"/>
    <s v="B47428099"/>
    <s v="20/6815186"/>
    <n v="21011"/>
    <s v="264487612"/>
    <s v="2026001034"/>
    <s v="Cartera"/>
    <s v="Correduría"/>
    <s v="Renovable"/>
    <s v="Facturado"/>
    <x v="48"/>
    <d v="2026-03-01T00:00:00"/>
    <m/>
    <m/>
    <m/>
    <m/>
    <m/>
    <s v="Trimestral"/>
    <s v="Maxi"/>
    <s v="Turismo"/>
    <x v="1"/>
    <s v="FIATC "/>
    <s v="Euros"/>
    <n v="151.62"/>
    <n v="12.14"/>
    <n v="12.14"/>
    <n v="0"/>
    <m/>
    <n v="0"/>
    <m/>
    <n v="0"/>
    <m/>
    <n v="0"/>
    <m/>
    <n v="0"/>
  </r>
  <r>
    <s v="ARAYTOR"/>
    <s v="B47428099"/>
    <s v="20/6815187"/>
    <n v="21012"/>
    <s v="264487613"/>
    <s v="2026001035"/>
    <s v="Cartera"/>
    <s v="Correduría"/>
    <s v="Renovable"/>
    <s v="Facturado"/>
    <x v="48"/>
    <d v="2026-03-01T00:00:00"/>
    <m/>
    <m/>
    <m/>
    <m/>
    <m/>
    <s v="Trimestral"/>
    <s v="Maxi"/>
    <s v="Turismo"/>
    <x v="1"/>
    <s v="FIATC "/>
    <s v="Euros"/>
    <n v="151.62"/>
    <n v="12.14"/>
    <n v="12.14"/>
    <n v="0"/>
    <m/>
    <n v="0"/>
    <m/>
    <n v="0"/>
    <m/>
    <n v="0"/>
    <m/>
    <n v="0"/>
  </r>
  <r>
    <s v="ARAYTOR"/>
    <s v="09263323G"/>
    <s v="20/6815188"/>
    <n v="21014"/>
    <s v="264487614"/>
    <s v="2026001036"/>
    <s v="Cartera"/>
    <s v="Correduría"/>
    <s v="Renovable"/>
    <s v="Cobrado"/>
    <x v="48"/>
    <d v="2026-03-01T00:00:00"/>
    <d v="2026-03-02T00:00:00"/>
    <m/>
    <m/>
    <m/>
    <m/>
    <s v="Trimestral"/>
    <s v="Maxi"/>
    <s v="Turismo"/>
    <x v="1"/>
    <s v="FIATC "/>
    <s v="Euros"/>
    <n v="114.34"/>
    <n v="9.16"/>
    <n v="9.16"/>
    <n v="0"/>
    <m/>
    <n v="0"/>
    <m/>
    <n v="0"/>
    <m/>
    <n v="0"/>
    <m/>
    <n v="0"/>
  </r>
  <r>
    <s v="ARAYTOR"/>
    <s v="B40173676"/>
    <s v="20/6817533"/>
    <n v="21216"/>
    <s v="264487617"/>
    <s v="2026001037"/>
    <s v="Cartera"/>
    <s v="Correduría"/>
    <s v="Renovable"/>
    <s v="Facturado"/>
    <x v="48"/>
    <d v="2026-03-01T00:00:00"/>
    <m/>
    <m/>
    <m/>
    <m/>
    <m/>
    <s v="Trimestral"/>
    <s v="Semiremolques"/>
    <s v="Semi-Remolque"/>
    <x v="14"/>
    <s v="FIATC "/>
    <s v="Euros"/>
    <n v="93.38"/>
    <n v="7.47"/>
    <n v="7.47"/>
    <n v="0"/>
    <m/>
    <n v="0"/>
    <m/>
    <n v="0"/>
    <m/>
    <n v="0"/>
    <m/>
    <n v="0"/>
  </r>
  <r>
    <s v="ARAYTOR"/>
    <s v="B47428099"/>
    <s v="20/6831793"/>
    <n v="22564"/>
    <s v="264487632"/>
    <s v="2026001038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4.32"/>
    <n v="7.56"/>
    <n v="7.56"/>
    <n v="0"/>
    <m/>
    <n v="0"/>
    <m/>
    <n v="0"/>
    <m/>
    <n v="0"/>
    <m/>
    <n v="0"/>
  </r>
  <r>
    <s v="ARAYTOR"/>
    <s v="B40173676"/>
    <s v="20/6835820"/>
    <n v="22524"/>
    <s v="264487637"/>
    <s v="2026001039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852743"/>
    <n v="22657"/>
    <s v="264487768"/>
    <s v="2026001040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6856997"/>
    <n v="22730"/>
    <s v="264487849"/>
    <s v="2026001041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7428099"/>
    <s v="20/6862987"/>
    <n v="22798"/>
    <s v="264487930"/>
    <s v="2026001042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56.23"/>
    <n v="44.51"/>
    <n v="44.51"/>
    <n v="0"/>
    <m/>
    <n v="0"/>
    <m/>
    <n v="0"/>
    <m/>
    <n v="0"/>
    <m/>
    <n v="0"/>
  </r>
  <r>
    <s v="ARAYTOR"/>
    <s v="B40173676"/>
    <s v="20/6864510"/>
    <n v="22812"/>
    <s v="264487977"/>
    <s v="2026001043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7428099"/>
    <s v="20/6872507"/>
    <n v="22856"/>
    <s v="264488013"/>
    <s v="2026001044"/>
    <s v="Cartera"/>
    <s v="Correduría"/>
    <s v="Renovable"/>
    <s v="Cobrado"/>
    <x v="48"/>
    <d v="2026-03-01T00:00:00"/>
    <d v="2026-03-01T00:00:00"/>
    <m/>
    <m/>
    <m/>
    <m/>
    <s v="Trimestral"/>
    <s v="M - MAXI-AUTO"/>
    <s v="Vehiculos"/>
    <x v="1"/>
    <s v="FIATC "/>
    <s v="Euros"/>
    <n v="556.23"/>
    <n v="44.51"/>
    <n v="44.51"/>
    <n v="0"/>
    <m/>
    <n v="0"/>
    <m/>
    <n v="0"/>
    <m/>
    <n v="0"/>
    <m/>
    <n v="0"/>
  </r>
  <r>
    <s v="ARAYTOR"/>
    <s v="B47428099"/>
    <s v="20/6872512"/>
    <n v="22857"/>
    <s v="264488014"/>
    <s v="2026001045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872583"/>
    <n v="22863"/>
    <s v="264488015"/>
    <s v="2026001046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03.5"/>
    <n v="40.29"/>
    <n v="40.29"/>
    <n v="0"/>
    <m/>
    <n v="0"/>
    <m/>
    <n v="0"/>
    <m/>
    <n v="0"/>
    <m/>
    <n v="0"/>
  </r>
  <r>
    <s v="ARAYTOR"/>
    <s v="B40173676"/>
    <s v="20/6875329"/>
    <n v="22896"/>
    <s v="264488029"/>
    <s v="2026001047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7428099"/>
    <s v="20/6880841"/>
    <n v="22958"/>
    <s v="264488057"/>
    <s v="2026001048"/>
    <s v="Cartera"/>
    <s v="Correduría"/>
    <s v="Renovable"/>
    <s v="Facturado"/>
    <x v="48"/>
    <d v="2026-03-01T00:00:00"/>
    <m/>
    <m/>
    <m/>
    <m/>
    <m/>
    <s v="Trimestral"/>
    <s v="N - 20 Normal"/>
    <s v="Vehiculos"/>
    <x v="1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80847"/>
    <n v="22959"/>
    <s v="264488058"/>
    <s v="2026001049"/>
    <s v="Cartera"/>
    <s v="Correduría"/>
    <s v="Renovable"/>
    <s v="Facturado"/>
    <x v="48"/>
    <d v="2026-03-01T00:00:00"/>
    <m/>
    <m/>
    <m/>
    <m/>
    <m/>
    <s v="Trimestral"/>
    <s v="N - 20 Normal"/>
    <s v="Vehiculos"/>
    <x v="1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80848"/>
    <n v="22960"/>
    <s v="264488059"/>
    <s v="2026001050"/>
    <s v="Cartera"/>
    <s v="Correduría"/>
    <s v="Renovable"/>
    <s v="Facturado"/>
    <x v="48"/>
    <d v="2026-03-01T00:00:00"/>
    <m/>
    <m/>
    <m/>
    <m/>
    <m/>
    <s v="Trimestral"/>
    <s v="N - 20 Normal"/>
    <s v="Vehiculos"/>
    <x v="1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80849"/>
    <n v="22961"/>
    <s v="264488060"/>
    <s v="2026001051"/>
    <s v="Cartera"/>
    <s v="Correduría"/>
    <s v="Renovable"/>
    <s v="Facturado"/>
    <x v="48"/>
    <d v="2026-03-01T00:00:00"/>
    <m/>
    <m/>
    <m/>
    <m/>
    <m/>
    <s v="Trimestral"/>
    <s v="N - 20 Normal"/>
    <s v="Vehiculos"/>
    <x v="1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80850"/>
    <n v="22962"/>
    <s v="264488061"/>
    <s v="2026001052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18.36"/>
    <n v="1.47"/>
    <n v="1.47"/>
    <n v="0"/>
    <m/>
    <n v="0"/>
    <m/>
    <n v="0"/>
    <m/>
    <n v="0"/>
    <m/>
    <n v="0"/>
  </r>
  <r>
    <s v="ARAYTOR"/>
    <s v="B47428099"/>
    <s v="20/6892521"/>
    <n v="23051"/>
    <s v="264488155"/>
    <s v="2026001053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151.62"/>
    <n v="12.14"/>
    <n v="12.14"/>
    <n v="0"/>
    <m/>
    <n v="0"/>
    <m/>
    <n v="0"/>
    <m/>
    <n v="0"/>
    <m/>
    <n v="0"/>
  </r>
  <r>
    <s v="ARAYTOR"/>
    <s v="B47428099"/>
    <s v="20/6905609"/>
    <n v="23156"/>
    <s v="264488192"/>
    <s v="2026001054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905656"/>
    <n v="23157"/>
    <s v="264488193"/>
    <s v="2026001055"/>
    <s v="Cartera"/>
    <s v="Correduría"/>
    <s v="Renovable"/>
    <s v="Facturado"/>
    <x v="48"/>
    <d v="2026-03-01T00:00:00"/>
    <m/>
    <m/>
    <m/>
    <m/>
    <m/>
    <s v="Trimestral"/>
    <s v="N - 20 Normal"/>
    <s v="Vehiculos"/>
    <x v="1"/>
    <s v="FIATC "/>
    <s v="Euros"/>
    <n v="407.4"/>
    <n v="32.6"/>
    <n v="32.6"/>
    <n v="0"/>
    <m/>
    <n v="0"/>
    <m/>
    <n v="0"/>
    <m/>
    <n v="0"/>
    <m/>
    <n v="0"/>
  </r>
  <r>
    <s v="ARAYTOR"/>
    <s v="B40173676"/>
    <s v="20/6917985"/>
    <n v="23190"/>
    <s v="264488323"/>
    <s v="2026001056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23"/>
    <n v="27.06"/>
    <n v="27.06"/>
    <n v="0"/>
    <m/>
    <n v="0"/>
    <m/>
    <n v="0"/>
    <m/>
    <n v="0"/>
    <m/>
    <n v="0"/>
  </r>
  <r>
    <s v="ARAYTOR"/>
    <s v="B40173676"/>
    <s v="20/6925445"/>
    <n v="23228"/>
    <s v="264488362"/>
    <s v="2026001057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23"/>
    <n v="27.06"/>
    <n v="27.06"/>
    <n v="0"/>
    <m/>
    <n v="0"/>
    <m/>
    <n v="0"/>
    <m/>
    <n v="0"/>
    <m/>
    <n v="0"/>
  </r>
  <r>
    <s v="ARAYTOR"/>
    <s v="B47428099"/>
    <s v="20/6926276"/>
    <n v="23247"/>
    <s v="264488371"/>
    <s v="2026001058"/>
    <s v="Cartera"/>
    <s v="Correduría"/>
    <s v="Renovable"/>
    <s v="Facturado"/>
    <x v="48"/>
    <d v="2026-03-01T00:00:00"/>
    <m/>
    <m/>
    <m/>
    <m/>
    <m/>
    <s v="Trimestral"/>
    <s v="N - 20 Normal"/>
    <s v="Vehiculos"/>
    <x v="1"/>
    <s v="FIATC "/>
    <s v="Euros"/>
    <n v="18.36"/>
    <n v="1.47"/>
    <n v="1.47"/>
    <n v="0"/>
    <m/>
    <n v="0"/>
    <m/>
    <n v="0"/>
    <m/>
    <n v="0"/>
    <m/>
    <n v="0"/>
  </r>
  <r>
    <s v="ARAYTOR"/>
    <s v="B40173676"/>
    <s v="20/6926568"/>
    <n v="23254"/>
    <s v="264488372"/>
    <s v="2026001059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930439"/>
    <n v="23271"/>
    <s v="264488474"/>
    <s v="2026001060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931686"/>
    <n v="23285"/>
    <s v="264488591"/>
    <s v="2026001061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942900"/>
    <n v="23347"/>
    <s v="264488924"/>
    <s v="2026001062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B40173676"/>
    <s v="20/6954664"/>
    <n v="23439"/>
    <s v="264488963"/>
    <s v="2026001063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35"/>
    <n v="29.55"/>
    <n v="29.55"/>
    <n v="0"/>
    <m/>
    <n v="0"/>
    <m/>
    <n v="0"/>
    <m/>
    <n v="0"/>
    <m/>
    <n v="0"/>
  </r>
  <r>
    <s v="ARAYTOR"/>
    <s v="B47428099"/>
    <s v="20/6963558"/>
    <n v="23564"/>
    <s v="264488994"/>
    <s v="2026001064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03.5"/>
    <n v="40.29"/>
    <n v="40.29"/>
    <n v="0"/>
    <m/>
    <n v="0"/>
    <m/>
    <n v="0"/>
    <m/>
    <n v="0"/>
    <m/>
    <n v="0"/>
  </r>
  <r>
    <s v="ARAYTOR"/>
    <s v="B47428099"/>
    <s v="20/6996807"/>
    <n v="23990"/>
    <s v="264489223"/>
    <s v="2026001065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56.23"/>
    <n v="44.51"/>
    <n v="44.51"/>
    <n v="0"/>
    <m/>
    <n v="0"/>
    <m/>
    <n v="0"/>
    <m/>
    <n v="0"/>
    <m/>
    <n v="0"/>
  </r>
  <r>
    <s v="ARAYTOR"/>
    <s v="B47428099"/>
    <s v="20/6996808"/>
    <n v="23991"/>
    <s v="264489224"/>
    <s v="2026001066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56.23"/>
    <n v="44.51"/>
    <n v="44.51"/>
    <n v="0"/>
    <m/>
    <n v="0"/>
    <m/>
    <n v="0"/>
    <m/>
    <n v="0"/>
    <m/>
    <n v="0"/>
  </r>
  <r>
    <s v="ARAYTOR"/>
    <s v="B47428099"/>
    <s v="20/7038127"/>
    <n v="25027"/>
    <s v="264489858"/>
    <s v="2026001067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4.32"/>
    <n v="7.56"/>
    <n v="7.56"/>
    <n v="0"/>
    <m/>
    <n v="0"/>
    <m/>
    <n v="0"/>
    <m/>
    <n v="0"/>
    <m/>
    <n v="0"/>
  </r>
  <r>
    <s v="ARAYTOR"/>
    <s v="B47428099"/>
    <s v="20/7095065"/>
    <n v="25663"/>
    <s v="264490038"/>
    <s v="2026001068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03.5"/>
    <n v="40.29"/>
    <n v="40.29"/>
    <n v="0"/>
    <m/>
    <n v="0"/>
    <m/>
    <n v="0"/>
    <m/>
    <n v="0"/>
    <m/>
    <n v="0"/>
  </r>
  <r>
    <s v="ARAYTOR"/>
    <s v="B40173676"/>
    <s v="20/7130478"/>
    <n v="25981"/>
    <s v="264490451"/>
    <s v="2026001069"/>
    <s v="Cartera"/>
    <s v="Correduría"/>
    <s v="Renovable"/>
    <s v="Facturado"/>
    <x v="48"/>
    <d v="2026-03-01T00:00:00"/>
    <m/>
    <m/>
    <m/>
    <m/>
    <m/>
    <s v="Anu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7130481"/>
    <n v="25982"/>
    <s v="264490452"/>
    <s v="2026001070"/>
    <s v="Cartera"/>
    <s v="Correduría"/>
    <s v="Renovable"/>
    <s v="Facturado"/>
    <x v="48"/>
    <d v="2026-03-01T00:00:00"/>
    <m/>
    <m/>
    <m/>
    <m/>
    <m/>
    <s v="Anu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7138426"/>
    <n v="26078"/>
    <s v="264490544"/>
    <s v="2026001071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23"/>
    <n v="27.06"/>
    <n v="27.06"/>
    <n v="0"/>
    <m/>
    <n v="0"/>
    <m/>
    <n v="0"/>
    <m/>
    <n v="0"/>
    <m/>
    <n v="0"/>
  </r>
  <r>
    <s v="ARAYTOR"/>
    <s v="B40173676"/>
    <s v="20/7152591"/>
    <n v="26264"/>
    <s v="264491115"/>
    <s v="2026001072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23"/>
    <n v="27.06"/>
    <n v="27.06"/>
    <n v="0"/>
    <m/>
    <n v="0"/>
    <m/>
    <n v="0"/>
    <m/>
    <n v="0"/>
    <m/>
    <n v="0"/>
  </r>
  <r>
    <s v="ARAYTOR"/>
    <s v="B47428099"/>
    <s v="20/7160653"/>
    <n v="26410"/>
    <s v="264491297"/>
    <s v="2026001073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130.91"/>
    <n v="10.47"/>
    <n v="10.47"/>
    <n v="0"/>
    <m/>
    <n v="0"/>
    <m/>
    <n v="0"/>
    <m/>
    <n v="0"/>
    <m/>
    <n v="0"/>
  </r>
  <r>
    <s v="ARAYTOR"/>
    <s v="B47428099"/>
    <s v="20/7199885"/>
    <n v="27120"/>
    <s v="264491666"/>
    <s v="2026001074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130.91"/>
    <n v="10.47"/>
    <n v="10.47"/>
    <n v="0"/>
    <m/>
    <n v="0"/>
    <m/>
    <n v="0"/>
    <m/>
    <n v="0"/>
    <m/>
    <n v="0"/>
  </r>
  <r>
    <s v="ARAYTOR"/>
    <s v="B47428099"/>
    <s v="20/7241189"/>
    <n v="27635"/>
    <s v="264493222"/>
    <s v="2026001075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128.72"/>
    <n v="10.31"/>
    <n v="10.31"/>
    <n v="0"/>
    <m/>
    <n v="0"/>
    <m/>
    <n v="0"/>
    <m/>
    <n v="0"/>
    <m/>
    <n v="0"/>
  </r>
  <r>
    <s v="ARAYTOR"/>
    <s v="B40173676"/>
    <s v="20/7242348"/>
    <n v="27735"/>
    <s v="264493251"/>
    <s v="2026001076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23"/>
    <n v="27.06"/>
    <n v="27.06"/>
    <n v="0"/>
    <m/>
    <n v="0"/>
    <m/>
    <n v="0"/>
    <m/>
    <n v="0"/>
    <m/>
    <n v="0"/>
  </r>
  <r>
    <s v="ARAYTOR"/>
    <s v="B40173676"/>
    <s v="20/7242352"/>
    <n v="27736"/>
    <s v="264493253"/>
    <s v="2026001077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23"/>
    <n v="27.06"/>
    <n v="27.06"/>
    <n v="0"/>
    <m/>
    <n v="0"/>
    <m/>
    <n v="0"/>
    <m/>
    <n v="0"/>
    <m/>
    <n v="0"/>
  </r>
  <r>
    <s v="ARAYTOR"/>
    <s v="B40173676"/>
    <s v="20/7255061"/>
    <n v="27965"/>
    <s v="264493900"/>
    <s v="2026001078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62"/>
    <n v="26.74"/>
    <n v="26.74"/>
    <n v="0"/>
    <m/>
    <n v="0"/>
    <m/>
    <n v="0"/>
    <m/>
    <n v="0"/>
    <m/>
    <n v="0"/>
  </r>
  <r>
    <s v="ARAYTOR"/>
    <s v="B40173676"/>
    <s v="20/7255062"/>
    <n v="27966"/>
    <s v="264493901"/>
    <s v="2026001079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38.62"/>
    <n v="27.09"/>
    <n v="27.09"/>
    <n v="0"/>
    <m/>
    <n v="0"/>
    <m/>
    <n v="0"/>
    <m/>
    <n v="0"/>
    <m/>
    <n v="0"/>
  </r>
  <r>
    <s v="ARAYTOR"/>
    <s v="B47428099"/>
    <s v="20/7300721"/>
    <n v="28467"/>
    <s v="264495187"/>
    <s v="2026001080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560.66999999999996"/>
    <n v="44.87"/>
    <n v="44.87"/>
    <n v="0"/>
    <m/>
    <n v="0"/>
    <m/>
    <n v="0"/>
    <m/>
    <n v="0"/>
    <m/>
    <n v="0"/>
  </r>
  <r>
    <s v="ARAYTOR"/>
    <s v="B40173676"/>
    <s v="20/7301082"/>
    <n v="28474"/>
    <s v="264495203"/>
    <s v="2026001081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1005.49"/>
    <n v="80.44"/>
    <n v="80.44"/>
    <n v="0"/>
    <m/>
    <n v="0"/>
    <m/>
    <n v="0"/>
    <m/>
    <n v="0"/>
    <m/>
    <n v="0"/>
  </r>
  <r>
    <s v="ARAYTOR"/>
    <s v="B40173676"/>
    <s v="20/7305827"/>
    <n v="28548"/>
    <s v="264495375"/>
    <s v="2026001082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7326287"/>
    <n v="29082"/>
    <s v="264496159"/>
    <s v="2026001083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42"/>
    <n v="29.56"/>
    <n v="29.56"/>
    <n v="0"/>
    <m/>
    <n v="0"/>
    <m/>
    <n v="0"/>
    <m/>
    <n v="0"/>
    <m/>
    <n v="0"/>
  </r>
  <r>
    <s v="ARAYTOR"/>
    <s v="B40173676"/>
    <s v="20/7326288"/>
    <n v="29083"/>
    <s v="264496160"/>
    <s v="2026001084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42"/>
    <n v="29.56"/>
    <n v="29.56"/>
    <n v="0"/>
    <m/>
    <n v="0"/>
    <m/>
    <n v="0"/>
    <m/>
    <n v="0"/>
    <m/>
    <n v="0"/>
  </r>
  <r>
    <s v="ARAYTOR"/>
    <s v="B40173676"/>
    <s v="20/7332533"/>
    <n v="29241"/>
    <s v="264496413"/>
    <s v="2026001085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7332538"/>
    <n v="29242"/>
    <s v="264496414"/>
    <s v="2026001086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7332539"/>
    <n v="29243"/>
    <s v="264496415"/>
    <s v="2026001087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93.38"/>
    <n v="7.47"/>
    <n v="7.47"/>
    <n v="0"/>
    <m/>
    <n v="0"/>
    <m/>
    <n v="0"/>
    <m/>
    <n v="0"/>
    <m/>
    <n v="0"/>
  </r>
  <r>
    <s v="ARAYTOR"/>
    <s v="B40173676"/>
    <s v="20/7360125"/>
    <n v="30421"/>
    <s v="264497397"/>
    <s v="2026001088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42"/>
    <n v="29.56"/>
    <n v="29.56"/>
    <n v="0"/>
    <m/>
    <n v="0"/>
    <m/>
    <n v="0"/>
    <m/>
    <n v="0"/>
    <m/>
    <n v="0"/>
  </r>
  <r>
    <s v="ARAYTOR"/>
    <s v="B40173676"/>
    <s v="20/7360127"/>
    <n v="30422"/>
    <s v="264497398"/>
    <s v="2026001089"/>
    <s v="Cartera"/>
    <s v="Correduría"/>
    <s v="Renovable"/>
    <s v="Facturado"/>
    <x v="48"/>
    <d v="2026-03-01T00:00:00"/>
    <m/>
    <m/>
    <m/>
    <m/>
    <m/>
    <s v="Trimestral"/>
    <s v="M - MAXI-AUTO"/>
    <s v="Vehiculos"/>
    <x v="1"/>
    <s v="FIATC "/>
    <s v="Euros"/>
    <n v="369.42"/>
    <n v="29.56"/>
    <n v="29.56"/>
    <n v="0"/>
    <m/>
    <n v="0"/>
    <m/>
    <n v="0"/>
    <m/>
    <n v="0"/>
    <m/>
    <n v="0"/>
  </r>
  <r>
    <s v="ARAYTOR"/>
    <s v="B59437178"/>
    <s v="40/5113076"/>
    <n v="21847"/>
    <s v="264343445"/>
    <s v="2026001090"/>
    <s v="Cartera"/>
    <s v="Correduría"/>
    <s v="Renovable"/>
    <s v="Facturado"/>
    <x v="48"/>
    <d v="2026-03-29T00:00:00"/>
    <m/>
    <m/>
    <m/>
    <m/>
    <m/>
    <s v="Trimestral"/>
    <s v="Responsabilidad Civil"/>
    <s v="RC General"/>
    <x v="0"/>
    <s v="FIATC "/>
    <s v="Euros"/>
    <n v="9272.5499999999993"/>
    <n v="1854.51"/>
    <n v="1854.51"/>
    <n v="0"/>
    <m/>
    <n v="0"/>
    <m/>
    <n v="0"/>
    <m/>
    <n v="0"/>
    <m/>
    <n v="0"/>
  </r>
  <r>
    <s v="ARAYTOR"/>
    <s v="B59437178"/>
    <s v="93/5004798"/>
    <n v="21944"/>
    <s v="264348164"/>
    <s v="2026001091"/>
    <s v="Cartera"/>
    <s v="Correduría"/>
    <s v="Renovable"/>
    <s v="Facturado"/>
    <x v="48"/>
    <d v="2026-03-30T00:00:00"/>
    <m/>
    <m/>
    <m/>
    <m/>
    <m/>
    <s v="Trimestral"/>
    <s v="0130 - 4 - Volumen Facturación Anual"/>
    <s v="Daños Operador"/>
    <x v="6"/>
    <s v="FIATC "/>
    <s v="Euros"/>
    <n v="15926.33"/>
    <n v="3185.27"/>
    <n v="3185.27"/>
    <n v="0"/>
    <m/>
    <n v="0"/>
    <m/>
    <n v="0"/>
    <m/>
    <n v="0"/>
    <m/>
    <n v="0"/>
  </r>
  <r>
    <s v="ARAYTOR"/>
    <s v="B40173676"/>
    <s v="94/5020054"/>
    <n v="21116"/>
    <s v="264348260"/>
    <s v="2026001092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192.5"/>
    <n v="15.4"/>
    <n v="15.4"/>
    <n v="0"/>
    <m/>
    <n v="0"/>
    <m/>
    <n v="0"/>
    <m/>
    <n v="0"/>
    <m/>
    <n v="0"/>
  </r>
  <r>
    <s v="ARAYTOR"/>
    <s v="B40173676"/>
    <s v="94/5020462"/>
    <n v="22525"/>
    <s v="264348265"/>
    <s v="2026001093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196.15"/>
    <n v="15.69"/>
    <n v="15.69"/>
    <n v="0"/>
    <m/>
    <n v="0"/>
    <m/>
    <n v="0"/>
    <m/>
    <n v="0"/>
    <m/>
    <n v="0"/>
  </r>
  <r>
    <s v="ARAYTOR"/>
    <s v="B40173676"/>
    <s v="94/5022109"/>
    <n v="23230"/>
    <s v="264348294"/>
    <s v="2026001094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236.5"/>
    <n v="18.920000000000002"/>
    <n v="18.920000000000002"/>
    <n v="0"/>
    <m/>
    <n v="0"/>
    <m/>
    <n v="0"/>
    <m/>
    <n v="0"/>
    <m/>
    <n v="0"/>
  </r>
  <r>
    <s v="ARAYTOR"/>
    <s v="B40173676"/>
    <s v="94/5022212"/>
    <n v="23272"/>
    <s v="264348295"/>
    <s v="2026001095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190.69"/>
    <n v="15.26"/>
    <n v="15.26"/>
    <n v="0"/>
    <m/>
    <n v="0"/>
    <m/>
    <n v="0"/>
    <m/>
    <n v="0"/>
    <m/>
    <n v="0"/>
  </r>
  <r>
    <s v="ARAYTOR"/>
    <s v="B40173676"/>
    <s v="94/5022240"/>
    <n v="23286"/>
    <s v="264348296"/>
    <s v="2026001096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442.9"/>
    <n v="35.43"/>
    <n v="35.43"/>
    <n v="0"/>
    <m/>
    <n v="0"/>
    <m/>
    <n v="0"/>
    <m/>
    <n v="0"/>
    <m/>
    <n v="0"/>
  </r>
  <r>
    <s v="ARAYTOR"/>
    <s v="B40173676"/>
    <s v="94/5022405"/>
    <n v="23348"/>
    <s v="264348297"/>
    <s v="2026001097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558.66"/>
    <n v="44.69"/>
    <n v="44.69"/>
    <n v="0"/>
    <m/>
    <n v="0"/>
    <m/>
    <n v="0"/>
    <m/>
    <n v="0"/>
    <m/>
    <n v="0"/>
  </r>
  <r>
    <s v="ARAYTOR"/>
    <s v="B40173676"/>
    <s v="94/5022536"/>
    <n v="23440"/>
    <s v="264348298"/>
    <s v="2026001098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558.66"/>
    <n v="44.69"/>
    <n v="44.69"/>
    <n v="0"/>
    <m/>
    <n v="0"/>
    <m/>
    <n v="0"/>
    <m/>
    <n v="0"/>
    <m/>
    <n v="0"/>
  </r>
  <r>
    <s v="ARAYTOR"/>
    <s v="B40173676"/>
    <s v="94/5026234"/>
    <n v="29084"/>
    <s v="264348500"/>
    <s v="2026001099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226.6"/>
    <n v="18.13"/>
    <n v="18.13"/>
    <n v="0"/>
    <m/>
    <n v="0"/>
    <m/>
    <n v="0"/>
    <m/>
    <n v="0"/>
    <m/>
    <n v="0"/>
  </r>
  <r>
    <s v="ARAYTOR"/>
    <s v="B40173676"/>
    <s v="94/5026235"/>
    <n v="29085"/>
    <s v="264348501"/>
    <s v="2026001100"/>
    <s v="Cartera"/>
    <s v="Correduría"/>
    <s v="Renovable"/>
    <s v="Facturado"/>
    <x v="48"/>
    <d v="2026-03-01T00:00:00"/>
    <m/>
    <m/>
    <m/>
    <m/>
    <m/>
    <s v="Trimestral"/>
    <s v="0100 - Multiriesgo Transportista"/>
    <s v="Daños Vehiculos"/>
    <x v="6"/>
    <s v="FIATC "/>
    <s v="Euros"/>
    <n v="226.6"/>
    <n v="18.13"/>
    <n v="18.13"/>
    <n v="0"/>
    <m/>
    <n v="0"/>
    <m/>
    <n v="0"/>
    <m/>
    <n v="0"/>
    <m/>
    <n v="0"/>
  </r>
  <r>
    <s v="ARAYTOR"/>
    <s v="B03118775"/>
    <s v="93/5005255"/>
    <n v="22922"/>
    <s v="264563253"/>
    <s v="2026001101"/>
    <s v="Suplemento modificacion de produccion"/>
    <s v="Correduría"/>
    <s v="Renovable"/>
    <s v="Cobrado"/>
    <x v="48"/>
    <d v="2026-01-01T00:00:00"/>
    <d v="2026-02-27T00:00:00"/>
    <m/>
    <m/>
    <m/>
    <d v="2026-04-01T00:00:00"/>
    <s v="Anual"/>
    <s v="Flotante"/>
    <s v="Daños Operador"/>
    <x v="6"/>
    <s v="FIATC "/>
    <s v="Euros"/>
    <n v="32.54"/>
    <n v="6.51"/>
    <n v="6.51"/>
    <n v="0"/>
    <m/>
    <n v="0"/>
    <m/>
    <n v="0"/>
    <m/>
    <n v="0"/>
    <m/>
    <n v="0"/>
  </r>
  <r>
    <s v="ARAYTOR"/>
    <s v="B43313915"/>
    <s v="20/7342092"/>
    <n v="29311"/>
    <s v="264563119"/>
    <s v="2026001102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259.55"/>
    <n v="-10.38"/>
    <n v="-10.38"/>
    <n v="0"/>
    <m/>
    <n v="0"/>
    <m/>
    <n v="0"/>
    <m/>
    <n v="0"/>
    <m/>
    <n v="0"/>
  </r>
  <r>
    <s v="ARAYTOR"/>
    <s v="B43313915"/>
    <s v="20/7342193"/>
    <n v="29321"/>
    <s v="264563123"/>
    <s v="2026001103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259.55"/>
    <n v="-10.38"/>
    <n v="-10.38"/>
    <n v="0"/>
    <m/>
    <n v="0"/>
    <m/>
    <n v="0"/>
    <m/>
    <n v="0"/>
    <m/>
    <n v="0"/>
  </r>
  <r>
    <s v="ARAYTOR"/>
    <s v="B43313915"/>
    <s v="20/7342195"/>
    <n v="29323"/>
    <s v="264563124"/>
    <s v="2026001104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259.55"/>
    <n v="-10.38"/>
    <n v="-10.38"/>
    <n v="0"/>
    <m/>
    <n v="0"/>
    <m/>
    <n v="0"/>
    <m/>
    <n v="0"/>
    <m/>
    <n v="0"/>
  </r>
  <r>
    <s v="ARAYTOR"/>
    <s v="B43313915"/>
    <s v="20/7342214"/>
    <n v="29333"/>
    <s v="264563120"/>
    <s v="2026001105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215"/>
    <n v="29334"/>
    <s v="264563121"/>
    <s v="2026001106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217"/>
    <n v="29336"/>
    <s v="264563122"/>
    <s v="2026001107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450"/>
    <n v="29558"/>
    <s v="264563125"/>
    <s v="2026001108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454"/>
    <n v="29562"/>
    <s v="264563126"/>
    <s v="2026001109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475"/>
    <n v="29583"/>
    <s v="264563127"/>
    <s v="2026001110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478"/>
    <n v="29586"/>
    <s v="264563128"/>
    <s v="2026001111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487"/>
    <n v="29595"/>
    <s v="264563129"/>
    <s v="2026001112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B43313915"/>
    <s v="20/7342646"/>
    <n v="29752"/>
    <s v="264563130"/>
    <s v="2026001113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66"/>
    <n v="29771"/>
    <s v="264563131"/>
    <s v="2026001114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67"/>
    <n v="29772"/>
    <s v="264563132"/>
    <s v="2026001115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0"/>
    <n v="29775"/>
    <s v="264563133"/>
    <s v="2026001116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1"/>
    <n v="29776"/>
    <s v="264563134"/>
    <s v="2026001117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2"/>
    <n v="29777"/>
    <s v="264563135"/>
    <s v="2026001118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3"/>
    <n v="29778"/>
    <s v="264563136"/>
    <s v="2026001119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5"/>
    <n v="29780"/>
    <s v="264563137"/>
    <s v="2026001120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7"/>
    <n v="29782"/>
    <s v="264563138"/>
    <s v="2026001121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8"/>
    <n v="29783"/>
    <s v="264563139"/>
    <s v="2026001122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B43313915"/>
    <s v="20/7342679"/>
    <n v="29784"/>
    <s v="264563140"/>
    <s v="2026001123"/>
    <s v="Ajustes"/>
    <s v="Correduría"/>
    <s v="Renovable"/>
    <s v="Cobrado"/>
    <x v="48"/>
    <d v="2026-01-01T00:00:00"/>
    <d v="2026-02-13T00:00:00"/>
    <m/>
    <m/>
    <m/>
    <d v="2026-04-01T00:00:00"/>
    <s v="Trimestral"/>
    <s v="M - MAXI-AUTO"/>
    <s v="Vehiculos"/>
    <x v="1"/>
    <s v="FIATC "/>
    <s v="Euros"/>
    <n v="-102.61"/>
    <n v="-4.0999999999999996"/>
    <n v="-4.0999999999999996"/>
    <n v="0"/>
    <m/>
    <n v="0"/>
    <m/>
    <n v="0"/>
    <m/>
    <n v="0"/>
    <m/>
    <n v="0"/>
  </r>
  <r>
    <s v="ARAYTOR"/>
    <s v="45486979V"/>
    <s v="06056508"/>
    <n v="5092"/>
    <s v="79948886"/>
    <s v="2026001124"/>
    <s v="Cartera"/>
    <s v="Compañía"/>
    <s v="Renovable"/>
    <s v="Cobrado"/>
    <x v="48"/>
    <d v="2026-02-01T00:00:00"/>
    <d v="2026-02-13T00:00:00"/>
    <m/>
    <m/>
    <d v="2026-03-01T00:00:00"/>
    <m/>
    <s v="Mensual"/>
    <s v="08792 - SALUD INDIVIDUAL MIGRACION"/>
    <s v="Cuadro Cerrado"/>
    <x v="4"/>
    <s v="AXA"/>
    <s v="Euros"/>
    <n v="140.29"/>
    <n v="14.03"/>
    <n v="14.03"/>
    <n v="0"/>
    <m/>
    <n v="0"/>
    <s v="TON ABAD (ANTIC)"/>
    <n v="0"/>
    <m/>
    <n v="0"/>
    <m/>
    <n v="0"/>
  </r>
  <r>
    <s v="ARAYTOR"/>
    <s v="45486979V"/>
    <s v="06056508"/>
    <n v="5092"/>
    <s v="79948885"/>
    <s v="2026001125"/>
    <s v="Ajustes"/>
    <s v="Compañía"/>
    <s v="Renovable"/>
    <s v="Cobrado"/>
    <x v="48"/>
    <d v="2026-01-01T00:00:00"/>
    <d v="2026-02-12T00:00:00"/>
    <m/>
    <m/>
    <d v="2026-03-01T00:00:00"/>
    <m/>
    <s v="Mensual"/>
    <s v="08792 - SALUD INDIVIDUAL MIGRACION"/>
    <s v="Cuadro Cerrado"/>
    <x v="4"/>
    <s v="AXA"/>
    <s v="Euros"/>
    <n v="-146.86000000000001"/>
    <n v="-14.68"/>
    <n v="-14.68"/>
    <n v="0"/>
    <m/>
    <n v="0"/>
    <s v="TON ABAD (ANTIC)"/>
    <n v="0"/>
    <m/>
    <n v="0"/>
    <m/>
    <n v="0"/>
  </r>
  <r>
    <s v="ARAYTOR"/>
    <s v="A08339103"/>
    <s v="8-10.450.510-R"/>
    <n v="24089"/>
    <s v="474551977-C"/>
    <s v="2026001126"/>
    <s v="Cartera"/>
    <s v="Correduría"/>
    <s v="Renovable"/>
    <s v="Cobrado"/>
    <x v="48"/>
    <d v="2025-12-31T00:00:00"/>
    <d v="2026-02-17T00:00:00"/>
    <m/>
    <m/>
    <m/>
    <d v="2026-03-01T00:00:00"/>
    <s v="Anual"/>
    <s v="01244 - Resp.Civil Construccion"/>
    <s v="RC Construcción"/>
    <x v="0"/>
    <s v="OCCIDENT GCO, S.A.U."/>
    <s v="Euros"/>
    <n v="18453.61"/>
    <n v="2768.04"/>
    <n v="2768.04"/>
    <n v="0"/>
    <m/>
    <n v="0"/>
    <m/>
    <n v="0"/>
    <m/>
    <n v="0"/>
    <m/>
    <n v="0"/>
  </r>
  <r>
    <s v="ARAYTOR"/>
    <s v="10872737Q"/>
    <s v="3585769"/>
    <n v="30809"/>
    <s v="3585769-2"/>
    <s v="2026001127"/>
    <s v="Suplemento modificacion de produccion"/>
    <s v="Correduría"/>
    <s v="Renovable"/>
    <s v="Facturado"/>
    <x v="48"/>
    <d v="2026-04-05T00:00:00"/>
    <m/>
    <m/>
    <m/>
    <m/>
    <m/>
    <s v="Anual"/>
    <s v="RC Musica"/>
    <s v="RC Promotor Musica"/>
    <x v="0"/>
    <s v="Hiscox S.A Sucursal en España"/>
    <s v="Euros"/>
    <n v="436.21"/>
    <n v="109.07"/>
    <n v="109.07"/>
    <n v="0"/>
    <m/>
    <n v="0"/>
    <m/>
    <n v="0"/>
    <m/>
    <n v="0"/>
    <m/>
    <n v="0"/>
  </r>
  <r>
    <s v="ARAYTOR"/>
    <s v="B72726052"/>
    <s v="RCEXP-CA9420"/>
    <n v="22926"/>
    <s v="2602892"/>
    <s v="2026001128"/>
    <s v="Produccion"/>
    <s v="Correduría"/>
    <s v="Temporal"/>
    <s v="Cobrado"/>
    <x v="48"/>
    <d v="2026-02-28T00:00:00"/>
    <d v="2026-02-20T00:00:00"/>
    <m/>
    <m/>
    <m/>
    <m/>
    <s v="Unico"/>
    <s v="RC Empresa"/>
    <s v="RC Empresa"/>
    <x v="0"/>
    <s v="CIRCLES GROUP, S.A."/>
    <s v="Euros"/>
    <n v="277.39"/>
    <n v="50.43"/>
    <n v="50.43"/>
    <n v="0"/>
    <m/>
    <n v="0"/>
    <m/>
    <n v="0"/>
    <m/>
    <n v="0"/>
    <m/>
    <n v="0"/>
  </r>
  <r>
    <s v="ARAYTOR"/>
    <s v="B19993450"/>
    <s v="CE91691"/>
    <n v="31972"/>
    <s v="2602948"/>
    <s v="2026001129"/>
    <s v="Produccion"/>
    <s v="Correduría"/>
    <s v="Temporal"/>
    <s v="Cobrado"/>
    <x v="48"/>
    <d v="2025-09-26T00:00:00"/>
    <d v="2026-02-16T00:00:00"/>
    <m/>
    <m/>
    <m/>
    <m/>
    <s v="Unico"/>
    <s v="Contingencias"/>
    <s v="Contingencias"/>
    <x v="9"/>
    <s v="CIRCLES GROUP, S.A."/>
    <s v="Euros"/>
    <n v="1247.42"/>
    <n v="124.74"/>
    <n v="124.74"/>
    <n v="0"/>
    <m/>
    <n v="0"/>
    <m/>
    <n v="0"/>
    <m/>
    <n v="0"/>
    <m/>
    <n v="0"/>
  </r>
  <r>
    <s v="ARAYTOR"/>
    <s v="B13935382"/>
    <s v="RCEXP-CA19339"/>
    <n v="32668"/>
    <s v="2602921"/>
    <s v="2026001130"/>
    <s v="Produccion"/>
    <s v="Correduría"/>
    <s v="Temporal"/>
    <s v="Cobrado"/>
    <x v="48"/>
    <d v="2026-02-13T00:00:00"/>
    <d v="2026-02-13T00:00:00"/>
    <m/>
    <m/>
    <d v="2026-03-01T00:00:00"/>
    <m/>
    <s v="Unico"/>
    <s v="RC Empresa"/>
    <s v="RC Empresa"/>
    <x v="0"/>
    <s v="CIRCLES GROUP, S.A."/>
    <s v="Euros"/>
    <n v="1224"/>
    <n v="222.54"/>
    <n v="222.54"/>
    <n v="0"/>
    <m/>
    <n v="0"/>
    <s v="CURSORIS"/>
    <n v="122.4"/>
    <m/>
    <n v="0"/>
    <m/>
    <n v="0"/>
  </r>
  <r>
    <s v="ARAYTOR"/>
    <s v="B01717701"/>
    <s v="CE93786"/>
    <n v="32669"/>
    <s v="2602962"/>
    <s v="2026001131"/>
    <s v="Produccion"/>
    <s v="Correduría"/>
    <s v="Temporal"/>
    <s v="Cobrado"/>
    <x v="48"/>
    <d v="2026-02-13T00:00:00"/>
    <d v="2026-02-18T00:00:00"/>
    <m/>
    <m/>
    <m/>
    <m/>
    <s v="Unico"/>
    <s v="Contingencias"/>
    <s v="Contingencias"/>
    <x v="9"/>
    <s v="CIRCLES GROUP, S.A."/>
    <s v="Euros"/>
    <n v="1100.32"/>
    <n v="200.06"/>
    <n v="200.06"/>
    <n v="0"/>
    <m/>
    <n v="0"/>
    <m/>
    <n v="0"/>
    <m/>
    <n v="0"/>
    <m/>
    <n v="0"/>
  </r>
  <r>
    <s v="ARAYTOR"/>
    <s v="G66874991"/>
    <s v="3562041"/>
    <n v="27806"/>
    <s v="3562041-3"/>
    <s v="2026001133"/>
    <s v="Suplemento modificacion de produccion"/>
    <s v="Correduría"/>
    <s v="Renovable"/>
    <s v="Facturado"/>
    <x v="48"/>
    <d v="2026-03-01T00:00:00"/>
    <m/>
    <m/>
    <m/>
    <m/>
    <m/>
    <s v="Anual"/>
    <s v="RC Musica"/>
    <s v="RC Promotor Musica"/>
    <x v="0"/>
    <s v="Hiscox S.A Sucursal en España"/>
    <s v="Euros"/>
    <n v="436.22"/>
    <n v="109.07"/>
    <n v="109.07"/>
    <n v="0"/>
    <m/>
    <n v="0"/>
    <m/>
    <n v="0"/>
    <m/>
    <n v="0"/>
    <m/>
    <n v="0"/>
  </r>
  <r>
    <s v="ARAYTOR"/>
    <s v="B44744167"/>
    <s v="RCEXP-CA19333"/>
    <n v="32670"/>
    <s v="2602852"/>
    <s v="2026001134"/>
    <s v="Produccion"/>
    <s v="Correduría"/>
    <s v="Temporal"/>
    <s v="Cobrado"/>
    <x v="48"/>
    <d v="2026-02-13T00:00:00"/>
    <d v="2026-02-23T00:00:00"/>
    <m/>
    <m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10737856"/>
    <s v="RCEXP-CA19335"/>
    <n v="32671"/>
    <s v="2602853"/>
    <s v="2026001135"/>
    <s v="Produccion"/>
    <s v="Correduría"/>
    <s v="Temporal"/>
    <s v="Facturado"/>
    <x v="48"/>
    <d v="2026-03-11T00:00:00"/>
    <m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45390208F"/>
    <s v="HDIP63615406"/>
    <n v="32672"/>
    <m/>
    <s v="2026001136"/>
    <s v="Produccion"/>
    <s v="Correduría"/>
    <s v="Renovable"/>
    <s v="Cobrado"/>
    <x v="48"/>
    <d v="2026-01-01T00:00:00"/>
    <d v="2026-02-27T00:00:00"/>
    <m/>
    <m/>
    <m/>
    <d v="2026-03-01T00:00:00"/>
    <s v="Anual"/>
    <s v="RC Profesional"/>
    <s v="RC Profesional"/>
    <x v="8"/>
    <s v="Hiscox S.A Sucursal en España"/>
    <s v="Euros"/>
    <n v="3280.62"/>
    <n v="820.16"/>
    <n v="820.16"/>
    <n v="0"/>
    <m/>
    <n v="0"/>
    <m/>
    <n v="0"/>
    <m/>
    <n v="0"/>
    <m/>
    <n v="0"/>
  </r>
  <r>
    <s v="ARAYTOR"/>
    <s v="E70873898"/>
    <s v="82568282"/>
    <n v="32584"/>
    <s v="1458280"/>
    <s v="2026001137"/>
    <s v="Cartera"/>
    <s v="Compañía"/>
    <s v="Renovable"/>
    <s v="Cobrado"/>
    <x v="48"/>
    <d v="2026-02-14T00:00:00"/>
    <d v="2026-02-16T00:00:00"/>
    <m/>
    <m/>
    <m/>
    <d v="2026-02-17T00:00:00"/>
    <s v="Anual"/>
    <s v="08757 - RC GENERAL"/>
    <s v="RC Empresa"/>
    <x v="0"/>
    <s v="AXA"/>
    <s v="Euros"/>
    <n v="425.33"/>
    <n v="93.58"/>
    <n v="93.58"/>
    <n v="0"/>
    <m/>
    <n v="0"/>
    <m/>
    <n v="0"/>
    <m/>
    <n v="0"/>
    <m/>
    <n v="0"/>
  </r>
  <r>
    <s v="ARAYTOR"/>
    <s v="B44927051"/>
    <s v="396101"/>
    <n v="32612"/>
    <s v="562133"/>
    <s v="2026001138"/>
    <s v="Suplemento modificacion de produccion"/>
    <s v="Correduría"/>
    <s v="Temporal"/>
    <s v="Cobrado"/>
    <x v="48"/>
    <d v="2026-03-05T00:00:00"/>
    <d v="2026-02-27T00:00:00"/>
    <m/>
    <m/>
    <m/>
    <m/>
    <s v="Unico"/>
    <s v="Temporal Nominado"/>
    <s v="Asistencia en Viaje"/>
    <x v="7"/>
    <s v="Iris Global Soluciones"/>
    <s v="Euros"/>
    <n v="21.22"/>
    <n v="5.31"/>
    <n v="5.31"/>
    <n v="0"/>
    <m/>
    <n v="0"/>
    <m/>
    <n v="0"/>
    <m/>
    <n v="0"/>
    <m/>
    <n v="0"/>
  </r>
  <r>
    <s v="ARAYTOR"/>
    <s v="B50717750"/>
    <s v="050081337-00164"/>
    <n v="32673"/>
    <s v="882020807"/>
    <s v="2026001139"/>
    <s v="Produccion"/>
    <s v="Compañía"/>
    <s v="Renovable"/>
    <s v="Cobrado"/>
    <x v="49"/>
    <d v="2026-02-13T00:00:00"/>
    <d v="2026-02-13T00:00:00"/>
    <m/>
    <m/>
    <m/>
    <m/>
    <s v="Anual"/>
    <s v="1221 Allianz V.03 (VH.Com.2ª categ.)"/>
    <s v="Vehiculos"/>
    <x v="1"/>
    <s v="ALLIANZ"/>
    <s v="Euros"/>
    <n v="51.56"/>
    <n v="4.12"/>
    <n v="4.12"/>
    <n v="0"/>
    <m/>
    <n v="0"/>
    <m/>
    <n v="0"/>
    <m/>
    <n v="0"/>
    <m/>
    <n v="0"/>
  </r>
  <r>
    <s v="ARAYTOR"/>
    <s v="36930759G"/>
    <s v="20/9095377"/>
    <n v="32674"/>
    <s v="264566851"/>
    <s v="2026001140"/>
    <s v="Produccion"/>
    <s v="Compañía"/>
    <s v="Renovable"/>
    <s v="Cobrado"/>
    <x v="49"/>
    <d v="2026-02-16T00:00:00"/>
    <d v="2026-02-20T00:00:00"/>
    <m/>
    <m/>
    <m/>
    <m/>
    <s v="Anual"/>
    <s v="M - MAXI-AUTO"/>
    <s v="Vehiculos"/>
    <x v="1"/>
    <s v="FIATC "/>
    <s v="Euros"/>
    <n v="1112.76"/>
    <n v="158.41"/>
    <n v="158.41"/>
    <n v="0"/>
    <m/>
    <n v="0"/>
    <m/>
    <n v="0"/>
    <m/>
    <n v="0"/>
    <m/>
    <n v="0"/>
  </r>
  <r>
    <s v="ARAYTOR"/>
    <s v="B62971247"/>
    <s v="40/5166823"/>
    <n v="32675"/>
    <s v="264566233"/>
    <s v="2026001141"/>
    <s v="Produccion"/>
    <s v="Correduría"/>
    <s v="Temporal"/>
    <s v="Cobrado"/>
    <x v="49"/>
    <d v="2026-02-12T00:00:00"/>
    <d v="2026-02-28T00:00:00"/>
    <m/>
    <m/>
    <m/>
    <d v="2026-04-01T00:00:00"/>
    <s v="Unico"/>
    <s v="0100Responsabilidad Civil General"/>
    <s v="RC General"/>
    <x v="0"/>
    <s v="FIATC "/>
    <s v="Euros"/>
    <n v="14442.91"/>
    <n v="1444.29"/>
    <n v="1444.29"/>
    <n v="0"/>
    <m/>
    <n v="0"/>
    <m/>
    <n v="0"/>
    <m/>
    <n v="0"/>
    <m/>
    <n v="0"/>
  </r>
  <r>
    <s v="ARAYTOR"/>
    <s v="52277461W"/>
    <s v="89/5065148"/>
    <n v="32676"/>
    <s v="264568720"/>
    <s v="2026001142"/>
    <s v="Produccion"/>
    <s v="Compañía"/>
    <s v="Temporal"/>
    <s v="Cobrado"/>
    <x v="49"/>
    <d v="2026-02-13T00:00:00"/>
    <d v="2026-02-14T00:00:00"/>
    <m/>
    <m/>
    <m/>
    <m/>
    <s v="Unico"/>
    <s v="Seguro Viaje Salud"/>
    <s v="Asistencia en Viaje"/>
    <x v="7"/>
    <s v="FIATC "/>
    <s v="Euros"/>
    <n v="214.08"/>
    <n v="32.11"/>
    <n v="32.11"/>
    <n v="0"/>
    <m/>
    <n v="0"/>
    <m/>
    <n v="0"/>
    <m/>
    <n v="0"/>
    <m/>
    <n v="0"/>
  </r>
  <r>
    <s v="ARAYTOR"/>
    <s v="B62971247"/>
    <s v="93/5009301"/>
    <n v="32677"/>
    <s v="264564117"/>
    <s v="2026001143"/>
    <s v="Produccion"/>
    <s v="Correduría"/>
    <s v="Temporal"/>
    <s v="Cobrado"/>
    <x v="49"/>
    <d v="2026-02-12T00:00:00"/>
    <d v="2026-02-28T00:00:00"/>
    <m/>
    <m/>
    <m/>
    <d v="2026-04-01T00:00:00"/>
    <s v="Unico"/>
    <s v="Temporales Viaje"/>
    <s v="Daños Operador"/>
    <x v="6"/>
    <s v="FIATC "/>
    <s v="Euros"/>
    <n v="3003.86"/>
    <n v="600.77"/>
    <n v="600.77"/>
    <n v="0"/>
    <m/>
    <n v="0"/>
    <m/>
    <n v="0"/>
    <m/>
    <n v="0"/>
    <m/>
    <n v="0"/>
  </r>
  <r>
    <s v="ARAYTOR"/>
    <s v="B67461962"/>
    <s v="93/5005282"/>
    <n v="22956"/>
    <s v="264564268"/>
    <s v="2026001144"/>
    <s v="Suplemento modificacion de produccion"/>
    <s v="Correduría"/>
    <s v="Renovable"/>
    <s v="Cobrado"/>
    <x v="49"/>
    <d v="2026-01-01T00:00:00"/>
    <d v="2026-02-28T00:00:00"/>
    <m/>
    <m/>
    <m/>
    <d v="2026-04-01T00:00:00"/>
    <s v="Mensual"/>
    <s v="Flotante"/>
    <s v="Daños Operador"/>
    <x v="6"/>
    <s v="FIATC "/>
    <s v="Euros"/>
    <n v="951.48"/>
    <n v="190.3"/>
    <n v="190.3"/>
    <n v="0"/>
    <m/>
    <n v="0"/>
    <m/>
    <n v="0"/>
    <m/>
    <n v="0"/>
    <m/>
    <n v="0"/>
  </r>
  <r>
    <s v="ARAYTOR"/>
    <s v="35051959M"/>
    <s v="89322527"/>
    <n v="32635"/>
    <s v="468029"/>
    <s v="2026001145"/>
    <s v="Produccion"/>
    <s v="Compañía"/>
    <s v="Renovable"/>
    <s v="Facturado"/>
    <x v="49"/>
    <d v="2026-03-26T00:00:00"/>
    <m/>
    <m/>
    <m/>
    <m/>
    <m/>
    <s v="Anual"/>
    <s v="08759 - COCHE360"/>
    <s v="Vehiculos"/>
    <x v="1"/>
    <s v="AXA"/>
    <s v="Euros"/>
    <n v="571.66999999999996"/>
    <n v="80.03"/>
    <n v="80.03"/>
    <n v="0"/>
    <m/>
    <n v="0"/>
    <m/>
    <n v="0"/>
    <m/>
    <n v="0"/>
    <m/>
    <n v="0"/>
  </r>
  <r>
    <s v="ARAYTOR"/>
    <s v="41747518B"/>
    <s v="282678255"/>
    <n v="32561"/>
    <s v="202602300273"/>
    <s v="2026001156"/>
    <s v="Produccion"/>
    <s v="Compañía"/>
    <s v="Renovable"/>
    <s v="Cobrado"/>
    <x v="50"/>
    <d v="2026-02-01T00:00:00"/>
    <d v="2026-02-01T00:00:00"/>
    <m/>
    <m/>
    <m/>
    <m/>
    <s v="Mensual"/>
    <s v="1754 - ADESLAS PLENA PLUS"/>
    <s v="Salud"/>
    <x v="4"/>
    <s v="SEGURCAIXA ADESLAS, S.A."/>
    <s v="Euros"/>
    <n v="71.790000000000006"/>
    <n v="9.9600000000000009"/>
    <n v="9.9600000000000009"/>
    <n v="0"/>
    <m/>
    <n v="0"/>
    <m/>
    <n v="0"/>
    <m/>
    <n v="0"/>
    <m/>
    <n v="0"/>
  </r>
  <r>
    <s v="ARAYTOR"/>
    <s v="40279138C"/>
    <s v="81387396"/>
    <n v="14580"/>
    <s v="202602643005"/>
    <s v="2026001157"/>
    <s v="Cartera"/>
    <s v="Compañía"/>
    <s v="Renovable"/>
    <s v="Cobrado"/>
    <x v="50"/>
    <d v="2026-02-01T00:00:00"/>
    <d v="2026-02-01T00:00:00"/>
    <m/>
    <m/>
    <m/>
    <m/>
    <s v="Mensual"/>
    <s v="Adeslas Completa"/>
    <s v="Cuadro Cerrado"/>
    <x v="4"/>
    <s v="SEGURCAIXA ADESLAS, S.A."/>
    <s v="Euros"/>
    <n v="304.58"/>
    <n v="27.41"/>
    <n v="27.41"/>
    <n v="0"/>
    <m/>
    <n v="0"/>
    <m/>
    <n v="0"/>
    <m/>
    <n v="0"/>
    <m/>
    <n v="0"/>
  </r>
  <r>
    <s v="ARAYTOR"/>
    <s v="30504182H"/>
    <s v="66600580342"/>
    <n v="5120"/>
    <s v="202603080193"/>
    <s v="2026001158"/>
    <s v="Cartera"/>
    <s v="Compañía"/>
    <s v="Renovable"/>
    <s v="Cobrado"/>
    <x v="50"/>
    <d v="2026-02-01T00:00:00"/>
    <d v="2026-02-01T00:00:00"/>
    <m/>
    <m/>
    <d v="2026-03-01T00:00:00"/>
    <m/>
    <s v="Mensual"/>
    <s v="Modular Colectivos"/>
    <s v="Colectivo Salud"/>
    <x v="10"/>
    <s v="SEGURCAIXA ADESLAS, S.A."/>
    <s v="Euros"/>
    <n v="269.68"/>
    <n v="21.57"/>
    <n v="21.57"/>
    <n v="0"/>
    <m/>
    <n v="0"/>
    <s v="TON ABAD (ANTIC)"/>
    <n v="0"/>
    <m/>
    <n v="0"/>
    <m/>
    <n v="0"/>
  </r>
  <r>
    <s v="ARAYTOR"/>
    <s v="35075496J"/>
    <s v="81511008"/>
    <n v="20438"/>
    <s v="202602588301"/>
    <s v="2026001159"/>
    <s v="Cartera"/>
    <s v="Compañía"/>
    <s v="Renovable"/>
    <s v="Cobrado"/>
    <x v="50"/>
    <d v="2026-02-01T00:00:00"/>
    <d v="2026-02-01T00:00:00"/>
    <m/>
    <m/>
    <m/>
    <m/>
    <s v="Mensual"/>
    <s v="Plena Extra"/>
    <s v="Mixta"/>
    <x v="4"/>
    <s v="SEGURCAIXA ADESLAS, S.A."/>
    <s v="Euros"/>
    <n v="795.03"/>
    <n v="71.56"/>
    <n v="71.56"/>
    <n v="0"/>
    <m/>
    <n v="0"/>
    <m/>
    <n v="0"/>
    <m/>
    <n v="0"/>
    <m/>
    <n v="0"/>
  </r>
  <r>
    <s v="ARAYTOR"/>
    <s v="51387326J"/>
    <s v="282067353"/>
    <n v="12680"/>
    <s v="202602335963"/>
    <s v="2026001160"/>
    <s v="Cartera"/>
    <s v="Compañía"/>
    <s v="Renovable"/>
    <s v="Cobrado"/>
    <x v="50"/>
    <d v="2026-02-01T00:00:00"/>
    <d v="2026-02-01T00:00:00"/>
    <m/>
    <m/>
    <m/>
    <m/>
    <s v="Mensual"/>
    <s v="Dental"/>
    <s v="Dental"/>
    <x v="4"/>
    <s v="SEGURCAIXA ADESLAS, S.A."/>
    <s v="Euros"/>
    <n v="11"/>
    <n v="0.99"/>
    <n v="0.99"/>
    <n v="0"/>
    <m/>
    <n v="0"/>
    <m/>
    <n v="0"/>
    <m/>
    <n v="0"/>
    <m/>
    <n v="0"/>
  </r>
  <r>
    <s v="ARAYTOR"/>
    <s v="50426811R"/>
    <s v="282122509"/>
    <n v="14638"/>
    <s v="202602298464"/>
    <s v="2026001161"/>
    <s v="Cartera"/>
    <s v="Compañía"/>
    <s v="Renovable"/>
    <s v="Cobrado"/>
    <x v="50"/>
    <d v="2026-02-01T00:00:00"/>
    <d v="2026-02-01T00:00:00"/>
    <m/>
    <m/>
    <m/>
    <m/>
    <s v="Mensual"/>
    <s v="Adeslas Completa"/>
    <s v="Cuadro Cerrado"/>
    <x v="4"/>
    <s v="SEGURCAIXA ADESLAS, S.A."/>
    <s v="Euros"/>
    <n v="112.35"/>
    <n v="10.11"/>
    <n v="10.11"/>
    <n v="0"/>
    <m/>
    <n v="0"/>
    <m/>
    <n v="0"/>
    <m/>
    <n v="0"/>
    <m/>
    <n v="0"/>
  </r>
  <r>
    <s v="ARAYTOR"/>
    <s v="46731337Y"/>
    <s v="6660058032"/>
    <n v="5084"/>
    <s v="202602996941"/>
    <s v="2026001162"/>
    <s v="Cartera"/>
    <s v="Compañía"/>
    <s v="Renovable"/>
    <s v="Cobrado"/>
    <x v="50"/>
    <d v="2026-02-01T00:00:00"/>
    <d v="2026-02-01T00:00:00"/>
    <m/>
    <m/>
    <d v="2026-03-01T00:00:00"/>
    <m/>
    <s v="Mensual"/>
    <s v="Modular Colectivos"/>
    <s v="Colectivo Salud"/>
    <x v="10"/>
    <s v="SEGURCAIXA ADESLAS, S.A."/>
    <s v="Euros"/>
    <n v="414.52"/>
    <n v="33.159999999999997"/>
    <n v="33.159999999999997"/>
    <n v="0"/>
    <m/>
    <n v="0"/>
    <s v="TON ABAD (ANTIC)"/>
    <n v="0"/>
    <m/>
    <n v="0"/>
    <m/>
    <n v="0"/>
  </r>
  <r>
    <s v="ARAYTOR"/>
    <s v="06223853F"/>
    <s v="81549417"/>
    <n v="23198"/>
    <s v="202602662862"/>
    <s v="2026001163"/>
    <s v="Cartera"/>
    <s v="Compañía"/>
    <s v="Renovable"/>
    <s v="Cobrado"/>
    <x v="50"/>
    <d v="2026-02-01T00:00:00"/>
    <d v="2026-02-01T00:00:00"/>
    <m/>
    <m/>
    <m/>
    <m/>
    <s v="Mensual"/>
    <s v="Plena Plus"/>
    <s v="Cuadro Cerrado"/>
    <x v="4"/>
    <s v="SEGURCAIXA ADESLAS, S.A."/>
    <s v="Euros"/>
    <n v="85.13"/>
    <n v="7.66"/>
    <n v="7.66"/>
    <n v="0"/>
    <m/>
    <n v="0"/>
    <m/>
    <n v="0"/>
    <m/>
    <n v="0"/>
    <m/>
    <n v="0"/>
  </r>
  <r>
    <s v="ARAYTOR"/>
    <s v="B72792120"/>
    <s v="RCEXP-CA16558"/>
    <n v="28903"/>
    <s v="2602424 Subsanacion comision"/>
    <s v="2026001164"/>
    <s v="Produccion"/>
    <s v="Correduría"/>
    <s v="Temporal"/>
    <s v="Cobrado"/>
    <x v="50"/>
    <d v="2025-09-29T00:00:00"/>
    <d v="2026-02-15T00:00:00"/>
    <m/>
    <m/>
    <m/>
    <d v="2026-02-15T00:00:00"/>
    <s v="Unico"/>
    <s v="RC Empresa"/>
    <s v="RC Empresa"/>
    <x v="0"/>
    <s v="CIRCLES GROUP, S.A."/>
    <s v="Euros"/>
    <n v="0"/>
    <n v="-353.04"/>
    <n v="-353.04"/>
    <n v="0"/>
    <m/>
    <n v="0"/>
    <m/>
    <n v="0"/>
    <m/>
    <n v="0"/>
    <m/>
    <n v="0"/>
  </r>
  <r>
    <s v="ARAYTOR"/>
    <s v="B67566323"/>
    <s v="CE90253"/>
    <n v="31490"/>
    <s v="2525381 Subsanacion comision"/>
    <s v="2026001165"/>
    <s v="Produccion"/>
    <s v="Correduría"/>
    <s v="Temporal"/>
    <s v="Cobrado"/>
    <x v="50"/>
    <d v="2025-05-27T00:00:00"/>
    <d v="2026-02-15T00:00:00"/>
    <m/>
    <m/>
    <m/>
    <d v="2026-02-15T00:00:00"/>
    <s v="Unico"/>
    <s v="Contingencias"/>
    <s v="Contingencias"/>
    <x v="9"/>
    <s v="CIRCLES GROUP, S.A."/>
    <s v="Euros"/>
    <n v="0"/>
    <n v="-637"/>
    <n v="-637"/>
    <n v="0"/>
    <m/>
    <n v="0"/>
    <m/>
    <n v="0"/>
    <m/>
    <n v="0"/>
    <m/>
    <n v="0"/>
  </r>
  <r>
    <s v="ARAYTOR"/>
    <s v="V67566323"/>
    <s v="CE90254"/>
    <n v="31509"/>
    <s v="2524989 Subsanacion pn+imp+com"/>
    <s v="2026001166"/>
    <s v="Produccion"/>
    <s v="Correduría"/>
    <s v="Temporal"/>
    <s v="Cobrado"/>
    <x v="50"/>
    <d v="2025-05-27T00:00:00"/>
    <d v="2026-02-15T00:00:00"/>
    <m/>
    <m/>
    <m/>
    <d v="2026-02-15T00:00:00"/>
    <s v="Unico"/>
    <s v="Contingencias"/>
    <s v="Contingencias"/>
    <x v="9"/>
    <s v="CIRCLES GROUP, S.A."/>
    <s v="Euros"/>
    <n v="2048.41"/>
    <n v="372.43"/>
    <n v="372.43"/>
    <n v="0"/>
    <m/>
    <n v="0"/>
    <m/>
    <n v="0"/>
    <m/>
    <n v="0"/>
    <m/>
    <n v="0"/>
  </r>
  <r>
    <s v="ARAYTOR"/>
    <s v="B59437178"/>
    <s v="L1-G-620001114"/>
    <n v="1621"/>
    <s v="5687823499"/>
    <s v="2026001167"/>
    <s v="Ajustes"/>
    <s v="Correduría"/>
    <s v="Renovable"/>
    <s v="Cobrado"/>
    <x v="51"/>
    <d v="2024-02-17T00:00:00"/>
    <d v="2026-02-16T00:00:00"/>
    <m/>
    <m/>
    <m/>
    <m/>
    <s v="Anual"/>
    <s v="Accidentes Convenio"/>
    <s v="Accidentes"/>
    <x v="4"/>
    <s v="GENERALI ESPAÑA"/>
    <s v="Euros"/>
    <n v="-76.73"/>
    <n v="-17.27"/>
    <n v="-15.35"/>
    <n v="0"/>
    <m/>
    <n v="0"/>
    <m/>
    <n v="0"/>
    <m/>
    <n v="0"/>
    <m/>
    <n v="0"/>
  </r>
  <r>
    <s v="ARAYTOR"/>
    <s v="B11880416"/>
    <s v="RCEXP-CA15720"/>
    <n v="27799"/>
    <s v="2603072"/>
    <s v="2026001168"/>
    <s v="Produccion"/>
    <s v="Correduría"/>
    <s v="Temporal"/>
    <s v="Facturado"/>
    <x v="52"/>
    <d v="2025-04-03T00:00:00"/>
    <m/>
    <m/>
    <m/>
    <m/>
    <m/>
    <s v="Unico"/>
    <s v="RC Empresa"/>
    <s v="RC Empresa"/>
    <x v="0"/>
    <s v="CIRCLES GROUP, S.A."/>
    <s v="Euros"/>
    <n v="1224"/>
    <n v="222.54"/>
    <n v="222.54"/>
    <n v="0"/>
    <m/>
    <n v="0"/>
    <m/>
    <n v="0"/>
    <m/>
    <n v="0"/>
    <m/>
    <n v="0"/>
  </r>
  <r>
    <s v="ARAYTOR"/>
    <s v="U19775824"/>
    <s v="RCEXP-CA16422"/>
    <n v="28654"/>
    <s v="2603025"/>
    <s v="2026001169"/>
    <s v="Produccion"/>
    <s v="Correduría"/>
    <s v="Temporal"/>
    <s v="Facturado"/>
    <x v="52"/>
    <d v="2024-09-01T00:00:00"/>
    <m/>
    <m/>
    <m/>
    <m/>
    <m/>
    <s v="Unico"/>
    <s v="RC Empresa"/>
    <s v="RC Empresa"/>
    <x v="0"/>
    <s v="CIRCLES GROUP, S.A."/>
    <s v="Euros"/>
    <n v="142.6"/>
    <n v="25.92"/>
    <n v="25.92"/>
    <n v="0"/>
    <m/>
    <n v="0"/>
    <m/>
    <n v="0"/>
    <m/>
    <n v="0"/>
    <m/>
    <n v="0"/>
  </r>
  <r>
    <s v="ARAYTOR"/>
    <s v="B88262431"/>
    <s v="CE92635"/>
    <n v="32247"/>
    <s v="2602956"/>
    <s v="2026001170"/>
    <s v="Produccion"/>
    <s v="Correduría"/>
    <s v="Temporal"/>
    <s v="Cobrado"/>
    <x v="52"/>
    <d v="2025-11-24T00:00:00"/>
    <d v="2026-02-17T00:00:00"/>
    <m/>
    <m/>
    <m/>
    <m/>
    <s v="Unico"/>
    <s v="Contingencias"/>
    <s v="Contingencias"/>
    <x v="9"/>
    <s v="CIRCLES GROUP, S.A."/>
    <s v="Euros"/>
    <n v="9377.82"/>
    <n v="1705.06"/>
    <n v="1705.06"/>
    <n v="0"/>
    <m/>
    <n v="0"/>
    <m/>
    <n v="0"/>
    <m/>
    <n v="0"/>
    <m/>
    <n v="0"/>
  </r>
  <r>
    <s v="ARAYTOR"/>
    <s v="B88262431"/>
    <s v="CE92657"/>
    <n v="32251"/>
    <s v="2602961"/>
    <s v="2026001171"/>
    <s v="Produccion"/>
    <s v="Correduría"/>
    <s v="Temporal"/>
    <s v="Cobrado"/>
    <x v="52"/>
    <d v="2025-11-24T00:00:00"/>
    <d v="2026-02-17T00:00:00"/>
    <m/>
    <m/>
    <m/>
    <m/>
    <s v="Unico"/>
    <s v="Contingencias"/>
    <s v="Contingencias"/>
    <x v="9"/>
    <s v="CIRCLES GROUP, S.A."/>
    <s v="Euros"/>
    <n v="4528.66"/>
    <n v="823.4"/>
    <n v="823.4"/>
    <n v="0"/>
    <m/>
    <n v="0"/>
    <m/>
    <n v="0"/>
    <m/>
    <n v="0"/>
    <m/>
    <n v="0"/>
  </r>
  <r>
    <s v="ARAYTOR"/>
    <s v="B88262431"/>
    <s v="CE93320"/>
    <n v="32544"/>
    <s v="2602957"/>
    <s v="2026001172"/>
    <s v="Produccion"/>
    <s v="Correduría"/>
    <s v="Temporal"/>
    <s v="Cobrado"/>
    <x v="52"/>
    <d v="2026-01-15T00:00:00"/>
    <d v="2026-02-17T00:00:00"/>
    <m/>
    <m/>
    <m/>
    <m/>
    <s v="Unico"/>
    <s v="Contingencias"/>
    <s v="Contingencias"/>
    <x v="9"/>
    <s v="CIRCLES GROUP, S.A."/>
    <s v="Euros"/>
    <n v="576.87"/>
    <n v="104.89"/>
    <n v="104.89"/>
    <n v="0"/>
    <m/>
    <n v="0"/>
    <m/>
    <n v="0"/>
    <m/>
    <n v="0"/>
    <m/>
    <n v="0"/>
  </r>
  <r>
    <s v="ARAYTOR"/>
    <s v="B21761648"/>
    <s v="CE92332-CE93763"/>
    <n v="32678"/>
    <s v="2602899"/>
    <s v="2026001173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29636.1"/>
    <n v="5388.38"/>
    <n v="5388.38"/>
    <n v="0"/>
    <m/>
    <n v="0"/>
    <m/>
    <n v="0"/>
    <m/>
    <n v="0"/>
    <m/>
    <n v="0"/>
  </r>
  <r>
    <s v="ARAYTOR"/>
    <s v="B21761648"/>
    <s v="CE92332-CE93763"/>
    <n v="32678"/>
    <s v="2602900"/>
    <s v="2026001174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5927.22"/>
    <n v="-1077.67"/>
    <n v="-1077.67"/>
    <n v="0"/>
    <m/>
    <n v="0"/>
    <m/>
    <n v="0"/>
    <m/>
    <n v="0"/>
    <m/>
    <n v="0"/>
  </r>
  <r>
    <s v="ARAYTOR"/>
    <s v="B21761648"/>
    <s v="CE92332-CE93765"/>
    <n v="32679"/>
    <s v="2602901"/>
    <s v="2026001175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38431.760000000002"/>
    <n v="6987.6"/>
    <n v="6987.6"/>
    <n v="0"/>
    <m/>
    <n v="0"/>
    <m/>
    <n v="0"/>
    <m/>
    <n v="0"/>
    <m/>
    <n v="0"/>
  </r>
  <r>
    <s v="ARAYTOR"/>
    <s v="B21761648"/>
    <s v="CE92332-CE93765"/>
    <n v="32679"/>
    <s v="2602902"/>
    <s v="2026001176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7686.37"/>
    <n v="-1397.52"/>
    <n v="-1397.52"/>
    <n v="0"/>
    <m/>
    <n v="0"/>
    <m/>
    <n v="0"/>
    <m/>
    <n v="0"/>
    <m/>
    <n v="0"/>
  </r>
  <r>
    <s v="ARAYTOR"/>
    <s v="A58569815"/>
    <s v="CE92332-CE93766"/>
    <n v="32680"/>
    <s v="2602903"/>
    <s v="2026001177"/>
    <s v="Produccion"/>
    <s v="Correduría"/>
    <s v="Temporal"/>
    <s v="Cobrado"/>
    <x v="52"/>
    <d v="2026-02-12T00:00:00"/>
    <d v="2026-03-02T00:00:00"/>
    <m/>
    <m/>
    <m/>
    <m/>
    <s v="Unico"/>
    <s v="Contingencias"/>
    <s v="Contingencias"/>
    <x v="9"/>
    <s v="CIRCLES GROUP, S.A."/>
    <s v="Euros"/>
    <n v="5154.8500000000004"/>
    <n v="937.25"/>
    <n v="937.25"/>
    <n v="0"/>
    <m/>
    <n v="0"/>
    <m/>
    <n v="0"/>
    <m/>
    <n v="0"/>
    <m/>
    <n v="0"/>
  </r>
  <r>
    <s v="ARAYTOR"/>
    <s v="A58569815"/>
    <s v="CE92332-CE93766"/>
    <n v="32680"/>
    <s v="2602904"/>
    <s v="2026001178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1030.97"/>
    <n v="-187.44"/>
    <n v="-187.44"/>
    <n v="0"/>
    <m/>
    <n v="0"/>
    <m/>
    <n v="0"/>
    <m/>
    <n v="0"/>
    <m/>
    <n v="0"/>
  </r>
  <r>
    <s v="ARAYTOR"/>
    <s v="B05448840"/>
    <s v="CE93542"/>
    <n v="32681"/>
    <s v="2603024"/>
    <s v="2026001179"/>
    <s v="Produccion"/>
    <s v="Correduría"/>
    <s v="Temporal"/>
    <s v="Cobrado"/>
    <x v="52"/>
    <d v="2026-02-16T00:00:00"/>
    <d v="2026-02-19T00:00:00"/>
    <m/>
    <m/>
    <m/>
    <m/>
    <s v="Unico"/>
    <s v="Contingencias"/>
    <s v="Contingencias"/>
    <x v="9"/>
    <s v="CIRCLES GROUP, S.A."/>
    <s v="Euros"/>
    <n v="10239.52"/>
    <n v="1861.73"/>
    <n v="1861.73"/>
    <n v="0"/>
    <m/>
    <n v="0"/>
    <m/>
    <n v="0"/>
    <m/>
    <n v="0"/>
    <m/>
    <n v="0"/>
  </r>
  <r>
    <s v="ARAYTOR"/>
    <s v="B88262431"/>
    <s v="CE93571"/>
    <n v="32611"/>
    <s v="2602955"/>
    <s v="2026001180"/>
    <s v="Produccion"/>
    <s v="Correduría"/>
    <s v="Temporal"/>
    <s v="Cobrado"/>
    <x v="52"/>
    <d v="2026-01-29T00:00:00"/>
    <d v="2026-02-17T00:00:00"/>
    <m/>
    <m/>
    <m/>
    <m/>
    <s v="Unico"/>
    <s v="Contingencias"/>
    <s v="Contingencias"/>
    <x v="9"/>
    <s v="CIRCLES GROUP, S.A."/>
    <s v="Euros"/>
    <n v="1161.56"/>
    <n v="211.19"/>
    <n v="211.19"/>
    <n v="0"/>
    <m/>
    <n v="0"/>
    <m/>
    <n v="0"/>
    <m/>
    <n v="0"/>
    <m/>
    <n v="0"/>
  </r>
  <r>
    <s v="ARAYTOR"/>
    <s v="B59343673"/>
    <s v="CE93597"/>
    <n v="32682"/>
    <s v="2603033"/>
    <s v="2026001181"/>
    <s v="Produccion"/>
    <s v="Correduría"/>
    <s v="Temporal"/>
    <s v="Cobrado"/>
    <x v="52"/>
    <d v="2026-02-16T00:00:00"/>
    <d v="2026-03-02T00:00:00"/>
    <m/>
    <m/>
    <m/>
    <m/>
    <s v="Unico"/>
    <s v="Contingencias"/>
    <s v="Contingencias"/>
    <x v="9"/>
    <s v="CIRCLES GROUP, S.A."/>
    <s v="Euros"/>
    <n v="17191.490000000002"/>
    <n v="3125.73"/>
    <n v="3125.73"/>
    <n v="0"/>
    <m/>
    <n v="0"/>
    <m/>
    <n v="0"/>
    <m/>
    <n v="0"/>
    <m/>
    <n v="0"/>
  </r>
  <r>
    <s v="ARAYTOR"/>
    <s v="B11459435"/>
    <s v="CE93586"/>
    <n v="32683"/>
    <s v="2603026"/>
    <s v="2026001182"/>
    <s v="Produccion"/>
    <s v="Correduría"/>
    <s v="Temporal"/>
    <s v="Cobrado"/>
    <x v="52"/>
    <d v="2026-02-16T00:00:00"/>
    <d v="2026-02-27T00:00:00"/>
    <m/>
    <m/>
    <m/>
    <m/>
    <s v="Unico"/>
    <s v="Contingencias"/>
    <s v="Contingencias"/>
    <x v="9"/>
    <s v="CIRCLES GROUP, S.A."/>
    <s v="Euros"/>
    <n v="3304.48"/>
    <n v="600.82000000000005"/>
    <n v="600.82000000000005"/>
    <n v="0"/>
    <m/>
    <n v="0"/>
    <m/>
    <n v="0"/>
    <m/>
    <n v="0"/>
    <m/>
    <n v="0"/>
  </r>
  <r>
    <s v="ARAYTOR"/>
    <s v="B11459435"/>
    <s v="CE93586"/>
    <n v="32683"/>
    <s v="2603027"/>
    <s v="2026001183"/>
    <s v="Produccion"/>
    <s v="Correduría"/>
    <s v="Temporal"/>
    <s v="Facturado"/>
    <x v="52"/>
    <d v="2026-02-16T00:00:00"/>
    <m/>
    <m/>
    <m/>
    <m/>
    <m/>
    <s v="Unico"/>
    <s v="Contingencias"/>
    <s v="Contingencias"/>
    <x v="9"/>
    <s v="CIRCLES GROUP, S.A."/>
    <s v="Euros"/>
    <n v="3304.48"/>
    <n v="600.82000000000005"/>
    <n v="600.82000000000005"/>
    <n v="0"/>
    <m/>
    <n v="0"/>
    <m/>
    <n v="0"/>
    <m/>
    <n v="0"/>
    <m/>
    <n v="0"/>
  </r>
  <r>
    <s v="ARAYTOR"/>
    <s v="B11459435"/>
    <s v="CE93586"/>
    <n v="32683"/>
    <s v="2603028"/>
    <s v="2026001184"/>
    <s v="Produccion"/>
    <s v="Correduría"/>
    <s v="Temporal"/>
    <s v="Facturado"/>
    <x v="52"/>
    <d v="2026-02-16T00:00:00"/>
    <m/>
    <m/>
    <m/>
    <m/>
    <m/>
    <s v="Unico"/>
    <s v="Contingencias"/>
    <s v="Contingencias"/>
    <x v="9"/>
    <s v="CIRCLES GROUP, S.A."/>
    <s v="Euros"/>
    <n v="3304.48"/>
    <n v="600.82000000000005"/>
    <n v="600.82000000000005"/>
    <n v="0"/>
    <m/>
    <n v="0"/>
    <m/>
    <n v="0"/>
    <m/>
    <n v="0"/>
    <m/>
    <n v="0"/>
  </r>
  <r>
    <s v="ARAYTOR"/>
    <s v="B21971411"/>
    <s v="CE92332-CE93757"/>
    <n v="32684"/>
    <s v="2602868"/>
    <s v="2026001185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6331.23"/>
    <n v="1151.1400000000001"/>
    <n v="1151.1400000000001"/>
    <n v="0"/>
    <m/>
    <n v="0"/>
    <m/>
    <n v="0"/>
    <m/>
    <n v="0"/>
    <m/>
    <n v="0"/>
  </r>
  <r>
    <s v="ARAYTOR"/>
    <s v="B21971411"/>
    <s v="CE92332-CE93757"/>
    <n v="32684"/>
    <s v="2602869"/>
    <s v="2026001186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1266.27"/>
    <n v="-230.24"/>
    <n v="-230.24"/>
    <n v="0"/>
    <m/>
    <n v="0"/>
    <m/>
    <n v="0"/>
    <m/>
    <n v="0"/>
    <m/>
    <n v="0"/>
  </r>
  <r>
    <s v="ARAYTOR"/>
    <s v="A84897230"/>
    <s v="CE92332-CE93760"/>
    <n v="32685"/>
    <s v="2602870"/>
    <s v="2026001187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19567.78"/>
    <n v="3557.78"/>
    <n v="3557.78"/>
    <n v="0"/>
    <m/>
    <n v="0"/>
    <m/>
    <n v="0"/>
    <m/>
    <n v="0"/>
    <m/>
    <n v="0"/>
  </r>
  <r>
    <s v="ARAYTOR"/>
    <s v="A84897230"/>
    <s v="CE92332-CE93760"/>
    <n v="32685"/>
    <s v="2602871"/>
    <s v="2026001188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3913.56"/>
    <n v="-711.55"/>
    <n v="-711.55"/>
    <n v="0"/>
    <m/>
    <n v="0"/>
    <m/>
    <n v="0"/>
    <m/>
    <n v="0"/>
    <m/>
    <n v="0"/>
  </r>
  <r>
    <s v="ARAYTOR"/>
    <s v="B44687515"/>
    <s v="CE92332-CE93767"/>
    <n v="32686"/>
    <s v="2602905"/>
    <s v="2026001189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6981.13"/>
    <n v="1269.3"/>
    <n v="1269.3"/>
    <n v="0"/>
    <m/>
    <n v="0"/>
    <m/>
    <n v="0"/>
    <m/>
    <n v="0"/>
    <m/>
    <n v="0"/>
  </r>
  <r>
    <s v="ARAYTOR"/>
    <s v="B44687515"/>
    <s v="CE92332-CE93767"/>
    <n v="32686"/>
    <s v="2602906"/>
    <s v="2026001190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1396.23"/>
    <n v="-253.86"/>
    <n v="-253.86"/>
    <n v="0"/>
    <m/>
    <n v="0"/>
    <m/>
    <n v="0"/>
    <m/>
    <n v="0"/>
    <m/>
    <n v="0"/>
  </r>
  <r>
    <s v="ARAYTOR"/>
    <s v="B83207290"/>
    <s v="CE92332-CE93768"/>
    <n v="32687"/>
    <s v="2602907"/>
    <s v="2026001191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23573.73"/>
    <n v="4286.1400000000003"/>
    <n v="4286.1400000000003"/>
    <n v="0"/>
    <m/>
    <n v="0"/>
    <m/>
    <n v="0"/>
    <m/>
    <n v="0"/>
    <m/>
    <n v="0"/>
  </r>
  <r>
    <s v="ARAYTOR"/>
    <s v="B83207290"/>
    <s v="CE92332-CE93768"/>
    <n v="32687"/>
    <s v="2602908"/>
    <s v="2026001192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4714.76"/>
    <n v="-857.23"/>
    <n v="-857.23"/>
    <n v="0"/>
    <m/>
    <n v="0"/>
    <m/>
    <n v="0"/>
    <m/>
    <n v="0"/>
    <m/>
    <n v="0"/>
  </r>
  <r>
    <s v="ARAYTOR"/>
    <s v="B13722020"/>
    <s v="CE92332-CE93777"/>
    <n v="32688"/>
    <s v="2602909"/>
    <s v="2026001193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137.22"/>
    <n v="24.94"/>
    <n v="24.94"/>
    <n v="0"/>
    <m/>
    <n v="0"/>
    <m/>
    <n v="0"/>
    <m/>
    <n v="0"/>
    <m/>
    <n v="0"/>
  </r>
  <r>
    <s v="ARAYTOR"/>
    <s v="B13722020"/>
    <s v="CE92332-CE93777"/>
    <n v="32688"/>
    <s v="2602910"/>
    <s v="2026001194"/>
    <s v="Produccion"/>
    <s v="Correduría"/>
    <s v="Temporal"/>
    <s v="Facturado"/>
    <x v="52"/>
    <d v="2026-02-12T00:00:00"/>
    <m/>
    <m/>
    <m/>
    <m/>
    <m/>
    <s v="Unico"/>
    <s v="Contingencias"/>
    <s v="Contingencias"/>
    <x v="9"/>
    <s v="CIRCLES GROUP, S.A."/>
    <s v="Euros"/>
    <n v="-27.44"/>
    <n v="-4.99"/>
    <n v="-4.99"/>
    <n v="0"/>
    <m/>
    <n v="0"/>
    <m/>
    <n v="0"/>
    <m/>
    <n v="0"/>
    <m/>
    <n v="0"/>
  </r>
  <r>
    <s v="ARAYTOR"/>
    <s v="B70917976"/>
    <s v="RCEXP-CA19345"/>
    <n v="32689"/>
    <s v="2603061"/>
    <s v="2026001195"/>
    <s v="Produccion"/>
    <s v="Correduría"/>
    <s v="Temporal"/>
    <s v="Cobrado"/>
    <x v="52"/>
    <d v="2026-03-01T00:00:00"/>
    <d v="2026-03-02T00:00:00"/>
    <m/>
    <m/>
    <m/>
    <m/>
    <s v="Unico"/>
    <s v="RC Empresa"/>
    <s v="RC Empresa"/>
    <x v="0"/>
    <s v="CIRCLES GROUP, S.A."/>
    <s v="Euros"/>
    <n v="878.41"/>
    <n v="159.71"/>
    <n v="159.71"/>
    <n v="0"/>
    <m/>
    <n v="0"/>
    <m/>
    <n v="0"/>
    <m/>
    <n v="0"/>
    <m/>
    <n v="0"/>
  </r>
  <r>
    <s v="ARAYTOR"/>
    <s v="B88262431"/>
    <s v="CE93787"/>
    <n v="32690"/>
    <s v="2602963"/>
    <s v="2026001196"/>
    <s v="Produccion"/>
    <s v="Correduría"/>
    <s v="Temporal"/>
    <s v="Cobrado"/>
    <x v="52"/>
    <d v="2026-02-13T00:00:00"/>
    <d v="2026-02-17T00:00:00"/>
    <m/>
    <m/>
    <m/>
    <m/>
    <s v="Unico"/>
    <s v="Contingencias"/>
    <s v="Contingencias"/>
    <x v="9"/>
    <s v="CIRCLES GROUP, S.A."/>
    <s v="Euros"/>
    <n v="6735.7"/>
    <n v="1224.67"/>
    <n v="1224.67"/>
    <n v="0"/>
    <m/>
    <n v="0"/>
    <m/>
    <n v="0"/>
    <m/>
    <n v="0"/>
    <m/>
    <n v="0"/>
  </r>
  <r>
    <s v="ARAYTOR"/>
    <s v="46234094T"/>
    <s v="147436"/>
    <n v="4818"/>
    <m/>
    <s v="2026001197"/>
    <s v="Cartera"/>
    <s v="Compañía"/>
    <s v="Renovable"/>
    <s v="Cobrado"/>
    <x v="52"/>
    <d v="2025-10-01T00:00:00"/>
    <d v="2026-02-18T00:00:00"/>
    <m/>
    <m/>
    <m/>
    <d v="2026-02-18T00:00:00"/>
    <s v="Mensual"/>
    <s v="Optima"/>
    <s v="Cuadro Cerrado"/>
    <x v="4"/>
    <s v="AXA WINTERTHUR (Gracia)"/>
    <s v="Euros"/>
    <n v="265.83999999999997"/>
    <n v="10.68"/>
    <n v="10.68"/>
    <n v="0"/>
    <m/>
    <n v="0"/>
    <m/>
    <n v="0"/>
    <m/>
    <n v="0"/>
    <m/>
    <n v="0"/>
  </r>
  <r>
    <s v="ARAYTOR"/>
    <s v="46234094T"/>
    <s v="147436"/>
    <n v="4818"/>
    <m/>
    <s v="2026001198"/>
    <s v="Cartera"/>
    <s v="Compañía"/>
    <s v="Renovable"/>
    <s v="Cobrado"/>
    <x v="52"/>
    <d v="2025-11-01T00:00:00"/>
    <d v="2026-02-18T00:00:00"/>
    <m/>
    <m/>
    <m/>
    <d v="2026-02-18T00:00:00"/>
    <s v="Mensual"/>
    <s v="Optima"/>
    <s v="Cuadro Cerrado"/>
    <x v="4"/>
    <s v="AXA WINTERTHUR (Gracia)"/>
    <s v="Euros"/>
    <n v="265.83999999999997"/>
    <n v="10.68"/>
    <n v="10.68"/>
    <n v="0"/>
    <m/>
    <n v="0"/>
    <m/>
    <n v="0"/>
    <m/>
    <n v="0"/>
    <m/>
    <n v="0"/>
  </r>
  <r>
    <s v="ARAYTOR"/>
    <s v="46234094T"/>
    <s v="147436"/>
    <n v="4818"/>
    <m/>
    <s v="2026001199"/>
    <s v="Cartera"/>
    <s v="Compañía"/>
    <s v="Renovable"/>
    <s v="Cobrado"/>
    <x v="52"/>
    <d v="2025-12-01T00:00:00"/>
    <d v="2026-02-18T00:00:00"/>
    <m/>
    <m/>
    <m/>
    <d v="2026-02-18T00:00:00"/>
    <s v="Mensual"/>
    <s v="Optima"/>
    <s v="Cuadro Cerrado"/>
    <x v="4"/>
    <s v="AXA WINTERTHUR (Gracia)"/>
    <s v="Euros"/>
    <n v="265.83999999999997"/>
    <n v="10.68"/>
    <n v="10.68"/>
    <n v="0"/>
    <m/>
    <n v="0"/>
    <m/>
    <n v="0"/>
    <m/>
    <n v="0"/>
    <m/>
    <n v="0"/>
  </r>
  <r>
    <s v="ARAYTOR"/>
    <s v="37724403X"/>
    <s v="169692"/>
    <n v="10261"/>
    <m/>
    <s v="2026001200"/>
    <s v="Cartera"/>
    <s v="Compañía"/>
    <s v="Renovable"/>
    <s v="Cobrado"/>
    <x v="52"/>
    <d v="2025-10-01T00:00:00"/>
    <d v="2026-02-18T00:00:00"/>
    <m/>
    <m/>
    <m/>
    <d v="2026-02-18T00:00:00"/>
    <s v="Mensual"/>
    <s v="Optima"/>
    <s v="Cuadro Cerrado"/>
    <x v="4"/>
    <s v="AXA WINTERTHUR (Gracia)"/>
    <s v="Euros"/>
    <n v="415.96"/>
    <n v="15.71"/>
    <n v="15.71"/>
    <n v="0"/>
    <m/>
    <n v="0"/>
    <m/>
    <n v="0"/>
    <m/>
    <n v="0"/>
    <m/>
    <n v="0"/>
  </r>
  <r>
    <s v="ARAYTOR"/>
    <s v="37724403X"/>
    <s v="169692"/>
    <n v="10261"/>
    <m/>
    <s v="2026001201"/>
    <s v="Cartera"/>
    <s v="Compañía"/>
    <s v="Renovable"/>
    <s v="Cobrado"/>
    <x v="52"/>
    <d v="2025-11-01T00:00:00"/>
    <d v="2026-02-18T00:00:00"/>
    <m/>
    <m/>
    <m/>
    <d v="2026-02-18T00:00:00"/>
    <s v="Mensual"/>
    <s v="Optima"/>
    <s v="Cuadro Cerrado"/>
    <x v="4"/>
    <s v="AXA WINTERTHUR (Gracia)"/>
    <s v="Euros"/>
    <n v="415.96"/>
    <n v="15.71"/>
    <n v="15.71"/>
    <n v="0"/>
    <m/>
    <n v="0"/>
    <m/>
    <n v="0"/>
    <m/>
    <n v="0"/>
    <m/>
    <n v="0"/>
  </r>
  <r>
    <s v="ARAYTOR"/>
    <s v="37724403X"/>
    <s v="169692"/>
    <n v="10261"/>
    <m/>
    <s v="2026001202"/>
    <s v="Cartera"/>
    <s v="Compañía"/>
    <s v="Renovable"/>
    <s v="Cobrado"/>
    <x v="52"/>
    <d v="2025-12-01T00:00:00"/>
    <d v="2026-02-18T00:00:00"/>
    <m/>
    <m/>
    <m/>
    <d v="2026-02-18T00:00:00"/>
    <s v="Mensual"/>
    <s v="Optima"/>
    <s v="Cuadro Cerrado"/>
    <x v="4"/>
    <s v="AXA WINTERTHUR (Gracia)"/>
    <s v="Euros"/>
    <n v="415.96"/>
    <n v="15.71"/>
    <n v="15.71"/>
    <n v="0"/>
    <m/>
    <n v="0"/>
    <m/>
    <n v="0"/>
    <m/>
    <n v="0"/>
    <m/>
    <n v="0"/>
  </r>
  <r>
    <s v="ARAYTOR"/>
    <s v="37629835H"/>
    <s v="006000410263800069"/>
    <n v="5864"/>
    <m/>
    <s v="2026001203"/>
    <s v="Cartera"/>
    <s v="Compañía"/>
    <s v="Renovable"/>
    <s v="Cobrado"/>
    <x v="52"/>
    <d v="2025-10-01T00:00:00"/>
    <d v="2026-02-18T00:00:00"/>
    <m/>
    <m/>
    <m/>
    <d v="2026-02-18T00:00:00"/>
    <s v="Mensual"/>
    <s v="Mundisalud colectivos"/>
    <s v="Colectivo Salud"/>
    <x v="10"/>
    <s v="DKV (Gracia)"/>
    <s v="Euros"/>
    <n v="691.12"/>
    <n v="27.6"/>
    <n v="27.6"/>
    <n v="0"/>
    <m/>
    <n v="0"/>
    <m/>
    <n v="0"/>
    <m/>
    <n v="0"/>
    <m/>
    <n v="0"/>
  </r>
  <r>
    <s v="ARAYTOR"/>
    <s v="37629835H"/>
    <s v="006000410263800069"/>
    <n v="5864"/>
    <m/>
    <s v="2026001204"/>
    <s v="Cartera"/>
    <s v="Compañía"/>
    <s v="Renovable"/>
    <s v="Cobrado"/>
    <x v="52"/>
    <d v="2025-11-01T00:00:00"/>
    <d v="2026-02-18T00:00:00"/>
    <m/>
    <m/>
    <m/>
    <d v="2026-02-18T00:00:00"/>
    <s v="Mensual"/>
    <s v="Mundisalud colectivos"/>
    <s v="Colectivo Salud"/>
    <x v="10"/>
    <s v="DKV (Gracia)"/>
    <s v="Euros"/>
    <n v="691.12"/>
    <n v="27.6"/>
    <n v="27.6"/>
    <n v="0"/>
    <m/>
    <n v="0"/>
    <m/>
    <n v="0"/>
    <m/>
    <n v="0"/>
    <m/>
    <n v="0"/>
  </r>
  <r>
    <s v="ARAYTOR"/>
    <s v="37629835H"/>
    <s v="006000410263800069"/>
    <n v="5864"/>
    <m/>
    <s v="2026001205"/>
    <s v="Cartera"/>
    <s v="Compañía"/>
    <s v="Renovable"/>
    <s v="Cobrado"/>
    <x v="52"/>
    <d v="2025-12-01T00:00:00"/>
    <d v="2026-02-18T00:00:00"/>
    <m/>
    <m/>
    <m/>
    <d v="2026-02-18T00:00:00"/>
    <s v="Mensual"/>
    <s v="Mundisalud colectivos"/>
    <s v="Colectivo Salud"/>
    <x v="10"/>
    <s v="DKV (Gracia)"/>
    <s v="Euros"/>
    <n v="691.12"/>
    <n v="27.6"/>
    <n v="27.6"/>
    <n v="0"/>
    <m/>
    <n v="0"/>
    <m/>
    <n v="0"/>
    <m/>
    <n v="0"/>
    <m/>
    <n v="0"/>
  </r>
  <r>
    <s v="ARAYTOR"/>
    <m/>
    <s v="441190"/>
    <n v="10244"/>
    <m/>
    <s v="2026001206"/>
    <s v="Cartera"/>
    <s v="Compañía"/>
    <s v="Renovable"/>
    <s v="Cobrado"/>
    <x v="52"/>
    <d v="2025-10-01T00:00:00"/>
    <d v="2026-02-18T00:00:00"/>
    <m/>
    <m/>
    <m/>
    <d v="2026-02-18T00:00:00"/>
    <s v="Mensual"/>
    <s v="Optima"/>
    <s v="Cuadro Cerrado"/>
    <x v="4"/>
    <s v="AXA WINTERTHUR (Gracia)"/>
    <s v="Euros"/>
    <n v="90.16"/>
    <n v="4.47"/>
    <n v="4.47"/>
    <n v="0"/>
    <m/>
    <n v="0"/>
    <m/>
    <n v="0"/>
    <m/>
    <n v="0"/>
    <m/>
    <n v="0"/>
  </r>
  <r>
    <s v="ARAYTOR"/>
    <m/>
    <s v="441190"/>
    <n v="10244"/>
    <m/>
    <s v="2026001207"/>
    <s v="Cartera"/>
    <s v="Compañía"/>
    <s v="Renovable"/>
    <s v="Cobrado"/>
    <x v="52"/>
    <d v="2025-11-01T00:00:00"/>
    <d v="2026-02-18T00:00:00"/>
    <m/>
    <m/>
    <m/>
    <d v="2026-02-18T00:00:00"/>
    <s v="Mensual"/>
    <s v="Optima"/>
    <s v="Cuadro Cerrado"/>
    <x v="4"/>
    <s v="AXA WINTERTHUR (Gracia)"/>
    <s v="Euros"/>
    <n v="90.16"/>
    <n v="4.47"/>
    <n v="4.47"/>
    <n v="0"/>
    <m/>
    <n v="0"/>
    <m/>
    <n v="0"/>
    <m/>
    <n v="0"/>
    <m/>
    <n v="0"/>
  </r>
  <r>
    <s v="ARAYTOR"/>
    <m/>
    <s v="441190"/>
    <n v="10244"/>
    <m/>
    <s v="2026001208"/>
    <s v="Cartera"/>
    <s v="Compañía"/>
    <s v="Renovable"/>
    <s v="Cobrado"/>
    <x v="52"/>
    <d v="2025-12-01T00:00:00"/>
    <d v="2026-02-18T00:00:00"/>
    <m/>
    <m/>
    <m/>
    <d v="2026-02-18T00:00:00"/>
    <s v="Mensual"/>
    <s v="Optima"/>
    <s v="Cuadro Cerrado"/>
    <x v="4"/>
    <s v="AXA WINTERTHUR (Gracia)"/>
    <s v="Euros"/>
    <n v="90.16"/>
    <n v="4.47"/>
    <n v="4.47"/>
    <n v="0"/>
    <m/>
    <n v="0"/>
    <m/>
    <n v="0"/>
    <m/>
    <n v="0"/>
    <m/>
    <n v="0"/>
  </r>
  <r>
    <s v="ARAYTOR"/>
    <s v="36441656L"/>
    <s v="64664"/>
    <n v="19146"/>
    <m/>
    <s v="2026001209"/>
    <s v="Cartera"/>
    <s v="Compañía"/>
    <s v="Renovable"/>
    <s v="Cobrado"/>
    <x v="52"/>
    <d v="2025-10-01T00:00:00"/>
    <d v="2026-02-18T00:00:00"/>
    <m/>
    <m/>
    <m/>
    <d v="2026-02-18T00:00:00"/>
    <s v="Mensual"/>
    <s v="Optima Plus"/>
    <s v="Mixta"/>
    <x v="4"/>
    <s v="AXA WINTERTHUR (Gracia)"/>
    <s v="Euros"/>
    <n v="1023.62"/>
    <n v="50.76"/>
    <n v="50.76"/>
    <n v="0"/>
    <m/>
    <n v="0"/>
    <m/>
    <n v="0"/>
    <m/>
    <n v="0"/>
    <m/>
    <n v="0"/>
  </r>
  <r>
    <s v="ARAYTOR"/>
    <s v="36441656L"/>
    <s v="64664"/>
    <n v="19146"/>
    <m/>
    <s v="2026001210"/>
    <s v="Cartera"/>
    <s v="Compañía"/>
    <s v="Renovable"/>
    <s v="Cobrado"/>
    <x v="52"/>
    <d v="2025-11-01T00:00:00"/>
    <d v="2026-02-18T00:00:00"/>
    <m/>
    <m/>
    <m/>
    <d v="2026-02-18T00:00:00"/>
    <s v="Mensual"/>
    <s v="Optima Plus"/>
    <s v="Mixta"/>
    <x v="4"/>
    <s v="AXA WINTERTHUR (Gracia)"/>
    <s v="Euros"/>
    <n v="1023.62"/>
    <n v="50.76"/>
    <n v="50.76"/>
    <n v="0"/>
    <m/>
    <n v="0"/>
    <m/>
    <n v="0"/>
    <m/>
    <n v="0"/>
    <m/>
    <n v="0"/>
  </r>
  <r>
    <s v="ARAYTOR"/>
    <s v="36441656L"/>
    <s v="64664"/>
    <n v="19146"/>
    <m/>
    <s v="2026001211"/>
    <s v="Cartera"/>
    <s v="Compañía"/>
    <s v="Renovable"/>
    <s v="Cobrado"/>
    <x v="52"/>
    <d v="2025-12-01T00:00:00"/>
    <d v="2026-02-18T00:00:00"/>
    <m/>
    <m/>
    <m/>
    <d v="2026-02-18T00:00:00"/>
    <s v="Mensual"/>
    <s v="Optima Plus"/>
    <s v="Mixta"/>
    <x v="4"/>
    <s v="AXA WINTERTHUR (Gracia)"/>
    <s v="Euros"/>
    <n v="1023.62"/>
    <n v="50.76"/>
    <n v="50.76"/>
    <n v="0"/>
    <m/>
    <n v="0"/>
    <m/>
    <n v="0"/>
    <m/>
    <n v="0"/>
    <m/>
    <n v="0"/>
  </r>
  <r>
    <s v="ARAYTOR"/>
    <s v="39724187J"/>
    <s v="437208"/>
    <n v="7755"/>
    <m/>
    <s v="2026001212"/>
    <s v="Cartera"/>
    <s v="Compañía"/>
    <s v="Renovable"/>
    <s v="Cobrado"/>
    <x v="52"/>
    <d v="2025-10-01T00:00:00"/>
    <d v="2026-02-18T00:00:00"/>
    <m/>
    <m/>
    <m/>
    <d v="2026-02-18T00:00:00"/>
    <s v="Mensual"/>
    <s v="Salud Premium Top"/>
    <s v="Mixta"/>
    <x v="4"/>
    <s v="ADESLAS  (Gracia)"/>
    <s v="Euros"/>
    <n v="96.11"/>
    <n v="4.8"/>
    <n v="4.8"/>
    <n v="0"/>
    <m/>
    <n v="0"/>
    <m/>
    <n v="0"/>
    <m/>
    <n v="0"/>
    <m/>
    <n v="0"/>
  </r>
  <r>
    <s v="ARAYTOR"/>
    <s v="39724187J"/>
    <s v="437208"/>
    <n v="7755"/>
    <m/>
    <s v="2026001213"/>
    <s v="Cartera"/>
    <s v="Compañía"/>
    <s v="Renovable"/>
    <s v="Cobrado"/>
    <x v="52"/>
    <d v="2025-11-01T00:00:00"/>
    <d v="2026-02-18T00:00:00"/>
    <m/>
    <m/>
    <m/>
    <d v="2026-02-18T00:00:00"/>
    <s v="Mensual"/>
    <s v="Salud Premium Top"/>
    <s v="Mixta"/>
    <x v="4"/>
    <s v="ADESLAS  (Gracia)"/>
    <s v="Euros"/>
    <n v="96.11"/>
    <n v="4.8"/>
    <n v="4.8"/>
    <n v="0"/>
    <m/>
    <n v="0"/>
    <m/>
    <n v="0"/>
    <m/>
    <n v="0"/>
    <m/>
    <n v="0"/>
  </r>
  <r>
    <s v="ARAYTOR"/>
    <s v="39724187J"/>
    <s v="437208"/>
    <n v="7755"/>
    <m/>
    <s v="2026001214"/>
    <s v="Cartera"/>
    <s v="Compañía"/>
    <s v="Renovable"/>
    <s v="Cobrado"/>
    <x v="52"/>
    <d v="2025-12-01T00:00:00"/>
    <d v="2026-02-18T00:00:00"/>
    <m/>
    <m/>
    <m/>
    <d v="2026-02-18T00:00:00"/>
    <s v="Mensual"/>
    <s v="Salud Premium Top"/>
    <s v="Mixta"/>
    <x v="4"/>
    <s v="ADESLAS  (Gracia)"/>
    <s v="Euros"/>
    <n v="96.11"/>
    <n v="4.8"/>
    <n v="4.8"/>
    <n v="0"/>
    <m/>
    <n v="0"/>
    <m/>
    <n v="0"/>
    <m/>
    <n v="0"/>
    <m/>
    <n v="0"/>
  </r>
  <r>
    <s v="ARAYTOR"/>
    <m/>
    <s v="441195"/>
    <n v="10245"/>
    <m/>
    <s v="2026001215"/>
    <s v="Cartera"/>
    <s v="Compañía"/>
    <s v="Renovable"/>
    <s v="Cobrado"/>
    <x v="52"/>
    <d v="2025-10-01T00:00:00"/>
    <d v="2026-02-18T00:00:00"/>
    <m/>
    <m/>
    <m/>
    <d v="2026-02-18T00:00:00"/>
    <s v="Mensual"/>
    <s v="Optima"/>
    <s v="Cuadro Cerrado"/>
    <x v="4"/>
    <s v="AXA WINTERTHUR (Gracia)"/>
    <s v="Euros"/>
    <n v="270.48"/>
    <n v="13.41"/>
    <n v="13.41"/>
    <n v="0"/>
    <m/>
    <n v="0"/>
    <m/>
    <n v="0"/>
    <m/>
    <n v="0"/>
    <m/>
    <n v="0"/>
  </r>
  <r>
    <s v="ARAYTOR"/>
    <m/>
    <s v="441195"/>
    <n v="10245"/>
    <m/>
    <s v="2026001216"/>
    <s v="Cartera"/>
    <s v="Compañía"/>
    <s v="Renovable"/>
    <s v="Cobrado"/>
    <x v="52"/>
    <d v="2025-11-01T00:00:00"/>
    <d v="2026-02-18T00:00:00"/>
    <m/>
    <m/>
    <m/>
    <d v="2026-02-18T00:00:00"/>
    <s v="Mensual"/>
    <s v="Optima"/>
    <s v="Cuadro Cerrado"/>
    <x v="4"/>
    <s v="AXA WINTERTHUR (Gracia)"/>
    <s v="Euros"/>
    <n v="270.48"/>
    <n v="13.41"/>
    <n v="13.41"/>
    <n v="0"/>
    <m/>
    <n v="0"/>
    <m/>
    <n v="0"/>
    <m/>
    <n v="0"/>
    <m/>
    <n v="0"/>
  </r>
  <r>
    <s v="ARAYTOR"/>
    <m/>
    <s v="441195"/>
    <n v="10245"/>
    <m/>
    <s v="2026001217"/>
    <s v="Cartera"/>
    <s v="Compañía"/>
    <s v="Renovable"/>
    <s v="Cobrado"/>
    <x v="52"/>
    <d v="2025-12-01T00:00:00"/>
    <d v="2026-02-18T00:00:00"/>
    <m/>
    <m/>
    <m/>
    <d v="2026-02-18T00:00:00"/>
    <s v="Mensual"/>
    <s v="Optima"/>
    <s v="Cuadro Cerrado"/>
    <x v="4"/>
    <s v="AXA WINTERTHUR (Gracia)"/>
    <s v="Euros"/>
    <n v="270.48"/>
    <n v="13.41"/>
    <n v="13.41"/>
    <n v="0"/>
    <m/>
    <n v="0"/>
    <m/>
    <n v="0"/>
    <m/>
    <n v="0"/>
    <m/>
    <n v="0"/>
  </r>
  <r>
    <s v="ARAYTOR"/>
    <s v="35042191N"/>
    <s v="83040118"/>
    <n v="21804"/>
    <m/>
    <s v="2026001218"/>
    <s v="Cartera"/>
    <s v="Compañía"/>
    <s v="Renovable"/>
    <s v="Cobrado"/>
    <x v="52"/>
    <d v="2025-12-01T00:00:00"/>
    <d v="2026-02-18T00:00:00"/>
    <m/>
    <m/>
    <m/>
    <d v="2026-02-18T00:00:00"/>
    <s v="Anual"/>
    <s v="Dental"/>
    <s v="Dental"/>
    <x v="4"/>
    <s v="SANITAS (Gracia)"/>
    <s v="Euros"/>
    <n v="162.24"/>
    <n v="5.67"/>
    <n v="5.67"/>
    <n v="0"/>
    <m/>
    <n v="0"/>
    <m/>
    <n v="0"/>
    <m/>
    <n v="0"/>
    <m/>
    <n v="0"/>
  </r>
  <r>
    <s v="ARAYTOR"/>
    <s v="G16424517"/>
    <s v="404583"/>
    <n v="32691"/>
    <s v="569382"/>
    <s v="2026001219"/>
    <s v="Produccion"/>
    <s v="Correduría"/>
    <s v="Temporal"/>
    <s v="Cobrado"/>
    <x v="53"/>
    <d v="2026-02-19T00:00:00"/>
    <d v="2026-02-25T00:00:00"/>
    <m/>
    <m/>
    <m/>
    <d v="2026-03-01T00:00:00"/>
    <s v="Unico"/>
    <s v="Temporal Nominado"/>
    <s v="Asistencia en Viaje"/>
    <x v="7"/>
    <s v="Iris Global Soluciones"/>
    <s v="Euros"/>
    <n v="342.8"/>
    <n v="85.7"/>
    <n v="85.7"/>
    <n v="0"/>
    <m/>
    <n v="0"/>
    <m/>
    <n v="0"/>
    <m/>
    <n v="0"/>
    <m/>
    <n v="0"/>
  </r>
  <r>
    <s v="ARAYTOR"/>
    <s v="B50717750"/>
    <s v="033939278"/>
    <n v="14191"/>
    <s v="882126117"/>
    <s v="2026001220"/>
    <s v="Ajustes"/>
    <s v="Correduría"/>
    <s v="Renovable"/>
    <s v="Cobrado"/>
    <x v="53"/>
    <d v="2025-01-17T00:00:00"/>
    <d v="2026-02-18T00:00:00"/>
    <m/>
    <m/>
    <m/>
    <d v="2026-04-01T00:00:00"/>
    <s v="Anual"/>
    <s v="156 Accidentes Convenio"/>
    <s v="Accidentes"/>
    <x v="4"/>
    <s v="ALLIANZ"/>
    <s v="Euros"/>
    <n v="-21.36"/>
    <n v="-4.2699999999999996"/>
    <n v="-4.2699999999999996"/>
    <n v="0"/>
    <m/>
    <n v="0"/>
    <m/>
    <n v="0"/>
    <m/>
    <n v="0"/>
    <m/>
    <n v="0"/>
  </r>
  <r>
    <s v="ARAYTOR"/>
    <s v="B11459435"/>
    <s v="047600650"/>
    <n v="22983"/>
    <s v="882258191"/>
    <s v="2026001221"/>
    <s v="Suplemento modificacion de produccion"/>
    <s v="Correduría"/>
    <s v="Renovable"/>
    <s v="Cobrado"/>
    <x v="53"/>
    <d v="2024-09-01T00:00:00"/>
    <d v="2026-03-04T00:00:00"/>
    <m/>
    <m/>
    <m/>
    <m/>
    <s v="Anual"/>
    <s v="156 Accidentes Convenio"/>
    <s v="Accidentes"/>
    <x v="4"/>
    <s v="ALLIANZ"/>
    <s v="Euros"/>
    <n v="364.54"/>
    <n v="72.91"/>
    <n v="72.91"/>
    <n v="0"/>
    <m/>
    <n v="0"/>
    <m/>
    <n v="0"/>
    <m/>
    <n v="0"/>
    <m/>
    <n v="0"/>
  </r>
  <r>
    <s v="ARAYTOR"/>
    <s v="E70873898"/>
    <s v="82568282"/>
    <n v="32584"/>
    <s v="17369529"/>
    <s v="2026001222"/>
    <s v="Suplemento modificacion de produccion"/>
    <s v="Compañía"/>
    <s v="Renovable"/>
    <s v="Anulado"/>
    <x v="53"/>
    <d v="2026-02-14T00:00:00"/>
    <m/>
    <m/>
    <d v="2026-02-14T00:00:00"/>
    <m/>
    <m/>
    <s v="Anual"/>
    <s v="08757 - RC GENERAL"/>
    <s v="RC Empresa"/>
    <x v="0"/>
    <s v="AXA"/>
    <s v="Euros"/>
    <n v="464.33"/>
    <n v="102.16"/>
    <n v="92.87"/>
    <n v="0"/>
    <m/>
    <n v="0"/>
    <m/>
    <n v="0"/>
    <m/>
    <n v="0"/>
    <m/>
    <n v="0"/>
  </r>
  <r>
    <s v="ARAYTOR"/>
    <s v="E70873898"/>
    <s v="82568282"/>
    <n v="32584"/>
    <s v="22018634"/>
    <s v="2026001223"/>
    <s v="Suplemento modificacion de produccion"/>
    <s v="Compañía"/>
    <s v="Renovable"/>
    <s v="Anulado"/>
    <x v="53"/>
    <d v="2026-02-14T00:00:00"/>
    <m/>
    <m/>
    <d v="2026-02-14T00:00:00"/>
    <m/>
    <m/>
    <s v="Anual"/>
    <s v="08757 - RC GENERAL"/>
    <s v="RC Empresa"/>
    <x v="0"/>
    <s v="AXA"/>
    <s v="Euros"/>
    <n v="464.34"/>
    <n v="102.16"/>
    <n v="92.87"/>
    <n v="0"/>
    <m/>
    <n v="0"/>
    <m/>
    <n v="0"/>
    <m/>
    <n v="0"/>
    <m/>
    <n v="0"/>
  </r>
  <r>
    <s v="ARAYTOR"/>
    <s v="B64753791"/>
    <s v="29/3119543"/>
    <n v="32307"/>
    <s v="264573801"/>
    <s v="2026001224"/>
    <s v="Produccion"/>
    <s v="Compañía"/>
    <s v="Renovable"/>
    <s v="Cobrado"/>
    <x v="53"/>
    <d v="2026-02-01T00:00:00"/>
    <d v="2026-02-24T00:00:00"/>
    <m/>
    <m/>
    <m/>
    <m/>
    <s v="Mensual"/>
    <s v="6 - MEDIFIATC PROGRES"/>
    <s v="Colectivo Salud"/>
    <x v="10"/>
    <s v="FIATC "/>
    <s v="Euros"/>
    <n v="7969.04"/>
    <n v="398.45"/>
    <n v="398.45"/>
    <n v="0"/>
    <m/>
    <n v="0"/>
    <m/>
    <n v="0"/>
    <m/>
    <n v="0"/>
    <m/>
    <n v="0"/>
  </r>
  <r>
    <s v="ARAYTOR"/>
    <s v="W0380386C"/>
    <s v="404613"/>
    <n v="32692"/>
    <s v="569414"/>
    <s v="2026001225"/>
    <s v="Produccion"/>
    <s v="Correduría"/>
    <s v="Temporal"/>
    <s v="Cobrado"/>
    <x v="53"/>
    <d v="2026-02-22T00:00:00"/>
    <d v="2026-03-04T00:00:00"/>
    <m/>
    <m/>
    <m/>
    <m/>
    <s v="Unico"/>
    <s v="Temporal Nominado"/>
    <s v="Asistencia en Viaje"/>
    <x v="7"/>
    <s v="Iris Global Soluciones"/>
    <s v="Euros"/>
    <n v="2673.84"/>
    <n v="668.46"/>
    <n v="668.46"/>
    <n v="0"/>
    <m/>
    <n v="0"/>
    <m/>
    <n v="0"/>
    <m/>
    <n v="0"/>
    <m/>
    <n v="0"/>
  </r>
  <r>
    <s v="ARAYTOR"/>
    <s v="B43313915"/>
    <s v="20/7342364"/>
    <n v="29474"/>
    <s v="264572170"/>
    <s v="2026001226"/>
    <s v="Ajustes"/>
    <s v="Correduría"/>
    <s v="Renovable"/>
    <s v="Cobrado"/>
    <x v="53"/>
    <d v="2026-01-01T00:00:00"/>
    <d v="2026-02-18T00:00:00"/>
    <m/>
    <m/>
    <m/>
    <d v="2026-04-01T00:00:00"/>
    <s v="Trimestral"/>
    <s v="M - MAXI-AUTO"/>
    <s v="Vehiculos"/>
    <x v="1"/>
    <s v="FIATC "/>
    <s v="Euros"/>
    <n v="-366.92"/>
    <n v="-14.68"/>
    <n v="-14.68"/>
    <n v="0"/>
    <m/>
    <n v="0"/>
    <m/>
    <n v="0"/>
    <m/>
    <n v="0"/>
    <m/>
    <n v="0"/>
  </r>
  <r>
    <s v="ARAYTOR"/>
    <s v="V56292196"/>
    <s v="30/1114319"/>
    <n v="32693"/>
    <s v="264574012"/>
    <s v="2026001227"/>
    <s v="Produccion"/>
    <s v="Compañía"/>
    <s v="Temporal"/>
    <s v="Facturado"/>
    <x v="53"/>
    <d v="2026-03-05T00:00:00"/>
    <m/>
    <m/>
    <m/>
    <m/>
    <m/>
    <s v="Unico"/>
    <s v="30 Accidentes "/>
    <s v="Accidentes Colectivo"/>
    <x v="10"/>
    <s v="FIATC "/>
    <s v="Euros"/>
    <n v="81.209999999999994"/>
    <n v="16.239999999999998"/>
    <n v="16.239999999999998"/>
    <n v="0"/>
    <m/>
    <n v="0"/>
    <m/>
    <n v="0"/>
    <m/>
    <n v="0"/>
    <m/>
    <n v="0"/>
  </r>
  <r>
    <s v="ARAYTOR"/>
    <s v="B43313915"/>
    <s v="30/2021111"/>
    <n v="22615"/>
    <s v="264574885"/>
    <s v="2026001228"/>
    <s v="Suplemento modificacion de produccion"/>
    <s v="Correduría"/>
    <s v="Renovable"/>
    <s v="Cobrado"/>
    <x v="53"/>
    <d v="2024-12-31T00:00:00"/>
    <d v="2026-02-18T00:00:00"/>
    <m/>
    <m/>
    <m/>
    <d v="2026-04-01T00:00:00"/>
    <s v="Anual"/>
    <s v="Accidentes"/>
    <s v="Accidentes Colectivo"/>
    <x v="10"/>
    <s v="FIATC "/>
    <s v="Euros"/>
    <n v="10711.62"/>
    <n v="2142.3200000000002"/>
    <n v="2142.3200000000002"/>
    <n v="0"/>
    <m/>
    <n v="0"/>
    <m/>
    <n v="0"/>
    <m/>
    <n v="0"/>
    <m/>
    <n v="0"/>
  </r>
  <r>
    <s v="ARAYTOR"/>
    <s v="B61484184"/>
    <s v="93/5005542"/>
    <n v="23150"/>
    <s v="264574134"/>
    <s v="2026001229"/>
    <s v="Suplemento modificacion de produccion"/>
    <s v="Correduría"/>
    <s v="Renovable"/>
    <s v="Facturado"/>
    <x v="53"/>
    <d v="2026-02-16T00:00:00"/>
    <m/>
    <m/>
    <m/>
    <m/>
    <m/>
    <s v="Anual"/>
    <s v="110 2 Abono Transportsita"/>
    <s v="Daños Operador"/>
    <x v="6"/>
    <s v="FIATC "/>
    <s v="Euros"/>
    <n v="359.13"/>
    <n v="71.83"/>
    <n v="71.83"/>
    <n v="0"/>
    <m/>
    <n v="0"/>
    <m/>
    <n v="0"/>
    <m/>
    <n v="0"/>
    <m/>
    <n v="0"/>
  </r>
  <r>
    <s v="ARAYTOR"/>
    <s v="44819986R"/>
    <s v="3563835"/>
    <n v="27982"/>
    <s v="3563835-3"/>
    <s v="2026001230"/>
    <s v="Suplemento modificacion de produccion"/>
    <s v="Correduría"/>
    <s v="Renovable"/>
    <s v="Facturado"/>
    <x v="53"/>
    <d v="2026-03-30T00:00:00"/>
    <m/>
    <m/>
    <m/>
    <m/>
    <m/>
    <s v="Anual"/>
    <s v="RC Musica"/>
    <s v="RC Promotor Musica"/>
    <x v="0"/>
    <s v="Hiscox S.A Sucursal en España"/>
    <s v="Euros"/>
    <n v="507.57"/>
    <n v="126.91"/>
    <n v="126.91"/>
    <n v="0"/>
    <m/>
    <n v="0"/>
    <m/>
    <n v="0"/>
    <m/>
    <n v="0"/>
    <m/>
    <n v="0"/>
  </r>
  <r>
    <s v="ARAYTOR"/>
    <s v="B01717701"/>
    <s v="RCEXP-CA17348"/>
    <n v="30570"/>
    <s v="2603165"/>
    <s v="2026001231"/>
    <s v="Produccion"/>
    <s v="Correduría"/>
    <s v="Temporal"/>
    <s v="Cobrado"/>
    <x v="53"/>
    <d v="2026-02-13T00:00:00"/>
    <d v="2026-02-23T00:00:00"/>
    <m/>
    <m/>
    <m/>
    <m/>
    <s v="Unico"/>
    <s v="RC Empresa"/>
    <s v="RC Empresa"/>
    <x v="0"/>
    <s v="CIRCLES GROUP, S.A."/>
    <s v="Euros"/>
    <n v="138.69999999999999"/>
    <n v="25.22"/>
    <n v="25.22"/>
    <n v="0"/>
    <m/>
    <n v="0"/>
    <m/>
    <n v="0"/>
    <m/>
    <n v="0"/>
    <m/>
    <n v="0"/>
  </r>
  <r>
    <s v="ARAYTOR"/>
    <s v="B09944570"/>
    <s v="RCEXP-CA17431"/>
    <n v="30652"/>
    <s v="2603114"/>
    <s v="2026001232"/>
    <s v="Produccion"/>
    <s v="Correduría"/>
    <s v="Temporal"/>
    <s v="Facturado"/>
    <x v="53"/>
    <d v="2026-03-01T00:00:00"/>
    <m/>
    <m/>
    <m/>
    <m/>
    <m/>
    <s v="Unico"/>
    <s v="RC Empresa"/>
    <s v="RC Empresa"/>
    <x v="0"/>
    <s v="CIRCLES GROUP, S.A."/>
    <s v="Euros"/>
    <n v="554.79"/>
    <n v="100.87"/>
    <n v="100.87"/>
    <n v="0"/>
    <m/>
    <n v="0"/>
    <s v="RIBE &amp; SALAT, S.A."/>
    <n v="55.48"/>
    <m/>
    <n v="0"/>
    <m/>
    <n v="0"/>
  </r>
  <r>
    <s v="ARAYTOR"/>
    <s v="Y3848151N"/>
    <s v="RCEXP-CA19174"/>
    <n v="32546"/>
    <s v="2603164"/>
    <s v="2026001233"/>
    <s v="Produccion"/>
    <s v="Correduría"/>
    <s v="Temporal"/>
    <s v="Cobrado"/>
    <x v="53"/>
    <d v="2026-02-01T00:00:00"/>
    <d v="2026-02-18T00:00:00"/>
    <m/>
    <m/>
    <m/>
    <m/>
    <s v="Unico"/>
    <s v="RC Empresa"/>
    <s v="RC Empresa"/>
    <x v="0"/>
    <s v="CIRCLES GROUP, S.A."/>
    <s v="Euros"/>
    <n v="-508.55"/>
    <n v="-92.46"/>
    <n v="-92.46"/>
    <n v="0"/>
    <m/>
    <n v="0"/>
    <m/>
    <n v="0"/>
    <m/>
    <n v="0"/>
    <m/>
    <n v="0"/>
  </r>
  <r>
    <s v="ARAYTOR"/>
    <s v="B13722020"/>
    <s v="CE92332-CE93779"/>
    <n v="32695"/>
    <s v="2602923"/>
    <s v="2026001234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546.52"/>
    <n v="99.36"/>
    <n v="99.36"/>
    <n v="0"/>
    <m/>
    <n v="0"/>
    <m/>
    <n v="0"/>
    <m/>
    <n v="0"/>
    <m/>
    <n v="0"/>
  </r>
  <r>
    <s v="ARAYTOR"/>
    <s v="B13722020"/>
    <s v="CE92332-CE93779"/>
    <n v="32695"/>
    <s v="2602924"/>
    <s v="2026001235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-109.31"/>
    <n v="-19.88"/>
    <n v="-19.88"/>
    <n v="0"/>
    <m/>
    <n v="0"/>
    <m/>
    <n v="0"/>
    <m/>
    <n v="0"/>
    <m/>
    <n v="0"/>
  </r>
  <r>
    <s v="ARAYTOR"/>
    <s v="B55443402"/>
    <s v="CE92332-CE93780"/>
    <n v="32696"/>
    <s v="2602925"/>
    <s v="2026001236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5222.62"/>
    <n v="949.57"/>
    <n v="949.57"/>
    <n v="0"/>
    <m/>
    <n v="0"/>
    <m/>
    <n v="0"/>
    <m/>
    <n v="0"/>
    <m/>
    <n v="0"/>
  </r>
  <r>
    <s v="ARAYTOR"/>
    <s v="B55443402"/>
    <s v="CE92332-CE93780"/>
    <n v="32696"/>
    <s v="2602926"/>
    <s v="2026001237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-1044.51"/>
    <n v="-189.91"/>
    <n v="-189.91"/>
    <n v="0"/>
    <m/>
    <n v="0"/>
    <m/>
    <n v="0"/>
    <m/>
    <n v="0"/>
    <m/>
    <n v="0"/>
  </r>
  <r>
    <s v="ARAYTOR"/>
    <s v="A58569815"/>
    <s v="CE92332-CE93782"/>
    <n v="32697"/>
    <s v="2602949"/>
    <s v="2026001238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2090.5700000000002"/>
    <n v="380.1"/>
    <n v="380.1"/>
    <n v="0"/>
    <m/>
    <n v="0"/>
    <m/>
    <n v="0"/>
    <m/>
    <n v="0"/>
    <m/>
    <n v="0"/>
  </r>
  <r>
    <s v="ARAYTOR"/>
    <s v="A58569815"/>
    <s v="CE92332-CE93782"/>
    <n v="32697"/>
    <s v="2602950"/>
    <s v="2026001239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-418.11"/>
    <n v="-76.02"/>
    <n v="-76.02"/>
    <n v="0"/>
    <m/>
    <n v="0"/>
    <m/>
    <n v="0"/>
    <m/>
    <n v="0"/>
    <m/>
    <n v="0"/>
  </r>
  <r>
    <s v="ARAYTOR"/>
    <s v="A58569815"/>
    <s v="CE92332-CE93783"/>
    <n v="32698"/>
    <s v="2602951"/>
    <s v="2026001240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447.24"/>
    <n v="81.319999999999993"/>
    <n v="81.319999999999993"/>
    <n v="0"/>
    <m/>
    <n v="0"/>
    <m/>
    <n v="0"/>
    <m/>
    <n v="0"/>
    <m/>
    <n v="0"/>
  </r>
  <r>
    <s v="ARAYTOR"/>
    <s v="A58569815"/>
    <s v="CE92332-CE93783"/>
    <n v="32698"/>
    <s v="2602952"/>
    <s v="2026001241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-89.44"/>
    <n v="-16.260000000000002"/>
    <n v="-16.260000000000002"/>
    <n v="0"/>
    <m/>
    <n v="0"/>
    <m/>
    <n v="0"/>
    <m/>
    <n v="0"/>
    <m/>
    <n v="0"/>
  </r>
  <r>
    <s v="ARAYTOR"/>
    <s v="A58569815"/>
    <s v="CE92332-CE93784"/>
    <n v="32699"/>
    <s v="2602953"/>
    <s v="2026001242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1293.95"/>
    <n v="235.26"/>
    <n v="235.26"/>
    <n v="0"/>
    <m/>
    <n v="0"/>
    <m/>
    <n v="0"/>
    <m/>
    <n v="0"/>
    <m/>
    <n v="0"/>
  </r>
  <r>
    <s v="ARAYTOR"/>
    <s v="A58569815"/>
    <s v="CE92332-CE93784"/>
    <n v="32699"/>
    <s v="2602954"/>
    <s v="2026001243"/>
    <s v="Produccion"/>
    <s v="Correduría"/>
    <s v="Temporal"/>
    <s v="Facturado"/>
    <x v="53"/>
    <d v="2026-02-12T00:00:00"/>
    <m/>
    <m/>
    <m/>
    <m/>
    <m/>
    <s v="Unico"/>
    <s v="Contingencias"/>
    <s v="Contingencias"/>
    <x v="9"/>
    <s v="CIRCLES GROUP, S.A."/>
    <s v="Euros"/>
    <n v="-258.79000000000002"/>
    <n v="-47.05"/>
    <n v="-47.05"/>
    <n v="0"/>
    <m/>
    <n v="0"/>
    <m/>
    <n v="0"/>
    <m/>
    <n v="0"/>
    <m/>
    <n v="0"/>
  </r>
  <r>
    <s v="ARAYTOR"/>
    <s v="B50717750"/>
    <s v="05008133700165"/>
    <n v="32700"/>
    <s v="882359742"/>
    <s v="2026001244"/>
    <s v="Produccion"/>
    <s v="Compañía"/>
    <s v="Renovable"/>
    <s v="Anulado"/>
    <x v="54"/>
    <d v="2026-02-18T00:00:00"/>
    <m/>
    <m/>
    <d v="2026-02-27T00:00:00"/>
    <m/>
    <m/>
    <s v="Anual"/>
    <s v="1231 Allianz VH.Com.V.03 (2ª Categ.)"/>
    <s v="Vehiculos"/>
    <x v="1"/>
    <s v="ALLIANZ"/>
    <s v="Euros"/>
    <n v="46.08"/>
    <n v="3.69"/>
    <n v="3.69"/>
    <n v="0"/>
    <m/>
    <n v="0"/>
    <m/>
    <n v="0"/>
    <m/>
    <n v="0"/>
    <m/>
    <n v="0"/>
  </r>
  <r>
    <s v="ARAYTOR"/>
    <s v="B62561758"/>
    <s v="043015262"/>
    <n v="19011"/>
    <s v="882287794"/>
    <s v="2026001245"/>
    <s v="Suplemento modificacion de produccion"/>
    <s v="Correduría"/>
    <s v="Renovable"/>
    <s v="Cobrado"/>
    <x v="54"/>
    <d v="2024-03-01T00:00:00"/>
    <d v="2026-02-20T00:00:00"/>
    <m/>
    <m/>
    <m/>
    <d v="2026-04-01T00:00:00"/>
    <s v="Anual"/>
    <s v="156 Accidentes Convenio"/>
    <s v="Accidentes"/>
    <x v="4"/>
    <s v="ALLIANZ"/>
    <s v="Euros"/>
    <n v="138.24"/>
    <n v="27.65"/>
    <n v="27.65"/>
    <n v="0"/>
    <m/>
    <n v="0"/>
    <m/>
    <n v="0"/>
    <m/>
    <n v="0"/>
    <m/>
    <n v="0"/>
  </r>
  <r>
    <s v="ARAYTOR"/>
    <s v="36930759G"/>
    <s v="20/9095377"/>
    <n v="32674"/>
    <s v="264575369"/>
    <s v="2026001246"/>
    <s v="Suplemento modificacion de produccion"/>
    <s v="Compañía"/>
    <s v="Renovable"/>
    <s v="Cobrado"/>
    <x v="54"/>
    <d v="2026-02-17T00:00:00"/>
    <d v="2026-02-24T00:00:00"/>
    <m/>
    <m/>
    <m/>
    <m/>
    <s v="Anual"/>
    <s v="M - MAXI-AUTO"/>
    <s v="Vehiculos"/>
    <x v="1"/>
    <s v="FIATC "/>
    <s v="Euros"/>
    <n v="210.41"/>
    <n v="29.46"/>
    <n v="29.46"/>
    <n v="0"/>
    <m/>
    <n v="0"/>
    <m/>
    <n v="0"/>
    <m/>
    <n v="0"/>
    <m/>
    <n v="0"/>
  </r>
  <r>
    <s v="ARAYTOR"/>
    <s v="B62187711"/>
    <s v="40/285284"/>
    <n v="5519"/>
    <s v="264575058"/>
    <s v="2026001247"/>
    <s v="Suplemento modificacion de produccion"/>
    <s v="Correduría"/>
    <s v="Renovable"/>
    <s v="Cobrado"/>
    <x v="54"/>
    <d v="2024-12-31T00:00:00"/>
    <d v="2026-03-05T00:00:00"/>
    <m/>
    <m/>
    <m/>
    <m/>
    <s v="Anual"/>
    <s v="0100Responsabilidad Civil General"/>
    <s v="RC General"/>
    <x v="0"/>
    <s v="FIATC "/>
    <s v="Euros"/>
    <n v="460"/>
    <n v="92"/>
    <n v="92"/>
    <n v="0"/>
    <m/>
    <n v="0"/>
    <m/>
    <n v="0"/>
    <m/>
    <n v="0"/>
    <m/>
    <n v="0"/>
  </r>
  <r>
    <s v="ARAYTOR"/>
    <s v="B43871151"/>
    <s v="40/5008727"/>
    <n v="10056"/>
    <s v="264575720"/>
    <s v="2026001248"/>
    <s v="Suplemento modificacion de produccion"/>
    <s v="Correduría"/>
    <s v="Renovable"/>
    <s v="Cobrado"/>
    <x v="54"/>
    <d v="2026-02-15T00:00:00"/>
    <d v="2026-03-05T00:00:00"/>
    <m/>
    <m/>
    <m/>
    <m/>
    <s v="Semestral"/>
    <s v="0100Responsabilidad Civil General"/>
    <s v="RC General"/>
    <x v="0"/>
    <s v="FIATC "/>
    <s v="Euros"/>
    <n v="78.510000000000005"/>
    <n v="15.71"/>
    <n v="15.71"/>
    <n v="0"/>
    <m/>
    <n v="0"/>
    <m/>
    <n v="0"/>
    <m/>
    <n v="0"/>
    <m/>
    <n v="0"/>
  </r>
  <r>
    <s v="ARAYTOR"/>
    <s v="B-09824988"/>
    <s v="CE93500"/>
    <n v="32701"/>
    <s v="2603244"/>
    <s v="2026001249"/>
    <s v="Produccion"/>
    <s v="Correduría"/>
    <s v="Temporal"/>
    <s v="Cobrado"/>
    <x v="54"/>
    <d v="2026-02-18T00:00:00"/>
    <d v="2026-02-19T00:00:00"/>
    <m/>
    <m/>
    <d v="2026-03-01T00:00:00"/>
    <m/>
    <s v="Unico"/>
    <s v="Contingencias"/>
    <s v="Contingencias"/>
    <x v="9"/>
    <s v="CIRCLES GROUP, S.A."/>
    <s v="Euros"/>
    <n v="2635.23"/>
    <n v="479.14"/>
    <n v="479.14"/>
    <n v="0"/>
    <m/>
    <n v="0"/>
    <s v="RIBE &amp; SALAT, S.A."/>
    <n v="263.52"/>
    <m/>
    <n v="0"/>
    <m/>
    <n v="0"/>
  </r>
  <r>
    <s v="ARAYTOR"/>
    <s v="B65015075"/>
    <s v="CE93690"/>
    <n v="32702"/>
    <s v="2603245"/>
    <s v="2026001250"/>
    <s v="Produccion"/>
    <s v="Correduría"/>
    <s v="Temporal"/>
    <s v="Cobrado"/>
    <x v="54"/>
    <d v="2026-02-18T00:00:00"/>
    <d v="2026-03-06T00:00:00"/>
    <m/>
    <m/>
    <m/>
    <m/>
    <s v="Unico"/>
    <s v="Contingencias"/>
    <s v="Contingencias"/>
    <x v="9"/>
    <s v="CIRCLES GROUP, S.A."/>
    <s v="Euros"/>
    <n v="1582.8"/>
    <n v="287.77999999999997"/>
    <n v="287.77999999999997"/>
    <n v="0"/>
    <m/>
    <n v="0"/>
    <m/>
    <n v="0"/>
    <m/>
    <n v="0"/>
    <m/>
    <n v="0"/>
  </r>
  <r>
    <s v="ARAYTOR"/>
    <s v="B65015075"/>
    <s v="CE93691"/>
    <n v="32703"/>
    <s v="2603246"/>
    <s v="2026001251"/>
    <s v="Produccion"/>
    <s v="Correduría"/>
    <s v="Temporal"/>
    <s v="Facturado"/>
    <x v="54"/>
    <d v="2026-02-18T00:00:00"/>
    <m/>
    <m/>
    <m/>
    <m/>
    <m/>
    <s v="Unico"/>
    <s v="Contingencias"/>
    <s v="Contingencias"/>
    <x v="9"/>
    <s v="CIRCLES GROUP, S.A."/>
    <s v="Euros"/>
    <n v="5662.96"/>
    <n v="1029.6199999999999"/>
    <n v="1029.6199999999999"/>
    <n v="0"/>
    <m/>
    <n v="0"/>
    <m/>
    <n v="0"/>
    <m/>
    <n v="0"/>
    <m/>
    <n v="0"/>
  </r>
  <r>
    <s v="ARAYTOR"/>
    <s v="B95244927"/>
    <s v="CE93695,"/>
    <n v="32694"/>
    <s v="2603224"/>
    <s v="2026001252"/>
    <s v="Produccion"/>
    <s v="Correduría"/>
    <s v="Temporal"/>
    <s v="Facturado"/>
    <x v="54"/>
    <d v="2026-02-17T00:00:00"/>
    <m/>
    <m/>
    <m/>
    <m/>
    <m/>
    <s v="Unico"/>
    <s v="Contingencias"/>
    <s v="Contingencias"/>
    <x v="9"/>
    <s v="CIRCLES GROUP, S.A."/>
    <s v="Euros"/>
    <n v="4530.9799999999996"/>
    <n v="823.82"/>
    <n v="823.82"/>
    <n v="0"/>
    <m/>
    <n v="0"/>
    <m/>
    <n v="0"/>
    <m/>
    <n v="0"/>
    <m/>
    <n v="0"/>
  </r>
  <r>
    <s v="ARAYTOR"/>
    <s v="B95244927"/>
    <s v="CE93695,"/>
    <n v="32694"/>
    <s v="2603225"/>
    <s v="2026001253"/>
    <s v="Produccion"/>
    <s v="Correduría"/>
    <s v="Temporal"/>
    <s v="Facturado"/>
    <x v="54"/>
    <d v="2026-02-17T00:00:00"/>
    <m/>
    <m/>
    <m/>
    <m/>
    <m/>
    <s v="Unico"/>
    <s v="Contingencias"/>
    <s v="Contingencias"/>
    <x v="9"/>
    <s v="CIRCLES GROUP, S.A."/>
    <s v="Euros"/>
    <n v="4530.9799999999996"/>
    <n v="823.82"/>
    <n v="823.82"/>
    <n v="0"/>
    <m/>
    <n v="0"/>
    <m/>
    <n v="0"/>
    <m/>
    <n v="0"/>
    <m/>
    <n v="0"/>
  </r>
  <r>
    <s v="ARAYTOR"/>
    <s v="B65015075"/>
    <s v="CE93807"/>
    <n v="32704"/>
    <s v="2603247"/>
    <s v="2026001254"/>
    <s v="Produccion"/>
    <s v="Correduría"/>
    <s v="Temporal"/>
    <s v="Cobrado"/>
    <x v="54"/>
    <d v="2026-02-18T00:00:00"/>
    <d v="2026-02-23T00:00:00"/>
    <m/>
    <m/>
    <m/>
    <m/>
    <s v="Unico"/>
    <s v="Contingencias"/>
    <s v="Contingencias"/>
    <x v="9"/>
    <s v="CIRCLES GROUP, S.A."/>
    <s v="Euros"/>
    <n v="3195.56"/>
    <n v="581.01"/>
    <n v="581.01"/>
    <n v="0"/>
    <m/>
    <n v="0"/>
    <m/>
    <n v="0"/>
    <m/>
    <n v="0"/>
    <m/>
    <n v="0"/>
  </r>
  <r>
    <s v="ARAYTOR"/>
    <s v="B13689542"/>
    <s v="RCEXP-CA19355"/>
    <n v="32705"/>
    <s v="2603250"/>
    <s v="2026001255"/>
    <s v="Produccion"/>
    <s v="Correduría"/>
    <s v="Temporal"/>
    <s v="Cobrado"/>
    <x v="54"/>
    <d v="2026-02-19T00:00:00"/>
    <d v="2026-03-04T00:00:00"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19367739"/>
    <s v="HDIP62143042"/>
    <n v="32706"/>
    <m/>
    <s v="2026001256"/>
    <s v="Produccion"/>
    <s v="Correduría"/>
    <s v="Renovable"/>
    <s v="Cobrado"/>
    <x v="54"/>
    <d v="2026-02-19T00:00:00"/>
    <d v="2026-03-05T00:00:00"/>
    <m/>
    <m/>
    <m/>
    <m/>
    <s v="Anual"/>
    <s v="Hiscox Profesional"/>
    <s v="RC Directivos"/>
    <x v="8"/>
    <s v="Hiscox S.A Sucursal en España"/>
    <s v="Euros"/>
    <n v="1296"/>
    <n v="259.2"/>
    <n v="259.2"/>
    <n v="0"/>
    <m/>
    <n v="0"/>
    <m/>
    <n v="0"/>
    <m/>
    <n v="0"/>
    <m/>
    <n v="0"/>
  </r>
  <r>
    <s v="ARAYTOR"/>
    <s v="G58117847"/>
    <s v="3560495"/>
    <n v="27650"/>
    <s v="3560495-3"/>
    <s v="2026001257"/>
    <s v="Suplemento modificacion de produccion"/>
    <s v="Correduría"/>
    <s v="Renovable"/>
    <s v="Cobrado"/>
    <x v="55"/>
    <d v="2026-03-01T00:00:00"/>
    <d v="2026-03-02T00:00:00"/>
    <m/>
    <m/>
    <m/>
    <m/>
    <s v="Anual"/>
    <s v="RC Musica"/>
    <s v="RC Promotor Musica"/>
    <x v="0"/>
    <s v="Hiscox S.A Sucursal en España"/>
    <s v="Euros"/>
    <n v="436.22"/>
    <n v="109.06"/>
    <n v="109.06"/>
    <n v="0"/>
    <m/>
    <n v="0"/>
    <m/>
    <n v="0"/>
    <m/>
    <n v="0"/>
    <m/>
    <n v="0"/>
  </r>
  <r>
    <s v="ARAYTOR"/>
    <s v="B66699216"/>
    <s v="RCEXP-CA3560"/>
    <n v="16821"/>
    <s v="2603325"/>
    <s v="2026001258"/>
    <s v="Produccion"/>
    <s v="Correduría"/>
    <s v="Temporal"/>
    <s v="Cobrado"/>
    <x v="55"/>
    <d v="2025-01-01T00:00:00"/>
    <d v="2026-03-06T00:00:00"/>
    <m/>
    <m/>
    <m/>
    <m/>
    <s v="Unico"/>
    <s v="RC Empresa"/>
    <s v="RC Empresa"/>
    <x v="0"/>
    <s v="CIRCLES GROUP, S.A."/>
    <s v="Euros"/>
    <n v="-6361.03"/>
    <n v="-1156.55"/>
    <n v="-1156.55"/>
    <n v="0"/>
    <m/>
    <n v="0"/>
    <m/>
    <n v="0"/>
    <m/>
    <n v="0"/>
    <m/>
    <n v="0"/>
  </r>
  <r>
    <s v="ARAYTOR"/>
    <s v="B64575905"/>
    <s v="RCEXP-CA14308"/>
    <n v="26175"/>
    <s v="2603333"/>
    <s v="2026001259"/>
    <s v="Produccion"/>
    <s v="Correduría"/>
    <s v="Temporal"/>
    <s v="Facturado"/>
    <x v="55"/>
    <d v="2026-03-24T00:00:00"/>
    <m/>
    <m/>
    <m/>
    <m/>
    <m/>
    <s v="Unico"/>
    <s v="RC Empresa"/>
    <s v="RC Empresa"/>
    <x v="0"/>
    <s v="CIRCLES GROUP, S.A."/>
    <s v="Euros"/>
    <n v="508.55"/>
    <n v="457.54"/>
    <n v="457.54"/>
    <n v="0"/>
    <m/>
    <n v="0"/>
    <m/>
    <n v="0"/>
    <m/>
    <n v="0"/>
    <m/>
    <n v="0"/>
  </r>
  <r>
    <s v="ARAYTOR"/>
    <s v="V44655835"/>
    <s v="CE87585"/>
    <n v="30519"/>
    <s v="2603399"/>
    <s v="2026001260"/>
    <s v="Produccion"/>
    <s v="Correduría"/>
    <s v="Temporal"/>
    <s v="Cobrado"/>
    <x v="55"/>
    <d v="2025-01-24T00:00:00"/>
    <d v="2026-03-06T00:00:00"/>
    <m/>
    <m/>
    <m/>
    <m/>
    <s v="Unico"/>
    <s v="Contingencias"/>
    <s v="Contingencias"/>
    <x v="9"/>
    <s v="CIRCLES GROUP, S.A."/>
    <s v="Euros"/>
    <n v="576.97"/>
    <n v="104.9"/>
    <n v="104.9"/>
    <n v="0"/>
    <m/>
    <n v="0"/>
    <m/>
    <n v="0"/>
    <m/>
    <n v="0"/>
    <m/>
    <n v="0"/>
  </r>
  <r>
    <s v="ARAYTOR"/>
    <s v="V67531343"/>
    <s v="CE87589"/>
    <n v="30401"/>
    <s v="2603400"/>
    <s v="2026001261"/>
    <s v="Produccion"/>
    <s v="Correduría"/>
    <s v="Temporal"/>
    <s v="Cobrado"/>
    <x v="55"/>
    <d v="2025-01-08T00:00:00"/>
    <d v="2026-03-06T00:00:00"/>
    <m/>
    <m/>
    <m/>
    <m/>
    <s v="Unico"/>
    <s v="Contingencias"/>
    <s v="Contingencias"/>
    <x v="9"/>
    <s v="CIRCLES GROUP, S.A."/>
    <s v="Euros"/>
    <n v="-8333.3700000000008"/>
    <n v="-1515.16"/>
    <n v="-1515.16"/>
    <n v="0"/>
    <m/>
    <n v="0"/>
    <m/>
    <n v="0"/>
    <m/>
    <n v="0"/>
    <m/>
    <n v="0"/>
  </r>
  <r>
    <s v="ARAYTOR"/>
    <s v="B97734560"/>
    <s v="RCEXP-CA17429"/>
    <n v="30642"/>
    <s v="2603332"/>
    <s v="2026001262"/>
    <s v="Produccion"/>
    <s v="Correduría"/>
    <s v="Temporal"/>
    <s v="Cobrado"/>
    <x v="55"/>
    <d v="2026-03-01T00:00:00"/>
    <d v="2026-03-02T00:00:00"/>
    <m/>
    <m/>
    <m/>
    <m/>
    <s v="Unico"/>
    <s v="RC Empresa"/>
    <s v="RC Empresa"/>
    <x v="0"/>
    <s v="CIRCLES GROUP, S.A."/>
    <s v="Euros"/>
    <n v="739.71"/>
    <n v="134.5"/>
    <n v="134.5"/>
    <n v="0"/>
    <m/>
    <n v="0"/>
    <s v="HERRERA Y ASO.TEC. Y ASE. EN SEGU, S.L."/>
    <n v="73.97"/>
    <m/>
    <n v="0"/>
    <m/>
    <n v="0"/>
  </r>
  <r>
    <s v="ARAYTOR"/>
    <s v="B75959031"/>
    <s v="RCEXP-CA17646"/>
    <n v="30941"/>
    <s v="2603330"/>
    <s v="2026001263"/>
    <s v="Produccion"/>
    <s v="Correduría"/>
    <s v="Temporal"/>
    <s v="Facturado"/>
    <x v="55"/>
    <d v="2026-04-08T00:00:00"/>
    <m/>
    <m/>
    <m/>
    <m/>
    <m/>
    <s v="Unico"/>
    <s v="RC Empresa"/>
    <s v="RC Empresa"/>
    <x v="0"/>
    <s v="CIRCLES GROUP, S.A."/>
    <s v="Euros"/>
    <n v="1085"/>
    <n v="197.28"/>
    <n v="197.28"/>
    <n v="0"/>
    <m/>
    <n v="0"/>
    <s v="HERRERA Y ASO.TEC. Y ASE. EN SEGU, S.L."/>
    <n v="108.5"/>
    <m/>
    <n v="0"/>
    <m/>
    <n v="0"/>
  </r>
  <r>
    <s v="ARAYTOR"/>
    <s v="B75959031"/>
    <s v="RCEXP-CA17646"/>
    <n v="30941"/>
    <s v="2603331"/>
    <s v="2026001264"/>
    <s v="Produccion"/>
    <s v="Correduría"/>
    <s v="Temporal"/>
    <s v="Facturado"/>
    <x v="55"/>
    <d v="2026-04-08T00:00:00"/>
    <m/>
    <m/>
    <m/>
    <m/>
    <m/>
    <s v="Unico"/>
    <s v="RC Empresa"/>
    <s v="RC Empresa"/>
    <x v="0"/>
    <s v="CIRCLES GROUP, S.A."/>
    <s v="Euros"/>
    <n v="1085"/>
    <n v="197.28"/>
    <n v="197.28"/>
    <n v="0"/>
    <m/>
    <n v="0"/>
    <s v="HERRERA Y ASO.TEC. Y ASE. EN SEGU, S.L."/>
    <n v="108.5"/>
    <m/>
    <n v="0"/>
    <m/>
    <n v="0"/>
  </r>
  <r>
    <s v="ARAYTOR"/>
    <s v="B65505257"/>
    <s v="CE89920"/>
    <n v="31342"/>
    <s v="2603353"/>
    <s v="2026001265"/>
    <s v="Produccion"/>
    <s v="Correduría"/>
    <s v="Temporal"/>
    <s v="Facturado"/>
    <x v="55"/>
    <d v="2025-06-06T00:00:00"/>
    <m/>
    <m/>
    <m/>
    <m/>
    <m/>
    <s v="Unico"/>
    <s v="Contingencias"/>
    <s v="Contingencias"/>
    <x v="9"/>
    <s v="CIRCLES GROUP, S.A."/>
    <s v="Euros"/>
    <n v="21332.18"/>
    <n v="2133.2199999999998"/>
    <n v="2133.2199999999998"/>
    <n v="0"/>
    <m/>
    <n v="0"/>
    <m/>
    <n v="0"/>
    <m/>
    <n v="0"/>
    <m/>
    <n v="0"/>
  </r>
  <r>
    <s v="ARAYTOR"/>
    <s v="V56801111"/>
    <s v="CE93722"/>
    <n v="32660"/>
    <s v="2603354"/>
    <s v="2026001266"/>
    <s v="Produccion"/>
    <s v="Correduría"/>
    <s v="Temporal"/>
    <s v="Facturado"/>
    <x v="55"/>
    <d v="2026-02-10T00:00:00"/>
    <m/>
    <m/>
    <m/>
    <m/>
    <m/>
    <s v="Unico"/>
    <s v="Contingencias"/>
    <s v="Contingencias"/>
    <x v="9"/>
    <s v="CIRCLES GROUP, S.A."/>
    <s v="Euros"/>
    <n v="4241.41"/>
    <n v="771.16"/>
    <n v="771.16"/>
    <n v="0"/>
    <m/>
    <n v="0"/>
    <m/>
    <n v="0"/>
    <m/>
    <n v="0"/>
    <m/>
    <n v="0"/>
  </r>
  <r>
    <s v="ARAYTOR"/>
    <s v="B11459435"/>
    <s v="CE92175"/>
    <n v="32174"/>
    <s v="2603274"/>
    <s v="2026001267"/>
    <s v="Produccion"/>
    <s v="Correduría"/>
    <s v="Temporal"/>
    <s v="Facturado"/>
    <x v="55"/>
    <d v="2025-11-03T00:00:00"/>
    <m/>
    <m/>
    <m/>
    <m/>
    <m/>
    <s v="Unico"/>
    <s v="Contingencias"/>
    <s v="Contingencias"/>
    <x v="9"/>
    <s v="CIRCLES GROUP, S.A."/>
    <s v="Euros"/>
    <n v="844.49"/>
    <n v="153.54"/>
    <n v="153.54"/>
    <n v="0"/>
    <m/>
    <n v="0"/>
    <m/>
    <n v="0"/>
    <m/>
    <n v="0"/>
    <m/>
    <n v="0"/>
  </r>
  <r>
    <s v="ARAYTOR"/>
    <s v="B23881345"/>
    <s v="RCEXP-CA19065"/>
    <n v="32707"/>
    <s v="2603321"/>
    <s v="2026001268"/>
    <s v="Produccion"/>
    <s v="Correduría"/>
    <s v="Temporal"/>
    <s v="Facturado"/>
    <x v="55"/>
    <d v="2026-04-01T00:00:00"/>
    <m/>
    <m/>
    <m/>
    <m/>
    <m/>
    <s v="Unico"/>
    <s v="RC Empresa"/>
    <s v="RC Empresa"/>
    <x v="0"/>
    <s v="CIRCLES GROUP, S.A."/>
    <s v="Euros"/>
    <n v="19665"/>
    <n v="3575.46"/>
    <n v="3575.46"/>
    <n v="0"/>
    <m/>
    <n v="0"/>
    <m/>
    <n v="0"/>
    <m/>
    <n v="0"/>
    <m/>
    <n v="0"/>
  </r>
  <r>
    <s v="ARAYTOR"/>
    <s v="B23881345"/>
    <s v="RCEXP-CA19065"/>
    <n v="32707"/>
    <s v="2603322"/>
    <s v="2026001269"/>
    <s v="Produccion"/>
    <s v="Correduría"/>
    <s v="Temporal"/>
    <s v="Facturado"/>
    <x v="55"/>
    <d v="2026-04-01T00:00:00"/>
    <m/>
    <m/>
    <m/>
    <m/>
    <m/>
    <s v="Unico"/>
    <s v="RC Empresa"/>
    <s v="RC Empresa"/>
    <x v="0"/>
    <s v="CIRCLES GROUP, S.A."/>
    <s v="Euros"/>
    <n v="29497.49"/>
    <n v="5363.18"/>
    <n v="5363.18"/>
    <n v="0"/>
    <m/>
    <n v="0"/>
    <m/>
    <n v="0"/>
    <m/>
    <n v="0"/>
    <m/>
    <n v="0"/>
  </r>
  <r>
    <s v="ARAYTOR"/>
    <s v="B23881345"/>
    <s v="RCEXP-CA19065"/>
    <n v="32707"/>
    <s v="2603323"/>
    <s v="2026001270"/>
    <s v="Produccion"/>
    <s v="Correduría"/>
    <s v="Temporal"/>
    <s v="Facturado"/>
    <x v="55"/>
    <d v="2026-04-01T00:00:00"/>
    <m/>
    <m/>
    <m/>
    <m/>
    <m/>
    <s v="Unico"/>
    <s v="RC Empresa"/>
    <s v="RC Empresa"/>
    <x v="0"/>
    <s v="CIRCLES GROUP, S.A."/>
    <s v="Euros"/>
    <n v="49162.5"/>
    <n v="8938.64"/>
    <n v="8938.64"/>
    <n v="0"/>
    <m/>
    <n v="0"/>
    <m/>
    <n v="0"/>
    <m/>
    <n v="0"/>
    <m/>
    <n v="0"/>
  </r>
  <r>
    <s v="ARAYTOR"/>
    <s v="B13792452"/>
    <s v="CE93718"/>
    <n v="32708"/>
    <s v="2603351"/>
    <s v="2026001271"/>
    <s v="Produccion"/>
    <s v="Correduría"/>
    <s v="Temporal"/>
    <s v="Cobrado"/>
    <x v="55"/>
    <d v="2026-02-19T00:00:00"/>
    <d v="2026-02-23T00:00:00"/>
    <m/>
    <m/>
    <m/>
    <m/>
    <s v="Unico"/>
    <s v="Contingencias"/>
    <s v="Contingencias"/>
    <x v="9"/>
    <s v="CIRCLES GROUP, S.A."/>
    <s v="Euros"/>
    <n v="2831.72"/>
    <n v="514.86"/>
    <n v="514.86"/>
    <n v="0"/>
    <m/>
    <n v="0"/>
    <m/>
    <n v="0"/>
    <m/>
    <n v="0"/>
    <m/>
    <n v="0"/>
  </r>
  <r>
    <s v="ARAYTOR"/>
    <s v="B70912027"/>
    <s v="CE93720"/>
    <n v="32709"/>
    <s v="2603275"/>
    <s v="2026001272"/>
    <s v="Produccion"/>
    <s v="Correduría"/>
    <s v="Temporal"/>
    <s v="Cobrado"/>
    <x v="55"/>
    <d v="2026-02-18T00:00:00"/>
    <d v="2026-02-20T00:00:00"/>
    <m/>
    <m/>
    <m/>
    <m/>
    <s v="Unico"/>
    <s v="Contingencias"/>
    <s v="Contingencias"/>
    <x v="9"/>
    <s v="CIRCLES GROUP, S.A."/>
    <s v="Euros"/>
    <n v="2831.72"/>
    <n v="514.86"/>
    <n v="514.86"/>
    <n v="0"/>
    <m/>
    <n v="0"/>
    <m/>
    <n v="0"/>
    <m/>
    <n v="0"/>
    <m/>
    <n v="0"/>
  </r>
  <r>
    <s v="ARAYTOR"/>
    <s v="G58117847"/>
    <s v="CE93730"/>
    <n v="32710"/>
    <s v="2603352"/>
    <s v="2026001273"/>
    <s v="Produccion"/>
    <s v="Correduría"/>
    <s v="Temporal"/>
    <s v="Facturado"/>
    <x v="55"/>
    <d v="2026-02-19T00:00:00"/>
    <m/>
    <m/>
    <m/>
    <m/>
    <m/>
    <s v="Unico"/>
    <s v="Contingencias"/>
    <s v="Contingencias"/>
    <x v="9"/>
    <s v="CIRCLES GROUP, S.A."/>
    <s v="Euros"/>
    <n v="1154.23"/>
    <n v="209.86"/>
    <n v="209.86"/>
    <n v="0"/>
    <m/>
    <n v="0"/>
    <m/>
    <n v="0"/>
    <m/>
    <n v="0"/>
    <m/>
    <n v="0"/>
  </r>
  <r>
    <s v="ARAYTOR"/>
    <s v="B26575274"/>
    <s v="RCEXP-CA19361"/>
    <n v="32711"/>
    <s v="2603326 Error importe"/>
    <s v="2026001274"/>
    <s v="Produccion"/>
    <s v="Correduría"/>
    <s v="Temporal"/>
    <s v="Anulado"/>
    <x v="55"/>
    <d v="2026-02-20T00:00:00"/>
    <m/>
    <m/>
    <d v="2026-02-25T00:00:00"/>
    <m/>
    <m/>
    <s v="Unico"/>
    <s v="RC Empresa"/>
    <s v="RC Empresa"/>
    <x v="0"/>
    <s v="CIRCLES GROUP, S.A."/>
    <s v="Euros"/>
    <n v="693.48"/>
    <n v="126.08"/>
    <n v="126.08"/>
    <n v="0"/>
    <m/>
    <n v="0"/>
    <m/>
    <n v="0"/>
    <m/>
    <n v="0"/>
    <m/>
    <n v="0"/>
  </r>
  <r>
    <s v="ARAYTOR"/>
    <s v="B84194273"/>
    <s v="RCEXP-CA19366"/>
    <n v="32712"/>
    <s v="2603356"/>
    <s v="2026001275"/>
    <s v="Produccion"/>
    <s v="Correduría"/>
    <s v="Temporal"/>
    <s v="Cobrado"/>
    <x v="55"/>
    <d v="2026-02-27T00:00:00"/>
    <d v="2026-02-27T00:00:00"/>
    <m/>
    <m/>
    <m/>
    <m/>
    <s v="Unico"/>
    <s v="RC Empresa"/>
    <s v="RC Empresa"/>
    <x v="0"/>
    <s v="CIRCLES GROUP, S.A."/>
    <s v="Euros"/>
    <n v="1328.39"/>
    <n v="241.52"/>
    <n v="241.52"/>
    <n v="0"/>
    <m/>
    <n v="0"/>
    <m/>
    <n v="0"/>
    <m/>
    <n v="0"/>
    <m/>
    <n v="0"/>
  </r>
  <r>
    <s v="ARAYTOR"/>
    <s v="B85149490"/>
    <s v="RCEXP-CA19359"/>
    <n v="32714"/>
    <s v="2603324"/>
    <s v="2026001276"/>
    <s v="Produccion"/>
    <s v="Correduría"/>
    <s v="Temporal"/>
    <s v="Facturado"/>
    <x v="55"/>
    <d v="2026-04-07T00:00:00"/>
    <m/>
    <m/>
    <m/>
    <m/>
    <m/>
    <s v="Unico"/>
    <s v="RC Empresa"/>
    <s v="RC Empresa"/>
    <x v="0"/>
    <s v="CIRCLES GROUP, S.A."/>
    <s v="Euros"/>
    <n v="2080.44"/>
    <n v="378.27"/>
    <n v="378.27"/>
    <n v="0"/>
    <m/>
    <n v="0"/>
    <s v="Cinevent On Line CdS, S.L."/>
    <n v="208"/>
    <m/>
    <n v="0"/>
    <m/>
    <n v="0"/>
  </r>
  <r>
    <s v="ARAYTOR"/>
    <s v="B86744489"/>
    <s v="033031430"/>
    <n v="13533"/>
    <s v="882437563"/>
    <s v="2026001277"/>
    <s v="Ajustes"/>
    <s v="Correduría"/>
    <s v="Renovable"/>
    <s v="Cobrado"/>
    <x v="55"/>
    <d v="2025-01-01T00:00:00"/>
    <d v="2026-03-06T00:00:00"/>
    <m/>
    <m/>
    <m/>
    <m/>
    <s v="Anual"/>
    <s v="156 Accidentes Convenio"/>
    <s v="Accidentes"/>
    <x v="4"/>
    <s v="ALLIANZ"/>
    <s v="Euros"/>
    <n v="-123.84"/>
    <n v="-24.77"/>
    <n v="-24.77"/>
    <n v="0"/>
    <m/>
    <n v="0"/>
    <m/>
    <n v="0"/>
    <m/>
    <n v="0"/>
    <m/>
    <n v="0"/>
  </r>
  <r>
    <s v="ARAYTOR"/>
    <s v="B16897415"/>
    <s v="40/5134181"/>
    <n v="24963"/>
    <s v="264576798"/>
    <s v="2026001278"/>
    <s v="Suplemento modificacion de produccion"/>
    <s v="Correduría"/>
    <s v="Renovable"/>
    <s v="Facturado"/>
    <x v="55"/>
    <d v="2026-02-16T00:00:00"/>
    <m/>
    <m/>
    <m/>
    <m/>
    <m/>
    <s v="Anual"/>
    <s v="0100Responsabilidad Civil General"/>
    <s v="RC General"/>
    <x v="0"/>
    <s v="FIATC "/>
    <s v="Euros"/>
    <n v="188.68"/>
    <n v="37.74"/>
    <n v="37.74"/>
    <n v="0"/>
    <m/>
    <n v="0"/>
    <m/>
    <n v="0"/>
    <m/>
    <n v="0"/>
    <m/>
    <n v="0"/>
  </r>
  <r>
    <s v="ARAYTOR"/>
    <s v="B16897415"/>
    <s v="40/5134181"/>
    <n v="24963"/>
    <s v="264576806"/>
    <s v="2026001279"/>
    <s v="Suplemento modificacion de produccion"/>
    <s v="Correduría"/>
    <s v="Renovable"/>
    <s v="Facturado"/>
    <x v="55"/>
    <d v="2026-05-07T00:00:00"/>
    <m/>
    <m/>
    <m/>
    <m/>
    <m/>
    <s v="Anual"/>
    <s v="0100Responsabilidad Civil General"/>
    <s v="RC General"/>
    <x v="0"/>
    <s v="FIATC "/>
    <s v="Euros"/>
    <n v="188.68"/>
    <n v="37.74"/>
    <n v="37.74"/>
    <n v="0"/>
    <m/>
    <n v="0"/>
    <m/>
    <n v="0"/>
    <m/>
    <n v="0"/>
    <m/>
    <n v="0"/>
  </r>
  <r>
    <s v="ARAYTOR"/>
    <s v="B66639246"/>
    <s v="93/5004032"/>
    <n v="19946"/>
    <s v="264577062"/>
    <s v="2026001280"/>
    <s v="Suplemento modificacion de produccion"/>
    <s v="Correduría"/>
    <s v="Renovable"/>
    <s v="Facturado"/>
    <x v="55"/>
    <d v="2024-01-23T00:00:00"/>
    <m/>
    <m/>
    <m/>
    <m/>
    <m/>
    <s v="Anual"/>
    <s v="Transporte Terrestre de Mercancias (1)"/>
    <s v="Daños Cargador"/>
    <x v="6"/>
    <s v="FIATC "/>
    <s v="Euros"/>
    <n v="1193.04"/>
    <n v="238.61"/>
    <n v="238.61"/>
    <n v="0"/>
    <m/>
    <n v="0"/>
    <m/>
    <n v="0"/>
    <m/>
    <n v="0"/>
    <m/>
    <n v="0"/>
  </r>
  <r>
    <s v="ARAYTOR"/>
    <s v="B66639246"/>
    <s v="93/5004032"/>
    <n v="19946"/>
    <s v="264577083"/>
    <s v="2026001281"/>
    <s v="Suplemento modificacion de produccion"/>
    <s v="Correduría"/>
    <s v="Renovable"/>
    <s v="Facturado"/>
    <x v="55"/>
    <d v="2025-01-23T00:00:00"/>
    <m/>
    <m/>
    <m/>
    <m/>
    <m/>
    <s v="Anual"/>
    <s v="Transporte Terrestre de Mercancias (1)"/>
    <s v="Daños Cargador"/>
    <x v="6"/>
    <s v="FIATC "/>
    <s v="Euros"/>
    <n v="1302.17"/>
    <n v="260.43"/>
    <n v="260.43"/>
    <n v="0"/>
    <m/>
    <n v="0"/>
    <m/>
    <n v="0"/>
    <m/>
    <n v="0"/>
    <m/>
    <n v="0"/>
  </r>
  <r>
    <s v="ARAYTOR"/>
    <s v="B58566266"/>
    <s v="65/5184146"/>
    <n v="23464"/>
    <s v="264578623"/>
    <s v="2026001282"/>
    <s v="Ajustes"/>
    <s v="Correduría"/>
    <s v="Renovable"/>
    <s v="Facturado"/>
    <x v="55"/>
    <d v="2026-02-18T00:00:00"/>
    <m/>
    <m/>
    <m/>
    <m/>
    <m/>
    <s v="Anual"/>
    <s v="100 MR Hogar"/>
    <s v="Hogar"/>
    <x v="2"/>
    <s v="FIATC "/>
    <s v="Euros"/>
    <n v="-47.65"/>
    <n v="-11.9"/>
    <n v="-11.9"/>
    <n v="0"/>
    <m/>
    <n v="0"/>
    <m/>
    <n v="0"/>
    <m/>
    <n v="0"/>
    <m/>
    <n v="0"/>
  </r>
  <r>
    <s v="ARAYTOR"/>
    <s v="37666201K"/>
    <s v="7-64.000.874-J"/>
    <n v="15253"/>
    <s v="474678721-Z"/>
    <s v="2026001283"/>
    <s v="Cartera"/>
    <s v="Compañía"/>
    <s v="Renovable"/>
    <s v="Facturado"/>
    <x v="55"/>
    <d v="2026-04-12T00:00:00"/>
    <m/>
    <m/>
    <m/>
    <m/>
    <m/>
    <s v="Mensual"/>
    <s v="Salud Reembolso Prime"/>
    <s v="Mixta"/>
    <x v="4"/>
    <s v="OCCIDENT GCO, S.A.U."/>
    <s v="Euros"/>
    <n v="650.02"/>
    <n v="0"/>
    <n v="0"/>
    <n v="0"/>
    <m/>
    <n v="0"/>
    <m/>
    <n v="0"/>
    <m/>
    <n v="0"/>
    <m/>
    <n v="0"/>
  </r>
  <r>
    <s v="ARAYTOR"/>
    <s v="H63720221"/>
    <s v="8-3.924.880-E"/>
    <n v="1565"/>
    <s v="474655018-L"/>
    <s v="2026001284"/>
    <s v="Cartera"/>
    <s v="Compañía"/>
    <s v="Renovable"/>
    <s v="Facturado"/>
    <x v="55"/>
    <d v="2026-04-27T00:00:00"/>
    <m/>
    <m/>
    <m/>
    <m/>
    <m/>
    <s v="Semestral"/>
    <s v="01690 - Comunidades"/>
    <s v="Comunidad de Propietarios"/>
    <x v="3"/>
    <s v="OCCIDENT GCO, S.A.U."/>
    <s v="Euros"/>
    <n v="790.82"/>
    <n v="102.81"/>
    <n v="102.81"/>
    <n v="0"/>
    <m/>
    <n v="0"/>
    <m/>
    <n v="0"/>
    <m/>
    <n v="0"/>
    <m/>
    <n v="0"/>
  </r>
  <r>
    <s v="ARAYTOR"/>
    <s v="B64729122"/>
    <s v="8-10.720.063-H"/>
    <n v="26349"/>
    <s v="474870399-P"/>
    <s v="2026001285"/>
    <s v="Cartera"/>
    <s v="Correduría"/>
    <s v="Renovable"/>
    <s v="Facturado"/>
    <x v="55"/>
    <d v="2026-04-06T00:00:00"/>
    <m/>
    <m/>
    <m/>
    <m/>
    <m/>
    <s v="Anual"/>
    <s v="01480 - Embarcaciones de Recreo"/>
    <s v="Embarcaciones de Recreo"/>
    <x v="12"/>
    <s v="OCCIDENT GCO, S.A.U."/>
    <s v="Euros"/>
    <n v="1682.1"/>
    <n v="344.83"/>
    <n v="344.83"/>
    <n v="0"/>
    <m/>
    <n v="0"/>
    <m/>
    <n v="0"/>
    <m/>
    <n v="0"/>
    <m/>
    <n v="0"/>
  </r>
  <r>
    <s v="ARAYTOR"/>
    <s v="35088203R"/>
    <s v="65111081"/>
    <n v="27520"/>
    <s v="475032881-B"/>
    <s v="2026001286"/>
    <s v="Cartera"/>
    <s v="Correduría"/>
    <s v="Renovable"/>
    <s v="Facturado"/>
    <x v="55"/>
    <d v="2026-04-29T00:00:00"/>
    <m/>
    <m/>
    <m/>
    <m/>
    <m/>
    <s v="Anual"/>
    <s v="01286 - Accidentes"/>
    <s v="Accidentes Personales"/>
    <x v="4"/>
    <s v="OCCIDENT GCO, S.A.U."/>
    <s v="Euros"/>
    <n v="274.08"/>
    <n v="68.52"/>
    <n v="68.52"/>
    <n v="0"/>
    <m/>
    <n v="0"/>
    <m/>
    <n v="0"/>
    <m/>
    <n v="0"/>
    <m/>
    <n v="0"/>
  </r>
  <r>
    <s v="ARAYTOR"/>
    <s v="46240682X"/>
    <s v="8-5.650.330-K"/>
    <n v="14617"/>
    <s v="475050379-H"/>
    <s v="2026001287"/>
    <s v="Cartera"/>
    <s v="Correduría"/>
    <s v="Renovable"/>
    <s v="Facturado"/>
    <x v="55"/>
    <d v="2026-04-04T00:00:00"/>
    <m/>
    <m/>
    <m/>
    <m/>
    <m/>
    <s v="Anual"/>
    <s v="01685 Hogar"/>
    <s v="Hogar"/>
    <x v="2"/>
    <s v="OCCIDENT GCO, S.A.U."/>
    <s v="Euros"/>
    <n v="1365.66"/>
    <n v="325.02999999999997"/>
    <n v="325.02999999999997"/>
    <n v="0"/>
    <m/>
    <n v="0"/>
    <m/>
    <n v="0"/>
    <m/>
    <n v="0"/>
    <m/>
    <n v="0"/>
  </r>
  <r>
    <s v="ARAYTOR"/>
    <s v="46308651Z"/>
    <s v="8-3.106.710-M"/>
    <n v="194"/>
    <s v="475055010-C"/>
    <s v="2026001288"/>
    <s v="Cartera"/>
    <s v="Correduría"/>
    <s v="Renovable"/>
    <s v="Facturado"/>
    <x v="55"/>
    <d v="2026-04-26T00:00:00"/>
    <m/>
    <m/>
    <m/>
    <m/>
    <m/>
    <s v="Anual"/>
    <s v="01685 Hogar"/>
    <s v="Hogar"/>
    <x v="2"/>
    <s v="OCCIDENT GCO, S.A.U."/>
    <s v="Euros"/>
    <n v="814.86"/>
    <n v="193.94"/>
    <n v="193.94"/>
    <n v="0"/>
    <m/>
    <n v="0"/>
    <m/>
    <n v="0"/>
    <m/>
    <n v="0"/>
    <m/>
    <n v="0"/>
  </r>
  <r>
    <s v="ARAYTOR"/>
    <s v="B55225965"/>
    <s v="8-6.496.879-R"/>
    <n v="19185"/>
    <s v="475088460-X"/>
    <s v="2026001289"/>
    <s v="Cartera"/>
    <s v="Correduría"/>
    <s v="Renovable"/>
    <s v="Facturado"/>
    <x v="55"/>
    <d v="2026-04-05T00:00:00"/>
    <m/>
    <m/>
    <m/>
    <m/>
    <m/>
    <s v="Anual"/>
    <s v="01685 Hogar"/>
    <s v="Hogar"/>
    <x v="2"/>
    <s v="OCCIDENT GCO, S.A.U."/>
    <s v="Euros"/>
    <n v="223.2"/>
    <n v="53.12"/>
    <n v="53.12"/>
    <n v="0"/>
    <m/>
    <n v="0"/>
    <m/>
    <n v="0"/>
    <m/>
    <n v="0"/>
    <m/>
    <n v="0"/>
  </r>
  <r>
    <s v="ARAYTOR"/>
    <s v="B55225965"/>
    <s v="8-6.496.880-D"/>
    <n v="19186"/>
    <s v="475088461-F"/>
    <s v="2026001290"/>
    <s v="Cartera"/>
    <s v="Correduría"/>
    <s v="Renovable"/>
    <s v="Facturado"/>
    <x v="55"/>
    <d v="2026-04-05T00:00:00"/>
    <m/>
    <m/>
    <m/>
    <m/>
    <m/>
    <s v="Anual"/>
    <s v="01685 Hogar"/>
    <s v="Hogar"/>
    <x v="2"/>
    <s v="OCCIDENT GCO, S.A.U."/>
    <s v="Euros"/>
    <n v="214.16"/>
    <n v="50.97"/>
    <n v="50.97"/>
    <n v="0"/>
    <m/>
    <n v="0"/>
    <m/>
    <n v="0"/>
    <m/>
    <n v="0"/>
    <m/>
    <n v="0"/>
  </r>
  <r>
    <s v="ARAYTOR"/>
    <s v="37189284D"/>
    <s v="8-6.689.584-Y"/>
    <n v="20038"/>
    <s v="475096577-E"/>
    <s v="2026001291"/>
    <s v="Cartera"/>
    <s v="Correduría"/>
    <s v="Renovable"/>
    <s v="Facturado"/>
    <x v="55"/>
    <d v="2026-04-22T00:00:00"/>
    <m/>
    <m/>
    <m/>
    <m/>
    <m/>
    <s v="Anual"/>
    <s v="01685 Hogar"/>
    <s v="Hogar"/>
    <x v="2"/>
    <s v="OCCIDENT GCO, S.A.U."/>
    <s v="Euros"/>
    <n v="264.10000000000002"/>
    <n v="62.86"/>
    <n v="62.86"/>
    <n v="0"/>
    <m/>
    <n v="0"/>
    <m/>
    <n v="0"/>
    <m/>
    <n v="0"/>
    <m/>
    <n v="0"/>
  </r>
  <r>
    <s v="ARAYTOR"/>
    <s v="37224585M"/>
    <s v="8-6.690.302-H"/>
    <n v="20107"/>
    <s v="475096698-G"/>
    <s v="2026001292"/>
    <s v="Cartera"/>
    <s v="Correduría"/>
    <s v="Renovable"/>
    <s v="Facturado"/>
    <x v="55"/>
    <d v="2026-04-13T00:00:00"/>
    <m/>
    <m/>
    <m/>
    <m/>
    <m/>
    <s v="Anual"/>
    <s v="01685 Hogar"/>
    <s v="Hogar"/>
    <x v="2"/>
    <s v="OCCIDENT GCO, S.A.U."/>
    <s v="Euros"/>
    <n v="312.72000000000003"/>
    <n v="74.430000000000007"/>
    <n v="74.430000000000007"/>
    <n v="0"/>
    <m/>
    <n v="0"/>
    <s v="TON ABAD (ANTIC)"/>
    <n v="0"/>
    <m/>
    <n v="0"/>
    <m/>
    <n v="0"/>
  </r>
  <r>
    <s v="ARAYTOR"/>
    <s v="35073512F"/>
    <s v="8-6.692.659-P"/>
    <n v="20126"/>
    <s v="475097070-R"/>
    <s v="2026001293"/>
    <s v="Cartera"/>
    <s v="Compañía"/>
    <s v="Renovable"/>
    <s v="Facturado"/>
    <x v="55"/>
    <d v="2026-04-15T00:00:00"/>
    <m/>
    <m/>
    <m/>
    <m/>
    <m/>
    <s v="Semestral"/>
    <s v="01685 Hogar"/>
    <s v="Hogar"/>
    <x v="2"/>
    <s v="OCCIDENT GCO, S.A.U."/>
    <s v="Euros"/>
    <n v="202.99"/>
    <n v="48.31"/>
    <n v="48.31"/>
    <n v="0"/>
    <m/>
    <n v="0"/>
    <m/>
    <n v="0"/>
    <m/>
    <n v="0"/>
    <m/>
    <n v="0"/>
  </r>
  <r>
    <s v="ARAYTOR"/>
    <s v="46108287A"/>
    <s v="8-6.706.713-B"/>
    <n v="20208"/>
    <s v="475101023-Q"/>
    <s v="2026001294"/>
    <s v="Cartera"/>
    <s v="Correduría"/>
    <s v="Renovable"/>
    <s v="Facturado"/>
    <x v="55"/>
    <d v="2026-04-10T00:00:00"/>
    <m/>
    <m/>
    <m/>
    <m/>
    <m/>
    <s v="Anual"/>
    <s v="01685 Hogar"/>
    <s v="Hogar"/>
    <x v="2"/>
    <s v="OCCIDENT GCO, S.A.U."/>
    <s v="Euros"/>
    <n v="530.64"/>
    <n v="126.29"/>
    <n v="126.29"/>
    <n v="0"/>
    <m/>
    <n v="0"/>
    <m/>
    <n v="0"/>
    <m/>
    <n v="0"/>
    <m/>
    <n v="0"/>
  </r>
  <r>
    <s v="ARAYTOR"/>
    <s v="46117233W"/>
    <s v="8-6.888.107-S"/>
    <n v="22648"/>
    <s v="475105158-X"/>
    <s v="2026001295"/>
    <s v="Cartera"/>
    <s v="Correduría"/>
    <s v="Renovable"/>
    <s v="Facturado"/>
    <x v="55"/>
    <d v="2026-04-08T00:00:00"/>
    <m/>
    <m/>
    <m/>
    <m/>
    <m/>
    <s v="Anual"/>
    <s v="01685 Hogar"/>
    <s v="Hogar"/>
    <x v="2"/>
    <s v="OCCIDENT GCO, S.A.U."/>
    <s v="Euros"/>
    <n v="196.26"/>
    <n v="46.7"/>
    <n v="46.7"/>
    <n v="0"/>
    <m/>
    <n v="0"/>
    <m/>
    <n v="0"/>
    <m/>
    <n v="0"/>
    <m/>
    <n v="0"/>
  </r>
  <r>
    <s v="ARAYTOR"/>
    <s v="46149233D"/>
    <s v="8-6.904.742-P"/>
    <n v="22791"/>
    <s v="475110405-Y"/>
    <s v="2026001296"/>
    <s v="Cartera"/>
    <s v="Correduría"/>
    <s v="Renovable"/>
    <s v="Facturado"/>
    <x v="55"/>
    <d v="2026-04-23T00:00:00"/>
    <m/>
    <m/>
    <m/>
    <m/>
    <m/>
    <s v="Anual"/>
    <s v="01685 Hogar"/>
    <s v="Hogar"/>
    <x v="2"/>
    <s v="OCCIDENT GCO, S.A.U."/>
    <s v="Euros"/>
    <n v="255.45"/>
    <n v="60.8"/>
    <n v="60.8"/>
    <n v="0"/>
    <m/>
    <n v="0"/>
    <m/>
    <n v="0"/>
    <m/>
    <n v="0"/>
    <m/>
    <n v="0"/>
  </r>
  <r>
    <s v="ARAYTOR"/>
    <s v="37707530L"/>
    <s v="8-10.726.539-N"/>
    <n v="26386"/>
    <s v="475201700-S"/>
    <s v="2026001297"/>
    <s v="Cartera"/>
    <s v="Correduría"/>
    <s v="Renovable"/>
    <s v="Facturado"/>
    <x v="55"/>
    <d v="2026-04-20T00:00:00"/>
    <m/>
    <m/>
    <m/>
    <m/>
    <m/>
    <s v="Anual"/>
    <s v="01685 Hogar"/>
    <s v="Hogar"/>
    <x v="2"/>
    <s v="OCCIDENT GCO, S.A.U."/>
    <s v="Euros"/>
    <n v="240.55"/>
    <n v="57.25"/>
    <n v="57.25"/>
    <n v="0"/>
    <m/>
    <n v="0"/>
    <m/>
    <n v="0"/>
    <m/>
    <n v="0"/>
    <m/>
    <n v="0"/>
  </r>
  <r>
    <s v="ARAYTOR"/>
    <s v="47968569E"/>
    <s v="8-10.926.275-L"/>
    <n v="28042"/>
    <s v="475242820-H"/>
    <s v="2026001298"/>
    <s v="Cartera"/>
    <s v="Correduría"/>
    <s v="Renovable"/>
    <s v="Facturado"/>
    <x v="55"/>
    <d v="2026-04-08T00:00:00"/>
    <m/>
    <m/>
    <m/>
    <m/>
    <m/>
    <s v="Anual"/>
    <s v="01685 Hogar"/>
    <s v="Hogar"/>
    <x v="2"/>
    <s v="OCCIDENT GCO, S.A.U."/>
    <s v="Euros"/>
    <n v="193.63"/>
    <n v="48.41"/>
    <n v="48.41"/>
    <n v="0"/>
    <m/>
    <n v="0"/>
    <m/>
    <n v="0"/>
    <m/>
    <n v="0"/>
    <m/>
    <n v="0"/>
  </r>
  <r>
    <s v="ARAYTOR"/>
    <s v="48107272N"/>
    <s v="8-10.926.297-Z"/>
    <n v="28043"/>
    <s v="475242875-L"/>
    <s v="2026001299"/>
    <s v="Cartera"/>
    <s v="Correduría"/>
    <s v="Renovable"/>
    <s v="Facturado"/>
    <x v="55"/>
    <d v="2026-04-08T00:00:00"/>
    <m/>
    <m/>
    <m/>
    <m/>
    <m/>
    <s v="Anual"/>
    <s v="01685 Hogar"/>
    <s v="Hogar"/>
    <x v="2"/>
    <s v="OCCIDENT GCO, S.A.U."/>
    <s v="Euros"/>
    <n v="124.18"/>
    <n v="31.04"/>
    <n v="31.04"/>
    <n v="0"/>
    <m/>
    <n v="0"/>
    <m/>
    <n v="0"/>
    <m/>
    <n v="0"/>
    <m/>
    <n v="0"/>
  </r>
  <r>
    <s v="ARAYTOR"/>
    <s v="39835510Q"/>
    <s v="8-10.927.780-F"/>
    <n v="28067"/>
    <s v="475246162-T"/>
    <s v="2026001300"/>
    <s v="Cartera"/>
    <s v="Correduría"/>
    <s v="Renovable"/>
    <s v="Facturado"/>
    <x v="55"/>
    <d v="2026-04-10T00:00:00"/>
    <m/>
    <m/>
    <m/>
    <m/>
    <m/>
    <s v="Anual"/>
    <s v="01685 Hogar"/>
    <s v="Hogar"/>
    <x v="2"/>
    <s v="OCCIDENT GCO, S.A.U."/>
    <s v="Euros"/>
    <n v="285.62"/>
    <n v="71.41"/>
    <n v="71.41"/>
    <n v="0"/>
    <m/>
    <n v="0"/>
    <m/>
    <n v="0"/>
    <m/>
    <n v="0"/>
    <m/>
    <n v="0"/>
  </r>
  <r>
    <s v="ARAYTOR"/>
    <s v="21666271H"/>
    <s v="8-10.938.955-V"/>
    <n v="28152"/>
    <s v="475262639-X"/>
    <s v="2026001301"/>
    <s v="Cartera"/>
    <s v="Correduría"/>
    <s v="Renovable"/>
    <s v="Facturado"/>
    <x v="55"/>
    <d v="2026-04-30T00:00:00"/>
    <m/>
    <m/>
    <m/>
    <m/>
    <m/>
    <s v="Anual"/>
    <s v="01685 Hogar"/>
    <s v="Hogar"/>
    <x v="2"/>
    <s v="OCCIDENT GCO, S.A.U."/>
    <s v="Euros"/>
    <n v="385.85"/>
    <n v="96.46"/>
    <n v="96.46"/>
    <n v="0"/>
    <m/>
    <n v="0"/>
    <m/>
    <n v="0"/>
    <m/>
    <n v="0"/>
    <m/>
    <n v="0"/>
  </r>
  <r>
    <s v="ARAYTOR"/>
    <s v="43437666G"/>
    <s v="8-6.496.130-L"/>
    <n v="19181"/>
    <s v="475301235-P"/>
    <s v="2026001302"/>
    <s v="Cartera"/>
    <s v="Correduría"/>
    <s v="Renovable"/>
    <s v="Facturado"/>
    <x v="55"/>
    <d v="2026-04-04T00:00:00"/>
    <m/>
    <m/>
    <m/>
    <m/>
    <m/>
    <s v="Anual"/>
    <s v="01663 Oficinas"/>
    <s v="Oficinas"/>
    <x v="3"/>
    <s v="OCCIDENT GCO, S.A.U."/>
    <s v="Euros"/>
    <n v="304.06"/>
    <n v="62.33"/>
    <n v="62.33"/>
    <n v="0"/>
    <m/>
    <n v="0"/>
    <m/>
    <n v="0"/>
    <m/>
    <n v="0"/>
    <m/>
    <n v="0"/>
  </r>
  <r>
    <s v="ARAYTOR"/>
    <s v="B05456934"/>
    <s v="CE87594"/>
    <n v="30397"/>
    <s v="2603401"/>
    <s v="2026001304"/>
    <s v="Produccion"/>
    <s v="Correduría"/>
    <s v="Temporal"/>
    <s v="Cobrado"/>
    <x v="56"/>
    <d v="2025-01-08T00:00:00"/>
    <d v="2026-03-06T00:00:00"/>
    <m/>
    <m/>
    <m/>
    <m/>
    <s v="Unico"/>
    <s v="Contingencias"/>
    <s v="Contingencias"/>
    <x v="9"/>
    <s v="CIRCLES GROUP, S.A."/>
    <s v="Euros"/>
    <n v="-565.52"/>
    <n v="-102.82"/>
    <n v="-102.82"/>
    <n v="0"/>
    <m/>
    <n v="0"/>
    <m/>
    <n v="0"/>
    <m/>
    <n v="0"/>
    <m/>
    <n v="0"/>
  </r>
  <r>
    <s v="ARAYTOR"/>
    <s v="B23601446"/>
    <s v="CE87595"/>
    <n v="30398"/>
    <s v="2603402"/>
    <s v="2026001305"/>
    <s v="Produccion"/>
    <s v="Correduría"/>
    <s v="Temporal"/>
    <s v="Facturado"/>
    <x v="56"/>
    <d v="2025-01-08T00:00:00"/>
    <m/>
    <m/>
    <m/>
    <m/>
    <m/>
    <s v="Unico"/>
    <s v="Contingencias"/>
    <s v="Contingencias"/>
    <x v="9"/>
    <s v="CIRCLES GROUP, S.A."/>
    <s v="Euros"/>
    <n v="5963.91"/>
    <n v="1084.3399999999999"/>
    <n v="1084.3399999999999"/>
    <n v="0"/>
    <m/>
    <n v="0"/>
    <m/>
    <n v="0"/>
    <m/>
    <n v="0"/>
    <m/>
    <n v="0"/>
  </r>
  <r>
    <s v="ARAYTOR"/>
    <s v="V 56617145"/>
    <s v="CE87899"/>
    <n v="30553"/>
    <s v="2603403"/>
    <s v="2026001306"/>
    <s v="Produccion"/>
    <s v="Correduría"/>
    <s v="Temporal"/>
    <s v="Facturado"/>
    <x v="56"/>
    <d v="2025-01-31T00:00:00"/>
    <m/>
    <m/>
    <m/>
    <m/>
    <m/>
    <s v="Unico"/>
    <s v="Contingencias"/>
    <s v="Contingencias"/>
    <x v="9"/>
    <s v="CIRCLES GROUP, S.A."/>
    <s v="Euros"/>
    <n v="4004.61"/>
    <n v="728.12"/>
    <n v="728.12"/>
    <n v="0"/>
    <m/>
    <n v="0"/>
    <m/>
    <n v="0"/>
    <m/>
    <n v="0"/>
    <m/>
    <n v="0"/>
  </r>
  <r>
    <s v="ARAYTOR"/>
    <s v="B11459435"/>
    <s v="CE89637"/>
    <n v="31769"/>
    <s v="2603405"/>
    <s v="2026001307"/>
    <s v="Produccion"/>
    <s v="Correduría"/>
    <s v="Temporal"/>
    <s v="Facturado"/>
    <x v="56"/>
    <d v="2025-08-11T00:00:00"/>
    <m/>
    <m/>
    <m/>
    <m/>
    <m/>
    <s v="Unico"/>
    <s v="Contingencias"/>
    <s v="Contingencias"/>
    <x v="9"/>
    <s v="CIRCLES GROUP, S.A."/>
    <s v="Euros"/>
    <n v="13697.28"/>
    <n v="2490.42"/>
    <n v="2490.42"/>
    <n v="0"/>
    <m/>
    <n v="0"/>
    <m/>
    <n v="0"/>
    <m/>
    <n v="0"/>
    <m/>
    <n v="0"/>
  </r>
  <r>
    <s v="ARAYTOR"/>
    <s v="V56080849"/>
    <s v="CE92366"/>
    <n v="32186"/>
    <s v="2603404"/>
    <s v="2026001308"/>
    <s v="Produccion"/>
    <s v="Correduría"/>
    <s v="Temporal"/>
    <s v="Facturado"/>
    <x v="56"/>
    <d v="2025-11-06T00:00:00"/>
    <m/>
    <m/>
    <m/>
    <m/>
    <m/>
    <s v="Unico"/>
    <s v="Contingencias"/>
    <s v="Contingencias"/>
    <x v="9"/>
    <s v="CIRCLES GROUP, S.A."/>
    <s v="Euros"/>
    <n v="3079.05"/>
    <n v="559.83000000000004"/>
    <n v="559.83000000000004"/>
    <n v="0"/>
    <m/>
    <n v="0"/>
    <m/>
    <n v="0"/>
    <m/>
    <n v="0"/>
    <m/>
    <n v="0"/>
  </r>
  <r>
    <s v="ARAYTOR"/>
    <s v="B11459435"/>
    <s v="RCEXP-CA19005"/>
    <n v="32271"/>
    <s v="2603439"/>
    <s v="2026001309"/>
    <s v="Produccion"/>
    <s v="Correduría"/>
    <s v="Temporal"/>
    <s v="Facturado"/>
    <x v="56"/>
    <d v="2026-04-02T00:00:00"/>
    <m/>
    <m/>
    <m/>
    <m/>
    <m/>
    <s v="Unico"/>
    <s v="RC Empresa"/>
    <s v="RC Empresa"/>
    <x v="0"/>
    <s v="CIRCLES GROUP, S.A."/>
    <s v="Euros"/>
    <n v="78015"/>
    <n v="14184.54"/>
    <n v="14184.54"/>
    <n v="0"/>
    <m/>
    <n v="0"/>
    <m/>
    <n v="0"/>
    <m/>
    <n v="0"/>
    <m/>
    <n v="0"/>
  </r>
  <r>
    <s v="ARAYTOR"/>
    <s v="B09791096"/>
    <s v="CE93731"/>
    <n v="32716"/>
    <s v="2603406"/>
    <s v="2026001310"/>
    <s v="Produccion"/>
    <s v="Correduría"/>
    <s v="Temporal"/>
    <s v="Cobrado"/>
    <x v="56"/>
    <d v="2026-02-20T00:00:00"/>
    <d v="2026-02-25T00:00:00"/>
    <m/>
    <m/>
    <m/>
    <m/>
    <s v="Unico"/>
    <s v="Contingencias"/>
    <s v="Contingencias"/>
    <x v="9"/>
    <s v="CIRCLES GROUP, S.A."/>
    <s v="Euros"/>
    <n v="2477.6999999999998"/>
    <n v="450.49"/>
    <n v="450.49"/>
    <n v="0"/>
    <m/>
    <n v="0"/>
    <m/>
    <n v="0"/>
    <m/>
    <n v="0"/>
    <m/>
    <n v="0"/>
  </r>
  <r>
    <s v="ARAYTOR"/>
    <s v="B66894619"/>
    <s v="CE93842"/>
    <n v="32717"/>
    <s v="2603408"/>
    <s v="2026001311"/>
    <s v="Produccion"/>
    <s v="Correduría"/>
    <s v="Temporal"/>
    <s v="Cobrado"/>
    <x v="56"/>
    <d v="2026-02-19T00:00:00"/>
    <d v="2026-03-06T00:00:00"/>
    <m/>
    <m/>
    <m/>
    <m/>
    <s v="Unico"/>
    <s v="Contingencias"/>
    <s v="Contingencias"/>
    <x v="9"/>
    <s v="CIRCLES GROUP, S.A."/>
    <s v="Euros"/>
    <n v="8374.94"/>
    <n v="1522.72"/>
    <n v="1522.72"/>
    <n v="0"/>
    <m/>
    <n v="0"/>
    <m/>
    <n v="0"/>
    <m/>
    <n v="0"/>
    <m/>
    <n v="0"/>
  </r>
  <r>
    <s v="ARAYTOR"/>
    <s v="B66894619"/>
    <s v="CE93842"/>
    <n v="32717"/>
    <s v="2603409"/>
    <s v="2026001312"/>
    <s v="Produccion"/>
    <s v="Correduría"/>
    <s v="Temporal"/>
    <s v="Facturado"/>
    <x v="56"/>
    <d v="2026-02-19T00:00:00"/>
    <m/>
    <m/>
    <m/>
    <m/>
    <m/>
    <s v="Unico"/>
    <s v="Contingencias"/>
    <s v="Contingencias"/>
    <x v="9"/>
    <s v="CIRCLES GROUP, S.A."/>
    <s v="Euros"/>
    <n v="8374.94"/>
    <n v="1522.72"/>
    <n v="1522.72"/>
    <n v="0"/>
    <m/>
    <n v="0"/>
    <m/>
    <n v="0"/>
    <m/>
    <n v="0"/>
    <m/>
    <n v="0"/>
  </r>
  <r>
    <s v="ARAYTOR"/>
    <s v="H64717028"/>
    <s v="8-10.718.911-J"/>
    <n v="26333"/>
    <s v="475517540-C"/>
    <s v="2026001315"/>
    <s v="Cartera"/>
    <s v="Correduría"/>
    <s v="Renovable"/>
    <s v="Facturado"/>
    <x v="56"/>
    <d v="2026-04-07T00:00:00"/>
    <m/>
    <m/>
    <m/>
    <m/>
    <m/>
    <s v="Anual"/>
    <s v="01690 - Comunidades"/>
    <s v="Comunidad de Propietarios"/>
    <x v="3"/>
    <s v="OCCIDENT GCO, S.A.U."/>
    <s v="Euros"/>
    <n v="461.31"/>
    <n v="109.79"/>
    <n v="109.79"/>
    <n v="0"/>
    <m/>
    <n v="0"/>
    <s v="Joan Bou Jovè"/>
    <n v="65.87"/>
    <m/>
    <n v="0"/>
    <m/>
    <n v="0"/>
  </r>
  <r>
    <s v="ARAYTOR"/>
    <s v="B22449995"/>
    <s v="RCEXP-CA19376"/>
    <n v="32718"/>
    <s v="2603461"/>
    <s v="2026001316"/>
    <s v="Produccion"/>
    <s v="Correduría"/>
    <s v="Temporal"/>
    <s v="Facturado"/>
    <x v="57"/>
    <d v="2026-03-24T00:00:00"/>
    <m/>
    <m/>
    <m/>
    <m/>
    <m/>
    <s v="Unico"/>
    <s v="RC Empresa"/>
    <s v="RC Empresa"/>
    <x v="0"/>
    <s v="CIRCLES GROUP, S.A."/>
    <s v="Euros"/>
    <n v="508.55"/>
    <n v="92.46"/>
    <n v="92.46"/>
    <n v="0"/>
    <m/>
    <n v="0"/>
    <s v="RIBE &amp; SALAT, S.A."/>
    <n v="50.86"/>
    <m/>
    <n v="0"/>
    <m/>
    <n v="0"/>
  </r>
  <r>
    <s v="ARAYTOR"/>
    <s v="B72627904"/>
    <s v="CE93897"/>
    <n v="32719"/>
    <s v="2603465"/>
    <s v="2026001317"/>
    <s v="Produccion"/>
    <s v="Correduría"/>
    <s v="Temporal"/>
    <s v="Cobrado"/>
    <x v="57"/>
    <d v="2026-02-23T00:00:00"/>
    <d v="2026-03-02T00:00:00"/>
    <m/>
    <m/>
    <m/>
    <m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B26574087"/>
    <s v="RCEXP-CA19375"/>
    <n v="32720"/>
    <s v="2603443"/>
    <s v="2026001318"/>
    <s v="Produccion"/>
    <s v="Correduría"/>
    <s v="Temporal"/>
    <s v="Cobrado"/>
    <x v="57"/>
    <d v="2026-02-23T00:00:00"/>
    <d v="2026-02-26T00:00:00"/>
    <m/>
    <m/>
    <m/>
    <m/>
    <s v="Unico"/>
    <s v="RC Empresa"/>
    <s v="RC Empresa"/>
    <x v="0"/>
    <s v="CIRCLES GROUP, S.A."/>
    <s v="Euros"/>
    <n v="1448.01"/>
    <n v="263.27999999999997"/>
    <n v="263.27999999999997"/>
    <n v="0"/>
    <m/>
    <n v="0"/>
    <m/>
    <n v="0"/>
    <m/>
    <n v="0"/>
    <m/>
    <n v="0"/>
  </r>
  <r>
    <s v="ARAYTOR"/>
    <s v="B25258633"/>
    <s v="ESDRN300708"/>
    <n v="15632"/>
    <m/>
    <s v="2026001319"/>
    <s v="Cartera"/>
    <s v="Correduría"/>
    <s v="Renovable"/>
    <s v="Facturado"/>
    <x v="57"/>
    <d v="2026-03-23T00:00:00"/>
    <m/>
    <m/>
    <m/>
    <m/>
    <m/>
    <s v="Anual"/>
    <s v="D&amp;O"/>
    <s v="RC Directivos"/>
    <x v="8"/>
    <s v="CHUBB EUROPEAN GROUP LIMITED"/>
    <s v="Euros"/>
    <n v="767.58"/>
    <n v="153.52000000000001"/>
    <n v="153.52000000000001"/>
    <n v="0"/>
    <m/>
    <n v="0"/>
    <m/>
    <n v="0"/>
    <m/>
    <n v="0"/>
    <m/>
    <n v="0"/>
  </r>
  <r>
    <s v="ARAYTOR"/>
    <s v="A08339103"/>
    <s v="L1-G-620000935"/>
    <n v="741"/>
    <s v="5689058633"/>
    <s v="2026001320"/>
    <s v="Cartera"/>
    <s v="Correduría"/>
    <s v="Renovable"/>
    <s v="Facturado"/>
    <x v="57"/>
    <d v="2022-01-01T00:00:00"/>
    <m/>
    <m/>
    <m/>
    <m/>
    <m/>
    <s v="Anual"/>
    <s v="Accidentes Convenio"/>
    <s v="Accidentes"/>
    <x v="4"/>
    <s v="GENERALI ESPAÑA"/>
    <s v="Euros"/>
    <n v="5.88"/>
    <n v="1.33"/>
    <n v="1.18"/>
    <n v="0"/>
    <m/>
    <n v="0"/>
    <m/>
    <n v="0"/>
    <m/>
    <n v="0"/>
    <m/>
    <n v="0"/>
  </r>
  <r>
    <s v="ARAYTOR"/>
    <s v="A08339103"/>
    <s v="L1-G-620000935"/>
    <n v="741"/>
    <s v="5689708700"/>
    <s v="2026001321"/>
    <s v="Cartera"/>
    <s v="Correduría"/>
    <s v="Renovable"/>
    <s v="Facturado"/>
    <x v="57"/>
    <d v="2023-01-01T00:00:00"/>
    <m/>
    <m/>
    <m/>
    <m/>
    <m/>
    <s v="Anual"/>
    <s v="Accidentes Convenio"/>
    <s v="Accidentes"/>
    <x v="4"/>
    <s v="GENERALI ESPAÑA"/>
    <s v="Euros"/>
    <n v="2243.71"/>
    <n v="504.83"/>
    <n v="448.74"/>
    <n v="0"/>
    <m/>
    <n v="0"/>
    <m/>
    <n v="0"/>
    <m/>
    <n v="0"/>
    <m/>
    <n v="0"/>
  </r>
  <r>
    <s v="ARAYTOR"/>
    <s v="A08339103"/>
    <s v="L1-G-620000935"/>
    <n v="741"/>
    <s v="5689736177"/>
    <s v="2026001322"/>
    <s v="Cartera"/>
    <s v="Correduría"/>
    <s v="Renovable"/>
    <s v="Facturado"/>
    <x v="57"/>
    <d v="2024-01-01T00:00:00"/>
    <m/>
    <m/>
    <m/>
    <m/>
    <m/>
    <s v="Anual"/>
    <s v="Accidentes Convenio"/>
    <s v="Accidentes"/>
    <x v="4"/>
    <s v="GENERALI ESPAÑA"/>
    <s v="Euros"/>
    <n v="1226.8499999999999"/>
    <n v="276.04000000000002"/>
    <n v="245.37"/>
    <n v="0"/>
    <m/>
    <n v="0"/>
    <m/>
    <n v="0"/>
    <m/>
    <n v="0"/>
    <m/>
    <n v="0"/>
  </r>
  <r>
    <s v="ARAYTOR"/>
    <s v="A08339103"/>
    <s v="L1-G-620000935"/>
    <n v="741"/>
    <s v="5689736433"/>
    <s v="2026001323"/>
    <s v="Cartera"/>
    <s v="Correduría"/>
    <s v="Renovable"/>
    <s v="Facturado"/>
    <x v="57"/>
    <d v="2025-01-01T00:00:00"/>
    <m/>
    <m/>
    <m/>
    <m/>
    <m/>
    <s v="Anual"/>
    <s v="Accidentes Convenio"/>
    <s v="Accidentes"/>
    <x v="4"/>
    <s v="GENERALI ESPAÑA"/>
    <s v="Euros"/>
    <n v="125.77"/>
    <n v="28.29"/>
    <n v="25.15"/>
    <n v="0"/>
    <m/>
    <n v="0"/>
    <m/>
    <n v="0"/>
    <m/>
    <n v="0"/>
    <m/>
    <n v="0"/>
  </r>
  <r>
    <s v="ARAYTOR"/>
    <s v="72491311A"/>
    <s v="L1-G-620000418"/>
    <n v="8224"/>
    <s v="5688552711"/>
    <s v="2026001324"/>
    <s v="Cartera"/>
    <s v="Correduría"/>
    <s v="Renovable"/>
    <s v="Facturado"/>
    <x v="57"/>
    <d v="2026-03-12T00:00:00"/>
    <m/>
    <m/>
    <m/>
    <m/>
    <m/>
    <s v="Anual"/>
    <s v="Accidentes Convenio"/>
    <s v="Accidentes"/>
    <x v="4"/>
    <s v="GENERALI ESPAÑA"/>
    <s v="Euros"/>
    <n v="182.15"/>
    <n v="40.98"/>
    <n v="36.43"/>
    <n v="0"/>
    <m/>
    <n v="0"/>
    <m/>
    <n v="0"/>
    <m/>
    <n v="0"/>
    <m/>
    <n v="0"/>
  </r>
  <r>
    <s v="ARAYTOR"/>
    <s v="B62545603"/>
    <s v="L1-G-620000419"/>
    <n v="8279"/>
    <s v="5688552722"/>
    <s v="2026001325"/>
    <s v="Cartera"/>
    <s v="Correduría"/>
    <s v="Renovable"/>
    <s v="Facturado"/>
    <x v="57"/>
    <d v="2026-03-19T00:00:00"/>
    <m/>
    <m/>
    <m/>
    <m/>
    <m/>
    <s v="Anual"/>
    <s v="Accidentes Convenio"/>
    <s v="Accidentes"/>
    <x v="4"/>
    <s v="GENERALI ESPAÑA"/>
    <s v="Euros"/>
    <n v="654.70000000000005"/>
    <n v="147.31"/>
    <n v="130.94"/>
    <n v="0"/>
    <m/>
    <n v="0"/>
    <m/>
    <n v="0"/>
    <m/>
    <n v="0"/>
    <m/>
    <n v="0"/>
  </r>
  <r>
    <s v="ARAYTOR"/>
    <s v="B50717750"/>
    <s v="050081337-00166"/>
    <n v="32721"/>
    <s v="882658846"/>
    <s v="2026001326"/>
    <s v="Produccion"/>
    <s v="Compañía"/>
    <s v="Renovable"/>
    <s v="Cobrado"/>
    <x v="57"/>
    <d v="2026-02-20T00:00:00"/>
    <d v="2026-02-23T00:00:00"/>
    <m/>
    <m/>
    <m/>
    <m/>
    <s v="Anual"/>
    <s v="1222 Autopgrup V.03 (Turismos)"/>
    <s v="Vehiculos"/>
    <x v="1"/>
    <s v="ALLIANZ"/>
    <s v="Euros"/>
    <n v="255.74"/>
    <n v="20.46"/>
    <n v="20.46"/>
    <n v="0"/>
    <m/>
    <n v="0"/>
    <m/>
    <n v="0"/>
    <m/>
    <n v="0"/>
    <m/>
    <n v="0"/>
  </r>
  <r>
    <s v="ARAYTOR"/>
    <s v="46651409A"/>
    <s v="034186871"/>
    <n v="14346"/>
    <s v="882671062"/>
    <s v="2026001327"/>
    <s v="Suplemento modificacion de produccion"/>
    <s v="Correduría"/>
    <s v="Renovable"/>
    <s v="Facturado"/>
    <x v="57"/>
    <d v="2025-01-01T00:00:00"/>
    <m/>
    <m/>
    <m/>
    <m/>
    <m/>
    <s v="Anual"/>
    <s v="156 Accidentes Convenio"/>
    <s v="Accidentes"/>
    <x v="4"/>
    <s v="ALLIANZ"/>
    <s v="Euros"/>
    <n v="257.76"/>
    <n v="51.55"/>
    <n v="51.55"/>
    <n v="0"/>
    <m/>
    <n v="0"/>
    <m/>
    <n v="0"/>
    <m/>
    <n v="0"/>
    <m/>
    <n v="0"/>
  </r>
  <r>
    <s v="ARAYTOR"/>
    <s v="B60448487"/>
    <s v="030693631"/>
    <n v="12015"/>
    <s v="882675147"/>
    <s v="2026001328"/>
    <s v="Suplemento modificacion de produccion"/>
    <s v="Correduría"/>
    <s v="Renovable"/>
    <s v="Facturado"/>
    <x v="57"/>
    <d v="2024-12-31T00:00:00"/>
    <m/>
    <m/>
    <m/>
    <m/>
    <m/>
    <s v="Anual"/>
    <s v="156 Accidentes Convenio"/>
    <s v="Accidentes"/>
    <x v="4"/>
    <s v="ALLIANZ"/>
    <s v="Euros"/>
    <n v="105.79"/>
    <n v="21.16"/>
    <n v="21.16"/>
    <n v="0"/>
    <m/>
    <n v="0"/>
    <m/>
    <n v="0"/>
    <m/>
    <n v="0"/>
    <m/>
    <n v="0"/>
  </r>
  <r>
    <s v="ARAYTOR"/>
    <s v="B66320813"/>
    <s v="037096939"/>
    <n v="15778"/>
    <s v="882688058"/>
    <s v="2026001329"/>
    <s v="Suplemento modificacion de produccion"/>
    <s v="Correduría"/>
    <s v="Renovable"/>
    <s v="Facturado"/>
    <x v="57"/>
    <d v="2023-01-01T00:00:00"/>
    <m/>
    <m/>
    <m/>
    <m/>
    <m/>
    <s v="Anual"/>
    <s v="156 Accidentes Convenio"/>
    <s v="Accidentes"/>
    <x v="4"/>
    <s v="ALLIANZ"/>
    <s v="Euros"/>
    <n v="505.56"/>
    <n v="101.11"/>
    <n v="101.11"/>
    <n v="0"/>
    <m/>
    <n v="0"/>
    <m/>
    <n v="0"/>
    <m/>
    <n v="0"/>
    <m/>
    <n v="0"/>
  </r>
  <r>
    <s v="ARAYTOR"/>
    <s v="B66320813"/>
    <s v="037096939"/>
    <n v="15778"/>
    <s v="882688280"/>
    <s v="2026001330"/>
    <s v="Suplemento modificacion de produccion"/>
    <s v="Correduría"/>
    <s v="Renovable"/>
    <s v="Facturado"/>
    <x v="57"/>
    <d v="2024-01-01T00:00:00"/>
    <m/>
    <m/>
    <m/>
    <m/>
    <m/>
    <s v="Anual"/>
    <s v="156 Accidentes Convenio"/>
    <s v="Accidentes"/>
    <x v="4"/>
    <s v="ALLIANZ"/>
    <s v="Euros"/>
    <n v="555.84"/>
    <n v="111.17"/>
    <n v="111.17"/>
    <n v="0"/>
    <m/>
    <n v="0"/>
    <m/>
    <n v="0"/>
    <m/>
    <n v="0"/>
    <m/>
    <n v="0"/>
  </r>
  <r>
    <s v="ARAYTOR"/>
    <s v="B66320813"/>
    <s v="037096939"/>
    <n v="15778"/>
    <s v="882688439"/>
    <s v="2026001331"/>
    <s v="Suplemento modificacion de produccion"/>
    <s v="Correduría"/>
    <s v="Renovable"/>
    <s v="Facturado"/>
    <x v="57"/>
    <d v="2025-01-01T00:00:00"/>
    <m/>
    <m/>
    <m/>
    <m/>
    <m/>
    <s v="Anual"/>
    <s v="156 Accidentes Convenio"/>
    <s v="Accidentes"/>
    <x v="4"/>
    <s v="ALLIANZ"/>
    <s v="Euros"/>
    <n v="676.5"/>
    <n v="135.30000000000001"/>
    <n v="135.30000000000001"/>
    <n v="0"/>
    <m/>
    <n v="0"/>
    <m/>
    <n v="0"/>
    <m/>
    <n v="0"/>
    <m/>
    <n v="0"/>
  </r>
  <r>
    <s v="ARAYTOR"/>
    <s v="B50717750"/>
    <s v="050081337-00148"/>
    <n v="31924"/>
    <s v="882680303"/>
    <s v="2026001332"/>
    <s v="Ajustes"/>
    <s v="Correduría"/>
    <s v="Renovable"/>
    <s v="Cobrado"/>
    <x v="57"/>
    <d v="2026-02-16T00:00:00"/>
    <d v="2026-02-25T00:00:00"/>
    <m/>
    <m/>
    <m/>
    <d v="2026-04-01T00:00:00"/>
    <s v="Anual"/>
    <s v="1222 Autopgrup V.03 (Turismos)"/>
    <s v="Vehiculos"/>
    <x v="1"/>
    <s v="ALLIANZ"/>
    <s v="Euros"/>
    <n v="-471.55"/>
    <n v="-37.72"/>
    <n v="-37.72"/>
    <n v="0"/>
    <m/>
    <n v="0"/>
    <m/>
    <n v="0"/>
    <m/>
    <n v="0"/>
    <m/>
    <n v="0"/>
  </r>
  <r>
    <s v="ARAYTOR"/>
    <s v="B16918211"/>
    <s v="8-10.896.139-P"/>
    <n v="27798"/>
    <s v="475562985-B"/>
    <s v="2026001333"/>
    <s v="Suplemento modificacion de produccion"/>
    <s v="Correduría"/>
    <s v="Renovable"/>
    <s v="Facturado"/>
    <x v="57"/>
    <d v="2025-02-18T00:00:00"/>
    <m/>
    <m/>
    <m/>
    <m/>
    <m/>
    <s v="Anual"/>
    <s v="01242 - RC comercio, cultura, ocio"/>
    <s v="RC General"/>
    <x v="0"/>
    <s v="OCCIDENT GCO, S.A.U."/>
    <s v="Euros"/>
    <n v="755.97"/>
    <n v="113.4"/>
    <n v="113.4"/>
    <n v="0"/>
    <m/>
    <n v="0"/>
    <m/>
    <n v="0"/>
    <m/>
    <n v="0"/>
    <m/>
    <n v="0"/>
  </r>
  <r>
    <s v="ARAYTOR"/>
    <s v="B75317800"/>
    <s v="RCEXP-CA16809"/>
    <n v="29239"/>
    <s v="2603530"/>
    <s v="2026001334"/>
    <s v="Produccion"/>
    <s v="Correduría"/>
    <s v="Temporal"/>
    <s v="Cobrado"/>
    <x v="58"/>
    <d v="2025-11-23T00:00:00"/>
    <d v="2026-03-05T00:00:00"/>
    <m/>
    <m/>
    <m/>
    <m/>
    <s v="Unico"/>
    <s v="RC Empresa"/>
    <s v="RC Empresa"/>
    <x v="0"/>
    <s v="CIRCLES GROUP, S.A."/>
    <s v="Euros"/>
    <n v="300"/>
    <n v="54.55"/>
    <n v="54.55"/>
    <n v="0"/>
    <m/>
    <n v="0"/>
    <m/>
    <n v="0"/>
    <m/>
    <n v="0"/>
    <m/>
    <n v="0"/>
  </r>
  <r>
    <s v="ARAYTOR"/>
    <s v="W0380386C"/>
    <s v="CE93853"/>
    <n v="32722"/>
    <s v="2603455"/>
    <s v="2026001335"/>
    <s v="Produccion"/>
    <s v="Correduría"/>
    <s v="Temporal"/>
    <s v="Facturado"/>
    <x v="58"/>
    <d v="2026-02-16T00:00:00"/>
    <m/>
    <m/>
    <m/>
    <m/>
    <m/>
    <s v="Unico"/>
    <s v="Equipos"/>
    <s v="Averia Maquinaria"/>
    <x v="15"/>
    <s v="CIRCLES GROUP, S.A."/>
    <s v="Euros"/>
    <n v="4034.56"/>
    <n v="733.56"/>
    <n v="733.56"/>
    <n v="0"/>
    <m/>
    <n v="0"/>
    <m/>
    <n v="0"/>
    <m/>
    <n v="0"/>
    <m/>
    <n v="0"/>
  </r>
  <r>
    <s v="ARAYTOR"/>
    <s v="B19352434"/>
    <s v="RCEXP-CA19382"/>
    <n v="32723"/>
    <s v="2603529"/>
    <s v="2026001336"/>
    <s v="Produccion"/>
    <s v="Correduría"/>
    <s v="Temporal"/>
    <s v="Facturado"/>
    <x v="58"/>
    <d v="2026-02-25T00:00:00"/>
    <m/>
    <m/>
    <m/>
    <m/>
    <m/>
    <s v="Unico"/>
    <s v="RC Empresa"/>
    <s v="RC Empresa"/>
    <x v="0"/>
    <s v="CIRCLES GROUP, S.A."/>
    <s v="Euros"/>
    <n v="2300"/>
    <n v="418.18"/>
    <n v="418.18"/>
    <n v="0"/>
    <m/>
    <n v="0"/>
    <m/>
    <n v="0"/>
    <m/>
    <n v="0"/>
    <m/>
    <n v="0"/>
  </r>
  <r>
    <s v="ARAYTOR"/>
    <s v="B62971247"/>
    <s v="550258156"/>
    <n v="5623"/>
    <s v="467817441"/>
    <s v="2026001337"/>
    <s v="Cartera"/>
    <s v="Correduría"/>
    <s v="Renovable"/>
    <s v="Facturado"/>
    <x v="58"/>
    <d v="2026-04-14T00:00:00"/>
    <m/>
    <m/>
    <m/>
    <m/>
    <m/>
    <s v="Anual"/>
    <s v="Defensa Juridica Empresas PJ"/>
    <s v="Defensa Jurídica Empresa"/>
    <x v="7"/>
    <s v="ARAG, S.E. Sucursal en España"/>
    <s v="Euros"/>
    <n v="600.63"/>
    <n v="120.13"/>
    <n v="120.13"/>
    <n v="0"/>
    <m/>
    <n v="0"/>
    <m/>
    <n v="0"/>
    <m/>
    <n v="0"/>
    <m/>
    <n v="0"/>
  </r>
  <r>
    <s v="ARAYTOR"/>
    <s v="B26575274"/>
    <s v="RCEXP-CA19361"/>
    <n v="32711"/>
    <s v="2603326"/>
    <s v="2026001338"/>
    <s v="Produccion"/>
    <s v="Correduría"/>
    <s v="Temporal"/>
    <s v="Cobrado"/>
    <x v="58"/>
    <d v="2026-02-20T00:00:00"/>
    <d v="2026-03-02T00:00:00"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B63538508"/>
    <s v="30/474764"/>
    <n v="6841"/>
    <s v="264582583"/>
    <s v="2026001339"/>
    <s v="Suplemento modificacion de produccion"/>
    <s v="Correduría"/>
    <s v="Renovable"/>
    <s v="Facturado"/>
    <x v="59"/>
    <d v="2024-10-07T00:00:00"/>
    <m/>
    <m/>
    <m/>
    <m/>
    <m/>
    <s v="Unico"/>
    <s v="Accidentes"/>
    <s v="Accidentes Colectivo"/>
    <x v="10"/>
    <s v="FIATC "/>
    <s v="Euros"/>
    <n v="200.05"/>
    <n v="40.01"/>
    <n v="40.01"/>
    <n v="0"/>
    <m/>
    <n v="0"/>
    <m/>
    <n v="0"/>
    <m/>
    <n v="0"/>
    <m/>
    <n v="0"/>
  </r>
  <r>
    <s v="ARAYTOR"/>
    <s v="B99336547"/>
    <s v="3565308"/>
    <n v="28079"/>
    <s v="3565308-3"/>
    <s v="2026001340"/>
    <s v="Suplemento modificacion de produccion"/>
    <s v="Correduría"/>
    <s v="Renovable"/>
    <s v="Facturado"/>
    <x v="59"/>
    <d v="2026-04-29T00:00:00"/>
    <m/>
    <m/>
    <m/>
    <m/>
    <m/>
    <s v="Anual"/>
    <s v="RC Musica"/>
    <s v="RC Promotor Musica"/>
    <x v="0"/>
    <s v="Hiscox S.A Sucursal en España"/>
    <s v="Euros"/>
    <n v="472.34"/>
    <n v="118.09"/>
    <n v="118.09"/>
    <n v="0"/>
    <m/>
    <n v="0"/>
    <m/>
    <n v="0"/>
    <m/>
    <n v="0"/>
    <m/>
    <n v="0"/>
  </r>
  <r>
    <s v="ARAYTOR"/>
    <s v="B42743476"/>
    <s v="RCEXP-CA6887"/>
    <n v="20222"/>
    <s v="2603600"/>
    <s v="2026001341"/>
    <s v="Produccion"/>
    <s v="Correduría"/>
    <s v="Temporal"/>
    <s v="Facturado"/>
    <x v="59"/>
    <d v="2026-04-11T00:00:00"/>
    <m/>
    <m/>
    <m/>
    <m/>
    <m/>
    <s v="Unico"/>
    <s v="RC Empresa"/>
    <s v="RC Empresa"/>
    <x v="0"/>
    <s v="CIRCLES GROUP, S.A."/>
    <s v="Euros"/>
    <n v="1035"/>
    <n v="188.18"/>
    <n v="188.18"/>
    <n v="0"/>
    <m/>
    <n v="0"/>
    <m/>
    <n v="0"/>
    <m/>
    <n v="0"/>
    <m/>
    <n v="0"/>
  </r>
  <r>
    <s v="ARAYTOR"/>
    <s v="V13718903"/>
    <s v="CE92530"/>
    <n v="32243"/>
    <s v="2603613"/>
    <s v="2026001342"/>
    <s v="Produccion"/>
    <s v="Correduría"/>
    <s v="Temporal"/>
    <s v="Cobrado"/>
    <x v="59"/>
    <d v="2025-11-20T00:00:00"/>
    <d v="2026-03-06T00:00:00"/>
    <m/>
    <m/>
    <m/>
    <m/>
    <s v="Unico"/>
    <s v="Contingencias"/>
    <s v="Contingencias"/>
    <x v="9"/>
    <s v="CIRCLES GROUP, S.A."/>
    <s v="Euros"/>
    <n v="345.41"/>
    <n v="62.8"/>
    <n v="62.8"/>
    <n v="0"/>
    <m/>
    <n v="0"/>
    <m/>
    <n v="0"/>
    <m/>
    <n v="0"/>
    <m/>
    <n v="0"/>
  </r>
  <r>
    <s v="ARAYTOR"/>
    <s v="B83958934"/>
    <s v="CE92561"/>
    <n v="32244"/>
    <s v="2603565"/>
    <s v="2026001343"/>
    <s v="Produccion"/>
    <s v="Correduría"/>
    <s v="Temporal"/>
    <s v="Cobrado"/>
    <x v="59"/>
    <d v="2025-11-20T00:00:00"/>
    <d v="2026-03-06T00:00:00"/>
    <m/>
    <m/>
    <m/>
    <m/>
    <s v="Unico"/>
    <s v="Contingencias"/>
    <s v="Contingencias"/>
    <x v="9"/>
    <s v="CIRCLES GROUP, S.A."/>
    <s v="Euros"/>
    <n v="5359.22"/>
    <n v="974.4"/>
    <n v="974.4"/>
    <n v="0"/>
    <m/>
    <n v="0"/>
    <m/>
    <n v="0"/>
    <m/>
    <n v="0"/>
    <m/>
    <n v="0"/>
  </r>
  <r>
    <s v="ARAYTOR"/>
    <s v="B44927051"/>
    <s v="CE93540"/>
    <n v="32601"/>
    <s v="2603595"/>
    <s v="2026001344"/>
    <s v="Produccion"/>
    <s v="Correduría"/>
    <s v="Temporal"/>
    <s v="Cobrado"/>
    <x v="59"/>
    <d v="2026-01-28T00:00:00"/>
    <d v="2026-03-06T00:00:00"/>
    <m/>
    <m/>
    <m/>
    <m/>
    <s v="Unico"/>
    <s v="Contingencias"/>
    <s v="Contingencias"/>
    <x v="9"/>
    <s v="CIRCLES GROUP, S.A."/>
    <s v="Euros"/>
    <n v="-41.58"/>
    <n v="-7.56"/>
    <n v="-7.56"/>
    <n v="0"/>
    <m/>
    <n v="0"/>
    <m/>
    <n v="0"/>
    <m/>
    <n v="0"/>
    <m/>
    <n v="0"/>
  </r>
  <r>
    <s v="ARAYTOR"/>
    <s v="B44927051"/>
    <s v="CE93540"/>
    <n v="32601"/>
    <s v="2603632"/>
    <s v="2026001345"/>
    <s v="Produccion"/>
    <s v="Correduría"/>
    <s v="Temporal"/>
    <s v="Cobrado"/>
    <x v="59"/>
    <d v="2026-01-28T00:00:00"/>
    <d v="2026-03-03T00:00:00"/>
    <m/>
    <m/>
    <m/>
    <m/>
    <s v="Unico"/>
    <s v="Contingencias"/>
    <s v="Contingencias"/>
    <x v="9"/>
    <s v="CIRCLES GROUP, S.A."/>
    <s v="Euros"/>
    <n v="196.51"/>
    <n v="35.729999999999997"/>
    <n v="35.729999999999997"/>
    <n v="0"/>
    <m/>
    <n v="0"/>
    <m/>
    <n v="0"/>
    <m/>
    <n v="0"/>
    <m/>
    <n v="0"/>
  </r>
  <r>
    <s v="ARAYTOR"/>
    <s v="B70416664"/>
    <s v="CE93530"/>
    <n v="32724"/>
    <s v="2603560"/>
    <s v="2026001346"/>
    <s v="Produccion"/>
    <s v="Correduría"/>
    <s v="Temporal"/>
    <s v="Cobrado"/>
    <x v="59"/>
    <d v="2026-02-23T00:00:00"/>
    <d v="2026-03-02T00:00:00"/>
    <m/>
    <m/>
    <m/>
    <m/>
    <s v="Unico"/>
    <s v="Contingencias"/>
    <s v="Contingencias"/>
    <x v="9"/>
    <s v="CIRCLES GROUP, S.A."/>
    <s v="Euros"/>
    <n v="4051.03"/>
    <n v="736.56"/>
    <n v="736.56"/>
    <n v="0"/>
    <m/>
    <n v="0"/>
    <m/>
    <n v="0"/>
    <m/>
    <n v="0"/>
    <m/>
    <n v="0"/>
  </r>
  <r>
    <s v="ARAYTOR"/>
    <s v="B88262431"/>
    <s v="CE93583"/>
    <n v="32614"/>
    <s v="2603561"/>
    <s v="2026001347"/>
    <s v="Produccion"/>
    <s v="Correduría"/>
    <s v="Temporal"/>
    <s v="Facturado"/>
    <x v="59"/>
    <d v="2026-01-30T00:00:00"/>
    <m/>
    <m/>
    <m/>
    <m/>
    <m/>
    <s v="Unico"/>
    <s v="Contingencias"/>
    <s v="Contingencias"/>
    <x v="9"/>
    <s v="CIRCLES GROUP, S.A."/>
    <s v="Euros"/>
    <n v="-256.83"/>
    <n v="-46.7"/>
    <n v="-46.7"/>
    <n v="0"/>
    <m/>
    <n v="0"/>
    <m/>
    <n v="0"/>
    <m/>
    <n v="0"/>
    <m/>
    <n v="0"/>
  </r>
  <r>
    <s v="ARAYTOR"/>
    <s v="V75418368"/>
    <s v="CE93599"/>
    <n v="32725"/>
    <s v="2603562"/>
    <s v="2026001348"/>
    <s v="Produccion"/>
    <s v="Correduría"/>
    <s v="Temporal"/>
    <s v="Facturado"/>
    <x v="59"/>
    <d v="2026-02-24T00:00:00"/>
    <m/>
    <m/>
    <m/>
    <m/>
    <m/>
    <s v="Unico"/>
    <s v="Contingencias"/>
    <s v="Contingencias"/>
    <x v="9"/>
    <s v="CIRCLES GROUP, S.A."/>
    <s v="Euros"/>
    <n v="12883.23"/>
    <n v="2342.41"/>
    <n v="2342.41"/>
    <n v="0"/>
    <m/>
    <n v="0"/>
    <m/>
    <n v="0"/>
    <m/>
    <n v="0"/>
    <m/>
    <n v="0"/>
  </r>
  <r>
    <s v="ARAYTOR"/>
    <s v="V75418368"/>
    <s v="CE93599"/>
    <n v="32725"/>
    <s v="2603563"/>
    <s v="2026001349"/>
    <s v="Produccion"/>
    <s v="Correduría"/>
    <s v="Temporal"/>
    <s v="Facturado"/>
    <x v="59"/>
    <d v="2026-02-24T00:00:00"/>
    <m/>
    <m/>
    <m/>
    <m/>
    <m/>
    <s v="Unico"/>
    <s v="Contingencias"/>
    <s v="Contingencias"/>
    <x v="9"/>
    <s v="CIRCLES GROUP, S.A."/>
    <s v="Euros"/>
    <n v="12883.23"/>
    <n v="2342.41"/>
    <n v="2342.41"/>
    <n v="0"/>
    <m/>
    <n v="0"/>
    <m/>
    <n v="0"/>
    <m/>
    <n v="0"/>
    <m/>
    <n v="0"/>
  </r>
  <r>
    <s v="ARAYTOR"/>
    <s v="P2816100H"/>
    <s v="CE93727"/>
    <n v="32726"/>
    <s v="2603593"/>
    <s v="2026001350"/>
    <s v="Produccion"/>
    <s v="Correduría"/>
    <s v="Temporal"/>
    <s v="Facturado"/>
    <x v="59"/>
    <d v="2026-02-25T00:00:00"/>
    <m/>
    <m/>
    <m/>
    <m/>
    <m/>
    <s v="Unico"/>
    <s v="Contingencias"/>
    <s v="Contingencias"/>
    <x v="9"/>
    <s v="CIRCLES GROUP, S.A."/>
    <s v="Euros"/>
    <n v="6830.82"/>
    <n v="1241.96"/>
    <n v="1241.96"/>
    <n v="0"/>
    <m/>
    <n v="0"/>
    <s v="VC CARANTIA TRES, S.L."/>
    <n v="993.57"/>
    <m/>
    <n v="0"/>
    <m/>
    <n v="0"/>
  </r>
  <r>
    <s v="ARAYTOR"/>
    <s v="B19970474"/>
    <s v="CE93809"/>
    <n v="32727"/>
    <s v="2603590"/>
    <s v="2026001351"/>
    <s v="Produccion"/>
    <s v="Correduría"/>
    <s v="Temporal"/>
    <s v="Cobrado"/>
    <x v="59"/>
    <d v="2026-02-25T00:00:00"/>
    <d v="2026-03-06T00:00:00"/>
    <m/>
    <m/>
    <m/>
    <m/>
    <s v="Unico"/>
    <s v="Contingencias"/>
    <s v="Contingencias"/>
    <x v="9"/>
    <s v="CIRCLES GROUP, S.A."/>
    <s v="Euros"/>
    <n v="11927.83"/>
    <n v="2168.6999999999998"/>
    <n v="2168.6999999999998"/>
    <n v="0"/>
    <m/>
    <n v="0"/>
    <m/>
    <n v="0"/>
    <m/>
    <n v="0"/>
    <m/>
    <n v="0"/>
  </r>
  <r>
    <s v="ARAYTOR"/>
    <s v="B19970474"/>
    <s v="CE93809"/>
    <n v="32727"/>
    <s v="2603591"/>
    <s v="2026001352"/>
    <s v="Produccion"/>
    <s v="Correduría"/>
    <s v="Temporal"/>
    <s v="Facturado"/>
    <x v="59"/>
    <d v="2026-02-25T00:00:00"/>
    <m/>
    <m/>
    <m/>
    <m/>
    <m/>
    <s v="Unico"/>
    <s v="Contingencias"/>
    <s v="Contingencias"/>
    <x v="9"/>
    <s v="CIRCLES GROUP, S.A."/>
    <s v="Euros"/>
    <n v="11927.83"/>
    <n v="2168.6999999999998"/>
    <n v="2168.6999999999998"/>
    <n v="0"/>
    <m/>
    <n v="0"/>
    <m/>
    <n v="0"/>
    <m/>
    <n v="0"/>
    <m/>
    <n v="0"/>
  </r>
  <r>
    <s v="ARAYTOR"/>
    <s v="B19970474"/>
    <s v="CE93809"/>
    <n v="32727"/>
    <s v="2603592"/>
    <s v="2026001353"/>
    <s v="Produccion"/>
    <s v="Correduría"/>
    <s v="Temporal"/>
    <s v="Facturado"/>
    <x v="59"/>
    <d v="2026-02-25T00:00:00"/>
    <m/>
    <m/>
    <m/>
    <m/>
    <m/>
    <s v="Unico"/>
    <s v="Contingencias"/>
    <s v="Contingencias"/>
    <x v="9"/>
    <s v="CIRCLES GROUP, S.A."/>
    <s v="Euros"/>
    <n v="11927.83"/>
    <n v="2168.6999999999998"/>
    <n v="2168.6999999999998"/>
    <n v="0"/>
    <m/>
    <n v="0"/>
    <m/>
    <n v="0"/>
    <m/>
    <n v="0"/>
    <m/>
    <n v="0"/>
  </r>
  <r>
    <s v="ARAYTOR"/>
    <s v="B56720345"/>
    <s v="CE93816"/>
    <n v="32728"/>
    <s v="2603589"/>
    <s v="2026001354"/>
    <s v="Produccion"/>
    <s v="Correduría"/>
    <s v="Temporal"/>
    <s v="Cobrado"/>
    <x v="59"/>
    <d v="2026-02-24T00:00:00"/>
    <d v="2026-03-02T00:00:00"/>
    <m/>
    <m/>
    <m/>
    <m/>
    <s v="Unico"/>
    <s v="Contingencias"/>
    <s v="Contingencias"/>
    <x v="9"/>
    <s v="CIRCLES GROUP, S.A."/>
    <s v="Euros"/>
    <n v="8107.26"/>
    <n v="1474.04"/>
    <n v="1474.04"/>
    <n v="0"/>
    <m/>
    <n v="0"/>
    <s v="CURSORIS"/>
    <n v="810.73"/>
    <m/>
    <n v="0"/>
    <m/>
    <n v="0"/>
  </r>
  <r>
    <s v="ARAYTOR"/>
    <s v="B23832959"/>
    <s v="CE93873"/>
    <n v="32729"/>
    <s v="2603559"/>
    <s v="2026001355"/>
    <s v="Produccion"/>
    <s v="Correduría"/>
    <s v="Temporal"/>
    <s v="Facturado"/>
    <x v="59"/>
    <d v="2026-02-23T00:00:00"/>
    <m/>
    <m/>
    <m/>
    <m/>
    <m/>
    <s v="Unico"/>
    <s v="Contingencias"/>
    <s v="Contingencias"/>
    <x v="9"/>
    <s v="CIRCLES GROUP, S.A."/>
    <s v="Euros"/>
    <n v="7018.03"/>
    <n v="1276"/>
    <n v="1276"/>
    <n v="0"/>
    <m/>
    <n v="0"/>
    <m/>
    <n v="0"/>
    <m/>
    <n v="0"/>
    <m/>
    <n v="0"/>
  </r>
  <r>
    <s v="ARAYTOR"/>
    <s v="B83958934"/>
    <s v="CE93948"/>
    <n v="32730"/>
    <s v="2603564"/>
    <s v="2026001356"/>
    <s v="Produccion"/>
    <s v="Correduría"/>
    <s v="Temporal"/>
    <s v="Facturado"/>
    <x v="59"/>
    <d v="2026-02-24T00:00:00"/>
    <m/>
    <m/>
    <m/>
    <m/>
    <m/>
    <s v="Unico"/>
    <s v="Contingencias"/>
    <s v="Contingencias"/>
    <x v="9"/>
    <s v="CIRCLES GROUP, S.A."/>
    <s v="Euros"/>
    <n v="2700.88"/>
    <n v="491.07"/>
    <n v="491.07"/>
    <n v="0"/>
    <m/>
    <n v="0"/>
    <m/>
    <n v="0"/>
    <m/>
    <n v="0"/>
    <m/>
    <n v="0"/>
  </r>
  <r>
    <s v="ARAYTOR"/>
    <s v="39108504V"/>
    <s v="0060004306298"/>
    <n v="15454"/>
    <m/>
    <s v="2026001357"/>
    <s v="Cartera"/>
    <s v="Compañía"/>
    <s v="Renovable"/>
    <s v="Cobrado"/>
    <x v="59"/>
    <d v="2026-02-01T00:00:00"/>
    <d v="2026-02-26T00:00:00"/>
    <m/>
    <m/>
    <m/>
    <d v="2026-02-26T00:00:00"/>
    <s v="Mensual"/>
    <s v="Mundisalud classic"/>
    <s v="Mixta"/>
    <x v="4"/>
    <s v="DKV"/>
    <s v="Euros"/>
    <n v="548"/>
    <n v="82.19"/>
    <n v="82.19"/>
    <n v="0"/>
    <m/>
    <n v="0"/>
    <m/>
    <n v="0"/>
    <m/>
    <n v="0"/>
    <m/>
    <n v="0"/>
  </r>
  <r>
    <s v="ARAYTOR"/>
    <s v="E70873898"/>
    <s v="65/5061514"/>
    <n v="15623"/>
    <s v="264584648"/>
    <s v="2026001358"/>
    <s v="Cartera"/>
    <s v="Compañía"/>
    <s v="Renovable"/>
    <s v="Facturado"/>
    <x v="59"/>
    <d v="2026-03-17T00:00:00"/>
    <m/>
    <m/>
    <m/>
    <m/>
    <m/>
    <s v="Anual"/>
    <s v="0120 - Maxi Hogar 3000"/>
    <s v="Hogar"/>
    <x v="2"/>
    <s v="FIATC "/>
    <s v="Euros"/>
    <n v="1538.66"/>
    <n v="384.66"/>
    <n v="384.66"/>
    <n v="0"/>
    <m/>
    <n v="0"/>
    <m/>
    <n v="0"/>
    <m/>
    <n v="0"/>
    <m/>
    <n v="0"/>
  </r>
  <r>
    <s v="ARAYTOR"/>
    <s v="40266181N"/>
    <s v="041468594"/>
    <n v="18259"/>
    <s v="596728265"/>
    <s v="2026001359"/>
    <s v="Cartera"/>
    <s v="Compañía"/>
    <s v="Renovable"/>
    <s v="Facturado"/>
    <x v="59"/>
    <d v="2026-05-01T00:00:00"/>
    <m/>
    <m/>
    <m/>
    <m/>
    <m/>
    <s v="Anual"/>
    <s v="1285 Allianz Auto Plus TR"/>
    <s v="Vehiculos"/>
    <x v="1"/>
    <s v="ALLIANZ"/>
    <s v="Euros"/>
    <n v="794.36"/>
    <n v="111.21"/>
    <n v="111.21"/>
    <n v="0"/>
    <m/>
    <n v="0"/>
    <s v="URGEL.LITANA D'ASSEGURANCES, S.L."/>
    <n v="55.61"/>
    <m/>
    <n v="0"/>
    <m/>
    <n v="0"/>
  </r>
  <r>
    <s v="ARAYTOR"/>
    <s v="46113312Z"/>
    <s v="043568391"/>
    <n v="19289"/>
    <s v="596847198"/>
    <s v="2026001360"/>
    <s v="Cartera"/>
    <s v="Compañía"/>
    <s v="Renovable"/>
    <s v="Facturado"/>
    <x v="59"/>
    <d v="2026-05-01T00:00:00"/>
    <m/>
    <m/>
    <m/>
    <m/>
    <m/>
    <s v="Anual"/>
    <s v="Allianz Auto"/>
    <s v="Turismo"/>
    <x v="1"/>
    <s v="ALLIANZ"/>
    <s v="Euros"/>
    <n v="449.99"/>
    <n v="63"/>
    <n v="63"/>
    <n v="0"/>
    <m/>
    <n v="0"/>
    <m/>
    <n v="0"/>
    <m/>
    <n v="0"/>
    <m/>
    <n v="0"/>
  </r>
  <r>
    <s v="ARAYTOR"/>
    <s v="B98366461"/>
    <s v="053773830"/>
    <n v="26494"/>
    <s v="597857121"/>
    <s v="2026001361"/>
    <s v="Cartera"/>
    <s v="Compañía"/>
    <s v="Renovable"/>
    <s v="Facturado"/>
    <x v="59"/>
    <d v="2026-05-01T00:00:00"/>
    <m/>
    <m/>
    <m/>
    <m/>
    <m/>
    <s v="Anual"/>
    <s v="1285 Allianz Auto Plus TR"/>
    <s v="Vehiculos"/>
    <x v="1"/>
    <s v="ALLIANZ"/>
    <s v="Euros"/>
    <n v="2006.17"/>
    <n v="180.56"/>
    <n v="180.56"/>
    <n v="0"/>
    <m/>
    <n v="0"/>
    <m/>
    <n v="0"/>
    <m/>
    <n v="0"/>
    <m/>
    <n v="0"/>
  </r>
  <r>
    <s v="ARAYTOR"/>
    <s v="B98366461"/>
    <s v="053785328"/>
    <n v="26520"/>
    <s v="597869415"/>
    <s v="2026001362"/>
    <s v="Cartera"/>
    <s v="Compañía"/>
    <s v="Renovable"/>
    <s v="Facturado"/>
    <x v="59"/>
    <d v="2026-05-01T00:00:00"/>
    <m/>
    <m/>
    <m/>
    <m/>
    <m/>
    <s v="Anual"/>
    <s v="Vehiculos"/>
    <s v="Vehiculos"/>
    <x v="1"/>
    <s v="ALLIANZ"/>
    <s v="Euros"/>
    <n v="2137.48"/>
    <n v="192.37"/>
    <n v="192.37"/>
    <n v="0"/>
    <m/>
    <n v="0"/>
    <m/>
    <n v="0"/>
    <m/>
    <n v="0"/>
    <m/>
    <n v="0"/>
  </r>
  <r>
    <s v="ARAYTOR"/>
    <s v="B40556953"/>
    <s v="055398310"/>
    <n v="28170"/>
    <s v="598249294"/>
    <s v="2026001363"/>
    <s v="Cartera"/>
    <s v="Compañía"/>
    <s v="Renovable"/>
    <s v="Facturado"/>
    <x v="59"/>
    <d v="2026-05-01T00:00:00"/>
    <m/>
    <m/>
    <m/>
    <m/>
    <m/>
    <s v="Anual"/>
    <s v="1285 Allianz Auto Plus TR"/>
    <s v="Vehiculos"/>
    <x v="1"/>
    <s v="ALLIANZ"/>
    <s v="Euros"/>
    <n v="938.9"/>
    <n v="84.5"/>
    <n v="84.5"/>
    <n v="0"/>
    <m/>
    <n v="0"/>
    <m/>
    <n v="0"/>
    <m/>
    <n v="0"/>
    <m/>
    <n v="0"/>
  </r>
  <r>
    <s v="ARAYTOR"/>
    <s v="46229989N"/>
    <s v="055452963"/>
    <n v="28245"/>
    <s v="598380776"/>
    <s v="2026001364"/>
    <s v="Cartera"/>
    <s v="Compañía"/>
    <s v="Renovable"/>
    <s v="Facturado"/>
    <x v="59"/>
    <d v="2026-05-01T00:00:00"/>
    <m/>
    <m/>
    <m/>
    <m/>
    <m/>
    <s v="Anual"/>
    <s v="1289 Allianz Auto Plus"/>
    <s v="Vehiculos"/>
    <x v="1"/>
    <s v="ALLIANZ"/>
    <s v="Euros"/>
    <n v="281.23"/>
    <n v="39.369999999999997"/>
    <n v="39.369999999999997"/>
    <n v="0"/>
    <m/>
    <n v="0"/>
    <m/>
    <n v="0"/>
    <m/>
    <n v="0"/>
    <m/>
    <n v="0"/>
  </r>
  <r>
    <s v="ARAYTOR"/>
    <s v="B64066293"/>
    <s v="055453795"/>
    <n v="28246"/>
    <s v="598382129"/>
    <s v="2026001365"/>
    <s v="Cartera"/>
    <s v="Compañía"/>
    <s v="Renovable"/>
    <s v="Facturado"/>
    <x v="59"/>
    <d v="2026-05-01T00:00:00"/>
    <m/>
    <m/>
    <m/>
    <m/>
    <m/>
    <s v="Anual"/>
    <s v="1285 Allianz Auto Plus TR"/>
    <s v="Vehiculos"/>
    <x v="1"/>
    <s v="ALLIANZ"/>
    <s v="Euros"/>
    <n v="1299.8499999999999"/>
    <n v="116.99"/>
    <n v="116.99"/>
    <n v="0"/>
    <m/>
    <n v="0"/>
    <m/>
    <n v="0"/>
    <m/>
    <n v="0"/>
    <m/>
    <n v="0"/>
  </r>
  <r>
    <s v="ARAYTOR"/>
    <s v="09693023H"/>
    <s v="022030997"/>
    <n v="2655"/>
    <s v="599267899"/>
    <s v="2026001366"/>
    <s v="Cartera"/>
    <s v="Correduría"/>
    <s v="Renovable"/>
    <s v="Facturado"/>
    <x v="59"/>
    <d v="2026-05-01T00:00:00"/>
    <m/>
    <m/>
    <m/>
    <m/>
    <m/>
    <s v="Anual"/>
    <s v="1224 - Autogrup V.03 (Moto)"/>
    <s v="Motocicletas"/>
    <x v="1"/>
    <s v="ALLIANZ"/>
    <s v="Euros"/>
    <n v="475.56"/>
    <n v="61.82"/>
    <n v="61.82"/>
    <n v="0"/>
    <m/>
    <n v="0"/>
    <m/>
    <n v="0"/>
    <m/>
    <n v="0"/>
    <m/>
    <n v="0"/>
  </r>
  <r>
    <s v="ARAYTOR"/>
    <s v="38505376H"/>
    <s v="036079850"/>
    <n v="15356"/>
    <s v="599443797"/>
    <s v="2026001367"/>
    <s v="Cartera"/>
    <s v="Compañía"/>
    <s v="Renovable"/>
    <s v="Facturado"/>
    <x v="59"/>
    <d v="2026-05-01T00:00:00"/>
    <m/>
    <m/>
    <m/>
    <m/>
    <m/>
    <s v="Semestral"/>
    <s v="Allianz Auto"/>
    <s v="Turismo"/>
    <x v="1"/>
    <s v="ALLIANZ"/>
    <s v="Euros"/>
    <n v="411.13"/>
    <n v="69.89"/>
    <n v="69.89"/>
    <n v="0"/>
    <m/>
    <n v="0"/>
    <m/>
    <n v="0"/>
    <m/>
    <n v="0"/>
    <m/>
    <n v="0"/>
  </r>
  <r>
    <s v="ARAYTOR"/>
    <s v="36972175C"/>
    <s v="045402412"/>
    <n v="20191"/>
    <s v="599590035"/>
    <s v="2026001368"/>
    <s v="Cartera"/>
    <s v="Correduría"/>
    <s v="Renovable"/>
    <s v="Facturado"/>
    <x v="59"/>
    <d v="2026-05-01T00:00:00"/>
    <m/>
    <m/>
    <m/>
    <m/>
    <m/>
    <s v="Anual"/>
    <s v="Moto"/>
    <s v="Motocicletas"/>
    <x v="1"/>
    <s v="ALLIANZ"/>
    <s v="Euros"/>
    <n v="188.51"/>
    <n v="24.51"/>
    <n v="24.51"/>
    <n v="0"/>
    <m/>
    <n v="0"/>
    <m/>
    <n v="0"/>
    <m/>
    <n v="0"/>
    <m/>
    <n v="0"/>
  </r>
  <r>
    <s v="ARAYTOR"/>
    <s v="40969060B"/>
    <s v="045608334"/>
    <n v="20328"/>
    <s v="599613530"/>
    <s v="2026001369"/>
    <s v="Cartera"/>
    <s v="Compañía"/>
    <s v="Renovable"/>
    <s v="Facturado"/>
    <x v="59"/>
    <d v="2026-05-01T00:00:00"/>
    <m/>
    <m/>
    <m/>
    <m/>
    <m/>
    <s v="Anual"/>
    <s v="Moto"/>
    <s v="Motocicletas"/>
    <x v="1"/>
    <s v="ALLIANZ"/>
    <s v="Euros"/>
    <n v="159.69"/>
    <n v="20.76"/>
    <n v="20.76"/>
    <n v="0"/>
    <m/>
    <n v="0"/>
    <m/>
    <n v="0"/>
    <m/>
    <n v="0"/>
    <m/>
    <n v="0"/>
  </r>
  <r>
    <s v="ARAYTOR"/>
    <s v="B63320956"/>
    <s v="047021331"/>
    <n v="22792"/>
    <s v="599628769"/>
    <s v="2026001370"/>
    <s v="Cartera"/>
    <s v="Compañía"/>
    <s v="Renovable"/>
    <s v="Facturado"/>
    <x v="59"/>
    <d v="2026-05-01T00:00:00"/>
    <m/>
    <m/>
    <m/>
    <m/>
    <m/>
    <s v="Anual"/>
    <s v="1234 Allianz Moto V.03"/>
    <s v="Vehiculos"/>
    <x v="1"/>
    <s v="ALLIANZ"/>
    <s v="Euros"/>
    <n v="196.49"/>
    <n v="25.54"/>
    <n v="25.54"/>
    <n v="0"/>
    <m/>
    <n v="0"/>
    <m/>
    <n v="0"/>
    <m/>
    <n v="0"/>
    <m/>
    <n v="0"/>
  </r>
  <r>
    <s v="ARAYTOR"/>
    <s v="B98814502"/>
    <s v="053694933"/>
    <n v="26409"/>
    <s v="599809435"/>
    <s v="2026001371"/>
    <s v="Cartera"/>
    <s v="Correduría"/>
    <s v="Renovable"/>
    <s v="Facturado"/>
    <x v="59"/>
    <d v="2026-05-01T00:00:00"/>
    <m/>
    <m/>
    <m/>
    <m/>
    <m/>
    <s v="Anual"/>
    <s v="1231 Allianz VH.Com.V.03 (2ª Categ.)"/>
    <s v="Vehiculos"/>
    <x v="1"/>
    <s v="ALLIANZ"/>
    <s v="Euros"/>
    <n v="1003.98"/>
    <n v="80.319999999999993"/>
    <n v="80.319999999999993"/>
    <n v="0"/>
    <m/>
    <n v="0"/>
    <m/>
    <n v="0"/>
    <m/>
    <n v="0"/>
    <m/>
    <n v="0"/>
  </r>
  <r>
    <s v="ARAYTOR"/>
    <s v="X8443422F"/>
    <s v="054445595"/>
    <n v="27210"/>
    <s v="599870288"/>
    <s v="2026001372"/>
    <s v="Cartera"/>
    <s v="Compañía"/>
    <s v="Renovable"/>
    <s v="Facturado"/>
    <x v="59"/>
    <d v="2026-05-01T00:00:00"/>
    <m/>
    <m/>
    <m/>
    <m/>
    <m/>
    <s v="Trimestral"/>
    <s v="1231 Allianz VH.Com.V.03 (2ª Categ.)"/>
    <s v="Vehiculos"/>
    <x v="1"/>
    <s v="ALLIANZ"/>
    <s v="Euros"/>
    <n v="388.82"/>
    <n v="31.11"/>
    <n v="31.11"/>
    <n v="0"/>
    <m/>
    <n v="0"/>
    <m/>
    <n v="0"/>
    <m/>
    <n v="0"/>
    <m/>
    <n v="0"/>
  </r>
  <r>
    <s v="ARAYTOR"/>
    <s v="47591051A"/>
    <s v="057068414"/>
    <n v="31024"/>
    <s v="600151553"/>
    <s v="2026001373"/>
    <s v="Cartera"/>
    <s v="Correduría"/>
    <s v="Renovable"/>
    <s v="Facturado"/>
    <x v="59"/>
    <d v="2026-05-01T00:00:00"/>
    <m/>
    <m/>
    <m/>
    <m/>
    <m/>
    <s v="Anual"/>
    <s v="1234 Allianz Moto V.03"/>
    <s v="Vehiculos"/>
    <x v="1"/>
    <s v="ALLIANZ"/>
    <s v="Euros"/>
    <n v="128.11000000000001"/>
    <n v="14.09"/>
    <n v="14.09"/>
    <n v="0"/>
    <m/>
    <n v="0"/>
    <m/>
    <n v="0"/>
    <m/>
    <n v="0"/>
    <m/>
    <n v="0"/>
  </r>
  <r>
    <s v="ARAYTOR"/>
    <s v="43684674S"/>
    <s v="8-22.869.868-Q"/>
    <n v="23338"/>
    <s v="475644808-F"/>
    <s v="2026001374"/>
    <s v="Cartera"/>
    <s v="Correduría"/>
    <s v="Renovable"/>
    <s v="Facturado"/>
    <x v="59"/>
    <d v="2026-04-16T00:00:00"/>
    <m/>
    <m/>
    <m/>
    <m/>
    <m/>
    <s v="Anual"/>
    <s v="00800 - Automoviles"/>
    <s v="Vehiculos"/>
    <x v="1"/>
    <s v="OCCIDENT GCO, S.A.U."/>
    <s v="Euros"/>
    <n v="274.74"/>
    <n v="32.97"/>
    <n v="32.97"/>
    <n v="0"/>
    <m/>
    <n v="0"/>
    <m/>
    <n v="0"/>
    <m/>
    <n v="0"/>
    <m/>
    <n v="0"/>
  </r>
  <r>
    <s v="ARAYTOR"/>
    <s v="46364874W"/>
    <s v="8-23.326.597-F"/>
    <n v="27741"/>
    <s v="475676830-H"/>
    <s v="2026001375"/>
    <s v="Cartera"/>
    <s v="Correduría"/>
    <s v="Renovable"/>
    <s v="Facturado"/>
    <x v="59"/>
    <d v="2026-04-05T00:00:00"/>
    <m/>
    <m/>
    <m/>
    <m/>
    <m/>
    <s v="Anual"/>
    <s v="00800 - Automoviles"/>
    <s v="Vehiculos"/>
    <x v="1"/>
    <s v="OCCIDENT GCO, S.A.U."/>
    <s v="Euros"/>
    <n v="229.62"/>
    <n v="17.22"/>
    <n v="17.22"/>
    <n v="0"/>
    <m/>
    <n v="0"/>
    <m/>
    <n v="0"/>
    <m/>
    <n v="0"/>
    <m/>
    <n v="0"/>
  </r>
  <r>
    <s v="ARAYTOR"/>
    <s v="37685792Q"/>
    <s v="8-23.360.516-J"/>
    <n v="28134"/>
    <s v="475693772-E"/>
    <s v="2026001376"/>
    <s v="Cartera"/>
    <s v="Compañía"/>
    <s v="Renovable"/>
    <s v="Facturado"/>
    <x v="59"/>
    <d v="2026-04-24T00:00:00"/>
    <m/>
    <m/>
    <m/>
    <m/>
    <m/>
    <s v="Anual"/>
    <s v="01803 - Motos"/>
    <s v="Vehiculos"/>
    <x v="1"/>
    <s v="OCCIDENT GCO, S.A.U."/>
    <s v="Euros"/>
    <n v="191.46"/>
    <n v="19.14"/>
    <n v="19.14"/>
    <n v="0"/>
    <m/>
    <n v="0"/>
    <m/>
    <n v="0"/>
    <m/>
    <n v="0"/>
    <m/>
    <n v="0"/>
  </r>
  <r>
    <s v="ARAYTOR"/>
    <s v="52197634P"/>
    <s v="8-22.855.623-V"/>
    <n v="23294"/>
    <s v="475737151-N"/>
    <s v="2026001377"/>
    <s v="Cartera"/>
    <s v="Compañía"/>
    <s v="Renovable"/>
    <s v="Facturado"/>
    <x v="59"/>
    <d v="2026-04-01T00:00:00"/>
    <m/>
    <m/>
    <m/>
    <m/>
    <m/>
    <s v="Anual"/>
    <s v="Automoviles (2)"/>
    <s v="Turismo"/>
    <x v="1"/>
    <s v="OCCIDENT GCO, S.A.U."/>
    <s v="Euros"/>
    <n v="183.87"/>
    <n v="22.07"/>
    <n v="22.07"/>
    <n v="0"/>
    <m/>
    <n v="0"/>
    <m/>
    <n v="0"/>
    <m/>
    <n v="0"/>
    <m/>
    <n v="0"/>
  </r>
  <r>
    <s v="ARAYTOR"/>
    <s v="B67345520"/>
    <s v="89/12522"/>
    <n v="20137"/>
    <s v="264587657"/>
    <s v="2026001381"/>
    <s v="Cartera"/>
    <s v="Correduría"/>
    <s v="Renovable"/>
    <s v="Facturado"/>
    <x v="60"/>
    <d v="2026-03-24T00:00:00"/>
    <m/>
    <m/>
    <m/>
    <m/>
    <m/>
    <s v="Anual"/>
    <s v="Asistencia en Viaje"/>
    <s v="Asistencia en Viaje"/>
    <x v="7"/>
    <s v="FIATC "/>
    <s v="Euros"/>
    <n v="899.67"/>
    <n v="134.94999999999999"/>
    <n v="134.94999999999999"/>
    <n v="0"/>
    <m/>
    <n v="0"/>
    <m/>
    <n v="0"/>
    <m/>
    <n v="0"/>
    <m/>
    <n v="0"/>
  </r>
  <r>
    <s v="ARAYTOR"/>
    <s v="A58025313"/>
    <s v="86/5037022"/>
    <n v="22732"/>
    <s v="264587856"/>
    <s v="2026001382"/>
    <s v="Suplemento modificacion de produccion"/>
    <s v="Correduría"/>
    <s v="Renovable"/>
    <s v="Facturado"/>
    <x v="60"/>
    <d v="2026-02-23T00:00:00"/>
    <m/>
    <m/>
    <m/>
    <m/>
    <m/>
    <s v="Anual"/>
    <s v="0100 - Maxi Empresa"/>
    <s v="PYME"/>
    <x v="3"/>
    <s v="FIATC "/>
    <s v="Euros"/>
    <n v="28.32"/>
    <n v="5.66"/>
    <n v="5.66"/>
    <n v="0"/>
    <m/>
    <n v="0"/>
    <m/>
    <n v="0"/>
    <m/>
    <n v="0"/>
    <m/>
    <n v="0"/>
  </r>
  <r>
    <s v="ARAYTOR"/>
    <s v="B98352248"/>
    <s v="RCEXP-CA10898"/>
    <n v="23606"/>
    <s v="2603692"/>
    <s v="2026001384"/>
    <s v="Produccion"/>
    <s v="Correduría"/>
    <s v="Temporal"/>
    <s v="Facturado"/>
    <x v="60"/>
    <d v="2025-07-02T00:00:00"/>
    <m/>
    <m/>
    <m/>
    <m/>
    <m/>
    <s v="Unico"/>
    <s v="RC Empresa"/>
    <s v="RC Empresa"/>
    <x v="0"/>
    <s v="CIRCLES GROUP, S.A."/>
    <s v="Euros"/>
    <n v="48"/>
    <n v="8.7200000000000006"/>
    <n v="8.7200000000000006"/>
    <n v="0"/>
    <m/>
    <n v="0"/>
    <s v="HERRERA Y ASO.TEC. Y ASE. EN SEGU, S.L."/>
    <n v="4.8"/>
    <m/>
    <n v="0"/>
    <m/>
    <n v="0"/>
  </r>
  <r>
    <s v="ARAYTOR"/>
    <s v="G67486191"/>
    <s v="RCEXP-CA12286"/>
    <n v="24930"/>
    <s v="2603599"/>
    <s v="2026001385"/>
    <s v="Produccion"/>
    <s v="Correduría"/>
    <s v="Temporal"/>
    <s v="Facturado"/>
    <x v="60"/>
    <d v="2026-04-01T00:00:00"/>
    <m/>
    <m/>
    <m/>
    <m/>
    <m/>
    <s v="Unico"/>
    <s v="RC Empresa"/>
    <s v="RC Empresa"/>
    <x v="0"/>
    <s v="CIRCLES GROUP, S.A."/>
    <s v="Euros"/>
    <n v="508.55"/>
    <n v="92.46"/>
    <n v="92.46"/>
    <n v="0"/>
    <m/>
    <n v="0"/>
    <m/>
    <n v="0"/>
    <m/>
    <n v="0"/>
    <m/>
    <n v="0"/>
  </r>
  <r>
    <s v="ARAYTOR"/>
    <s v="G10712206"/>
    <s v="CG-FA4336"/>
    <n v="26252"/>
    <s v="2603656"/>
    <s v="2026001386"/>
    <s v="Produccion"/>
    <s v="Correduría"/>
    <s v="Temporal"/>
    <s v="Facturado"/>
    <x v="60"/>
    <d v="2026-03-24T00:00:00"/>
    <m/>
    <m/>
    <m/>
    <m/>
    <m/>
    <s v="Unico"/>
    <s v="Political"/>
    <s v="Contingencias"/>
    <x v="9"/>
    <s v="CIRCLES GROUP, S.A."/>
    <s v="Euros"/>
    <n v="346.74"/>
    <n v="76.28"/>
    <n v="76.28"/>
    <n v="0"/>
    <m/>
    <n v="0"/>
    <m/>
    <n v="0"/>
    <m/>
    <n v="0"/>
    <m/>
    <n v="0"/>
  </r>
  <r>
    <s v="ARAYTOR"/>
    <s v="B88262431"/>
    <s v="CE92034"/>
    <n v="32153"/>
    <s v="2603733"/>
    <s v="2026001387"/>
    <s v="Produccion"/>
    <s v="Correduría"/>
    <s v="Temporal"/>
    <s v="Facturado"/>
    <x v="60"/>
    <d v="2025-10-28T00:00:00"/>
    <m/>
    <m/>
    <m/>
    <m/>
    <m/>
    <s v="Unico"/>
    <s v="Contingencias"/>
    <s v="Contingencias"/>
    <x v="9"/>
    <s v="CIRCLES GROUP, S.A."/>
    <s v="Euros"/>
    <n v="5972.25"/>
    <n v="1085.8599999999999"/>
    <n v="1085.8599999999999"/>
    <n v="0"/>
    <m/>
    <n v="0"/>
    <m/>
    <n v="0"/>
    <m/>
    <n v="0"/>
    <m/>
    <n v="0"/>
  </r>
  <r>
    <s v="ARAYTOR"/>
    <s v="V23969785"/>
    <s v="CE93926"/>
    <n v="32731"/>
    <s v="2603727"/>
    <s v="2026001388"/>
    <s v="Produccion"/>
    <s v="Correduría"/>
    <s v="Temporal"/>
    <s v="Facturado"/>
    <x v="60"/>
    <d v="2026-02-25T00:00:00"/>
    <m/>
    <m/>
    <m/>
    <m/>
    <m/>
    <s v="Unico"/>
    <s v="Contingencias"/>
    <s v="Contingencias"/>
    <x v="9"/>
    <s v="CIRCLES GROUP, S.A."/>
    <s v="Euros"/>
    <n v="64114.07"/>
    <n v="11657.1"/>
    <n v="11657.1"/>
    <n v="0"/>
    <m/>
    <n v="0"/>
    <m/>
    <n v="0"/>
    <m/>
    <n v="0"/>
    <m/>
    <n v="0"/>
  </r>
  <r>
    <s v="ARAYTOR"/>
    <s v="V75522714"/>
    <s v="CE94017"/>
    <n v="32732"/>
    <s v="2603765"/>
    <s v="2026001389"/>
    <s v="Produccion"/>
    <s v="Correduría"/>
    <s v="Temporal"/>
    <s v="Facturado"/>
    <x v="60"/>
    <d v="2025-11-18T00:00:00"/>
    <m/>
    <m/>
    <m/>
    <m/>
    <m/>
    <s v="Unico"/>
    <s v="Contingencias"/>
    <s v="Contingencias"/>
    <x v="9"/>
    <s v="CIRCLES GROUP, S.A."/>
    <s v="Euros"/>
    <n v="4099.2299999999996"/>
    <n v="745.32"/>
    <n v="745.32"/>
    <n v="0"/>
    <m/>
    <n v="0"/>
    <m/>
    <n v="0"/>
    <m/>
    <n v="0"/>
    <m/>
    <n v="0"/>
  </r>
  <r>
    <s v="ARAYTOR"/>
    <s v="B88262431"/>
    <s v="CE93583"/>
    <n v="32614"/>
    <s v="2603703"/>
    <s v="2026001390"/>
    <s v="Produccion"/>
    <s v="Correduría"/>
    <s v="Temporal"/>
    <s v="Cobrado"/>
    <x v="60"/>
    <d v="2026-01-30T00:00:00"/>
    <d v="2026-02-27T00:00:00"/>
    <m/>
    <m/>
    <m/>
    <m/>
    <s v="Unico"/>
    <s v="Contingencias"/>
    <s v="Contingencias"/>
    <x v="9"/>
    <s v="CIRCLES GROUP, S.A."/>
    <s v="Euros"/>
    <n v="-2211.7600000000002"/>
    <n v="-402.14"/>
    <n v="-402.14"/>
    <n v="0"/>
    <m/>
    <n v="0"/>
    <m/>
    <n v="0"/>
    <m/>
    <n v="0"/>
    <m/>
    <n v="0"/>
  </r>
  <r>
    <s v="ARAYTOR"/>
    <s v="B04927968"/>
    <s v="CE93680"/>
    <n v="32733"/>
    <s v="2603730"/>
    <s v="2026001391"/>
    <s v="Produccion"/>
    <s v="Correduría"/>
    <s v="Temporal"/>
    <s v="Facturado"/>
    <x v="60"/>
    <d v="2026-02-26T00:00:00"/>
    <m/>
    <m/>
    <m/>
    <m/>
    <m/>
    <s v="Unico"/>
    <s v="Contingencias"/>
    <s v="Contingencias"/>
    <x v="9"/>
    <s v="CIRCLES GROUP, S.A."/>
    <s v="Euros"/>
    <n v="21366.74"/>
    <n v="3884.86"/>
    <n v="3884.86"/>
    <n v="0"/>
    <m/>
    <n v="0"/>
    <m/>
    <n v="0"/>
    <m/>
    <n v="0"/>
    <m/>
    <n v="0"/>
  </r>
  <r>
    <s v="ARAYTOR"/>
    <s v="B04927968"/>
    <s v="CE93680"/>
    <n v="32733"/>
    <s v="2603731"/>
    <s v="2026001392"/>
    <s v="Produccion"/>
    <s v="Correduría"/>
    <s v="Temporal"/>
    <s v="Facturado"/>
    <x v="60"/>
    <d v="2026-02-26T00:00:00"/>
    <m/>
    <m/>
    <m/>
    <m/>
    <m/>
    <s v="Unico"/>
    <s v="Contingencias"/>
    <s v="Contingencias"/>
    <x v="9"/>
    <s v="CIRCLES GROUP, S.A."/>
    <s v="Euros"/>
    <n v="21366.74"/>
    <n v="3884.86"/>
    <n v="3884.86"/>
    <n v="0"/>
    <m/>
    <n v="0"/>
    <m/>
    <n v="0"/>
    <m/>
    <n v="0"/>
    <m/>
    <n v="0"/>
  </r>
  <r>
    <s v="ARAYTOR"/>
    <s v="B04927968"/>
    <s v="CE93680"/>
    <n v="32733"/>
    <s v="2603732"/>
    <s v="2026001393"/>
    <s v="Produccion"/>
    <s v="Correduría"/>
    <s v="Temporal"/>
    <s v="Facturado"/>
    <x v="60"/>
    <d v="2026-02-26T00:00:00"/>
    <m/>
    <m/>
    <m/>
    <m/>
    <m/>
    <s v="Unico"/>
    <s v="Contingencias"/>
    <s v="Contingencias"/>
    <x v="9"/>
    <s v="CIRCLES GROUP, S.A."/>
    <s v="Euros"/>
    <n v="21366.74"/>
    <n v="3884.86"/>
    <n v="3884.86"/>
    <n v="0"/>
    <m/>
    <n v="0"/>
    <m/>
    <n v="0"/>
    <m/>
    <n v="0"/>
    <m/>
    <n v="0"/>
  </r>
  <r>
    <s v="ARAYTOR"/>
    <s v="B04927968"/>
    <s v="CE93646"/>
    <n v="32734"/>
    <s v="2603729"/>
    <s v="2026001394"/>
    <s v="Produccion"/>
    <s v="Correduría"/>
    <s v="Temporal"/>
    <s v="Facturado"/>
    <x v="60"/>
    <d v="2026-02-26T00:00:00"/>
    <m/>
    <m/>
    <m/>
    <m/>
    <m/>
    <s v="Unico"/>
    <s v="Contingencias"/>
    <s v="Contingencias"/>
    <x v="9"/>
    <s v="CIRCLES GROUP, S.A."/>
    <s v="Euros"/>
    <n v="962"/>
    <n v="174.9"/>
    <n v="174.9"/>
    <n v="0"/>
    <m/>
    <n v="0"/>
    <m/>
    <n v="0"/>
    <m/>
    <n v="0"/>
    <m/>
    <n v="0"/>
  </r>
  <r>
    <s v="ARAYTOR"/>
    <s v="ESB88181714"/>
    <s v="CE93649"/>
    <n v="32735"/>
    <s v="2603704"/>
    <s v="2026001395"/>
    <s v="Produccion"/>
    <s v="Correduría"/>
    <s v="Temporal"/>
    <s v="Facturado"/>
    <x v="60"/>
    <d v="2026-02-25T00:00:00"/>
    <m/>
    <m/>
    <m/>
    <m/>
    <m/>
    <s v="Unico"/>
    <s v="Contingencias"/>
    <s v="Contingencias"/>
    <x v="9"/>
    <s v="CIRCLES GROUP, S.A."/>
    <s v="Euros"/>
    <n v="16256.01"/>
    <n v="2955.64"/>
    <n v="2955.64"/>
    <n v="0"/>
    <m/>
    <n v="0"/>
    <m/>
    <n v="0"/>
    <m/>
    <n v="0"/>
    <m/>
    <n v="0"/>
  </r>
  <r>
    <s v="ARAYTOR"/>
    <s v="B88262431"/>
    <s v="CE93675"/>
    <n v="32645"/>
    <s v="2603702"/>
    <s v="2026001396"/>
    <s v="Produccion"/>
    <s v="Correduría"/>
    <s v="Temporal"/>
    <s v="Facturado"/>
    <x v="60"/>
    <d v="2026-02-06T00:00:00"/>
    <m/>
    <m/>
    <m/>
    <m/>
    <m/>
    <s v="Unico"/>
    <s v="Contingencias"/>
    <s v="Contingencias"/>
    <x v="9"/>
    <s v="CIRCLES GROUP, S.A."/>
    <s v="Euros"/>
    <n v="1045.08"/>
    <n v="190.02"/>
    <n v="190.02"/>
    <n v="0"/>
    <m/>
    <n v="0"/>
    <m/>
    <n v="0"/>
    <m/>
    <n v="0"/>
    <m/>
    <n v="0"/>
  </r>
  <r>
    <s v="ARAYTOR"/>
    <s v="B65015075"/>
    <s v="CE93892"/>
    <n v="32736"/>
    <s v="2603728"/>
    <s v="2026001397"/>
    <s v="Produccion"/>
    <s v="Correduría"/>
    <s v="Temporal"/>
    <s v="Cobrado"/>
    <x v="60"/>
    <d v="2026-02-20T00:00:00"/>
    <d v="2026-03-05T00:00:00"/>
    <m/>
    <m/>
    <m/>
    <m/>
    <s v="Unico"/>
    <s v="Contingencias"/>
    <s v="Contingencias"/>
    <x v="9"/>
    <s v="CIRCLES GROUP, S.A."/>
    <s v="Euros"/>
    <n v="661.12"/>
    <n v="120.2"/>
    <n v="120.2"/>
    <n v="0"/>
    <m/>
    <n v="0"/>
    <m/>
    <n v="0"/>
    <m/>
    <n v="0"/>
    <m/>
    <n v="0"/>
  </r>
  <r>
    <s v="ARAYTOR"/>
    <s v="P2421300A"/>
    <s v="RCEXP-CA19390"/>
    <n v="32737"/>
    <s v="2603661"/>
    <s v="2026001398"/>
    <s v="Produccion"/>
    <s v="Correduría"/>
    <s v="Temporal"/>
    <s v="Facturado"/>
    <x v="60"/>
    <d v="2026-03-14T00:00:00"/>
    <m/>
    <m/>
    <m/>
    <m/>
    <m/>
    <s v="Unico"/>
    <s v="RC Empresa"/>
    <s v="RC Empresa"/>
    <x v="0"/>
    <s v="CIRCLES GROUP, S.A."/>
    <s v="Euros"/>
    <n v="554.79"/>
    <n v="100.87"/>
    <n v="100.87"/>
    <n v="0"/>
    <m/>
    <n v="0"/>
    <s v="GRUPO GALILEA, S.A."/>
    <n v="55.48"/>
    <m/>
    <n v="0"/>
    <m/>
    <n v="0"/>
  </r>
  <r>
    <s v="ARAYTOR"/>
    <s v="G73698474"/>
    <s v="CE93970"/>
    <n v="32738"/>
    <s v="2603705"/>
    <s v="2026001399"/>
    <s v="Produccion"/>
    <s v="Correduría"/>
    <s v="Temporal"/>
    <s v="Cobrado"/>
    <x v="60"/>
    <d v="2026-02-26T00:00:00"/>
    <d v="2026-02-27T00:00:00"/>
    <m/>
    <m/>
    <m/>
    <m/>
    <s v="Unico"/>
    <s v="Contingencias"/>
    <s v="Contingencias"/>
    <x v="9"/>
    <s v="CIRCLES GROUP, S.A."/>
    <s v="Euros"/>
    <n v="1932.5"/>
    <n v="351.36"/>
    <n v="351.36"/>
    <n v="0"/>
    <m/>
    <n v="0"/>
    <m/>
    <n v="0"/>
    <m/>
    <n v="0"/>
    <m/>
    <n v="0"/>
  </r>
  <r>
    <s v="ARAYTOR"/>
    <s v="B79422895"/>
    <s v="RCEXP-CA19396"/>
    <n v="32739"/>
    <s v="2603743"/>
    <s v="2026001400"/>
    <s v="Produccion"/>
    <s v="Correduría"/>
    <s v="Temporal"/>
    <s v="Cobrado"/>
    <x v="60"/>
    <d v="2026-02-27T00:00:00"/>
    <d v="2026-03-04T00:00:00"/>
    <m/>
    <m/>
    <m/>
    <m/>
    <s v="Unico"/>
    <s v="RC Empresa"/>
    <s v="RC Empresa"/>
    <x v="0"/>
    <s v="CIRCLES GROUP, S.A."/>
    <s v="Euros"/>
    <n v="554.79"/>
    <n v="100.87"/>
    <n v="100.87"/>
    <n v="0"/>
    <m/>
    <n v="0"/>
    <m/>
    <n v="0"/>
    <m/>
    <n v="0"/>
    <m/>
    <n v="0"/>
  </r>
  <r>
    <s v="ARAYTOR"/>
    <s v="B66639246"/>
    <s v="93/5004032"/>
    <n v="19946"/>
    <s v="264590261"/>
    <s v="2026001401"/>
    <s v="Ajustes"/>
    <s v="Correduría"/>
    <s v="Renovable"/>
    <s v="Cobrado"/>
    <x v="61"/>
    <d v="2024-01-23T00:00:00"/>
    <d v="2026-03-06T00:00:00"/>
    <m/>
    <m/>
    <m/>
    <m/>
    <s v="Anual"/>
    <s v="Transporte Terrestre de Mercancias (1)"/>
    <s v="Daños Cargador"/>
    <x v="6"/>
    <s v="FIATC "/>
    <s v="Euros"/>
    <n v="-529.15"/>
    <n v="-105.83"/>
    <n v="-105.83"/>
    <n v="0"/>
    <m/>
    <n v="0"/>
    <m/>
    <n v="0"/>
    <m/>
    <n v="0"/>
    <m/>
    <n v="0"/>
  </r>
  <r>
    <s v="ARAYTOR"/>
    <s v="B66639246"/>
    <s v="93/5004032"/>
    <n v="19946"/>
    <s v="264590265"/>
    <s v="2026001402"/>
    <s v="Ajustes"/>
    <s v="Correduría"/>
    <s v="Renovable"/>
    <s v="Cobrado"/>
    <x v="61"/>
    <d v="2025-01-23T00:00:00"/>
    <d v="2026-03-06T00:00:00"/>
    <m/>
    <m/>
    <m/>
    <m/>
    <s v="Anual"/>
    <s v="Transporte Terrestre de Mercancias (1)"/>
    <s v="Daños Cargador"/>
    <x v="6"/>
    <s v="FIATC "/>
    <s v="Euros"/>
    <n v="-664.96"/>
    <n v="-132.99"/>
    <n v="-132.99"/>
    <n v="0"/>
    <m/>
    <n v="0"/>
    <m/>
    <n v="0"/>
    <m/>
    <n v="0"/>
    <m/>
    <n v="0"/>
  </r>
  <r>
    <s v="ARAYTOR"/>
    <s v="PT302357157"/>
    <s v="CE93857"/>
    <n v="32740"/>
    <s v="2603706"/>
    <s v="2026001403"/>
    <s v="Produccion"/>
    <s v="Correduría"/>
    <s v="Temporal"/>
    <s v="Facturado"/>
    <x v="61"/>
    <d v="2026-02-17T00:00:00"/>
    <m/>
    <m/>
    <m/>
    <m/>
    <m/>
    <s v="Unico"/>
    <s v="Contingencias"/>
    <s v="Contingencias"/>
    <x v="9"/>
    <s v="CIRCLES GROUP, S.A."/>
    <s v="Euros"/>
    <n v="2903.67"/>
    <n v="527.94000000000005"/>
    <n v="527.94000000000005"/>
    <n v="0"/>
    <m/>
    <n v="0"/>
    <m/>
    <n v="0"/>
    <m/>
    <n v="0"/>
    <m/>
    <n v="0"/>
  </r>
  <r>
    <s v="ARAYTOR"/>
    <s v="B23832959"/>
    <s v="CE93874"/>
    <n v="32741"/>
    <s v="2603556"/>
    <s v="2026001404"/>
    <s v="Produccion"/>
    <s v="Correduría"/>
    <s v="Temporal"/>
    <s v="Facturado"/>
    <x v="61"/>
    <d v="2026-02-23T00:00:00"/>
    <m/>
    <m/>
    <m/>
    <m/>
    <m/>
    <s v="Unico"/>
    <s v="Contingencias"/>
    <s v="Contingencias"/>
    <x v="9"/>
    <s v="CIRCLES GROUP, S.A."/>
    <s v="Euros"/>
    <n v="8948.9500000000007"/>
    <n v="1627.08"/>
    <n v="1627.08"/>
    <n v="0"/>
    <m/>
    <n v="0"/>
    <m/>
    <n v="0"/>
    <m/>
    <n v="0"/>
    <m/>
    <n v="0"/>
  </r>
  <r>
    <s v="ARAYTOR"/>
    <s v="B23832959"/>
    <s v="CE93874"/>
    <n v="32741"/>
    <s v="2603558"/>
    <s v="2026001405"/>
    <s v="Produccion"/>
    <s v="Correduría"/>
    <s v="Temporal"/>
    <s v="Facturado"/>
    <x v="61"/>
    <d v="2026-02-23T00:00:00"/>
    <m/>
    <m/>
    <m/>
    <m/>
    <m/>
    <s v="Unico"/>
    <s v="Contingencias"/>
    <s v="Contingencias"/>
    <x v="9"/>
    <s v="CIRCLES GROUP, S.A."/>
    <s v="Euros"/>
    <n v="8948.9500000000007"/>
    <n v="1627.08"/>
    <n v="1627.08"/>
    <n v="0"/>
    <m/>
    <n v="0"/>
    <m/>
    <n v="0"/>
    <m/>
    <n v="0"/>
    <m/>
    <n v="0"/>
  </r>
  <r>
    <s v="ARAYTOR"/>
    <s v="B23832959"/>
    <s v="CE93874"/>
    <n v="32741"/>
    <s v="2603557"/>
    <s v="2026001406"/>
    <s v="Produccion"/>
    <s v="Correduría"/>
    <s v="Temporal"/>
    <s v="Facturado"/>
    <x v="61"/>
    <d v="2026-02-23T00:00:00"/>
    <m/>
    <m/>
    <m/>
    <m/>
    <m/>
    <s v="Unico"/>
    <s v="Contingencias"/>
    <s v="Contingencias"/>
    <x v="9"/>
    <s v="CIRCLES GROUP, S.A."/>
    <s v="Euros"/>
    <n v="8948.9500000000007"/>
    <n v="1627.08"/>
    <n v="1627.08"/>
    <n v="0"/>
    <m/>
    <n v="0"/>
    <m/>
    <n v="0"/>
    <m/>
    <n v="0"/>
    <m/>
    <n v="0"/>
  </r>
  <r>
    <m/>
    <m/>
    <m/>
    <m/>
    <m/>
    <m/>
    <m/>
    <m/>
    <m/>
    <m/>
    <x v="62"/>
    <m/>
    <m/>
    <m/>
    <m/>
    <m/>
    <m/>
    <m/>
    <m/>
    <m/>
    <x v="16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A48BE-B1A5-48ED-8B1E-960914B8C9D4}" name="Tabla 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8" firstHeaderRow="0" firstDataRow="1" firstDataCol="1" rowPageCount="1" colPageCount="1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numFmtId="14" outline="0" multipleItemSelectionAllowed="1" showAll="0">
      <items count="397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x="3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x="32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m="1" x="394"/>
        <item m="1" x="395"/>
        <item x="62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">
        <item x="1"/>
        <item x="9"/>
        <item x="2"/>
        <item x="8"/>
        <item x="12"/>
        <item x="7"/>
        <item x="3"/>
        <item x="0"/>
        <item x="10"/>
        <item x="4"/>
        <item x="6"/>
        <item x="13"/>
        <item x="11"/>
        <item x="5"/>
        <item h="1" x="16"/>
        <item h="1" x="15"/>
        <item h="1" x="14"/>
        <item h="1" m="1" x="17"/>
        <item h="1" m="1" x="1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" hier="-1"/>
  </pageFields>
  <dataFields count="4">
    <dataField name="Suma de PrimaNeta" fld="23" baseField="0" baseItem="0"/>
    <dataField name="Suma de ComisionPrimaNeta" fld="25" baseField="0" baseItem="0"/>
    <dataField name="Suma de ComisionComplementaria" fld="26" baseField="0" baseItem="0"/>
    <dataField name="Suma de ComisionColaborador1" fld="30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44C4-C8D4-46DF-9AFE-AE0E3F31E1D5}">
  <dimension ref="A1:G36"/>
  <sheetViews>
    <sheetView topLeftCell="A4" workbookViewId="0">
      <selection activeCell="C12" sqref="C12"/>
    </sheetView>
  </sheetViews>
  <sheetFormatPr baseColWidth="10" defaultColWidth="11.42578125" defaultRowHeight="15" x14ac:dyDescent="0.25"/>
  <cols>
    <col min="1" max="1" width="8.5703125" style="4" bestFit="1" customWidth="1"/>
    <col min="2" max="2" width="24" style="4" bestFit="1" customWidth="1"/>
    <col min="3" max="3" width="31" bestFit="1" customWidth="1"/>
    <col min="4" max="4" width="81" bestFit="1" customWidth="1"/>
    <col min="5" max="5" width="15.5703125" hidden="1" customWidth="1"/>
    <col min="6" max="6" width="63.85546875" customWidth="1"/>
    <col min="7" max="7" width="30.140625" style="13" bestFit="1" customWidth="1"/>
  </cols>
  <sheetData>
    <row r="1" spans="1:7" s="10" customFormat="1" ht="31.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5">
      <c r="A2" s="51" t="s">
        <v>7</v>
      </c>
      <c r="B2" s="5" t="s">
        <v>8</v>
      </c>
      <c r="C2" s="16" t="s">
        <v>9</v>
      </c>
      <c r="D2" s="7" t="s">
        <v>10</v>
      </c>
      <c r="E2" s="2"/>
      <c r="F2" s="7" t="s">
        <v>11</v>
      </c>
      <c r="G2" s="2"/>
    </row>
    <row r="3" spans="1:7" ht="45" x14ac:dyDescent="0.25">
      <c r="A3" s="52"/>
      <c r="B3" s="5" t="s">
        <v>8</v>
      </c>
      <c r="C3" s="16" t="s">
        <v>12</v>
      </c>
      <c r="D3" s="7" t="s">
        <v>13</v>
      </c>
      <c r="E3" s="8"/>
      <c r="F3" s="7" t="s">
        <v>14</v>
      </c>
      <c r="G3" s="12" t="s">
        <v>15</v>
      </c>
    </row>
    <row r="4" spans="1:7" x14ac:dyDescent="0.25">
      <c r="A4" s="52"/>
      <c r="B4" s="5" t="s">
        <v>8</v>
      </c>
      <c r="C4" s="16" t="s">
        <v>16</v>
      </c>
      <c r="D4" s="15" t="s">
        <v>17</v>
      </c>
      <c r="E4" s="2"/>
      <c r="F4" s="7" t="s">
        <v>18</v>
      </c>
      <c r="G4" s="12"/>
    </row>
    <row r="5" spans="1:7" x14ac:dyDescent="0.25">
      <c r="A5" s="52"/>
      <c r="B5" s="6" t="s">
        <v>19</v>
      </c>
      <c r="C5" s="16" t="s">
        <v>20</v>
      </c>
      <c r="D5" s="7" t="s">
        <v>21</v>
      </c>
      <c r="E5" s="2"/>
      <c r="F5" s="7" t="s">
        <v>18</v>
      </c>
      <c r="G5" s="12"/>
    </row>
    <row r="6" spans="1:7" x14ac:dyDescent="0.25">
      <c r="A6" s="52"/>
      <c r="B6" s="5" t="s">
        <v>8</v>
      </c>
      <c r="C6" s="16" t="s">
        <v>22</v>
      </c>
      <c r="D6" s="7" t="s">
        <v>23</v>
      </c>
      <c r="E6" s="8"/>
      <c r="F6" s="7" t="s">
        <v>18</v>
      </c>
      <c r="G6" s="12"/>
    </row>
    <row r="7" spans="1:7" x14ac:dyDescent="0.25">
      <c r="A7" s="52"/>
      <c r="B7" s="6" t="s">
        <v>19</v>
      </c>
      <c r="C7" s="16" t="s">
        <v>24</v>
      </c>
      <c r="D7" s="7" t="s">
        <v>25</v>
      </c>
      <c r="E7" s="8"/>
      <c r="F7" s="7" t="s">
        <v>18</v>
      </c>
      <c r="G7" s="12"/>
    </row>
    <row r="8" spans="1:7" ht="30" x14ac:dyDescent="0.25">
      <c r="A8" s="52"/>
      <c r="B8" s="5" t="s">
        <v>8</v>
      </c>
      <c r="C8" s="16" t="s">
        <v>26</v>
      </c>
      <c r="D8" s="7" t="s">
        <v>27</v>
      </c>
      <c r="E8" s="8"/>
      <c r="F8" s="7" t="s">
        <v>11</v>
      </c>
      <c r="G8" s="2"/>
    </row>
    <row r="9" spans="1:7" ht="30" x14ac:dyDescent="0.25">
      <c r="A9" s="52"/>
      <c r="B9" s="5" t="s">
        <v>8</v>
      </c>
      <c r="C9" s="16" t="s">
        <v>28</v>
      </c>
      <c r="D9" s="7" t="s">
        <v>29</v>
      </c>
      <c r="E9" s="8"/>
      <c r="F9" s="7" t="s">
        <v>11</v>
      </c>
      <c r="G9" s="2"/>
    </row>
    <row r="10" spans="1:7" ht="30" x14ac:dyDescent="0.25">
      <c r="A10" s="52"/>
      <c r="B10" s="5" t="s">
        <v>8</v>
      </c>
      <c r="C10" s="21" t="s">
        <v>30</v>
      </c>
      <c r="D10" s="7" t="s">
        <v>31</v>
      </c>
      <c r="E10" s="8"/>
      <c r="F10" s="7" t="s">
        <v>11</v>
      </c>
      <c r="G10" s="2"/>
    </row>
    <row r="11" spans="1:7" ht="30" x14ac:dyDescent="0.25">
      <c r="A11" s="52"/>
      <c r="B11" s="5" t="s">
        <v>8</v>
      </c>
      <c r="C11" s="16" t="s">
        <v>32</v>
      </c>
      <c r="D11" s="7" t="s">
        <v>33</v>
      </c>
      <c r="E11" s="8"/>
      <c r="F11" s="7" t="s">
        <v>11</v>
      </c>
      <c r="G11" s="2"/>
    </row>
    <row r="12" spans="1:7" x14ac:dyDescent="0.25">
      <c r="A12" s="52"/>
      <c r="B12" s="5" t="s">
        <v>8</v>
      </c>
      <c r="C12" s="16" t="s">
        <v>34</v>
      </c>
      <c r="D12" s="7" t="s">
        <v>35</v>
      </c>
      <c r="E12" s="8"/>
      <c r="G12" s="12"/>
    </row>
    <row r="13" spans="1:7" x14ac:dyDescent="0.25">
      <c r="A13" s="52"/>
      <c r="B13" s="5" t="s">
        <v>8</v>
      </c>
      <c r="C13" s="16" t="s">
        <v>36</v>
      </c>
      <c r="D13" s="7" t="s">
        <v>37</v>
      </c>
      <c r="E13" s="2"/>
      <c r="F13" s="7"/>
      <c r="G13" s="12"/>
    </row>
    <row r="14" spans="1:7" x14ac:dyDescent="0.25">
      <c r="A14" s="52"/>
      <c r="B14" s="5" t="s">
        <v>38</v>
      </c>
      <c r="C14" s="16" t="s">
        <v>39</v>
      </c>
      <c r="D14" s="7" t="s">
        <v>40</v>
      </c>
      <c r="E14" s="8"/>
      <c r="F14" s="7"/>
      <c r="G14" s="12"/>
    </row>
    <row r="15" spans="1:7" x14ac:dyDescent="0.25">
      <c r="A15" s="52"/>
      <c r="B15" s="5" t="s">
        <v>38</v>
      </c>
      <c r="C15" s="16" t="s">
        <v>41</v>
      </c>
      <c r="D15" s="7" t="s">
        <v>42</v>
      </c>
      <c r="E15" s="8"/>
      <c r="F15" s="7"/>
      <c r="G15" s="12"/>
    </row>
    <row r="16" spans="1:7" x14ac:dyDescent="0.25">
      <c r="A16" s="52"/>
      <c r="B16" s="5" t="s">
        <v>38</v>
      </c>
      <c r="C16" s="16" t="s">
        <v>43</v>
      </c>
      <c r="D16" s="7"/>
      <c r="E16" s="8"/>
      <c r="F16" s="7"/>
      <c r="G16" s="12"/>
    </row>
    <row r="17" spans="1:7" x14ac:dyDescent="0.25">
      <c r="A17" s="52"/>
      <c r="B17" s="5" t="s">
        <v>38</v>
      </c>
      <c r="C17" s="16" t="s">
        <v>44</v>
      </c>
      <c r="D17" s="7" t="s">
        <v>45</v>
      </c>
      <c r="E17" s="8"/>
      <c r="F17" s="7"/>
      <c r="G17" s="12"/>
    </row>
    <row r="18" spans="1:7" x14ac:dyDescent="0.25">
      <c r="A18" s="52"/>
      <c r="B18" s="5" t="s">
        <v>38</v>
      </c>
      <c r="C18" s="16" t="s">
        <v>46</v>
      </c>
      <c r="D18" s="7"/>
      <c r="E18" s="8"/>
      <c r="F18" s="7"/>
      <c r="G18" s="12"/>
    </row>
    <row r="19" spans="1:7" x14ac:dyDescent="0.25">
      <c r="A19" s="52"/>
      <c r="B19" s="5" t="s">
        <v>8</v>
      </c>
      <c r="C19" s="16" t="s">
        <v>47</v>
      </c>
      <c r="D19" s="7" t="s">
        <v>48</v>
      </c>
      <c r="E19" s="8"/>
      <c r="F19" s="7"/>
      <c r="G19" s="2"/>
    </row>
    <row r="20" spans="1:7" x14ac:dyDescent="0.25">
      <c r="A20" s="52"/>
      <c r="B20" s="6" t="s">
        <v>19</v>
      </c>
      <c r="C20" s="21" t="s">
        <v>49</v>
      </c>
      <c r="D20" s="7" t="s">
        <v>50</v>
      </c>
      <c r="E20" s="8"/>
      <c r="F20" s="7" t="s">
        <v>18</v>
      </c>
      <c r="G20" s="12"/>
    </row>
    <row r="21" spans="1:7" x14ac:dyDescent="0.25">
      <c r="A21" s="52"/>
      <c r="B21" s="6" t="s">
        <v>19</v>
      </c>
      <c r="C21" s="21" t="s">
        <v>51</v>
      </c>
      <c r="D21" s="7" t="s">
        <v>52</v>
      </c>
      <c r="E21" s="8"/>
      <c r="F21" s="7" t="s">
        <v>11</v>
      </c>
      <c r="G21" s="2"/>
    </row>
    <row r="22" spans="1:7" x14ac:dyDescent="0.25">
      <c r="A22" s="52"/>
      <c r="B22" s="6" t="s">
        <v>19</v>
      </c>
      <c r="C22" s="21" t="s">
        <v>53</v>
      </c>
      <c r="D22" s="7" t="s">
        <v>54</v>
      </c>
      <c r="E22" s="8"/>
      <c r="F22" s="7" t="s">
        <v>11</v>
      </c>
      <c r="G22" s="2"/>
    </row>
    <row r="23" spans="1:7" x14ac:dyDescent="0.25">
      <c r="A23" s="52"/>
      <c r="B23" s="6" t="s">
        <v>19</v>
      </c>
      <c r="C23" s="21" t="s">
        <v>55</v>
      </c>
      <c r="D23" s="7" t="s">
        <v>56</v>
      </c>
      <c r="E23" s="8"/>
      <c r="F23" s="7"/>
      <c r="G23" s="12"/>
    </row>
    <row r="24" spans="1:7" x14ac:dyDescent="0.25">
      <c r="A24" s="52"/>
      <c r="B24" s="6" t="s">
        <v>19</v>
      </c>
      <c r="C24" s="16" t="s">
        <v>57</v>
      </c>
      <c r="D24" s="7" t="s">
        <v>58</v>
      </c>
      <c r="E24" s="8"/>
      <c r="F24" s="7" t="s">
        <v>11</v>
      </c>
      <c r="G24" s="2"/>
    </row>
    <row r="25" spans="1:7" x14ac:dyDescent="0.25">
      <c r="A25" s="52"/>
      <c r="B25" s="5" t="s">
        <v>8</v>
      </c>
      <c r="C25" s="16" t="s">
        <v>59</v>
      </c>
      <c r="D25" s="7" t="s">
        <v>60</v>
      </c>
      <c r="E25" s="8"/>
      <c r="F25" s="7" t="s">
        <v>18</v>
      </c>
      <c r="G25" s="12"/>
    </row>
    <row r="26" spans="1:7" x14ac:dyDescent="0.25">
      <c r="A26" s="52"/>
      <c r="B26" s="5" t="s">
        <v>8</v>
      </c>
      <c r="C26" s="16" t="s">
        <v>61</v>
      </c>
      <c r="D26" s="7" t="s">
        <v>62</v>
      </c>
      <c r="E26" s="8"/>
      <c r="F26" s="7"/>
      <c r="G26" s="12"/>
    </row>
    <row r="27" spans="1:7" x14ac:dyDescent="0.25">
      <c r="A27" s="52"/>
      <c r="B27" s="5" t="s">
        <v>8</v>
      </c>
      <c r="C27" s="16" t="s">
        <v>63</v>
      </c>
      <c r="D27" s="7" t="s">
        <v>64</v>
      </c>
      <c r="E27" s="8"/>
      <c r="F27" s="7" t="s">
        <v>18</v>
      </c>
      <c r="G27" s="12"/>
    </row>
    <row r="28" spans="1:7" x14ac:dyDescent="0.25">
      <c r="A28" s="52"/>
      <c r="B28" s="5" t="s">
        <v>8</v>
      </c>
      <c r="C28" s="16" t="s">
        <v>65</v>
      </c>
      <c r="D28" s="7" t="s">
        <v>66</v>
      </c>
      <c r="E28" s="8"/>
      <c r="F28" s="7"/>
      <c r="G28" s="12"/>
    </row>
    <row r="29" spans="1:7" x14ac:dyDescent="0.25">
      <c r="A29" s="52"/>
      <c r="B29" s="5" t="s">
        <v>38</v>
      </c>
      <c r="C29" s="16" t="s">
        <v>67</v>
      </c>
      <c r="D29" s="7"/>
      <c r="E29" s="8"/>
      <c r="F29" s="7" t="s">
        <v>18</v>
      </c>
      <c r="G29" s="12"/>
    </row>
    <row r="30" spans="1:7" ht="18.75" customHeight="1" x14ac:dyDescent="0.25">
      <c r="A30" s="52"/>
      <c r="B30" s="5" t="s">
        <v>38</v>
      </c>
      <c r="C30" s="16" t="s">
        <v>68</v>
      </c>
      <c r="D30" s="7"/>
      <c r="E30" s="8"/>
      <c r="F30" s="7"/>
      <c r="G30" s="12"/>
    </row>
    <row r="31" spans="1:7" ht="48" customHeight="1" x14ac:dyDescent="0.25">
      <c r="A31" s="52"/>
      <c r="B31" s="5" t="s">
        <v>38</v>
      </c>
      <c r="C31" s="16" t="s">
        <v>69</v>
      </c>
      <c r="D31" s="7" t="s">
        <v>70</v>
      </c>
      <c r="E31" s="8"/>
      <c r="F31" s="7" t="s">
        <v>18</v>
      </c>
      <c r="G31" s="12"/>
    </row>
    <row r="32" spans="1:7" x14ac:dyDescent="0.25">
      <c r="A32" s="52"/>
      <c r="B32" s="5" t="s">
        <v>38</v>
      </c>
      <c r="C32" s="16" t="s">
        <v>71</v>
      </c>
      <c r="D32" s="7" t="s">
        <v>72</v>
      </c>
      <c r="E32" s="8"/>
      <c r="F32" s="7"/>
      <c r="G32" s="12"/>
    </row>
    <row r="33" spans="1:7" ht="46.5" customHeight="1" x14ac:dyDescent="0.25">
      <c r="A33" s="52"/>
      <c r="B33" s="5" t="s">
        <v>38</v>
      </c>
      <c r="C33" s="16" t="s">
        <v>73</v>
      </c>
      <c r="D33" s="7" t="s">
        <v>70</v>
      </c>
      <c r="E33" s="8"/>
      <c r="F33" s="7" t="s">
        <v>18</v>
      </c>
      <c r="G33" s="12"/>
    </row>
    <row r="34" spans="1:7" x14ac:dyDescent="0.25">
      <c r="A34" s="52"/>
      <c r="B34" s="5" t="s">
        <v>38</v>
      </c>
      <c r="C34" s="16" t="s">
        <v>74</v>
      </c>
      <c r="D34" s="7" t="s">
        <v>72</v>
      </c>
      <c r="E34" s="8"/>
      <c r="F34" s="7" t="s">
        <v>18</v>
      </c>
      <c r="G34" s="12"/>
    </row>
    <row r="35" spans="1:7" ht="44.25" customHeight="1" x14ac:dyDescent="0.25">
      <c r="A35" s="52"/>
      <c r="B35" s="5" t="s">
        <v>38</v>
      </c>
      <c r="C35" s="16" t="s">
        <v>75</v>
      </c>
      <c r="D35" s="7" t="s">
        <v>70</v>
      </c>
      <c r="E35" s="8"/>
      <c r="F35" s="7" t="s">
        <v>18</v>
      </c>
      <c r="G35" s="12"/>
    </row>
    <row r="36" spans="1:7" x14ac:dyDescent="0.25">
      <c r="A36" s="52"/>
      <c r="B36" s="5" t="s">
        <v>38</v>
      </c>
      <c r="C36" s="16" t="s">
        <v>76</v>
      </c>
      <c r="D36" s="7" t="s">
        <v>72</v>
      </c>
      <c r="E36" s="8"/>
      <c r="F36" s="7" t="s">
        <v>18</v>
      </c>
      <c r="G36" s="12"/>
    </row>
  </sheetData>
  <sheetProtection sheet="1" objects="1" scenarios="1"/>
  <mergeCells count="1">
    <mergeCell ref="A2:A36"/>
  </mergeCells>
  <dataValidations count="1">
    <dataValidation type="list" allowBlank="1" showInputMessage="1" showErrorMessage="1" sqref="E13 E2 E4:E5" xr:uid="{26F77883-023D-4BF7-B960-4F804A8864A1}">
      <formula1>#REF!</formula1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E4BD5B08-6404-48AE-AD66-6D9FFE2E16B8}">
          <x14:formula1>
            <xm:f>Catalogo!$A$4:$A$12</xm:f>
          </x14:formula1>
          <xm:sqref>G2</xm:sqref>
        </x14:dataValidation>
        <x14:dataValidation type="list" allowBlank="1" showInputMessage="1" showErrorMessage="1" xr:uid="{AB5BAA15-EED7-4045-8317-C9F9F00F349C}">
          <x14:formula1>
            <xm:f>Catalogo!$G$4:$G$16</xm:f>
          </x14:formula1>
          <xm:sqref>G8</xm:sqref>
        </x14:dataValidation>
        <x14:dataValidation type="list" allowBlank="1" showInputMessage="1" showErrorMessage="1" xr:uid="{2025A980-4D1A-486A-8FC4-247B1C32DAB1}">
          <x14:formula1>
            <xm:f>Catalogo!$H$4:$H$5</xm:f>
          </x14:formula1>
          <xm:sqref>G9</xm:sqref>
        </x14:dataValidation>
        <x14:dataValidation type="list" allowBlank="1" showInputMessage="1" showErrorMessage="1" xr:uid="{44E09C9F-DA74-45BF-8D65-F825D010E9F8}">
          <x14:formula1>
            <xm:f>Catalogo!$I$4:$I$6</xm:f>
          </x14:formula1>
          <xm:sqref>G10</xm:sqref>
        </x14:dataValidation>
        <x14:dataValidation type="list" allowBlank="1" showInputMessage="1" showErrorMessage="1" xr:uid="{A49120CE-534F-4A6B-A7D0-9A9C9D523E28}">
          <x14:formula1>
            <xm:f>Catalogo!$J$4:$J$10</xm:f>
          </x14:formula1>
          <xm:sqref>G11</xm:sqref>
        </x14:dataValidation>
        <x14:dataValidation type="list" allowBlank="1" showInputMessage="1" showErrorMessage="1" xr:uid="{F3B75C30-8D7B-4691-8643-5FF33532A08C}">
          <x14:formula1>
            <xm:f>Catalogo!$R$4:$R$7</xm:f>
          </x14:formula1>
          <xm:sqref>G19</xm:sqref>
        </x14:dataValidation>
        <x14:dataValidation type="list" allowBlank="1" showInputMessage="1" showErrorMessage="1" xr:uid="{66C60022-FB51-43AB-BC18-E363D01FAC1C}">
          <x14:formula1>
            <xm:f>Catalogo!$T$4:$T$78</xm:f>
          </x14:formula1>
          <xm:sqref>G21</xm:sqref>
        </x14:dataValidation>
        <x14:dataValidation type="list" allowBlank="1" showInputMessage="1" showErrorMessage="1" xr:uid="{2ADB95A1-133B-489B-AC2D-5E8E8C441601}">
          <x14:formula1>
            <xm:f>Catalogo!$U$4:$U$27</xm:f>
          </x14:formula1>
          <xm:sqref>G22</xm:sqref>
        </x14:dataValidation>
        <x14:dataValidation type="list" allowBlank="1" showInputMessage="1" showErrorMessage="1" xr:uid="{D96E157C-9BF8-4F3B-BFE6-9DD4F2AE8E4A}">
          <x14:formula1>
            <xm:f>Catalogo!$W$4</xm:f>
          </x14:formula1>
          <xm:sqref>G24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C65E-3904-4E9F-8ABE-FBBD0527D5FA}">
  <dimension ref="A1:E93"/>
  <sheetViews>
    <sheetView workbookViewId="0">
      <selection activeCell="E92" sqref="E92"/>
    </sheetView>
  </sheetViews>
  <sheetFormatPr baseColWidth="10" defaultColWidth="9.140625" defaultRowHeight="15" x14ac:dyDescent="0.25"/>
  <cols>
    <col min="1" max="1" width="37.28515625" bestFit="1" customWidth="1"/>
    <col min="2" max="2" width="18.7109375" bestFit="1" customWidth="1"/>
    <col min="3" max="3" width="27.7109375" bestFit="1" customWidth="1"/>
    <col min="4" max="4" width="33.5703125" bestFit="1" customWidth="1"/>
    <col min="5" max="5" width="30.42578125" bestFit="1" customWidth="1"/>
  </cols>
  <sheetData>
    <row r="1" spans="1:5" x14ac:dyDescent="0.25">
      <c r="A1" s="28" t="s">
        <v>34</v>
      </c>
      <c r="B1" t="s">
        <v>4263</v>
      </c>
    </row>
    <row r="3" spans="1:5" x14ac:dyDescent="0.25">
      <c r="A3" s="28" t="s">
        <v>53</v>
      </c>
      <c r="B3" t="s">
        <v>77</v>
      </c>
      <c r="C3" t="s">
        <v>78</v>
      </c>
      <c r="D3" t="s">
        <v>79</v>
      </c>
      <c r="E3" t="s">
        <v>80</v>
      </c>
    </row>
    <row r="4" spans="1:5" x14ac:dyDescent="0.25">
      <c r="A4" t="s">
        <v>81</v>
      </c>
      <c r="B4" s="29">
        <v>68106.86000000003</v>
      </c>
      <c r="C4" s="29">
        <v>9712.5499999999793</v>
      </c>
      <c r="D4" s="29">
        <v>0</v>
      </c>
      <c r="E4" s="29">
        <v>118.4</v>
      </c>
    </row>
    <row r="5" spans="1:5" x14ac:dyDescent="0.25">
      <c r="A5" t="s">
        <v>82</v>
      </c>
      <c r="B5" s="29">
        <v>2361969.4900000016</v>
      </c>
      <c r="C5" s="29">
        <v>421168.1200000004</v>
      </c>
      <c r="D5" s="29">
        <v>0</v>
      </c>
      <c r="E5" s="29">
        <v>8632.17</v>
      </c>
    </row>
    <row r="6" spans="1:5" x14ac:dyDescent="0.25">
      <c r="A6" t="s">
        <v>83</v>
      </c>
      <c r="B6" s="29">
        <v>29047.640000000007</v>
      </c>
      <c r="C6" s="29">
        <v>7060.2199999999993</v>
      </c>
      <c r="D6" s="29">
        <v>0</v>
      </c>
      <c r="E6" s="29">
        <v>108.87</v>
      </c>
    </row>
    <row r="7" spans="1:5" x14ac:dyDescent="0.25">
      <c r="A7" t="s">
        <v>84</v>
      </c>
      <c r="B7" s="29">
        <v>13081.83</v>
      </c>
      <c r="C7" s="29">
        <v>2808.24</v>
      </c>
      <c r="D7" s="29">
        <v>0</v>
      </c>
      <c r="E7" s="29">
        <v>0</v>
      </c>
    </row>
    <row r="8" spans="1:5" x14ac:dyDescent="0.25">
      <c r="A8" t="s">
        <v>85</v>
      </c>
      <c r="B8" s="29">
        <v>9184.8000000000011</v>
      </c>
      <c r="C8" s="29">
        <v>1478.12</v>
      </c>
      <c r="D8" s="29">
        <v>0</v>
      </c>
      <c r="E8" s="29">
        <v>0</v>
      </c>
    </row>
    <row r="9" spans="1:5" x14ac:dyDescent="0.25">
      <c r="A9" t="s">
        <v>86</v>
      </c>
      <c r="B9" s="29">
        <v>78937.590000000011</v>
      </c>
      <c r="C9" s="29">
        <v>8566.06</v>
      </c>
      <c r="D9" s="29">
        <v>0</v>
      </c>
      <c r="E9" s="29">
        <v>64.489999999999995</v>
      </c>
    </row>
    <row r="10" spans="1:5" x14ac:dyDescent="0.25">
      <c r="A10" t="s">
        <v>87</v>
      </c>
      <c r="B10" s="29">
        <v>60679.389999999985</v>
      </c>
      <c r="C10" s="29">
        <v>13337.760000000002</v>
      </c>
      <c r="D10" s="29">
        <v>0</v>
      </c>
      <c r="E10" s="29">
        <v>560.53</v>
      </c>
    </row>
    <row r="11" spans="1:5" x14ac:dyDescent="0.25">
      <c r="A11" t="s">
        <v>88</v>
      </c>
      <c r="B11" s="29">
        <v>534943.14999999991</v>
      </c>
      <c r="C11" s="29">
        <v>96227.480000000054</v>
      </c>
      <c r="D11" s="29">
        <v>0</v>
      </c>
      <c r="E11" s="29">
        <v>1460.37</v>
      </c>
    </row>
    <row r="12" spans="1:5" x14ac:dyDescent="0.25">
      <c r="A12" t="s">
        <v>89</v>
      </c>
      <c r="B12" s="29">
        <v>53014.550000000017</v>
      </c>
      <c r="C12" s="29">
        <v>4580.3599999999997</v>
      </c>
      <c r="D12" s="29">
        <v>0</v>
      </c>
      <c r="E12" s="29">
        <v>0</v>
      </c>
    </row>
    <row r="13" spans="1:5" x14ac:dyDescent="0.25">
      <c r="A13" t="s">
        <v>90</v>
      </c>
      <c r="B13" s="29">
        <v>72642.260000000009</v>
      </c>
      <c r="C13" s="29">
        <v>8376.7299999999977</v>
      </c>
      <c r="D13" s="29">
        <v>0</v>
      </c>
      <c r="E13" s="29">
        <v>-35.69</v>
      </c>
    </row>
    <row r="14" spans="1:5" x14ac:dyDescent="0.25">
      <c r="A14" t="s">
        <v>91</v>
      </c>
      <c r="B14" s="29">
        <v>42193.55000000001</v>
      </c>
      <c r="C14" s="29">
        <v>8071.41</v>
      </c>
      <c r="D14" s="29">
        <v>0</v>
      </c>
      <c r="E14" s="29">
        <v>0</v>
      </c>
    </row>
    <row r="15" spans="1:5" x14ac:dyDescent="0.25">
      <c r="A15" t="s">
        <v>92</v>
      </c>
      <c r="B15" s="29">
        <v>12820</v>
      </c>
      <c r="C15" s="29">
        <v>25.64</v>
      </c>
      <c r="D15" s="29">
        <v>0</v>
      </c>
      <c r="E15" s="29">
        <v>0</v>
      </c>
    </row>
    <row r="16" spans="1:5" x14ac:dyDescent="0.25">
      <c r="A16" t="s">
        <v>93</v>
      </c>
      <c r="B16" s="29">
        <v>423.17000000000007</v>
      </c>
      <c r="C16" s="29">
        <v>60.489999999999995</v>
      </c>
      <c r="D16" s="29">
        <v>0</v>
      </c>
      <c r="E16" s="29">
        <v>0</v>
      </c>
    </row>
    <row r="17" spans="1:5" x14ac:dyDescent="0.25">
      <c r="A17" t="s">
        <v>94</v>
      </c>
      <c r="B17" s="29">
        <v>7292.8199999999988</v>
      </c>
      <c r="C17" s="29">
        <v>892.45999999999992</v>
      </c>
      <c r="D17" s="29">
        <v>0</v>
      </c>
      <c r="E17" s="29">
        <v>0</v>
      </c>
    </row>
    <row r="18" spans="1:5" x14ac:dyDescent="0.25">
      <c r="A18" t="s">
        <v>95</v>
      </c>
      <c r="B18" s="29">
        <v>3344337.100000001</v>
      </c>
      <c r="C18" s="29">
        <v>582365.64000000036</v>
      </c>
      <c r="D18" s="29">
        <v>0</v>
      </c>
      <c r="E18" s="29">
        <v>10909.140000000001</v>
      </c>
    </row>
    <row r="19" spans="1:5" x14ac:dyDescent="0.25">
      <c r="B19" s="29"/>
      <c r="C19" s="29"/>
      <c r="D19" s="29"/>
      <c r="E19" s="29"/>
    </row>
    <row r="20" spans="1:5" x14ac:dyDescent="0.25">
      <c r="B20" s="29"/>
      <c r="C20" s="29"/>
      <c r="D20" s="29"/>
      <c r="E20" s="29"/>
    </row>
    <row r="21" spans="1:5" x14ac:dyDescent="0.25">
      <c r="B21" s="29"/>
      <c r="C21" s="29"/>
      <c r="D21" s="29"/>
      <c r="E21" s="29"/>
    </row>
    <row r="22" spans="1:5" x14ac:dyDescent="0.25">
      <c r="A22" s="43" t="s">
        <v>4257</v>
      </c>
      <c r="B22" s="29"/>
      <c r="C22" s="29"/>
      <c r="D22" s="29"/>
      <c r="E22" s="29"/>
    </row>
    <row r="24" spans="1:5" x14ac:dyDescent="0.25">
      <c r="A24" s="43"/>
      <c r="B24" s="43" t="s">
        <v>4258</v>
      </c>
      <c r="C24" s="43" t="s">
        <v>4259</v>
      </c>
      <c r="D24" s="43" t="s">
        <v>4261</v>
      </c>
      <c r="E24" s="43" t="s">
        <v>4262</v>
      </c>
    </row>
    <row r="25" spans="1:5" x14ac:dyDescent="0.25">
      <c r="A25" s="31" t="s">
        <v>96</v>
      </c>
      <c r="B25" s="44">
        <f>SUM(B26:B28)</f>
        <v>0</v>
      </c>
      <c r="C25" s="44">
        <f t="shared" ref="C25" si="0">SUM(C26:C28)</f>
        <v>0</v>
      </c>
    </row>
    <row r="26" spans="1:5" x14ac:dyDescent="0.25">
      <c r="A26" s="33" t="s">
        <v>97</v>
      </c>
      <c r="B26" s="45">
        <v>0</v>
      </c>
      <c r="C26" s="45">
        <v>0</v>
      </c>
    </row>
    <row r="27" spans="1:5" x14ac:dyDescent="0.25">
      <c r="A27" s="33" t="s">
        <v>98</v>
      </c>
      <c r="B27" s="45">
        <v>0</v>
      </c>
      <c r="C27" s="45">
        <v>0</v>
      </c>
    </row>
    <row r="28" spans="1:5" x14ac:dyDescent="0.25">
      <c r="A28" s="33" t="s">
        <v>99</v>
      </c>
      <c r="B28" s="45">
        <v>0</v>
      </c>
      <c r="C28" s="45">
        <v>0</v>
      </c>
    </row>
    <row r="29" spans="1:5" x14ac:dyDescent="0.25">
      <c r="A29" s="31" t="s">
        <v>100</v>
      </c>
      <c r="B29" s="44">
        <f t="shared" ref="B29" si="1">SUM(B30:B52)</f>
        <v>1894073.17</v>
      </c>
      <c r="C29" s="44">
        <f t="shared" ref="C29" si="2">SUM(C30:C52)</f>
        <v>328212.82000000012</v>
      </c>
    </row>
    <row r="30" spans="1:5" x14ac:dyDescent="0.25">
      <c r="A30" s="33" t="s">
        <v>101</v>
      </c>
      <c r="B30" s="45">
        <v>0</v>
      </c>
      <c r="C30" s="45">
        <v>0</v>
      </c>
    </row>
    <row r="31" spans="1:5" x14ac:dyDescent="0.25">
      <c r="A31" s="33" t="s">
        <v>102</v>
      </c>
      <c r="B31" s="45">
        <v>0</v>
      </c>
      <c r="C31" s="45">
        <v>0</v>
      </c>
    </row>
    <row r="32" spans="1:5" x14ac:dyDescent="0.25">
      <c r="A32" s="33" t="s">
        <v>103</v>
      </c>
      <c r="B32" s="45">
        <v>0</v>
      </c>
      <c r="C32" s="45">
        <v>0</v>
      </c>
    </row>
    <row r="33" spans="1:3" x14ac:dyDescent="0.25">
      <c r="A33" s="33" t="s">
        <v>4254</v>
      </c>
      <c r="B33" s="45">
        <v>0</v>
      </c>
      <c r="C33" s="45">
        <v>0</v>
      </c>
    </row>
    <row r="34" spans="1:3" x14ac:dyDescent="0.25">
      <c r="A34" s="33" t="s">
        <v>105</v>
      </c>
      <c r="B34" s="45">
        <v>0</v>
      </c>
      <c r="C34" s="45">
        <v>0</v>
      </c>
    </row>
    <row r="35" spans="1:3" x14ac:dyDescent="0.25">
      <c r="A35" s="33" t="s">
        <v>106</v>
      </c>
      <c r="B35" s="45">
        <v>0</v>
      </c>
      <c r="C35" s="45">
        <v>0</v>
      </c>
    </row>
    <row r="36" spans="1:3" x14ac:dyDescent="0.25">
      <c r="A36" s="33" t="s">
        <v>82</v>
      </c>
      <c r="B36" s="45">
        <v>1549659.12</v>
      </c>
      <c r="C36" s="45">
        <v>275946.46000000008</v>
      </c>
    </row>
    <row r="37" spans="1:3" x14ac:dyDescent="0.25">
      <c r="A37" s="33" t="s">
        <v>87</v>
      </c>
      <c r="B37" s="45">
        <v>29028.609999999997</v>
      </c>
      <c r="C37" s="45">
        <v>6306.4999999999991</v>
      </c>
    </row>
    <row r="38" spans="1:3" x14ac:dyDescent="0.25">
      <c r="A38" s="33" t="s">
        <v>84</v>
      </c>
      <c r="B38" s="45">
        <v>6669.63</v>
      </c>
      <c r="C38" s="45">
        <v>1308.3600000000001</v>
      </c>
    </row>
    <row r="39" spans="1:3" x14ac:dyDescent="0.25">
      <c r="A39" s="33" t="s">
        <v>85</v>
      </c>
      <c r="B39" s="45">
        <v>576.36999999999989</v>
      </c>
      <c r="C39" s="45">
        <v>94.34</v>
      </c>
    </row>
    <row r="40" spans="1:3" x14ac:dyDescent="0.25">
      <c r="A40" s="33" t="s">
        <v>2397</v>
      </c>
      <c r="B40" s="45">
        <v>163237.72</v>
      </c>
      <c r="C40" s="45">
        <v>29450.070000000007</v>
      </c>
    </row>
    <row r="41" spans="1:3" x14ac:dyDescent="0.25">
      <c r="A41" s="33" t="s">
        <v>107</v>
      </c>
      <c r="B41" s="45">
        <v>0</v>
      </c>
      <c r="C41" s="45">
        <v>0</v>
      </c>
    </row>
    <row r="42" spans="1:3" x14ac:dyDescent="0.25">
      <c r="A42" s="33" t="s">
        <v>108</v>
      </c>
      <c r="B42" s="45">
        <v>0</v>
      </c>
      <c r="C42" s="45">
        <v>0</v>
      </c>
    </row>
    <row r="43" spans="1:3" x14ac:dyDescent="0.25">
      <c r="A43" s="33" t="s">
        <v>91</v>
      </c>
      <c r="B43" s="45">
        <v>3376.7</v>
      </c>
      <c r="C43" s="45">
        <v>735.14</v>
      </c>
    </row>
    <row r="44" spans="1:3" x14ac:dyDescent="0.25">
      <c r="A44" s="33" t="s">
        <v>81</v>
      </c>
      <c r="B44" s="45">
        <v>29905.409999999996</v>
      </c>
      <c r="C44" s="45">
        <v>5412.9999999999982</v>
      </c>
    </row>
    <row r="45" spans="1:3" x14ac:dyDescent="0.25">
      <c r="A45" s="33" t="s">
        <v>83</v>
      </c>
      <c r="B45" s="45">
        <v>13184.810000000005</v>
      </c>
      <c r="C45" s="45">
        <v>3203.1299999999997</v>
      </c>
    </row>
    <row r="46" spans="1:3" x14ac:dyDescent="0.25">
      <c r="A46" s="33" t="s">
        <v>86</v>
      </c>
      <c r="B46" s="45">
        <v>51081</v>
      </c>
      <c r="C46" s="45">
        <v>2792.98</v>
      </c>
    </row>
    <row r="47" spans="1:3" x14ac:dyDescent="0.25">
      <c r="A47" s="33" t="s">
        <v>90</v>
      </c>
      <c r="B47" s="45">
        <v>11515.540000000003</v>
      </c>
      <c r="C47" s="45">
        <v>1170.8400000000004</v>
      </c>
    </row>
    <row r="48" spans="1:3" x14ac:dyDescent="0.25">
      <c r="A48" s="33" t="s">
        <v>89</v>
      </c>
      <c r="B48" s="45">
        <v>27386.450000000008</v>
      </c>
      <c r="C48" s="45">
        <v>1462.69</v>
      </c>
    </row>
    <row r="49" spans="1:5" x14ac:dyDescent="0.25">
      <c r="A49" s="33" t="s">
        <v>94</v>
      </c>
      <c r="B49" s="45">
        <v>2068.64</v>
      </c>
      <c r="C49" s="45">
        <v>256.89999999999998</v>
      </c>
    </row>
    <row r="50" spans="1:5" x14ac:dyDescent="0.25">
      <c r="A50" s="33" t="s">
        <v>92</v>
      </c>
      <c r="B50" s="45">
        <v>5960</v>
      </c>
      <c r="C50" s="45">
        <v>11.92</v>
      </c>
    </row>
    <row r="51" spans="1:5" x14ac:dyDescent="0.25">
      <c r="A51" s="33" t="s">
        <v>109</v>
      </c>
      <c r="B51" s="45">
        <v>0</v>
      </c>
      <c r="C51" s="45">
        <v>0</v>
      </c>
    </row>
    <row r="52" spans="1:5" x14ac:dyDescent="0.25">
      <c r="A52" s="33" t="s">
        <v>93</v>
      </c>
      <c r="B52" s="45">
        <v>423.17000000000007</v>
      </c>
      <c r="C52" s="45">
        <v>60.489999999999995</v>
      </c>
    </row>
    <row r="53" spans="1:5" x14ac:dyDescent="0.25">
      <c r="A53" s="31" t="s">
        <v>4255</v>
      </c>
      <c r="B53" s="45">
        <v>0</v>
      </c>
      <c r="C53" s="45">
        <v>0</v>
      </c>
    </row>
    <row r="54" spans="1:5" ht="15.75" thickBot="1" x14ac:dyDescent="0.3">
      <c r="A54" s="42" t="s">
        <v>4256</v>
      </c>
      <c r="B54" s="46">
        <f t="shared" ref="B54:C54" si="3">B53+B29+B25</f>
        <v>1894073.17</v>
      </c>
      <c r="C54" s="46">
        <f t="shared" si="3"/>
        <v>328212.82000000012</v>
      </c>
      <c r="D54" s="46"/>
      <c r="E54" s="46">
        <v>-6547.9</v>
      </c>
    </row>
    <row r="55" spans="1:5" ht="15.75" thickTop="1" x14ac:dyDescent="0.25"/>
    <row r="63" spans="1:5" x14ac:dyDescent="0.25">
      <c r="B63" s="43" t="s">
        <v>4258</v>
      </c>
      <c r="C63" s="43" t="s">
        <v>4259</v>
      </c>
      <c r="D63" s="43" t="s">
        <v>4261</v>
      </c>
      <c r="E63" s="43" t="s">
        <v>4262</v>
      </c>
    </row>
    <row r="64" spans="1:5" x14ac:dyDescent="0.25">
      <c r="A64" s="31" t="s">
        <v>96</v>
      </c>
      <c r="B64" s="32">
        <f>SUM(B65:B67)</f>
        <v>0</v>
      </c>
      <c r="C64" s="32">
        <f>SUM(C65:C67)</f>
        <v>0</v>
      </c>
    </row>
    <row r="65" spans="1:3" x14ac:dyDescent="0.25">
      <c r="A65" s="33" t="s">
        <v>97</v>
      </c>
      <c r="B65" s="32">
        <f>IFERROR(VLOOKUP(A65,$A$3:$C$18,2,0),0)-B26</f>
        <v>0</v>
      </c>
      <c r="C65" s="32">
        <f>IFERROR(VLOOKUP(A65,$A$3:$C$21,3,0),0)-C26</f>
        <v>0</v>
      </c>
    </row>
    <row r="66" spans="1:3" x14ac:dyDescent="0.25">
      <c r="A66" s="33" t="s">
        <v>98</v>
      </c>
      <c r="B66" s="32">
        <f t="shared" ref="B66:B91" si="4">IFERROR(VLOOKUP(A66,$A$3:$C$18,2,0),0)-B27</f>
        <v>0</v>
      </c>
      <c r="C66" s="32">
        <f t="shared" ref="C66:C91" si="5">IFERROR(VLOOKUP(A66,$A$3:$C$21,3,0),0)-C27</f>
        <v>0</v>
      </c>
    </row>
    <row r="67" spans="1:3" x14ac:dyDescent="0.25">
      <c r="A67" s="33" t="s">
        <v>99</v>
      </c>
      <c r="B67" s="32">
        <f t="shared" si="4"/>
        <v>0</v>
      </c>
      <c r="C67" s="32">
        <f t="shared" si="5"/>
        <v>0</v>
      </c>
    </row>
    <row r="68" spans="1:3" x14ac:dyDescent="0.25">
      <c r="A68" s="31" t="s">
        <v>100</v>
      </c>
      <c r="B68" s="47">
        <f>SUM(B69:B91)</f>
        <v>1450263.9300000016</v>
      </c>
      <c r="C68" s="47">
        <f>SUM(C69:C91)</f>
        <v>254152.82000000036</v>
      </c>
    </row>
    <row r="69" spans="1:3" x14ac:dyDescent="0.25">
      <c r="A69" s="33" t="s">
        <v>101</v>
      </c>
      <c r="B69" s="32">
        <f t="shared" si="4"/>
        <v>0</v>
      </c>
      <c r="C69" s="32">
        <f t="shared" si="5"/>
        <v>0</v>
      </c>
    </row>
    <row r="70" spans="1:3" x14ac:dyDescent="0.25">
      <c r="A70" s="33" t="s">
        <v>102</v>
      </c>
      <c r="B70" s="32">
        <f t="shared" si="4"/>
        <v>0</v>
      </c>
      <c r="C70" s="32">
        <f t="shared" si="5"/>
        <v>0</v>
      </c>
    </row>
    <row r="71" spans="1:3" x14ac:dyDescent="0.25">
      <c r="A71" s="33" t="s">
        <v>103</v>
      </c>
      <c r="B71" s="32">
        <f t="shared" si="4"/>
        <v>0</v>
      </c>
      <c r="C71" s="32">
        <f t="shared" si="5"/>
        <v>0</v>
      </c>
    </row>
    <row r="72" spans="1:3" x14ac:dyDescent="0.25">
      <c r="A72" s="33" t="s">
        <v>104</v>
      </c>
      <c r="B72" s="32">
        <f t="shared" si="4"/>
        <v>0</v>
      </c>
      <c r="C72" s="32">
        <f t="shared" si="5"/>
        <v>0</v>
      </c>
    </row>
    <row r="73" spans="1:3" x14ac:dyDescent="0.25">
      <c r="A73" s="33" t="s">
        <v>105</v>
      </c>
      <c r="B73" s="32">
        <f t="shared" si="4"/>
        <v>0</v>
      </c>
      <c r="C73" s="32">
        <f t="shared" si="5"/>
        <v>0</v>
      </c>
    </row>
    <row r="74" spans="1:3" x14ac:dyDescent="0.25">
      <c r="A74" s="33" t="s">
        <v>106</v>
      </c>
      <c r="B74" s="32">
        <f t="shared" si="4"/>
        <v>0</v>
      </c>
      <c r="C74" s="32">
        <f t="shared" si="5"/>
        <v>0</v>
      </c>
    </row>
    <row r="75" spans="1:3" x14ac:dyDescent="0.25">
      <c r="A75" s="33" t="s">
        <v>82</v>
      </c>
      <c r="B75" s="32">
        <f t="shared" si="4"/>
        <v>812310.37000000151</v>
      </c>
      <c r="C75" s="32">
        <f t="shared" si="5"/>
        <v>145221.66000000032</v>
      </c>
    </row>
    <row r="76" spans="1:3" x14ac:dyDescent="0.25">
      <c r="A76" s="33" t="s">
        <v>87</v>
      </c>
      <c r="B76" s="32">
        <f t="shared" si="4"/>
        <v>31650.779999999988</v>
      </c>
      <c r="C76" s="32">
        <f t="shared" si="5"/>
        <v>7031.2600000000029</v>
      </c>
    </row>
    <row r="77" spans="1:3" x14ac:dyDescent="0.25">
      <c r="A77" s="33" t="s">
        <v>84</v>
      </c>
      <c r="B77" s="32">
        <f t="shared" si="4"/>
        <v>6412.2</v>
      </c>
      <c r="C77" s="32">
        <f t="shared" si="5"/>
        <v>1499.8799999999997</v>
      </c>
    </row>
    <row r="78" spans="1:3" x14ac:dyDescent="0.25">
      <c r="A78" s="33" t="s">
        <v>85</v>
      </c>
      <c r="B78" s="32">
        <f t="shared" si="4"/>
        <v>8608.43</v>
      </c>
      <c r="C78" s="32">
        <f t="shared" si="5"/>
        <v>1383.78</v>
      </c>
    </row>
    <row r="79" spans="1:3" x14ac:dyDescent="0.25">
      <c r="A79" s="33" t="s">
        <v>88</v>
      </c>
      <c r="B79" s="32">
        <f t="shared" si="4"/>
        <v>371705.42999999993</v>
      </c>
      <c r="C79" s="32">
        <f t="shared" si="5"/>
        <v>66777.410000000047</v>
      </c>
    </row>
    <row r="80" spans="1:3" x14ac:dyDescent="0.25">
      <c r="A80" s="33" t="s">
        <v>107</v>
      </c>
      <c r="B80" s="32">
        <f t="shared" si="4"/>
        <v>0</v>
      </c>
      <c r="C80" s="32">
        <f t="shared" si="5"/>
        <v>0</v>
      </c>
    </row>
    <row r="81" spans="1:5" x14ac:dyDescent="0.25">
      <c r="A81" s="33" t="s">
        <v>108</v>
      </c>
      <c r="B81" s="32">
        <f t="shared" si="4"/>
        <v>0</v>
      </c>
      <c r="C81" s="32">
        <f t="shared" si="5"/>
        <v>0</v>
      </c>
    </row>
    <row r="82" spans="1:5" x14ac:dyDescent="0.25">
      <c r="A82" s="33" t="s">
        <v>91</v>
      </c>
      <c r="B82" s="32">
        <f t="shared" si="4"/>
        <v>38816.850000000013</v>
      </c>
      <c r="C82" s="32">
        <f t="shared" si="5"/>
        <v>7336.2699999999995</v>
      </c>
    </row>
    <row r="83" spans="1:5" x14ac:dyDescent="0.25">
      <c r="A83" s="33" t="s">
        <v>81</v>
      </c>
      <c r="B83" s="32">
        <f t="shared" si="4"/>
        <v>38201.450000000033</v>
      </c>
      <c r="C83" s="32">
        <f t="shared" si="5"/>
        <v>4299.5499999999811</v>
      </c>
    </row>
    <row r="84" spans="1:5" x14ac:dyDescent="0.25">
      <c r="A84" s="33" t="s">
        <v>83</v>
      </c>
      <c r="B84" s="32">
        <f t="shared" si="4"/>
        <v>15862.830000000002</v>
      </c>
      <c r="C84" s="32">
        <f t="shared" si="5"/>
        <v>3857.0899999999997</v>
      </c>
    </row>
    <row r="85" spans="1:5" x14ac:dyDescent="0.25">
      <c r="A85" s="33" t="s">
        <v>86</v>
      </c>
      <c r="B85" s="32">
        <f t="shared" si="4"/>
        <v>27856.590000000011</v>
      </c>
      <c r="C85" s="32">
        <f t="shared" si="5"/>
        <v>5773.08</v>
      </c>
    </row>
    <row r="86" spans="1:5" x14ac:dyDescent="0.25">
      <c r="A86" s="33" t="s">
        <v>90</v>
      </c>
      <c r="B86" s="32">
        <f t="shared" si="4"/>
        <v>61126.720000000008</v>
      </c>
      <c r="C86" s="32">
        <f t="shared" si="5"/>
        <v>7205.8899999999976</v>
      </c>
    </row>
    <row r="87" spans="1:5" x14ac:dyDescent="0.25">
      <c r="A87" s="33" t="s">
        <v>89</v>
      </c>
      <c r="B87" s="32">
        <f t="shared" si="4"/>
        <v>25628.100000000009</v>
      </c>
      <c r="C87" s="32">
        <f t="shared" si="5"/>
        <v>3117.6699999999996</v>
      </c>
    </row>
    <row r="88" spans="1:5" x14ac:dyDescent="0.25">
      <c r="A88" s="33" t="s">
        <v>94</v>
      </c>
      <c r="B88" s="32">
        <f t="shared" si="4"/>
        <v>5224.1799999999985</v>
      </c>
      <c r="C88" s="32">
        <f t="shared" si="5"/>
        <v>635.55999999999995</v>
      </c>
    </row>
    <row r="89" spans="1:5" x14ac:dyDescent="0.25">
      <c r="A89" s="33" t="s">
        <v>92</v>
      </c>
      <c r="B89" s="32">
        <f t="shared" si="4"/>
        <v>6860</v>
      </c>
      <c r="C89" s="32">
        <f t="shared" si="5"/>
        <v>13.72</v>
      </c>
    </row>
    <row r="90" spans="1:5" x14ac:dyDescent="0.25">
      <c r="A90" s="33" t="s">
        <v>109</v>
      </c>
      <c r="B90" s="32">
        <f t="shared" si="4"/>
        <v>0</v>
      </c>
      <c r="C90" s="32">
        <f t="shared" si="5"/>
        <v>0</v>
      </c>
    </row>
    <row r="91" spans="1:5" x14ac:dyDescent="0.25">
      <c r="A91" s="33" t="s">
        <v>93</v>
      </c>
      <c r="B91" s="32">
        <f t="shared" si="4"/>
        <v>0</v>
      </c>
      <c r="C91" s="32">
        <f t="shared" si="5"/>
        <v>0</v>
      </c>
    </row>
    <row r="92" spans="1:5" x14ac:dyDescent="0.25">
      <c r="A92" s="33"/>
      <c r="B92" s="32"/>
      <c r="C92" s="32"/>
      <c r="D92" s="50">
        <f>+GETPIVOTDATA("Suma de ComisionComplementaria",$A$3)-D54</f>
        <v>0</v>
      </c>
      <c r="E92" s="50">
        <f>(GETPIVOTDATA("Suma de ComisionColaborador1",$A$3)+E54)*-1</f>
        <v>-4361.2400000000016</v>
      </c>
    </row>
    <row r="93" spans="1:5" x14ac:dyDescent="0.25">
      <c r="A93" s="48" t="s">
        <v>4260</v>
      </c>
      <c r="B93" s="49">
        <f>+B68+B64+B54-B18</f>
        <v>0</v>
      </c>
      <c r="C93" s="49">
        <f>+C68+C64+C54-C18</f>
        <v>0</v>
      </c>
      <c r="D93" s="49">
        <f t="shared" ref="D93" si="6">+D68+D64+D54-D18</f>
        <v>0</v>
      </c>
      <c r="E93" s="49">
        <f>-E92-E54-GETPIVOTDATA("Suma de ComisionColaborador1",$A$3)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01FF-DBC1-4EC1-AEC3-FA74427A43AB}">
  <dimension ref="A1:AI1213"/>
  <sheetViews>
    <sheetView tabSelected="1" zoomScaleNormal="100" workbookViewId="0">
      <pane ySplit="1" topLeftCell="A2" activePane="bottomLeft" state="frozen"/>
      <selection pane="bottomLeft" activeCell="AE25" sqref="AE25"/>
    </sheetView>
  </sheetViews>
  <sheetFormatPr baseColWidth="10" defaultColWidth="11.5703125" defaultRowHeight="15" x14ac:dyDescent="0.25"/>
  <cols>
    <col min="1" max="2" width="11" style="1" bestFit="1" customWidth="1"/>
    <col min="3" max="3" width="23" style="1" bestFit="1" customWidth="1"/>
    <col min="4" max="4" width="20.42578125" style="1" bestFit="1" customWidth="1"/>
    <col min="5" max="5" width="24" style="1" bestFit="1" customWidth="1"/>
    <col min="6" max="6" width="21.42578125" style="1" bestFit="1" customWidth="1"/>
    <col min="7" max="10" width="11" style="1" bestFit="1" customWidth="1"/>
    <col min="11" max="11" width="16.85546875" style="26" bestFit="1" customWidth="1"/>
    <col min="12" max="12" width="12.140625" style="27" bestFit="1" customWidth="1"/>
    <col min="13" max="15" width="24" style="27" bestFit="1" customWidth="1"/>
    <col min="16" max="16" width="28.42578125" style="27" bestFit="1" customWidth="1"/>
    <col min="17" max="17" width="24" style="27" bestFit="1" customWidth="1"/>
    <col min="18" max="18" width="11" style="1" bestFit="1" customWidth="1"/>
    <col min="19" max="20" width="9.140625" style="1" bestFit="1" customWidth="1"/>
    <col min="21" max="21" width="15.42578125" style="1" bestFit="1" customWidth="1"/>
    <col min="22" max="22" width="10.140625" style="1" bestFit="1" customWidth="1"/>
    <col min="23" max="23" width="9.140625" style="1" bestFit="1" customWidth="1"/>
    <col min="24" max="24" width="11" style="1" bestFit="1" customWidth="1"/>
    <col min="25" max="25" width="19.5703125" style="1" bestFit="1" customWidth="1"/>
    <col min="26" max="26" width="19.42578125" style="1" bestFit="1" customWidth="1"/>
    <col min="27" max="27" width="25.140625" style="1" bestFit="1" customWidth="1"/>
    <col min="28" max="28" width="24" style="1" bestFit="1" customWidth="1"/>
    <col min="29" max="29" width="31" style="1" bestFit="1" customWidth="1"/>
    <col min="30" max="35" width="24" style="1" bestFit="1" customWidth="1"/>
    <col min="36" max="39" width="11.5703125" style="1" bestFit="1" customWidth="1"/>
    <col min="40" max="40" width="11.5703125" style="1" bestFit="1"/>
    <col min="41" max="71" width="11.5703125" style="1" bestFit="1" customWidth="1"/>
    <col min="72" max="72" width="11.5703125" style="1" bestFit="1"/>
    <col min="73" max="103" width="11.5703125" style="1" bestFit="1" customWidth="1"/>
    <col min="104" max="104" width="11.5703125" style="1" bestFit="1"/>
    <col min="105" max="135" width="11.5703125" style="1" bestFit="1" customWidth="1"/>
    <col min="136" max="136" width="11.5703125" style="1" bestFit="1"/>
    <col min="137" max="167" width="11.5703125" style="1" bestFit="1" customWidth="1"/>
    <col min="168" max="168" width="11.5703125" style="1" bestFit="1"/>
    <col min="169" max="199" width="11.5703125" style="1" bestFit="1" customWidth="1"/>
    <col min="200" max="200" width="11.5703125" style="1" bestFit="1"/>
    <col min="201" max="231" width="11.5703125" style="1" bestFit="1" customWidth="1"/>
    <col min="232" max="232" width="11.5703125" style="1" bestFit="1"/>
    <col min="233" max="263" width="11.5703125" style="1" bestFit="1" customWidth="1"/>
    <col min="264" max="264" width="11.5703125" style="1" bestFit="1"/>
    <col min="265" max="295" width="11.5703125" style="1" bestFit="1" customWidth="1"/>
    <col min="296" max="296" width="11.5703125" style="1" bestFit="1"/>
    <col min="297" max="327" width="11.5703125" style="1" bestFit="1" customWidth="1"/>
    <col min="328" max="328" width="11.5703125" style="1" bestFit="1"/>
    <col min="329" max="359" width="11.5703125" style="1" bestFit="1" customWidth="1"/>
    <col min="360" max="360" width="11.5703125" style="1" bestFit="1"/>
    <col min="361" max="391" width="11.5703125" style="1" bestFit="1" customWidth="1"/>
    <col min="392" max="392" width="11.5703125" style="1" bestFit="1"/>
    <col min="393" max="423" width="11.5703125" style="1" bestFit="1" customWidth="1"/>
    <col min="424" max="424" width="11.5703125" style="1" bestFit="1"/>
    <col min="425" max="455" width="11.5703125" style="1" bestFit="1" customWidth="1"/>
    <col min="456" max="456" width="11.5703125" style="1" bestFit="1"/>
    <col min="457" max="487" width="11.5703125" style="1" bestFit="1" customWidth="1"/>
    <col min="488" max="488" width="11.5703125" style="1" bestFit="1"/>
    <col min="489" max="519" width="11.5703125" style="1" bestFit="1" customWidth="1"/>
    <col min="520" max="520" width="11.5703125" style="1" bestFit="1"/>
    <col min="521" max="551" width="11.5703125" style="1" bestFit="1" customWidth="1"/>
    <col min="552" max="552" width="11.5703125" style="1" bestFit="1"/>
    <col min="553" max="583" width="11.5703125" style="1" bestFit="1" customWidth="1"/>
    <col min="584" max="584" width="11.5703125" style="1" bestFit="1"/>
    <col min="585" max="615" width="11.5703125" style="1" bestFit="1" customWidth="1"/>
    <col min="616" max="616" width="11.5703125" style="1" bestFit="1"/>
    <col min="617" max="647" width="11.5703125" style="1" bestFit="1" customWidth="1"/>
    <col min="648" max="648" width="11.5703125" style="1" bestFit="1"/>
    <col min="649" max="679" width="11.5703125" style="1" bestFit="1" customWidth="1"/>
    <col min="680" max="680" width="11.5703125" style="1" bestFit="1"/>
    <col min="681" max="711" width="11.5703125" style="1" bestFit="1" customWidth="1"/>
    <col min="712" max="712" width="11.5703125" style="1" bestFit="1"/>
    <col min="713" max="743" width="11.5703125" style="1" bestFit="1" customWidth="1"/>
    <col min="744" max="744" width="11.5703125" style="1" bestFit="1"/>
    <col min="745" max="775" width="11.5703125" style="1" bestFit="1" customWidth="1"/>
    <col min="776" max="776" width="11.5703125" style="1" bestFit="1"/>
    <col min="777" max="807" width="11.5703125" style="1" bestFit="1" customWidth="1"/>
    <col min="808" max="808" width="11.5703125" style="1" bestFit="1"/>
    <col min="809" max="839" width="11.5703125" style="1" bestFit="1" customWidth="1"/>
    <col min="840" max="840" width="11.5703125" style="1" bestFit="1"/>
    <col min="841" max="871" width="11.5703125" style="1" bestFit="1" customWidth="1"/>
    <col min="872" max="872" width="11.5703125" style="1" bestFit="1"/>
    <col min="873" max="903" width="11.5703125" style="1" bestFit="1" customWidth="1"/>
    <col min="904" max="904" width="11.5703125" style="1" bestFit="1"/>
    <col min="905" max="935" width="11.5703125" style="1" bestFit="1" customWidth="1"/>
    <col min="936" max="936" width="11.5703125" style="1" bestFit="1"/>
    <col min="937" max="967" width="11.5703125" style="1" bestFit="1" customWidth="1"/>
    <col min="968" max="968" width="11.5703125" style="1" bestFit="1"/>
    <col min="969" max="999" width="11.5703125" style="1" bestFit="1" customWidth="1"/>
    <col min="1000" max="1000" width="11.5703125" style="1" bestFit="1"/>
    <col min="1001" max="1031" width="11.5703125" style="1" bestFit="1" customWidth="1"/>
    <col min="1032" max="1032" width="11.5703125" style="1" bestFit="1"/>
    <col min="1033" max="1063" width="11.5703125" style="1" bestFit="1" customWidth="1"/>
    <col min="1064" max="1064" width="11.5703125" style="1" bestFit="1"/>
    <col min="1065" max="1095" width="11.5703125" style="1" bestFit="1" customWidth="1"/>
    <col min="1096" max="1096" width="11.5703125" style="1" bestFit="1"/>
    <col min="1097" max="1127" width="11.5703125" style="1" bestFit="1" customWidth="1"/>
    <col min="1128" max="1128" width="11.5703125" style="1" bestFit="1"/>
    <col min="1129" max="1159" width="11.5703125" style="1" bestFit="1" customWidth="1"/>
    <col min="1160" max="1160" width="11.5703125" style="1" bestFit="1"/>
    <col min="1161" max="1191" width="11.5703125" style="1" bestFit="1" customWidth="1"/>
    <col min="1192" max="1192" width="11.5703125" style="1" bestFit="1"/>
    <col min="1193" max="1223" width="11.5703125" style="1" bestFit="1" customWidth="1"/>
    <col min="1224" max="1224" width="11.5703125" style="1" bestFit="1"/>
    <col min="1225" max="1255" width="11.5703125" style="1" bestFit="1" customWidth="1"/>
    <col min="1256" max="1256" width="11.5703125" style="1" bestFit="1"/>
    <col min="1257" max="1287" width="11.5703125" style="1" bestFit="1" customWidth="1"/>
    <col min="1288" max="1288" width="11.5703125" style="1" bestFit="1"/>
    <col min="1289" max="1319" width="11.5703125" style="1" bestFit="1" customWidth="1"/>
    <col min="1320" max="1320" width="11.5703125" style="1" bestFit="1"/>
    <col min="1321" max="1351" width="11.5703125" style="1" bestFit="1" customWidth="1"/>
    <col min="1352" max="1352" width="11.5703125" style="1" bestFit="1"/>
    <col min="1353" max="1383" width="11.5703125" style="1" bestFit="1" customWidth="1"/>
    <col min="1384" max="1384" width="11.5703125" style="1" bestFit="1"/>
    <col min="1385" max="1415" width="11.5703125" style="1" bestFit="1" customWidth="1"/>
    <col min="1416" max="1416" width="11.5703125" style="1" bestFit="1"/>
    <col min="1417" max="1447" width="11.5703125" style="1" bestFit="1" customWidth="1"/>
    <col min="1448" max="1448" width="11.5703125" style="1" bestFit="1"/>
    <col min="1449" max="1479" width="11.5703125" style="1" bestFit="1" customWidth="1"/>
    <col min="1480" max="1480" width="11.5703125" style="1" bestFit="1"/>
    <col min="1481" max="1511" width="11.5703125" style="1" bestFit="1" customWidth="1"/>
    <col min="1512" max="1512" width="11.5703125" style="1" bestFit="1"/>
    <col min="1513" max="1543" width="11.5703125" style="1" bestFit="1" customWidth="1"/>
    <col min="1544" max="1544" width="11.5703125" style="1" bestFit="1"/>
    <col min="1545" max="1575" width="11.5703125" style="1" bestFit="1" customWidth="1"/>
    <col min="1576" max="1576" width="11.5703125" style="1" bestFit="1"/>
    <col min="1577" max="1607" width="11.5703125" style="1" bestFit="1" customWidth="1"/>
    <col min="1608" max="1608" width="11.5703125" style="1" bestFit="1"/>
    <col min="1609" max="1639" width="11.5703125" style="1" bestFit="1" customWidth="1"/>
    <col min="1640" max="1640" width="11.5703125" style="1" bestFit="1"/>
    <col min="1641" max="1671" width="11.5703125" style="1" bestFit="1" customWidth="1"/>
    <col min="1672" max="1672" width="11.5703125" style="1" bestFit="1"/>
    <col min="1673" max="1703" width="11.5703125" style="1" bestFit="1" customWidth="1"/>
    <col min="1704" max="1704" width="11.5703125" style="1" bestFit="1"/>
    <col min="1705" max="1735" width="11.5703125" style="1" bestFit="1" customWidth="1"/>
    <col min="1736" max="1736" width="11.5703125" style="1" bestFit="1"/>
    <col min="1737" max="1767" width="11.5703125" style="1" bestFit="1" customWidth="1"/>
    <col min="1768" max="1768" width="11.5703125" style="1" bestFit="1"/>
    <col min="1769" max="1799" width="11.5703125" style="1" bestFit="1" customWidth="1"/>
    <col min="1800" max="1800" width="11.5703125" style="1" bestFit="1"/>
    <col min="1801" max="1831" width="11.5703125" style="1" bestFit="1" customWidth="1"/>
    <col min="1832" max="1832" width="11.5703125" style="1" bestFit="1"/>
    <col min="1833" max="1863" width="11.5703125" style="1" bestFit="1" customWidth="1"/>
    <col min="1864" max="1864" width="11.5703125" style="1" bestFit="1"/>
    <col min="1865" max="1895" width="11.5703125" style="1" bestFit="1" customWidth="1"/>
    <col min="1896" max="1896" width="11.5703125" style="1" bestFit="1"/>
    <col min="1897" max="1927" width="11.5703125" style="1" bestFit="1" customWidth="1"/>
    <col min="1928" max="1928" width="11.5703125" style="1" bestFit="1"/>
    <col min="1929" max="1959" width="11.5703125" style="1" bestFit="1" customWidth="1"/>
    <col min="1960" max="1960" width="11.5703125" style="1" bestFit="1"/>
    <col min="1961" max="1991" width="11.5703125" style="1" bestFit="1" customWidth="1"/>
    <col min="1992" max="1992" width="11.5703125" style="1" bestFit="1"/>
    <col min="1993" max="2023" width="11.5703125" style="1" bestFit="1" customWidth="1"/>
    <col min="2024" max="2024" width="11.5703125" style="1" bestFit="1"/>
    <col min="2025" max="2055" width="11.5703125" style="1" bestFit="1" customWidth="1"/>
    <col min="2056" max="2056" width="11.5703125" style="1" bestFit="1"/>
    <col min="2057" max="2087" width="11.5703125" style="1" bestFit="1" customWidth="1"/>
    <col min="2088" max="2088" width="11.5703125" style="1" bestFit="1"/>
    <col min="2089" max="2119" width="11.5703125" style="1" bestFit="1" customWidth="1"/>
    <col min="2120" max="2120" width="11.5703125" style="1" bestFit="1"/>
    <col min="2121" max="2151" width="11.5703125" style="1" bestFit="1" customWidth="1"/>
    <col min="2152" max="2152" width="11.5703125" style="1" bestFit="1"/>
    <col min="2153" max="2183" width="11.5703125" style="1" bestFit="1" customWidth="1"/>
    <col min="2184" max="2184" width="11.5703125" style="1" bestFit="1"/>
    <col min="2185" max="2215" width="11.5703125" style="1" bestFit="1" customWidth="1"/>
    <col min="2216" max="2216" width="11.5703125" style="1" bestFit="1"/>
    <col min="2217" max="2247" width="11.5703125" style="1" bestFit="1" customWidth="1"/>
    <col min="2248" max="2248" width="11.5703125" style="1" bestFit="1"/>
    <col min="2249" max="2279" width="11.5703125" style="1" bestFit="1" customWidth="1"/>
    <col min="2280" max="2280" width="11.5703125" style="1" bestFit="1"/>
    <col min="2281" max="2311" width="11.5703125" style="1" bestFit="1" customWidth="1"/>
    <col min="2312" max="2312" width="11.5703125" style="1" bestFit="1"/>
    <col min="2313" max="2343" width="11.5703125" style="1" bestFit="1" customWidth="1"/>
    <col min="2344" max="2344" width="11.5703125" style="1" bestFit="1"/>
    <col min="2345" max="2375" width="11.5703125" style="1" bestFit="1" customWidth="1"/>
    <col min="2376" max="2376" width="11.5703125" style="1" bestFit="1"/>
    <col min="2377" max="2407" width="11.5703125" style="1" bestFit="1" customWidth="1"/>
    <col min="2408" max="2408" width="11.5703125" style="1" bestFit="1"/>
    <col min="2409" max="2439" width="11.5703125" style="1" bestFit="1" customWidth="1"/>
    <col min="2440" max="2440" width="11.5703125" style="1" bestFit="1"/>
    <col min="2441" max="2471" width="11.5703125" style="1" bestFit="1" customWidth="1"/>
    <col min="2472" max="2472" width="11.5703125" style="1" bestFit="1"/>
    <col min="2473" max="2503" width="11.5703125" style="1" bestFit="1" customWidth="1"/>
    <col min="2504" max="2504" width="11.5703125" style="1" bestFit="1"/>
    <col min="2505" max="2535" width="11.5703125" style="1" bestFit="1" customWidth="1"/>
    <col min="2536" max="2536" width="11.5703125" style="1" bestFit="1"/>
    <col min="2537" max="2567" width="11.5703125" style="1" bestFit="1" customWidth="1"/>
    <col min="2568" max="2568" width="11.5703125" style="1" bestFit="1"/>
    <col min="2569" max="2599" width="11.5703125" style="1" bestFit="1" customWidth="1"/>
    <col min="2600" max="2600" width="11.5703125" style="1" bestFit="1"/>
    <col min="2601" max="2631" width="11.5703125" style="1" bestFit="1" customWidth="1"/>
    <col min="2632" max="2632" width="11.5703125" style="1" bestFit="1"/>
    <col min="2633" max="2663" width="11.5703125" style="1" bestFit="1" customWidth="1"/>
    <col min="2664" max="2664" width="11.5703125" style="1" bestFit="1"/>
    <col min="2665" max="2695" width="11.5703125" style="1" bestFit="1" customWidth="1"/>
    <col min="2696" max="2696" width="11.5703125" style="1" bestFit="1"/>
    <col min="2697" max="2727" width="11.5703125" style="1" bestFit="1" customWidth="1"/>
    <col min="2728" max="2728" width="11.5703125" style="1" bestFit="1"/>
    <col min="2729" max="2759" width="11.5703125" style="1" bestFit="1" customWidth="1"/>
    <col min="2760" max="2760" width="11.5703125" style="1" bestFit="1"/>
    <col min="2761" max="2791" width="11.5703125" style="1" bestFit="1" customWidth="1"/>
    <col min="2792" max="2792" width="11.5703125" style="1" bestFit="1"/>
    <col min="2793" max="2823" width="11.5703125" style="1" bestFit="1" customWidth="1"/>
    <col min="2824" max="2824" width="11.5703125" style="1" bestFit="1"/>
    <col min="2825" max="2855" width="11.5703125" style="1" bestFit="1" customWidth="1"/>
    <col min="2856" max="2856" width="11.5703125" style="1" bestFit="1"/>
    <col min="2857" max="2887" width="11.5703125" style="1" bestFit="1" customWidth="1"/>
    <col min="2888" max="2888" width="11.5703125" style="1" bestFit="1"/>
    <col min="2889" max="2919" width="11.5703125" style="1" bestFit="1" customWidth="1"/>
    <col min="2920" max="2920" width="11.5703125" style="1" bestFit="1"/>
    <col min="2921" max="2951" width="11.5703125" style="1" bestFit="1" customWidth="1"/>
    <col min="2952" max="2952" width="11.5703125" style="1" bestFit="1"/>
    <col min="2953" max="2983" width="11.5703125" style="1" bestFit="1" customWidth="1"/>
    <col min="2984" max="2984" width="11.5703125" style="1" bestFit="1"/>
    <col min="2985" max="3015" width="11.5703125" style="1" bestFit="1" customWidth="1"/>
    <col min="3016" max="3016" width="11.5703125" style="1" bestFit="1"/>
    <col min="3017" max="3047" width="11.5703125" style="1" bestFit="1" customWidth="1"/>
    <col min="3048" max="3048" width="11.5703125" style="1" bestFit="1"/>
    <col min="3049" max="3079" width="11.5703125" style="1" bestFit="1" customWidth="1"/>
    <col min="3080" max="3080" width="11.5703125" style="1" bestFit="1"/>
    <col min="3081" max="3111" width="11.5703125" style="1" bestFit="1" customWidth="1"/>
    <col min="3112" max="3112" width="11.5703125" style="1" bestFit="1"/>
    <col min="3113" max="3143" width="11.5703125" style="1" bestFit="1" customWidth="1"/>
    <col min="3144" max="3144" width="11.5703125" style="1" bestFit="1"/>
    <col min="3145" max="3175" width="11.5703125" style="1" bestFit="1" customWidth="1"/>
    <col min="3176" max="3176" width="11.5703125" style="1" bestFit="1"/>
    <col min="3177" max="3207" width="11.5703125" style="1" bestFit="1" customWidth="1"/>
    <col min="3208" max="3208" width="11.5703125" style="1" bestFit="1"/>
    <col min="3209" max="3239" width="11.5703125" style="1" bestFit="1" customWidth="1"/>
    <col min="3240" max="3240" width="11.5703125" style="1" bestFit="1"/>
    <col min="3241" max="3271" width="11.5703125" style="1" bestFit="1" customWidth="1"/>
    <col min="3272" max="3272" width="11.5703125" style="1" bestFit="1"/>
    <col min="3273" max="3303" width="11.5703125" style="1" bestFit="1" customWidth="1"/>
    <col min="3304" max="3304" width="11.5703125" style="1" bestFit="1"/>
    <col min="3305" max="3335" width="11.5703125" style="1" bestFit="1" customWidth="1"/>
    <col min="3336" max="3336" width="11.5703125" style="1" bestFit="1"/>
    <col min="3337" max="3367" width="11.5703125" style="1" bestFit="1" customWidth="1"/>
    <col min="3368" max="3368" width="11.5703125" style="1" bestFit="1"/>
    <col min="3369" max="3399" width="11.5703125" style="1" bestFit="1" customWidth="1"/>
    <col min="3400" max="3400" width="11.5703125" style="1" bestFit="1"/>
    <col min="3401" max="3431" width="11.5703125" style="1" bestFit="1" customWidth="1"/>
    <col min="3432" max="3432" width="11.5703125" style="1" bestFit="1"/>
    <col min="3433" max="3463" width="11.5703125" style="1" bestFit="1" customWidth="1"/>
    <col min="3464" max="3464" width="11.5703125" style="1" bestFit="1"/>
    <col min="3465" max="3495" width="11.5703125" style="1" bestFit="1" customWidth="1"/>
    <col min="3496" max="3496" width="11.5703125" style="1" bestFit="1"/>
    <col min="3497" max="3527" width="11.5703125" style="1" bestFit="1" customWidth="1"/>
    <col min="3528" max="3528" width="11.5703125" style="1" bestFit="1"/>
    <col min="3529" max="3559" width="11.5703125" style="1" bestFit="1" customWidth="1"/>
    <col min="3560" max="3560" width="11.5703125" style="1" bestFit="1"/>
    <col min="3561" max="3591" width="11.5703125" style="1" bestFit="1" customWidth="1"/>
    <col min="3592" max="3592" width="11.5703125" style="1" bestFit="1"/>
    <col min="3593" max="3623" width="11.5703125" style="1" bestFit="1" customWidth="1"/>
    <col min="3624" max="3624" width="11.5703125" style="1" bestFit="1"/>
    <col min="3625" max="3655" width="11.5703125" style="1" bestFit="1" customWidth="1"/>
    <col min="3656" max="3656" width="11.5703125" style="1" bestFit="1"/>
    <col min="3657" max="3687" width="11.5703125" style="1" bestFit="1" customWidth="1"/>
    <col min="3688" max="3688" width="11.5703125" style="1" bestFit="1"/>
    <col min="3689" max="3719" width="11.5703125" style="1" bestFit="1" customWidth="1"/>
    <col min="3720" max="3720" width="11.5703125" style="1" bestFit="1"/>
    <col min="3721" max="3751" width="11.5703125" style="1" bestFit="1" customWidth="1"/>
    <col min="3752" max="3752" width="11.5703125" style="1" bestFit="1"/>
    <col min="3753" max="3783" width="11.5703125" style="1" bestFit="1" customWidth="1"/>
    <col min="3784" max="3784" width="11.5703125" style="1" bestFit="1"/>
    <col min="3785" max="3815" width="11.5703125" style="1" bestFit="1" customWidth="1"/>
    <col min="3816" max="3816" width="11.5703125" style="1" bestFit="1"/>
    <col min="3817" max="3847" width="11.5703125" style="1" bestFit="1" customWidth="1"/>
    <col min="3848" max="3848" width="11.5703125" style="1" bestFit="1"/>
    <col min="3849" max="3879" width="11.5703125" style="1" bestFit="1" customWidth="1"/>
    <col min="3880" max="3880" width="11.5703125" style="1" bestFit="1"/>
    <col min="3881" max="3911" width="11.5703125" style="1" bestFit="1" customWidth="1"/>
    <col min="3912" max="3912" width="11.5703125" style="1" bestFit="1"/>
    <col min="3913" max="3943" width="11.5703125" style="1" bestFit="1" customWidth="1"/>
    <col min="3944" max="3944" width="11.5703125" style="1" bestFit="1"/>
    <col min="3945" max="3975" width="11.5703125" style="1" bestFit="1" customWidth="1"/>
    <col min="3976" max="3976" width="11.5703125" style="1" bestFit="1"/>
    <col min="3977" max="4007" width="11.5703125" style="1" bestFit="1" customWidth="1"/>
    <col min="4008" max="4008" width="11.5703125" style="1" bestFit="1"/>
    <col min="4009" max="4039" width="11.5703125" style="1" bestFit="1" customWidth="1"/>
    <col min="4040" max="4040" width="11.5703125" style="1" bestFit="1"/>
    <col min="4041" max="4071" width="11.5703125" style="1" bestFit="1" customWidth="1"/>
    <col min="4072" max="4072" width="11.5703125" style="1" bestFit="1"/>
    <col min="4073" max="4103" width="11.5703125" style="1" bestFit="1" customWidth="1"/>
    <col min="4104" max="4104" width="11.5703125" style="1" bestFit="1"/>
    <col min="4105" max="4135" width="11.5703125" style="1" bestFit="1" customWidth="1"/>
    <col min="4136" max="4136" width="11.5703125" style="1" bestFit="1"/>
    <col min="4137" max="4167" width="11.5703125" style="1" bestFit="1" customWidth="1"/>
    <col min="4168" max="4168" width="11.5703125" style="1" bestFit="1"/>
    <col min="4169" max="4199" width="11.5703125" style="1" bestFit="1" customWidth="1"/>
    <col min="4200" max="4200" width="11.5703125" style="1" bestFit="1"/>
    <col min="4201" max="4231" width="11.5703125" style="1" bestFit="1" customWidth="1"/>
    <col min="4232" max="4232" width="11.5703125" style="1" bestFit="1"/>
    <col min="4233" max="4263" width="11.5703125" style="1" bestFit="1" customWidth="1"/>
    <col min="4264" max="4264" width="11.5703125" style="1" bestFit="1"/>
    <col min="4265" max="4295" width="11.5703125" style="1" bestFit="1" customWidth="1"/>
    <col min="4296" max="4296" width="11.5703125" style="1" bestFit="1"/>
    <col min="4297" max="4327" width="11.5703125" style="1" bestFit="1" customWidth="1"/>
    <col min="4328" max="4328" width="11.5703125" style="1" bestFit="1"/>
    <col min="4329" max="4359" width="11.5703125" style="1" bestFit="1" customWidth="1"/>
    <col min="4360" max="4360" width="11.5703125" style="1" bestFit="1"/>
    <col min="4361" max="4391" width="11.5703125" style="1" bestFit="1" customWidth="1"/>
    <col min="4392" max="4392" width="11.5703125" style="1" bestFit="1"/>
    <col min="4393" max="4423" width="11.5703125" style="1" bestFit="1" customWidth="1"/>
    <col min="4424" max="4424" width="11.5703125" style="1" bestFit="1"/>
    <col min="4425" max="4455" width="11.5703125" style="1" bestFit="1" customWidth="1"/>
    <col min="4456" max="4456" width="11.5703125" style="1" bestFit="1"/>
    <col min="4457" max="4487" width="11.5703125" style="1" bestFit="1" customWidth="1"/>
    <col min="4488" max="4488" width="11.5703125" style="1" bestFit="1"/>
    <col min="4489" max="4519" width="11.5703125" style="1" bestFit="1" customWidth="1"/>
    <col min="4520" max="4520" width="11.5703125" style="1" bestFit="1"/>
    <col min="4521" max="4551" width="11.5703125" style="1" bestFit="1" customWidth="1"/>
    <col min="4552" max="4552" width="11.5703125" style="1" bestFit="1"/>
    <col min="4553" max="4583" width="11.5703125" style="1" bestFit="1" customWidth="1"/>
    <col min="4584" max="4584" width="11.5703125" style="1" bestFit="1"/>
    <col min="4585" max="4615" width="11.5703125" style="1" bestFit="1" customWidth="1"/>
    <col min="4616" max="4616" width="11.5703125" style="1" bestFit="1"/>
    <col min="4617" max="4647" width="11.5703125" style="1" bestFit="1" customWidth="1"/>
    <col min="4648" max="4648" width="11.5703125" style="1" bestFit="1"/>
    <col min="4649" max="4679" width="11.5703125" style="1" bestFit="1" customWidth="1"/>
    <col min="4680" max="4680" width="11.5703125" style="1" bestFit="1"/>
    <col min="4681" max="4711" width="11.5703125" style="1" bestFit="1" customWidth="1"/>
    <col min="4712" max="4712" width="11.5703125" style="1" bestFit="1"/>
    <col min="4713" max="4743" width="11.5703125" style="1" bestFit="1" customWidth="1"/>
    <col min="4744" max="4744" width="11.5703125" style="1" bestFit="1"/>
    <col min="4745" max="4775" width="11.5703125" style="1" bestFit="1" customWidth="1"/>
    <col min="4776" max="4776" width="11.5703125" style="1" bestFit="1"/>
    <col min="4777" max="4807" width="11.5703125" style="1" bestFit="1" customWidth="1"/>
    <col min="4808" max="4808" width="11.5703125" style="1" bestFit="1"/>
    <col min="4809" max="4839" width="11.5703125" style="1" bestFit="1" customWidth="1"/>
    <col min="4840" max="4840" width="11.5703125" style="1" bestFit="1"/>
    <col min="4841" max="4871" width="11.5703125" style="1" bestFit="1" customWidth="1"/>
    <col min="4872" max="4872" width="11.5703125" style="1" bestFit="1"/>
    <col min="4873" max="4903" width="11.5703125" style="1" bestFit="1" customWidth="1"/>
    <col min="4904" max="4904" width="11.5703125" style="1" bestFit="1"/>
    <col min="4905" max="4935" width="11.5703125" style="1" bestFit="1" customWidth="1"/>
    <col min="4936" max="4936" width="11.5703125" style="1" bestFit="1"/>
    <col min="4937" max="4967" width="11.5703125" style="1" bestFit="1" customWidth="1"/>
    <col min="4968" max="4968" width="11.5703125" style="1" bestFit="1"/>
    <col min="4969" max="4999" width="11.5703125" style="1" bestFit="1" customWidth="1"/>
    <col min="5000" max="5000" width="11.5703125" style="1" bestFit="1"/>
    <col min="5001" max="5031" width="11.5703125" style="1" bestFit="1" customWidth="1"/>
    <col min="5032" max="5032" width="11.5703125" style="1" bestFit="1"/>
    <col min="5033" max="5063" width="11.5703125" style="1" bestFit="1" customWidth="1"/>
    <col min="5064" max="5064" width="11.5703125" style="1" bestFit="1"/>
    <col min="5065" max="5095" width="11.5703125" style="1" bestFit="1" customWidth="1"/>
    <col min="5096" max="5096" width="11.5703125" style="1" bestFit="1"/>
    <col min="5097" max="5127" width="11.5703125" style="1" bestFit="1" customWidth="1"/>
    <col min="5128" max="5128" width="11.5703125" style="1" bestFit="1"/>
    <col min="5129" max="5159" width="11.5703125" style="1" bestFit="1" customWidth="1"/>
    <col min="5160" max="5160" width="11.5703125" style="1" bestFit="1"/>
    <col min="5161" max="5191" width="11.5703125" style="1" bestFit="1" customWidth="1"/>
    <col min="5192" max="5192" width="11.5703125" style="1" bestFit="1"/>
    <col min="5193" max="5223" width="11.5703125" style="1" bestFit="1" customWidth="1"/>
    <col min="5224" max="5224" width="11.5703125" style="1" bestFit="1"/>
    <col min="5225" max="5255" width="11.5703125" style="1" bestFit="1" customWidth="1"/>
    <col min="5256" max="5256" width="11.5703125" style="1" bestFit="1"/>
    <col min="5257" max="5287" width="11.5703125" style="1" bestFit="1" customWidth="1"/>
    <col min="5288" max="5288" width="11.5703125" style="1" bestFit="1"/>
    <col min="5289" max="5319" width="11.5703125" style="1" bestFit="1" customWidth="1"/>
    <col min="5320" max="5320" width="11.5703125" style="1" bestFit="1"/>
    <col min="5321" max="5351" width="11.5703125" style="1" bestFit="1" customWidth="1"/>
    <col min="5352" max="5352" width="11.5703125" style="1" bestFit="1"/>
    <col min="5353" max="5383" width="11.5703125" style="1" bestFit="1" customWidth="1"/>
    <col min="5384" max="5384" width="11.5703125" style="1" bestFit="1"/>
    <col min="5385" max="5415" width="11.5703125" style="1" bestFit="1" customWidth="1"/>
    <col min="5416" max="5416" width="11.5703125" style="1" bestFit="1"/>
    <col min="5417" max="5447" width="11.5703125" style="1" bestFit="1" customWidth="1"/>
    <col min="5448" max="5448" width="11.5703125" style="1" bestFit="1"/>
    <col min="5449" max="5479" width="11.5703125" style="1" bestFit="1" customWidth="1"/>
    <col min="5480" max="5480" width="11.5703125" style="1" bestFit="1"/>
    <col min="5481" max="5511" width="11.5703125" style="1" bestFit="1" customWidth="1"/>
    <col min="5512" max="5512" width="11.5703125" style="1" bestFit="1"/>
    <col min="5513" max="5543" width="11.5703125" style="1" bestFit="1" customWidth="1"/>
    <col min="5544" max="5544" width="11.5703125" style="1" bestFit="1"/>
    <col min="5545" max="5575" width="11.5703125" style="1" bestFit="1" customWidth="1"/>
    <col min="5576" max="5576" width="11.5703125" style="1" bestFit="1"/>
    <col min="5577" max="5607" width="11.5703125" style="1" bestFit="1" customWidth="1"/>
    <col min="5608" max="5608" width="11.5703125" style="1" bestFit="1"/>
    <col min="5609" max="5639" width="11.5703125" style="1" bestFit="1" customWidth="1"/>
    <col min="5640" max="5640" width="11.5703125" style="1" bestFit="1"/>
    <col min="5641" max="5671" width="11.5703125" style="1" bestFit="1" customWidth="1"/>
    <col min="5672" max="5672" width="11.5703125" style="1" bestFit="1"/>
    <col min="5673" max="5703" width="11.5703125" style="1" bestFit="1" customWidth="1"/>
    <col min="5704" max="5704" width="11.5703125" style="1" bestFit="1"/>
    <col min="5705" max="5735" width="11.5703125" style="1" bestFit="1" customWidth="1"/>
    <col min="5736" max="5736" width="11.5703125" style="1" bestFit="1"/>
    <col min="5737" max="5767" width="11.5703125" style="1" bestFit="1" customWidth="1"/>
    <col min="5768" max="5768" width="11.5703125" style="1" bestFit="1"/>
    <col min="5769" max="5799" width="11.5703125" style="1" bestFit="1" customWidth="1"/>
    <col min="5800" max="5800" width="11.5703125" style="1" bestFit="1"/>
    <col min="5801" max="5831" width="11.5703125" style="1" bestFit="1" customWidth="1"/>
    <col min="5832" max="5832" width="11.5703125" style="1" bestFit="1"/>
    <col min="5833" max="5863" width="11.5703125" style="1" bestFit="1" customWidth="1"/>
    <col min="5864" max="5864" width="11.5703125" style="1" bestFit="1"/>
    <col min="5865" max="5895" width="11.5703125" style="1" bestFit="1" customWidth="1"/>
    <col min="5896" max="5896" width="11.5703125" style="1" bestFit="1"/>
    <col min="5897" max="5927" width="11.5703125" style="1" bestFit="1" customWidth="1"/>
    <col min="5928" max="5928" width="11.5703125" style="1" bestFit="1"/>
    <col min="5929" max="5959" width="11.5703125" style="1" bestFit="1" customWidth="1"/>
    <col min="5960" max="5960" width="11.5703125" style="1" bestFit="1"/>
    <col min="5961" max="5991" width="11.5703125" style="1" bestFit="1" customWidth="1"/>
    <col min="5992" max="5992" width="11.5703125" style="1" bestFit="1"/>
    <col min="5993" max="6023" width="11.5703125" style="1" bestFit="1" customWidth="1"/>
    <col min="6024" max="6024" width="11.5703125" style="1" bestFit="1"/>
    <col min="6025" max="6055" width="11.5703125" style="1" bestFit="1" customWidth="1"/>
    <col min="6056" max="6056" width="11.5703125" style="1" bestFit="1"/>
    <col min="6057" max="6087" width="11.5703125" style="1" bestFit="1" customWidth="1"/>
    <col min="6088" max="6088" width="11.5703125" style="1" bestFit="1"/>
    <col min="6089" max="6119" width="11.5703125" style="1" bestFit="1" customWidth="1"/>
    <col min="6120" max="6120" width="11.5703125" style="1" bestFit="1"/>
    <col min="6121" max="6151" width="11.5703125" style="1" bestFit="1" customWidth="1"/>
    <col min="6152" max="6152" width="11.5703125" style="1" bestFit="1"/>
    <col min="6153" max="6183" width="11.5703125" style="1" bestFit="1" customWidth="1"/>
    <col min="6184" max="6184" width="11.5703125" style="1" bestFit="1"/>
    <col min="6185" max="6215" width="11.5703125" style="1" bestFit="1" customWidth="1"/>
    <col min="6216" max="6216" width="11.5703125" style="1" bestFit="1"/>
    <col min="6217" max="6247" width="11.5703125" style="1" bestFit="1" customWidth="1"/>
    <col min="6248" max="6248" width="11.5703125" style="1" bestFit="1"/>
    <col min="6249" max="6279" width="11.5703125" style="1" bestFit="1" customWidth="1"/>
    <col min="6280" max="6280" width="11.5703125" style="1" bestFit="1"/>
    <col min="6281" max="6311" width="11.5703125" style="1" bestFit="1" customWidth="1"/>
    <col min="6312" max="6312" width="11.5703125" style="1" bestFit="1"/>
    <col min="6313" max="6343" width="11.5703125" style="1" bestFit="1" customWidth="1"/>
    <col min="6344" max="6344" width="11.5703125" style="1" bestFit="1"/>
    <col min="6345" max="6375" width="11.5703125" style="1" bestFit="1" customWidth="1"/>
    <col min="6376" max="6376" width="11.5703125" style="1" bestFit="1"/>
    <col min="6377" max="6407" width="11.5703125" style="1" bestFit="1" customWidth="1"/>
    <col min="6408" max="6408" width="11.5703125" style="1" bestFit="1"/>
    <col min="6409" max="6439" width="11.5703125" style="1" bestFit="1" customWidth="1"/>
    <col min="6440" max="6440" width="11.5703125" style="1" bestFit="1"/>
    <col min="6441" max="6471" width="11.5703125" style="1" bestFit="1" customWidth="1"/>
    <col min="6472" max="6472" width="11.5703125" style="1" bestFit="1"/>
    <col min="6473" max="6503" width="11.5703125" style="1" bestFit="1" customWidth="1"/>
    <col min="6504" max="6504" width="11.5703125" style="1" bestFit="1"/>
    <col min="6505" max="6535" width="11.5703125" style="1" bestFit="1" customWidth="1"/>
    <col min="6536" max="6536" width="11.5703125" style="1" bestFit="1"/>
    <col min="6537" max="6567" width="11.5703125" style="1" bestFit="1" customWidth="1"/>
    <col min="6568" max="6568" width="11.5703125" style="1" bestFit="1"/>
    <col min="6569" max="6599" width="11.5703125" style="1" bestFit="1" customWidth="1"/>
    <col min="6600" max="6600" width="11.5703125" style="1" bestFit="1"/>
    <col min="6601" max="6631" width="11.5703125" style="1" bestFit="1" customWidth="1"/>
    <col min="6632" max="6632" width="11.5703125" style="1" bestFit="1"/>
    <col min="6633" max="6663" width="11.5703125" style="1" bestFit="1" customWidth="1"/>
    <col min="6664" max="6664" width="11.5703125" style="1" bestFit="1"/>
    <col min="6665" max="6695" width="11.5703125" style="1" bestFit="1" customWidth="1"/>
    <col min="6696" max="6696" width="11.5703125" style="1" bestFit="1"/>
    <col min="6697" max="6727" width="11.5703125" style="1" bestFit="1" customWidth="1"/>
    <col min="6728" max="6728" width="11.5703125" style="1" bestFit="1"/>
    <col min="6729" max="6759" width="11.5703125" style="1" bestFit="1" customWidth="1"/>
    <col min="6760" max="6760" width="11.5703125" style="1" bestFit="1"/>
    <col min="6761" max="6791" width="11.5703125" style="1" bestFit="1" customWidth="1"/>
    <col min="6792" max="6792" width="11.5703125" style="1" bestFit="1"/>
    <col min="6793" max="6823" width="11.5703125" style="1" bestFit="1" customWidth="1"/>
    <col min="6824" max="6824" width="11.5703125" style="1" bestFit="1"/>
    <col min="6825" max="6855" width="11.5703125" style="1" bestFit="1" customWidth="1"/>
    <col min="6856" max="6856" width="11.5703125" style="1" bestFit="1"/>
    <col min="6857" max="6887" width="11.5703125" style="1" bestFit="1" customWidth="1"/>
    <col min="6888" max="6888" width="11.5703125" style="1" bestFit="1"/>
    <col min="6889" max="6919" width="11.5703125" style="1" bestFit="1" customWidth="1"/>
    <col min="6920" max="6920" width="11.5703125" style="1" bestFit="1"/>
    <col min="6921" max="6951" width="11.5703125" style="1" bestFit="1" customWidth="1"/>
    <col min="6952" max="6952" width="11.5703125" style="1" bestFit="1"/>
    <col min="6953" max="6983" width="11.5703125" style="1" bestFit="1" customWidth="1"/>
    <col min="6984" max="6984" width="11.5703125" style="1" bestFit="1"/>
    <col min="6985" max="7015" width="11.5703125" style="1" bestFit="1" customWidth="1"/>
    <col min="7016" max="7016" width="11.5703125" style="1" bestFit="1"/>
    <col min="7017" max="7047" width="11.5703125" style="1" bestFit="1" customWidth="1"/>
    <col min="7048" max="7048" width="11.5703125" style="1" bestFit="1"/>
    <col min="7049" max="7079" width="11.5703125" style="1" bestFit="1" customWidth="1"/>
    <col min="7080" max="7080" width="11.5703125" style="1" bestFit="1"/>
    <col min="7081" max="7111" width="11.5703125" style="1" bestFit="1" customWidth="1"/>
    <col min="7112" max="7112" width="11.5703125" style="1" bestFit="1"/>
    <col min="7113" max="7143" width="11.5703125" style="1" bestFit="1" customWidth="1"/>
    <col min="7144" max="7144" width="11.5703125" style="1" bestFit="1"/>
    <col min="7145" max="7175" width="11.5703125" style="1" bestFit="1" customWidth="1"/>
    <col min="7176" max="7176" width="11.5703125" style="1" bestFit="1"/>
    <col min="7177" max="7207" width="11.5703125" style="1" bestFit="1" customWidth="1"/>
    <col min="7208" max="7208" width="11.5703125" style="1" bestFit="1"/>
    <col min="7209" max="7239" width="11.5703125" style="1" bestFit="1" customWidth="1"/>
    <col min="7240" max="7240" width="11.5703125" style="1" bestFit="1"/>
    <col min="7241" max="7271" width="11.5703125" style="1" bestFit="1" customWidth="1"/>
    <col min="7272" max="7272" width="11.5703125" style="1" bestFit="1"/>
    <col min="7273" max="7303" width="11.5703125" style="1" bestFit="1" customWidth="1"/>
    <col min="7304" max="7304" width="11.5703125" style="1" bestFit="1"/>
    <col min="7305" max="7335" width="11.5703125" style="1" bestFit="1" customWidth="1"/>
    <col min="7336" max="7336" width="11.5703125" style="1" bestFit="1"/>
    <col min="7337" max="7367" width="11.5703125" style="1" bestFit="1" customWidth="1"/>
    <col min="7368" max="7368" width="11.5703125" style="1" bestFit="1"/>
    <col min="7369" max="7399" width="11.5703125" style="1" bestFit="1" customWidth="1"/>
    <col min="7400" max="7400" width="11.5703125" style="1" bestFit="1"/>
    <col min="7401" max="7431" width="11.5703125" style="1" bestFit="1" customWidth="1"/>
    <col min="7432" max="7432" width="11.5703125" style="1" bestFit="1"/>
    <col min="7433" max="7463" width="11.5703125" style="1" bestFit="1" customWidth="1"/>
    <col min="7464" max="7464" width="11.5703125" style="1" bestFit="1"/>
    <col min="7465" max="7495" width="11.5703125" style="1" bestFit="1" customWidth="1"/>
    <col min="7496" max="7496" width="11.5703125" style="1" bestFit="1"/>
    <col min="7497" max="7527" width="11.5703125" style="1" bestFit="1" customWidth="1"/>
    <col min="7528" max="7528" width="11.5703125" style="1" bestFit="1"/>
    <col min="7529" max="7559" width="11.5703125" style="1" bestFit="1" customWidth="1"/>
    <col min="7560" max="7560" width="11.5703125" style="1" bestFit="1"/>
    <col min="7561" max="7591" width="11.5703125" style="1" bestFit="1" customWidth="1"/>
    <col min="7592" max="7592" width="11.5703125" style="1" bestFit="1"/>
    <col min="7593" max="7623" width="11.5703125" style="1" bestFit="1" customWidth="1"/>
    <col min="7624" max="7624" width="11.5703125" style="1" bestFit="1"/>
    <col min="7625" max="7655" width="11.5703125" style="1" bestFit="1" customWidth="1"/>
    <col min="7656" max="7656" width="11.5703125" style="1" bestFit="1"/>
    <col min="7657" max="7687" width="11.5703125" style="1" bestFit="1" customWidth="1"/>
    <col min="7688" max="7688" width="11.5703125" style="1" bestFit="1"/>
    <col min="7689" max="7719" width="11.5703125" style="1" bestFit="1" customWidth="1"/>
    <col min="7720" max="7720" width="11.5703125" style="1" bestFit="1"/>
    <col min="7721" max="7751" width="11.5703125" style="1" bestFit="1" customWidth="1"/>
    <col min="7752" max="7752" width="11.5703125" style="1" bestFit="1"/>
    <col min="7753" max="7783" width="11.5703125" style="1" bestFit="1" customWidth="1"/>
    <col min="7784" max="7784" width="11.5703125" style="1" bestFit="1"/>
    <col min="7785" max="7815" width="11.5703125" style="1" bestFit="1" customWidth="1"/>
    <col min="7816" max="7816" width="11.5703125" style="1" bestFit="1"/>
    <col min="7817" max="7847" width="11.5703125" style="1" bestFit="1" customWidth="1"/>
    <col min="7848" max="7848" width="11.5703125" style="1" bestFit="1"/>
    <col min="7849" max="7879" width="11.5703125" style="1" bestFit="1" customWidth="1"/>
    <col min="7880" max="7880" width="11.5703125" style="1" bestFit="1"/>
    <col min="7881" max="7911" width="11.5703125" style="1" bestFit="1" customWidth="1"/>
    <col min="7912" max="7912" width="11.5703125" style="1" bestFit="1"/>
    <col min="7913" max="7943" width="11.5703125" style="1" bestFit="1" customWidth="1"/>
    <col min="7944" max="7944" width="11.5703125" style="1" bestFit="1"/>
    <col min="7945" max="7975" width="11.5703125" style="1" bestFit="1" customWidth="1"/>
    <col min="7976" max="7976" width="11.5703125" style="1" bestFit="1"/>
    <col min="7977" max="8007" width="11.5703125" style="1" bestFit="1" customWidth="1"/>
    <col min="8008" max="8008" width="11.5703125" style="1" bestFit="1"/>
    <col min="8009" max="8039" width="11.5703125" style="1" bestFit="1" customWidth="1"/>
    <col min="8040" max="8040" width="11.5703125" style="1" bestFit="1"/>
    <col min="8041" max="8071" width="11.5703125" style="1" bestFit="1" customWidth="1"/>
    <col min="8072" max="8072" width="11.5703125" style="1" bestFit="1"/>
    <col min="8073" max="8103" width="11.5703125" style="1" bestFit="1" customWidth="1"/>
    <col min="8104" max="8104" width="11.5703125" style="1" bestFit="1"/>
    <col min="8105" max="8135" width="11.5703125" style="1" bestFit="1" customWidth="1"/>
    <col min="8136" max="8136" width="11.5703125" style="1" bestFit="1"/>
    <col min="8137" max="8167" width="11.5703125" style="1" bestFit="1" customWidth="1"/>
    <col min="8168" max="8168" width="11.5703125" style="1" bestFit="1"/>
    <col min="8169" max="8199" width="11.5703125" style="1" bestFit="1" customWidth="1"/>
    <col min="8200" max="8200" width="11.5703125" style="1" bestFit="1"/>
    <col min="8201" max="8231" width="11.5703125" style="1" bestFit="1" customWidth="1"/>
    <col min="8232" max="8232" width="11.5703125" style="1" bestFit="1"/>
    <col min="8233" max="8263" width="11.5703125" style="1" bestFit="1" customWidth="1"/>
    <col min="8264" max="8264" width="11.5703125" style="1" bestFit="1"/>
    <col min="8265" max="8295" width="11.5703125" style="1" bestFit="1" customWidth="1"/>
    <col min="8296" max="8296" width="11.5703125" style="1" bestFit="1"/>
    <col min="8297" max="8327" width="11.5703125" style="1" bestFit="1" customWidth="1"/>
    <col min="8328" max="8328" width="11.5703125" style="1" bestFit="1"/>
    <col min="8329" max="8359" width="11.5703125" style="1" bestFit="1" customWidth="1"/>
    <col min="8360" max="8360" width="11.5703125" style="1" bestFit="1"/>
    <col min="8361" max="8391" width="11.5703125" style="1" bestFit="1" customWidth="1"/>
    <col min="8392" max="8392" width="11.5703125" style="1" bestFit="1"/>
    <col min="8393" max="8423" width="11.5703125" style="1" bestFit="1" customWidth="1"/>
    <col min="8424" max="8424" width="11.5703125" style="1" bestFit="1"/>
    <col min="8425" max="8455" width="11.5703125" style="1" bestFit="1" customWidth="1"/>
    <col min="8456" max="8456" width="11.5703125" style="1" bestFit="1"/>
    <col min="8457" max="8487" width="11.5703125" style="1" bestFit="1" customWidth="1"/>
    <col min="8488" max="8488" width="11.5703125" style="1" bestFit="1"/>
    <col min="8489" max="8519" width="11.5703125" style="1" bestFit="1" customWidth="1"/>
    <col min="8520" max="8520" width="11.5703125" style="1" bestFit="1"/>
    <col min="8521" max="8551" width="11.5703125" style="1" bestFit="1" customWidth="1"/>
    <col min="8552" max="8552" width="11.5703125" style="1" bestFit="1"/>
    <col min="8553" max="8583" width="11.5703125" style="1" bestFit="1" customWidth="1"/>
    <col min="8584" max="8584" width="11.5703125" style="1" bestFit="1"/>
    <col min="8585" max="8615" width="11.5703125" style="1" bestFit="1" customWidth="1"/>
    <col min="8616" max="8616" width="11.5703125" style="1" bestFit="1"/>
    <col min="8617" max="8647" width="11.5703125" style="1" bestFit="1" customWidth="1"/>
    <col min="8648" max="8648" width="11.5703125" style="1" bestFit="1"/>
    <col min="8649" max="8679" width="11.5703125" style="1" bestFit="1" customWidth="1"/>
    <col min="8680" max="8680" width="11.5703125" style="1" bestFit="1"/>
    <col min="8681" max="8711" width="11.5703125" style="1" bestFit="1" customWidth="1"/>
    <col min="8712" max="8712" width="11.5703125" style="1" bestFit="1"/>
    <col min="8713" max="8743" width="11.5703125" style="1" bestFit="1" customWidth="1"/>
    <col min="8744" max="8744" width="11.5703125" style="1" bestFit="1"/>
    <col min="8745" max="8775" width="11.5703125" style="1" bestFit="1" customWidth="1"/>
    <col min="8776" max="8776" width="11.5703125" style="1" bestFit="1"/>
    <col min="8777" max="8807" width="11.5703125" style="1" bestFit="1" customWidth="1"/>
    <col min="8808" max="8808" width="11.5703125" style="1" bestFit="1"/>
    <col min="8809" max="8839" width="11.5703125" style="1" bestFit="1" customWidth="1"/>
    <col min="8840" max="8840" width="11.5703125" style="1" bestFit="1"/>
    <col min="8841" max="8871" width="11.5703125" style="1" bestFit="1" customWidth="1"/>
    <col min="8872" max="8872" width="11.5703125" style="1" bestFit="1"/>
    <col min="8873" max="8903" width="11.5703125" style="1" bestFit="1" customWidth="1"/>
    <col min="8904" max="8904" width="11.5703125" style="1" bestFit="1"/>
    <col min="8905" max="8935" width="11.5703125" style="1" bestFit="1" customWidth="1"/>
    <col min="8936" max="8936" width="11.5703125" style="1" bestFit="1"/>
    <col min="8937" max="8967" width="11.5703125" style="1" bestFit="1" customWidth="1"/>
    <col min="8968" max="8968" width="11.5703125" style="1" bestFit="1"/>
    <col min="8969" max="8999" width="11.5703125" style="1" bestFit="1" customWidth="1"/>
    <col min="9000" max="9000" width="11.5703125" style="1" bestFit="1"/>
    <col min="9001" max="9031" width="11.5703125" style="1" bestFit="1" customWidth="1"/>
    <col min="9032" max="9032" width="11.5703125" style="1" bestFit="1"/>
    <col min="9033" max="9063" width="11.5703125" style="1" bestFit="1" customWidth="1"/>
    <col min="9064" max="9064" width="11.5703125" style="1" bestFit="1"/>
    <col min="9065" max="9095" width="11.5703125" style="1" bestFit="1" customWidth="1"/>
    <col min="9096" max="9096" width="11.5703125" style="1" bestFit="1"/>
    <col min="9097" max="9127" width="11.5703125" style="1" bestFit="1" customWidth="1"/>
    <col min="9128" max="9128" width="11.5703125" style="1" bestFit="1"/>
    <col min="9129" max="9159" width="11.5703125" style="1" bestFit="1" customWidth="1"/>
    <col min="9160" max="9160" width="11.5703125" style="1" bestFit="1"/>
    <col min="9161" max="9191" width="11.5703125" style="1" bestFit="1" customWidth="1"/>
    <col min="9192" max="9192" width="11.5703125" style="1" bestFit="1"/>
    <col min="9193" max="9223" width="11.5703125" style="1" bestFit="1" customWidth="1"/>
    <col min="9224" max="9224" width="11.5703125" style="1" bestFit="1"/>
    <col min="9225" max="9255" width="11.5703125" style="1" bestFit="1" customWidth="1"/>
    <col min="9256" max="9256" width="11.5703125" style="1" bestFit="1"/>
    <col min="9257" max="9287" width="11.5703125" style="1" bestFit="1" customWidth="1"/>
    <col min="9288" max="9288" width="11.5703125" style="1" bestFit="1"/>
    <col min="9289" max="9319" width="11.5703125" style="1" bestFit="1" customWidth="1"/>
    <col min="9320" max="9320" width="11.5703125" style="1" bestFit="1"/>
    <col min="9321" max="9351" width="11.5703125" style="1" bestFit="1" customWidth="1"/>
    <col min="9352" max="9352" width="11.5703125" style="1" bestFit="1"/>
    <col min="9353" max="9383" width="11.5703125" style="1" bestFit="1" customWidth="1"/>
    <col min="9384" max="9384" width="11.5703125" style="1" bestFit="1"/>
    <col min="9385" max="9415" width="11.5703125" style="1" bestFit="1" customWidth="1"/>
    <col min="9416" max="9416" width="11.5703125" style="1" bestFit="1"/>
    <col min="9417" max="9447" width="11.5703125" style="1" bestFit="1" customWidth="1"/>
    <col min="9448" max="9448" width="11.5703125" style="1" bestFit="1"/>
    <col min="9449" max="9479" width="11.5703125" style="1" bestFit="1" customWidth="1"/>
    <col min="9480" max="9480" width="11.5703125" style="1" bestFit="1"/>
    <col min="9481" max="9511" width="11.5703125" style="1" bestFit="1" customWidth="1"/>
    <col min="9512" max="9512" width="11.5703125" style="1" bestFit="1"/>
    <col min="9513" max="9543" width="11.5703125" style="1" bestFit="1" customWidth="1"/>
    <col min="9544" max="9544" width="11.5703125" style="1" bestFit="1"/>
    <col min="9545" max="9575" width="11.5703125" style="1" bestFit="1" customWidth="1"/>
    <col min="9576" max="9576" width="11.5703125" style="1" bestFit="1"/>
    <col min="9577" max="9607" width="11.5703125" style="1" bestFit="1" customWidth="1"/>
    <col min="9608" max="9608" width="11.5703125" style="1" bestFit="1"/>
    <col min="9609" max="9639" width="11.5703125" style="1" bestFit="1" customWidth="1"/>
    <col min="9640" max="9640" width="11.5703125" style="1" bestFit="1"/>
    <col min="9641" max="9671" width="11.5703125" style="1" bestFit="1" customWidth="1"/>
    <col min="9672" max="9672" width="11.5703125" style="1" bestFit="1"/>
    <col min="9673" max="9703" width="11.5703125" style="1" bestFit="1" customWidth="1"/>
    <col min="9704" max="9704" width="11.5703125" style="1" bestFit="1"/>
    <col min="9705" max="9735" width="11.5703125" style="1" bestFit="1" customWidth="1"/>
    <col min="9736" max="9736" width="11.5703125" style="1" bestFit="1"/>
    <col min="9737" max="9767" width="11.5703125" style="1" bestFit="1" customWidth="1"/>
    <col min="9768" max="9768" width="11.5703125" style="1" bestFit="1"/>
    <col min="9769" max="9799" width="11.5703125" style="1" bestFit="1" customWidth="1"/>
    <col min="9800" max="9800" width="11.5703125" style="1" bestFit="1"/>
    <col min="9801" max="9831" width="11.5703125" style="1" bestFit="1" customWidth="1"/>
    <col min="9832" max="9832" width="11.5703125" style="1" bestFit="1"/>
    <col min="9833" max="9863" width="11.5703125" style="1" bestFit="1" customWidth="1"/>
    <col min="9864" max="9864" width="11.5703125" style="1" bestFit="1"/>
    <col min="9865" max="9895" width="11.5703125" style="1" bestFit="1" customWidth="1"/>
    <col min="9896" max="9896" width="11.5703125" style="1" bestFit="1"/>
    <col min="9897" max="9927" width="11.5703125" style="1" bestFit="1" customWidth="1"/>
    <col min="9928" max="9928" width="11.5703125" style="1" bestFit="1"/>
    <col min="9929" max="9959" width="11.5703125" style="1" bestFit="1" customWidth="1"/>
    <col min="9960" max="9960" width="11.5703125" style="1" bestFit="1"/>
    <col min="9961" max="9991" width="11.5703125" style="1" bestFit="1" customWidth="1"/>
    <col min="9992" max="9992" width="11.5703125" style="1" bestFit="1"/>
    <col min="9993" max="10023" width="11.5703125" style="1" bestFit="1" customWidth="1"/>
    <col min="10024" max="10024" width="11.5703125" style="1" bestFit="1"/>
    <col min="10025" max="10055" width="11.5703125" style="1" bestFit="1" customWidth="1"/>
    <col min="10056" max="10056" width="11.5703125" style="1" bestFit="1"/>
    <col min="10057" max="10087" width="11.5703125" style="1" bestFit="1" customWidth="1"/>
    <col min="10088" max="10088" width="11.5703125" style="1" bestFit="1"/>
    <col min="10089" max="10119" width="11.5703125" style="1" bestFit="1" customWidth="1"/>
    <col min="10120" max="10120" width="11.5703125" style="1" bestFit="1"/>
    <col min="10121" max="10151" width="11.5703125" style="1" bestFit="1" customWidth="1"/>
    <col min="10152" max="10152" width="11.5703125" style="1" bestFit="1"/>
    <col min="10153" max="10183" width="11.5703125" style="1" bestFit="1" customWidth="1"/>
    <col min="10184" max="10184" width="11.5703125" style="1" bestFit="1"/>
    <col min="10185" max="10215" width="11.5703125" style="1" bestFit="1" customWidth="1"/>
    <col min="10216" max="10216" width="11.5703125" style="1" bestFit="1"/>
    <col min="10217" max="10247" width="11.5703125" style="1" bestFit="1" customWidth="1"/>
    <col min="10248" max="10248" width="11.5703125" style="1" bestFit="1"/>
    <col min="10249" max="10279" width="11.5703125" style="1" bestFit="1" customWidth="1"/>
    <col min="10280" max="10280" width="11.5703125" style="1" bestFit="1"/>
    <col min="10281" max="10311" width="11.5703125" style="1" bestFit="1" customWidth="1"/>
    <col min="10312" max="10312" width="11.5703125" style="1" bestFit="1"/>
    <col min="10313" max="10343" width="11.5703125" style="1" bestFit="1" customWidth="1"/>
    <col min="10344" max="10344" width="11.5703125" style="1" bestFit="1"/>
    <col min="10345" max="10375" width="11.5703125" style="1" bestFit="1" customWidth="1"/>
    <col min="10376" max="10376" width="11.5703125" style="1" bestFit="1"/>
    <col min="10377" max="10407" width="11.5703125" style="1" bestFit="1" customWidth="1"/>
    <col min="10408" max="10408" width="11.5703125" style="1" bestFit="1"/>
    <col min="10409" max="10439" width="11.5703125" style="1" bestFit="1" customWidth="1"/>
    <col min="10440" max="10440" width="11.5703125" style="1" bestFit="1"/>
    <col min="10441" max="10471" width="11.5703125" style="1" bestFit="1" customWidth="1"/>
    <col min="10472" max="10472" width="11.5703125" style="1" bestFit="1"/>
    <col min="10473" max="10503" width="11.5703125" style="1" bestFit="1" customWidth="1"/>
    <col min="10504" max="10504" width="11.5703125" style="1" bestFit="1"/>
    <col min="10505" max="10535" width="11.5703125" style="1" bestFit="1" customWidth="1"/>
    <col min="10536" max="10536" width="11.5703125" style="1" bestFit="1"/>
    <col min="10537" max="10567" width="11.5703125" style="1" bestFit="1" customWidth="1"/>
    <col min="10568" max="10568" width="11.5703125" style="1" bestFit="1"/>
    <col min="10569" max="10599" width="11.5703125" style="1" bestFit="1" customWidth="1"/>
    <col min="10600" max="10600" width="11.5703125" style="1" bestFit="1"/>
    <col min="10601" max="10631" width="11.5703125" style="1" bestFit="1" customWidth="1"/>
    <col min="10632" max="10632" width="11.5703125" style="1" bestFit="1"/>
    <col min="10633" max="10663" width="11.5703125" style="1" bestFit="1" customWidth="1"/>
    <col min="10664" max="10664" width="11.5703125" style="1" bestFit="1"/>
    <col min="10665" max="10695" width="11.5703125" style="1" bestFit="1" customWidth="1"/>
    <col min="10696" max="10696" width="11.5703125" style="1" bestFit="1"/>
    <col min="10697" max="10727" width="11.5703125" style="1" bestFit="1" customWidth="1"/>
    <col min="10728" max="10728" width="11.5703125" style="1" bestFit="1"/>
    <col min="10729" max="10759" width="11.5703125" style="1" bestFit="1" customWidth="1"/>
    <col min="10760" max="10760" width="11.5703125" style="1" bestFit="1"/>
    <col min="10761" max="10791" width="11.5703125" style="1" bestFit="1" customWidth="1"/>
    <col min="10792" max="10792" width="11.5703125" style="1" bestFit="1"/>
    <col min="10793" max="10823" width="11.5703125" style="1" bestFit="1" customWidth="1"/>
    <col min="10824" max="10824" width="11.5703125" style="1" bestFit="1"/>
    <col min="10825" max="10855" width="11.5703125" style="1" bestFit="1" customWidth="1"/>
    <col min="10856" max="10856" width="11.5703125" style="1" bestFit="1"/>
    <col min="10857" max="10887" width="11.5703125" style="1" bestFit="1" customWidth="1"/>
    <col min="10888" max="10888" width="11.5703125" style="1" bestFit="1"/>
    <col min="10889" max="10919" width="11.5703125" style="1" bestFit="1" customWidth="1"/>
    <col min="10920" max="10920" width="11.5703125" style="1" bestFit="1"/>
    <col min="10921" max="10951" width="11.5703125" style="1" bestFit="1" customWidth="1"/>
    <col min="10952" max="10952" width="11.5703125" style="1" bestFit="1"/>
    <col min="10953" max="10983" width="11.5703125" style="1" bestFit="1" customWidth="1"/>
    <col min="10984" max="10984" width="11.5703125" style="1" bestFit="1"/>
    <col min="10985" max="11015" width="11.5703125" style="1" bestFit="1" customWidth="1"/>
    <col min="11016" max="11016" width="11.5703125" style="1" bestFit="1"/>
    <col min="11017" max="11047" width="11.5703125" style="1" bestFit="1" customWidth="1"/>
    <col min="11048" max="11048" width="11.5703125" style="1" bestFit="1"/>
    <col min="11049" max="11079" width="11.5703125" style="1" bestFit="1" customWidth="1"/>
    <col min="11080" max="11080" width="11.5703125" style="1" bestFit="1"/>
    <col min="11081" max="11111" width="11.5703125" style="1" bestFit="1" customWidth="1"/>
    <col min="11112" max="11112" width="11.5703125" style="1" bestFit="1"/>
    <col min="11113" max="11143" width="11.5703125" style="1" bestFit="1" customWidth="1"/>
    <col min="11144" max="11144" width="11.5703125" style="1" bestFit="1"/>
    <col min="11145" max="11175" width="11.5703125" style="1" bestFit="1" customWidth="1"/>
    <col min="11176" max="11176" width="11.5703125" style="1" bestFit="1"/>
    <col min="11177" max="11207" width="11.5703125" style="1" bestFit="1" customWidth="1"/>
    <col min="11208" max="11208" width="11.5703125" style="1" bestFit="1"/>
    <col min="11209" max="11239" width="11.5703125" style="1" bestFit="1" customWidth="1"/>
    <col min="11240" max="11240" width="11.5703125" style="1" bestFit="1"/>
    <col min="11241" max="11271" width="11.5703125" style="1" bestFit="1" customWidth="1"/>
    <col min="11272" max="11272" width="11.5703125" style="1" bestFit="1"/>
    <col min="11273" max="11303" width="11.5703125" style="1" bestFit="1" customWidth="1"/>
    <col min="11304" max="11304" width="11.5703125" style="1" bestFit="1"/>
    <col min="11305" max="11335" width="11.5703125" style="1" bestFit="1" customWidth="1"/>
    <col min="11336" max="11336" width="11.5703125" style="1" bestFit="1"/>
    <col min="11337" max="11367" width="11.5703125" style="1" bestFit="1" customWidth="1"/>
    <col min="11368" max="11368" width="11.5703125" style="1" bestFit="1"/>
    <col min="11369" max="11399" width="11.5703125" style="1" bestFit="1" customWidth="1"/>
    <col min="11400" max="11400" width="11.5703125" style="1" bestFit="1"/>
    <col min="11401" max="11431" width="11.5703125" style="1" bestFit="1" customWidth="1"/>
    <col min="11432" max="11432" width="11.5703125" style="1" bestFit="1"/>
    <col min="11433" max="11463" width="11.5703125" style="1" bestFit="1" customWidth="1"/>
    <col min="11464" max="11464" width="11.5703125" style="1" bestFit="1"/>
    <col min="11465" max="11495" width="11.5703125" style="1" bestFit="1" customWidth="1"/>
    <col min="11496" max="11496" width="11.5703125" style="1" bestFit="1"/>
    <col min="11497" max="11527" width="11.5703125" style="1" bestFit="1" customWidth="1"/>
    <col min="11528" max="11528" width="11.5703125" style="1" bestFit="1"/>
    <col min="11529" max="11559" width="11.5703125" style="1" bestFit="1" customWidth="1"/>
    <col min="11560" max="11560" width="11.5703125" style="1" bestFit="1"/>
    <col min="11561" max="11591" width="11.5703125" style="1" bestFit="1" customWidth="1"/>
    <col min="11592" max="11592" width="11.5703125" style="1" bestFit="1"/>
    <col min="11593" max="11623" width="11.5703125" style="1" bestFit="1" customWidth="1"/>
    <col min="11624" max="11624" width="11.5703125" style="1" bestFit="1"/>
    <col min="11625" max="11655" width="11.5703125" style="1" bestFit="1" customWidth="1"/>
    <col min="11656" max="11656" width="11.5703125" style="1" bestFit="1"/>
    <col min="11657" max="11687" width="11.5703125" style="1" bestFit="1" customWidth="1"/>
    <col min="11688" max="11688" width="11.5703125" style="1" bestFit="1"/>
    <col min="11689" max="11719" width="11.5703125" style="1" bestFit="1" customWidth="1"/>
    <col min="11720" max="11720" width="11.5703125" style="1" bestFit="1"/>
    <col min="11721" max="11751" width="11.5703125" style="1" bestFit="1" customWidth="1"/>
    <col min="11752" max="11752" width="11.5703125" style="1" bestFit="1"/>
    <col min="11753" max="11783" width="11.5703125" style="1" bestFit="1" customWidth="1"/>
    <col min="11784" max="11784" width="11.5703125" style="1" bestFit="1"/>
    <col min="11785" max="11815" width="11.5703125" style="1" bestFit="1" customWidth="1"/>
    <col min="11816" max="11816" width="11.5703125" style="1" bestFit="1"/>
    <col min="11817" max="11847" width="11.5703125" style="1" bestFit="1" customWidth="1"/>
    <col min="11848" max="11848" width="11.5703125" style="1" bestFit="1"/>
    <col min="11849" max="11879" width="11.5703125" style="1" bestFit="1" customWidth="1"/>
    <col min="11880" max="11880" width="11.5703125" style="1" bestFit="1"/>
    <col min="11881" max="11911" width="11.5703125" style="1" bestFit="1" customWidth="1"/>
    <col min="11912" max="11912" width="11.5703125" style="1" bestFit="1"/>
    <col min="11913" max="11943" width="11.5703125" style="1" bestFit="1" customWidth="1"/>
    <col min="11944" max="11944" width="11.5703125" style="1" bestFit="1"/>
    <col min="11945" max="11975" width="11.5703125" style="1" bestFit="1" customWidth="1"/>
    <col min="11976" max="11976" width="11.5703125" style="1" bestFit="1"/>
    <col min="11977" max="12007" width="11.5703125" style="1" bestFit="1" customWidth="1"/>
    <col min="12008" max="12008" width="11.5703125" style="1" bestFit="1"/>
    <col min="12009" max="12039" width="11.5703125" style="1" bestFit="1" customWidth="1"/>
    <col min="12040" max="12040" width="11.5703125" style="1" bestFit="1"/>
    <col min="12041" max="12071" width="11.5703125" style="1" bestFit="1" customWidth="1"/>
    <col min="12072" max="12072" width="11.5703125" style="1" bestFit="1"/>
    <col min="12073" max="12103" width="11.5703125" style="1" bestFit="1" customWidth="1"/>
    <col min="12104" max="12104" width="11.5703125" style="1" bestFit="1"/>
    <col min="12105" max="12135" width="11.5703125" style="1" bestFit="1" customWidth="1"/>
    <col min="12136" max="12136" width="11.5703125" style="1" bestFit="1"/>
    <col min="12137" max="12167" width="11.5703125" style="1" bestFit="1" customWidth="1"/>
    <col min="12168" max="12168" width="11.5703125" style="1" bestFit="1"/>
    <col min="12169" max="12199" width="11.5703125" style="1" bestFit="1" customWidth="1"/>
    <col min="12200" max="12200" width="11.5703125" style="1" bestFit="1"/>
    <col min="12201" max="12231" width="11.5703125" style="1" bestFit="1" customWidth="1"/>
    <col min="12232" max="12232" width="11.5703125" style="1" bestFit="1"/>
    <col min="12233" max="12263" width="11.5703125" style="1" bestFit="1" customWidth="1"/>
    <col min="12264" max="12264" width="11.5703125" style="1" bestFit="1"/>
    <col min="12265" max="12295" width="11.5703125" style="1" bestFit="1" customWidth="1"/>
    <col min="12296" max="12296" width="11.5703125" style="1" bestFit="1"/>
    <col min="12297" max="12327" width="11.5703125" style="1" bestFit="1" customWidth="1"/>
    <col min="12328" max="12328" width="11.5703125" style="1" bestFit="1"/>
    <col min="12329" max="12359" width="11.5703125" style="1" bestFit="1" customWidth="1"/>
    <col min="12360" max="12360" width="11.5703125" style="1" bestFit="1"/>
    <col min="12361" max="12391" width="11.5703125" style="1" bestFit="1" customWidth="1"/>
    <col min="12392" max="12392" width="11.5703125" style="1" bestFit="1"/>
    <col min="12393" max="12423" width="11.5703125" style="1" bestFit="1" customWidth="1"/>
    <col min="12424" max="12424" width="11.5703125" style="1" bestFit="1"/>
    <col min="12425" max="12455" width="11.5703125" style="1" bestFit="1" customWidth="1"/>
    <col min="12456" max="12456" width="11.5703125" style="1" bestFit="1"/>
    <col min="12457" max="12487" width="11.5703125" style="1" bestFit="1" customWidth="1"/>
    <col min="12488" max="12488" width="11.5703125" style="1" bestFit="1"/>
    <col min="12489" max="12519" width="11.5703125" style="1" bestFit="1" customWidth="1"/>
    <col min="12520" max="12520" width="11.5703125" style="1" bestFit="1"/>
    <col min="12521" max="12551" width="11.5703125" style="1" bestFit="1" customWidth="1"/>
    <col min="12552" max="12552" width="11.5703125" style="1" bestFit="1"/>
    <col min="12553" max="12583" width="11.5703125" style="1" bestFit="1" customWidth="1"/>
    <col min="12584" max="12584" width="11.5703125" style="1" bestFit="1"/>
    <col min="12585" max="12615" width="11.5703125" style="1" bestFit="1" customWidth="1"/>
    <col min="12616" max="12616" width="11.5703125" style="1" bestFit="1"/>
    <col min="12617" max="12647" width="11.5703125" style="1" bestFit="1" customWidth="1"/>
    <col min="12648" max="12648" width="11.5703125" style="1" bestFit="1"/>
    <col min="12649" max="12679" width="11.5703125" style="1" bestFit="1" customWidth="1"/>
    <col min="12680" max="12680" width="11.5703125" style="1" bestFit="1"/>
    <col min="12681" max="12711" width="11.5703125" style="1" bestFit="1" customWidth="1"/>
    <col min="12712" max="12712" width="11.5703125" style="1" bestFit="1"/>
    <col min="12713" max="12743" width="11.5703125" style="1" bestFit="1" customWidth="1"/>
    <col min="12744" max="12744" width="11.5703125" style="1" bestFit="1"/>
    <col min="12745" max="12775" width="11.5703125" style="1" bestFit="1" customWidth="1"/>
    <col min="12776" max="12776" width="11.5703125" style="1" bestFit="1"/>
    <col min="12777" max="12807" width="11.5703125" style="1" bestFit="1" customWidth="1"/>
    <col min="12808" max="12808" width="11.5703125" style="1" bestFit="1"/>
    <col min="12809" max="12839" width="11.5703125" style="1" bestFit="1" customWidth="1"/>
    <col min="12840" max="12840" width="11.5703125" style="1" bestFit="1"/>
    <col min="12841" max="12871" width="11.5703125" style="1" bestFit="1" customWidth="1"/>
    <col min="12872" max="12872" width="11.5703125" style="1" bestFit="1"/>
    <col min="12873" max="12903" width="11.5703125" style="1" bestFit="1" customWidth="1"/>
    <col min="12904" max="12904" width="11.5703125" style="1" bestFit="1"/>
    <col min="12905" max="12935" width="11.5703125" style="1" bestFit="1" customWidth="1"/>
    <col min="12936" max="12936" width="11.5703125" style="1" bestFit="1"/>
    <col min="12937" max="12967" width="11.5703125" style="1" bestFit="1" customWidth="1"/>
    <col min="12968" max="12968" width="11.5703125" style="1" bestFit="1"/>
    <col min="12969" max="12999" width="11.5703125" style="1" bestFit="1" customWidth="1"/>
    <col min="13000" max="13000" width="11.5703125" style="1" bestFit="1"/>
    <col min="13001" max="13031" width="11.5703125" style="1" bestFit="1" customWidth="1"/>
    <col min="13032" max="13032" width="11.5703125" style="1" bestFit="1"/>
    <col min="13033" max="13063" width="11.5703125" style="1" bestFit="1" customWidth="1"/>
    <col min="13064" max="13064" width="11.5703125" style="1" bestFit="1"/>
    <col min="13065" max="13095" width="11.5703125" style="1" bestFit="1" customWidth="1"/>
    <col min="13096" max="13096" width="11.5703125" style="1" bestFit="1"/>
    <col min="13097" max="13127" width="11.5703125" style="1" bestFit="1" customWidth="1"/>
    <col min="13128" max="13128" width="11.5703125" style="1" bestFit="1"/>
    <col min="13129" max="13159" width="11.5703125" style="1" bestFit="1" customWidth="1"/>
    <col min="13160" max="13160" width="11.5703125" style="1" bestFit="1"/>
    <col min="13161" max="13191" width="11.5703125" style="1" bestFit="1" customWidth="1"/>
    <col min="13192" max="13192" width="11.5703125" style="1" bestFit="1"/>
    <col min="13193" max="13223" width="11.5703125" style="1" bestFit="1" customWidth="1"/>
    <col min="13224" max="13224" width="11.5703125" style="1" bestFit="1"/>
    <col min="13225" max="13255" width="11.5703125" style="1" bestFit="1" customWidth="1"/>
    <col min="13256" max="13256" width="11.5703125" style="1" bestFit="1"/>
    <col min="13257" max="13287" width="11.5703125" style="1" bestFit="1" customWidth="1"/>
    <col min="13288" max="13288" width="11.5703125" style="1" bestFit="1"/>
    <col min="13289" max="13319" width="11.5703125" style="1" bestFit="1" customWidth="1"/>
    <col min="13320" max="13320" width="11.5703125" style="1" bestFit="1"/>
    <col min="13321" max="13351" width="11.5703125" style="1" bestFit="1" customWidth="1"/>
    <col min="13352" max="13352" width="11.5703125" style="1" bestFit="1"/>
    <col min="13353" max="13383" width="11.5703125" style="1" bestFit="1" customWidth="1"/>
    <col min="13384" max="13384" width="11.5703125" style="1" bestFit="1"/>
    <col min="13385" max="13415" width="11.5703125" style="1" bestFit="1" customWidth="1"/>
    <col min="13416" max="13416" width="11.5703125" style="1" bestFit="1"/>
    <col min="13417" max="13447" width="11.5703125" style="1" bestFit="1" customWidth="1"/>
    <col min="13448" max="13448" width="11.5703125" style="1" bestFit="1"/>
    <col min="13449" max="13479" width="11.5703125" style="1" bestFit="1" customWidth="1"/>
    <col min="13480" max="13480" width="11.5703125" style="1" bestFit="1"/>
    <col min="13481" max="13511" width="11.5703125" style="1" bestFit="1" customWidth="1"/>
    <col min="13512" max="13512" width="11.5703125" style="1" bestFit="1"/>
    <col min="13513" max="13543" width="11.5703125" style="1" bestFit="1" customWidth="1"/>
    <col min="13544" max="13544" width="11.5703125" style="1" bestFit="1"/>
    <col min="13545" max="13575" width="11.5703125" style="1" bestFit="1" customWidth="1"/>
    <col min="13576" max="13576" width="11.5703125" style="1" bestFit="1"/>
    <col min="13577" max="13607" width="11.5703125" style="1" bestFit="1" customWidth="1"/>
    <col min="13608" max="13608" width="11.5703125" style="1" bestFit="1"/>
    <col min="13609" max="13639" width="11.5703125" style="1" bestFit="1" customWidth="1"/>
    <col min="13640" max="13640" width="11.5703125" style="1" bestFit="1"/>
    <col min="13641" max="13671" width="11.5703125" style="1" bestFit="1" customWidth="1"/>
    <col min="13672" max="13672" width="11.5703125" style="1" bestFit="1"/>
    <col min="13673" max="13703" width="11.5703125" style="1" bestFit="1" customWidth="1"/>
    <col min="13704" max="13704" width="11.5703125" style="1" bestFit="1"/>
    <col min="13705" max="13735" width="11.5703125" style="1" bestFit="1" customWidth="1"/>
    <col min="13736" max="13736" width="11.5703125" style="1" bestFit="1"/>
    <col min="13737" max="13767" width="11.5703125" style="1" bestFit="1" customWidth="1"/>
    <col min="13768" max="13768" width="11.5703125" style="1" bestFit="1"/>
    <col min="13769" max="13799" width="11.5703125" style="1" bestFit="1" customWidth="1"/>
    <col min="13800" max="13800" width="11.5703125" style="1" bestFit="1"/>
    <col min="13801" max="13831" width="11.5703125" style="1" bestFit="1" customWidth="1"/>
    <col min="13832" max="13832" width="11.5703125" style="1" bestFit="1"/>
    <col min="13833" max="13863" width="11.5703125" style="1" bestFit="1" customWidth="1"/>
    <col min="13864" max="13864" width="11.5703125" style="1" bestFit="1"/>
    <col min="13865" max="13895" width="11.5703125" style="1" bestFit="1" customWidth="1"/>
    <col min="13896" max="13896" width="11.5703125" style="1" bestFit="1"/>
    <col min="13897" max="13927" width="11.5703125" style="1" bestFit="1" customWidth="1"/>
    <col min="13928" max="13928" width="11.5703125" style="1" bestFit="1"/>
    <col min="13929" max="13959" width="11.5703125" style="1" bestFit="1" customWidth="1"/>
    <col min="13960" max="13960" width="11.5703125" style="1" bestFit="1"/>
    <col min="13961" max="13991" width="11.5703125" style="1" bestFit="1" customWidth="1"/>
    <col min="13992" max="13992" width="11.5703125" style="1" bestFit="1"/>
    <col min="13993" max="14023" width="11.5703125" style="1" bestFit="1" customWidth="1"/>
    <col min="14024" max="14024" width="11.5703125" style="1" bestFit="1"/>
    <col min="14025" max="14055" width="11.5703125" style="1" bestFit="1" customWidth="1"/>
    <col min="14056" max="14056" width="11.5703125" style="1" bestFit="1"/>
    <col min="14057" max="14087" width="11.5703125" style="1" bestFit="1" customWidth="1"/>
    <col min="14088" max="14088" width="11.5703125" style="1" bestFit="1"/>
    <col min="14089" max="14119" width="11.5703125" style="1" bestFit="1" customWidth="1"/>
    <col min="14120" max="14120" width="11.5703125" style="1" bestFit="1"/>
    <col min="14121" max="14151" width="11.5703125" style="1" bestFit="1" customWidth="1"/>
    <col min="14152" max="14152" width="11.5703125" style="1" bestFit="1"/>
    <col min="14153" max="14183" width="11.5703125" style="1" bestFit="1" customWidth="1"/>
    <col min="14184" max="14184" width="11.5703125" style="1" bestFit="1"/>
    <col min="14185" max="14215" width="11.5703125" style="1" bestFit="1" customWidth="1"/>
    <col min="14216" max="14216" width="11.5703125" style="1" bestFit="1"/>
    <col min="14217" max="14247" width="11.5703125" style="1" bestFit="1" customWidth="1"/>
    <col min="14248" max="14248" width="11.5703125" style="1" bestFit="1"/>
    <col min="14249" max="14279" width="11.5703125" style="1" bestFit="1" customWidth="1"/>
    <col min="14280" max="14280" width="11.5703125" style="1" bestFit="1"/>
    <col min="14281" max="14311" width="11.5703125" style="1" bestFit="1" customWidth="1"/>
    <col min="14312" max="14312" width="11.5703125" style="1" bestFit="1"/>
    <col min="14313" max="14343" width="11.5703125" style="1" bestFit="1" customWidth="1"/>
    <col min="14344" max="14344" width="11.5703125" style="1" bestFit="1"/>
    <col min="14345" max="14375" width="11.5703125" style="1" bestFit="1" customWidth="1"/>
    <col min="14376" max="14376" width="11.5703125" style="1" bestFit="1"/>
    <col min="14377" max="14407" width="11.5703125" style="1" bestFit="1" customWidth="1"/>
    <col min="14408" max="14408" width="11.5703125" style="1" bestFit="1"/>
    <col min="14409" max="14439" width="11.5703125" style="1" bestFit="1" customWidth="1"/>
    <col min="14440" max="14440" width="11.5703125" style="1" bestFit="1"/>
    <col min="14441" max="14471" width="11.5703125" style="1" bestFit="1" customWidth="1"/>
    <col min="14472" max="14472" width="11.5703125" style="1" bestFit="1"/>
    <col min="14473" max="14503" width="11.5703125" style="1" bestFit="1" customWidth="1"/>
    <col min="14504" max="14504" width="11.5703125" style="1" bestFit="1"/>
    <col min="14505" max="14535" width="11.5703125" style="1" bestFit="1" customWidth="1"/>
    <col min="14536" max="14536" width="11.5703125" style="1" bestFit="1"/>
    <col min="14537" max="14567" width="11.5703125" style="1" bestFit="1" customWidth="1"/>
    <col min="14568" max="14568" width="11.5703125" style="1" bestFit="1"/>
    <col min="14569" max="14599" width="11.5703125" style="1" bestFit="1" customWidth="1"/>
    <col min="14600" max="14600" width="11.5703125" style="1" bestFit="1"/>
    <col min="14601" max="14631" width="11.5703125" style="1" bestFit="1" customWidth="1"/>
    <col min="14632" max="14632" width="11.5703125" style="1" bestFit="1"/>
    <col min="14633" max="14663" width="11.5703125" style="1" bestFit="1" customWidth="1"/>
    <col min="14664" max="14664" width="11.5703125" style="1" bestFit="1"/>
    <col min="14665" max="14695" width="11.5703125" style="1" bestFit="1" customWidth="1"/>
    <col min="14696" max="14696" width="11.5703125" style="1" bestFit="1"/>
    <col min="14697" max="14727" width="11.5703125" style="1" bestFit="1" customWidth="1"/>
    <col min="14728" max="14728" width="11.5703125" style="1" bestFit="1"/>
    <col min="14729" max="14759" width="11.5703125" style="1" bestFit="1" customWidth="1"/>
    <col min="14760" max="14760" width="11.5703125" style="1" bestFit="1"/>
    <col min="14761" max="14791" width="11.5703125" style="1" bestFit="1" customWidth="1"/>
    <col min="14792" max="14792" width="11.5703125" style="1" bestFit="1"/>
    <col min="14793" max="14823" width="11.5703125" style="1" bestFit="1" customWidth="1"/>
    <col min="14824" max="14824" width="11.5703125" style="1" bestFit="1"/>
    <col min="14825" max="14855" width="11.5703125" style="1" bestFit="1" customWidth="1"/>
    <col min="14856" max="14856" width="11.5703125" style="1" bestFit="1"/>
    <col min="14857" max="14887" width="11.5703125" style="1" bestFit="1" customWidth="1"/>
    <col min="14888" max="14888" width="11.5703125" style="1" bestFit="1"/>
    <col min="14889" max="14919" width="11.5703125" style="1" bestFit="1" customWidth="1"/>
    <col min="14920" max="14920" width="11.5703125" style="1" bestFit="1"/>
    <col min="14921" max="14951" width="11.5703125" style="1" bestFit="1" customWidth="1"/>
    <col min="14952" max="14952" width="11.5703125" style="1" bestFit="1"/>
    <col min="14953" max="14983" width="11.5703125" style="1" bestFit="1" customWidth="1"/>
    <col min="14984" max="14984" width="11.5703125" style="1" bestFit="1"/>
    <col min="14985" max="15015" width="11.5703125" style="1" bestFit="1" customWidth="1"/>
    <col min="15016" max="15016" width="11.5703125" style="1" bestFit="1"/>
    <col min="15017" max="15047" width="11.5703125" style="1" bestFit="1" customWidth="1"/>
    <col min="15048" max="15048" width="11.5703125" style="1" bestFit="1"/>
    <col min="15049" max="15079" width="11.5703125" style="1" bestFit="1" customWidth="1"/>
    <col min="15080" max="15080" width="11.5703125" style="1" bestFit="1"/>
    <col min="15081" max="15111" width="11.5703125" style="1" bestFit="1" customWidth="1"/>
    <col min="15112" max="15112" width="11.5703125" style="1" bestFit="1"/>
    <col min="15113" max="15143" width="11.5703125" style="1" bestFit="1" customWidth="1"/>
    <col min="15144" max="15144" width="11.5703125" style="1" bestFit="1"/>
    <col min="15145" max="15175" width="11.5703125" style="1" bestFit="1" customWidth="1"/>
    <col min="15176" max="15176" width="11.5703125" style="1" bestFit="1"/>
    <col min="15177" max="15207" width="11.5703125" style="1" bestFit="1" customWidth="1"/>
    <col min="15208" max="15208" width="11.5703125" style="1" bestFit="1"/>
    <col min="15209" max="15239" width="11.5703125" style="1" bestFit="1" customWidth="1"/>
    <col min="15240" max="15240" width="11.5703125" style="1" bestFit="1"/>
    <col min="15241" max="15271" width="11.5703125" style="1" bestFit="1" customWidth="1"/>
    <col min="15272" max="15272" width="11.5703125" style="1" bestFit="1"/>
    <col min="15273" max="15303" width="11.5703125" style="1" bestFit="1" customWidth="1"/>
    <col min="15304" max="15304" width="11.5703125" style="1" bestFit="1"/>
    <col min="15305" max="15335" width="11.5703125" style="1" bestFit="1" customWidth="1"/>
    <col min="15336" max="15336" width="11.5703125" style="1" bestFit="1"/>
    <col min="15337" max="15367" width="11.5703125" style="1" bestFit="1" customWidth="1"/>
    <col min="15368" max="15368" width="11.5703125" style="1" bestFit="1"/>
    <col min="15369" max="15399" width="11.5703125" style="1" bestFit="1" customWidth="1"/>
    <col min="15400" max="15400" width="11.5703125" style="1" bestFit="1"/>
    <col min="15401" max="15431" width="11.5703125" style="1" bestFit="1" customWidth="1"/>
    <col min="15432" max="15432" width="11.5703125" style="1" bestFit="1"/>
    <col min="15433" max="15463" width="11.5703125" style="1" bestFit="1" customWidth="1"/>
    <col min="15464" max="15464" width="11.5703125" style="1" bestFit="1"/>
    <col min="15465" max="15495" width="11.5703125" style="1" bestFit="1" customWidth="1"/>
    <col min="15496" max="15496" width="11.5703125" style="1" bestFit="1"/>
    <col min="15497" max="15527" width="11.5703125" style="1" bestFit="1" customWidth="1"/>
    <col min="15528" max="15528" width="11.5703125" style="1" bestFit="1"/>
    <col min="15529" max="15559" width="11.5703125" style="1" bestFit="1" customWidth="1"/>
    <col min="15560" max="15560" width="11.5703125" style="1" bestFit="1"/>
    <col min="15561" max="15591" width="11.5703125" style="1" bestFit="1" customWidth="1"/>
    <col min="15592" max="15592" width="11.5703125" style="1" bestFit="1"/>
    <col min="15593" max="15623" width="11.5703125" style="1" bestFit="1" customWidth="1"/>
    <col min="15624" max="15624" width="11.5703125" style="1" bestFit="1"/>
    <col min="15625" max="15655" width="11.5703125" style="1" bestFit="1" customWidth="1"/>
    <col min="15656" max="15656" width="11.5703125" style="1" bestFit="1"/>
    <col min="15657" max="15687" width="11.5703125" style="1" bestFit="1" customWidth="1"/>
    <col min="15688" max="15688" width="11.5703125" style="1" bestFit="1"/>
    <col min="15689" max="15719" width="11.5703125" style="1" bestFit="1" customWidth="1"/>
    <col min="15720" max="15720" width="11.5703125" style="1" bestFit="1"/>
    <col min="15721" max="15751" width="11.5703125" style="1" bestFit="1" customWidth="1"/>
    <col min="15752" max="15752" width="11.5703125" style="1" bestFit="1"/>
    <col min="15753" max="15783" width="11.5703125" style="1" bestFit="1" customWidth="1"/>
    <col min="15784" max="15784" width="11.5703125" style="1" bestFit="1"/>
    <col min="15785" max="15815" width="11.5703125" style="1" bestFit="1" customWidth="1"/>
    <col min="15816" max="15816" width="11.5703125" style="1" bestFit="1"/>
    <col min="15817" max="15847" width="11.5703125" style="1" bestFit="1" customWidth="1"/>
    <col min="15848" max="15848" width="11.5703125" style="1" bestFit="1"/>
    <col min="15849" max="15879" width="11.5703125" style="1" bestFit="1" customWidth="1"/>
    <col min="15880" max="15880" width="11.5703125" style="1" bestFit="1"/>
    <col min="15881" max="15911" width="11.5703125" style="1" bestFit="1" customWidth="1"/>
    <col min="15912" max="15912" width="11.5703125" style="1" bestFit="1"/>
    <col min="15913" max="15943" width="11.5703125" style="1" bestFit="1" customWidth="1"/>
    <col min="15944" max="15944" width="11.5703125" style="1" bestFit="1"/>
    <col min="15945" max="15975" width="11.5703125" style="1" bestFit="1" customWidth="1"/>
    <col min="15976" max="15976" width="11.5703125" style="1" bestFit="1"/>
    <col min="15977" max="16007" width="11.5703125" style="1" bestFit="1" customWidth="1"/>
    <col min="16008" max="16008" width="11.5703125" style="1" bestFit="1"/>
    <col min="16009" max="16039" width="11.5703125" style="1" bestFit="1" customWidth="1"/>
    <col min="16040" max="16040" width="11.5703125" style="1" bestFit="1"/>
    <col min="16041" max="16071" width="11.5703125" style="1" bestFit="1" customWidth="1"/>
    <col min="16072" max="16072" width="11.5703125" style="1" bestFit="1"/>
    <col min="16073" max="16103" width="11.5703125" style="1" bestFit="1" customWidth="1"/>
    <col min="16104" max="16104" width="11.5703125" style="1" bestFit="1"/>
    <col min="16105" max="16135" width="11.5703125" style="1" bestFit="1" customWidth="1"/>
    <col min="16136" max="16136" width="11.5703125" style="1" bestFit="1"/>
    <col min="16137" max="16167" width="11.5703125" style="1" bestFit="1" customWidth="1"/>
    <col min="16168" max="16168" width="11.5703125" style="1" bestFit="1"/>
    <col min="16169" max="16199" width="11.5703125" style="1" bestFit="1" customWidth="1"/>
    <col min="16200" max="16200" width="11.5703125" style="1" bestFit="1"/>
    <col min="16201" max="16231" width="11.5703125" style="1" bestFit="1" customWidth="1"/>
    <col min="16232" max="16232" width="11.5703125" style="1" bestFit="1"/>
    <col min="16233" max="16263" width="11.5703125" style="1" bestFit="1" customWidth="1"/>
    <col min="16264" max="16264" width="11.5703125" style="1" bestFit="1"/>
    <col min="16265" max="16281" width="11.5703125" style="1" bestFit="1" customWidth="1"/>
    <col min="16282" max="16384" width="11.5703125" style="1"/>
  </cols>
  <sheetData>
    <row r="1" spans="1:35" s="14" customFormat="1" x14ac:dyDescent="0.25">
      <c r="A1" s="18" t="s">
        <v>9</v>
      </c>
      <c r="B1" s="19" t="s">
        <v>12</v>
      </c>
      <c r="C1" s="18" t="s">
        <v>16</v>
      </c>
      <c r="D1" s="18" t="s">
        <v>20</v>
      </c>
      <c r="E1" s="18" t="s">
        <v>22</v>
      </c>
      <c r="F1" s="18" t="s">
        <v>24</v>
      </c>
      <c r="G1" s="18" t="s">
        <v>26</v>
      </c>
      <c r="H1" s="18" t="s">
        <v>28</v>
      </c>
      <c r="I1" s="20" t="s">
        <v>30</v>
      </c>
      <c r="J1" s="18" t="s">
        <v>32</v>
      </c>
      <c r="K1" s="25" t="s">
        <v>34</v>
      </c>
      <c r="L1" s="25" t="s">
        <v>36</v>
      </c>
      <c r="M1" s="25" t="s">
        <v>39</v>
      </c>
      <c r="N1" s="25" t="s">
        <v>41</v>
      </c>
      <c r="O1" s="25" t="s">
        <v>43</v>
      </c>
      <c r="P1" s="25" t="s">
        <v>44</v>
      </c>
      <c r="Q1" s="25" t="s">
        <v>46</v>
      </c>
      <c r="R1" s="18" t="s">
        <v>47</v>
      </c>
      <c r="S1" s="20" t="s">
        <v>49</v>
      </c>
      <c r="T1" s="20" t="s">
        <v>51</v>
      </c>
      <c r="U1" s="20" t="s">
        <v>53</v>
      </c>
      <c r="V1" s="20" t="s">
        <v>55</v>
      </c>
      <c r="W1" s="18" t="s">
        <v>57</v>
      </c>
      <c r="X1" s="18" t="s">
        <v>59</v>
      </c>
      <c r="Y1" s="18" t="s">
        <v>61</v>
      </c>
      <c r="Z1" s="18" t="s">
        <v>63</v>
      </c>
      <c r="AA1" s="18" t="s">
        <v>65</v>
      </c>
      <c r="AB1" s="18" t="s">
        <v>67</v>
      </c>
      <c r="AC1" s="18" t="s">
        <v>68</v>
      </c>
      <c r="AD1" s="18" t="s">
        <v>69</v>
      </c>
      <c r="AE1" s="18" t="s">
        <v>71</v>
      </c>
      <c r="AF1" s="18" t="s">
        <v>73</v>
      </c>
      <c r="AG1" s="18" t="s">
        <v>74</v>
      </c>
      <c r="AH1" s="18" t="s">
        <v>75</v>
      </c>
      <c r="AI1" s="18" t="s">
        <v>76</v>
      </c>
    </row>
    <row r="2" spans="1:35" s="30" customFormat="1" x14ac:dyDescent="0.25">
      <c r="A2" s="53" t="s">
        <v>110</v>
      </c>
      <c r="B2" s="54" t="s">
        <v>2191</v>
      </c>
      <c r="C2" s="54" t="s">
        <v>2192</v>
      </c>
      <c r="D2" s="54">
        <v>29177</v>
      </c>
      <c r="E2" s="54" t="s">
        <v>2193</v>
      </c>
      <c r="F2" s="54" t="s">
        <v>2194</v>
      </c>
      <c r="G2" s="54" t="s">
        <v>115</v>
      </c>
      <c r="H2" s="54" t="s">
        <v>160</v>
      </c>
      <c r="I2" s="54" t="s">
        <v>117</v>
      </c>
      <c r="J2" s="54" t="s">
        <v>2195</v>
      </c>
      <c r="K2" s="55">
        <v>45919</v>
      </c>
      <c r="L2" s="55">
        <v>45968</v>
      </c>
      <c r="M2" s="55"/>
      <c r="N2" s="55">
        <v>46053</v>
      </c>
      <c r="O2" s="55">
        <v>46038</v>
      </c>
      <c r="P2" s="55"/>
      <c r="Q2" s="55"/>
      <c r="R2" s="54" t="s">
        <v>142</v>
      </c>
      <c r="S2" s="54" t="s">
        <v>844</v>
      </c>
      <c r="T2" s="54" t="s">
        <v>744</v>
      </c>
      <c r="U2" s="54" t="s">
        <v>88</v>
      </c>
      <c r="V2" s="54" t="s">
        <v>845</v>
      </c>
      <c r="W2" s="54" t="s">
        <v>123</v>
      </c>
      <c r="X2" s="54">
        <v>-1031.1300000000001</v>
      </c>
      <c r="Y2" s="54">
        <v>-154.66999999999999</v>
      </c>
      <c r="Z2" s="54">
        <v>-154.66999999999999</v>
      </c>
      <c r="AA2" s="54">
        <v>0</v>
      </c>
      <c r="AB2" s="54"/>
      <c r="AC2" s="54">
        <v>0</v>
      </c>
      <c r="AD2" s="54"/>
      <c r="AE2" s="54">
        <v>0</v>
      </c>
      <c r="AF2" s="54"/>
      <c r="AG2" s="54">
        <v>0</v>
      </c>
      <c r="AH2" s="54"/>
      <c r="AI2" s="56">
        <v>0</v>
      </c>
    </row>
    <row r="3" spans="1:35" s="30" customFormat="1" x14ac:dyDescent="0.25">
      <c r="A3" s="57" t="s">
        <v>110</v>
      </c>
      <c r="B3" s="58" t="s">
        <v>2191</v>
      </c>
      <c r="C3" s="58" t="s">
        <v>2196</v>
      </c>
      <c r="D3" s="58">
        <v>31813</v>
      </c>
      <c r="E3" s="58" t="s">
        <v>2197</v>
      </c>
      <c r="F3" s="58" t="s">
        <v>2198</v>
      </c>
      <c r="G3" s="58" t="s">
        <v>174</v>
      </c>
      <c r="H3" s="58" t="s">
        <v>160</v>
      </c>
      <c r="I3" s="58" t="s">
        <v>117</v>
      </c>
      <c r="J3" s="58" t="s">
        <v>2195</v>
      </c>
      <c r="K3" s="59">
        <v>45922</v>
      </c>
      <c r="L3" s="59">
        <v>45989</v>
      </c>
      <c r="M3" s="59"/>
      <c r="N3" s="59">
        <v>46053</v>
      </c>
      <c r="O3" s="59">
        <v>46043</v>
      </c>
      <c r="P3" s="59"/>
      <c r="Q3" s="59"/>
      <c r="R3" s="58" t="s">
        <v>187</v>
      </c>
      <c r="S3" s="58" t="s">
        <v>844</v>
      </c>
      <c r="T3" s="58" t="s">
        <v>744</v>
      </c>
      <c r="U3" s="54" t="s">
        <v>88</v>
      </c>
      <c r="V3" s="58" t="s">
        <v>845</v>
      </c>
      <c r="W3" s="58" t="s">
        <v>123</v>
      </c>
      <c r="X3" s="58">
        <v>-643.79</v>
      </c>
      <c r="Y3" s="58">
        <v>-96.57</v>
      </c>
      <c r="Z3" s="58">
        <v>-96.57</v>
      </c>
      <c r="AA3" s="58">
        <v>0</v>
      </c>
      <c r="AB3" s="58"/>
      <c r="AC3" s="58">
        <v>0</v>
      </c>
      <c r="AD3" s="58"/>
      <c r="AE3" s="58">
        <v>0</v>
      </c>
      <c r="AF3" s="58"/>
      <c r="AG3" s="58">
        <v>0</v>
      </c>
      <c r="AH3" s="58"/>
      <c r="AI3" s="60">
        <v>0</v>
      </c>
    </row>
    <row r="4" spans="1:35" s="30" customFormat="1" x14ac:dyDescent="0.25">
      <c r="A4" s="53" t="s">
        <v>110</v>
      </c>
      <c r="B4" s="54" t="s">
        <v>436</v>
      </c>
      <c r="C4" s="54" t="s">
        <v>437</v>
      </c>
      <c r="D4" s="54">
        <v>28086</v>
      </c>
      <c r="E4" s="54" t="s">
        <v>438</v>
      </c>
      <c r="F4" s="54" t="s">
        <v>2199</v>
      </c>
      <c r="G4" s="54" t="s">
        <v>440</v>
      </c>
      <c r="H4" s="54" t="s">
        <v>116</v>
      </c>
      <c r="I4" s="54" t="s">
        <v>117</v>
      </c>
      <c r="J4" s="54" t="s">
        <v>2195</v>
      </c>
      <c r="K4" s="55">
        <v>45942</v>
      </c>
      <c r="L4" s="55">
        <v>45944</v>
      </c>
      <c r="M4" s="55"/>
      <c r="N4" s="55"/>
      <c r="O4" s="55">
        <v>46063</v>
      </c>
      <c r="P4" s="55"/>
      <c r="Q4" s="55"/>
      <c r="R4" s="54" t="s">
        <v>142</v>
      </c>
      <c r="S4" s="54" t="s">
        <v>441</v>
      </c>
      <c r="T4" s="54" t="s">
        <v>442</v>
      </c>
      <c r="U4" s="54" t="s">
        <v>81</v>
      </c>
      <c r="V4" s="54" t="s">
        <v>443</v>
      </c>
      <c r="W4" s="54" t="s">
        <v>123</v>
      </c>
      <c r="X4" s="54">
        <v>434.57</v>
      </c>
      <c r="Y4" s="54">
        <v>52.15</v>
      </c>
      <c r="Z4" s="54">
        <v>52.15</v>
      </c>
      <c r="AA4" s="54">
        <v>0</v>
      </c>
      <c r="AB4" s="54"/>
      <c r="AC4" s="54">
        <v>0</v>
      </c>
      <c r="AD4" s="54"/>
      <c r="AE4" s="54">
        <v>0</v>
      </c>
      <c r="AF4" s="54"/>
      <c r="AG4" s="54">
        <v>0</v>
      </c>
      <c r="AH4" s="54"/>
      <c r="AI4" s="56">
        <v>0</v>
      </c>
    </row>
    <row r="5" spans="1:35" s="30" customFormat="1" x14ac:dyDescent="0.25">
      <c r="A5" s="57" t="s">
        <v>110</v>
      </c>
      <c r="B5" s="58" t="s">
        <v>2408</v>
      </c>
      <c r="C5" s="58" t="s">
        <v>2832</v>
      </c>
      <c r="D5" s="58">
        <v>24089</v>
      </c>
      <c r="E5" s="58" t="s">
        <v>2933</v>
      </c>
      <c r="F5" s="58" t="s">
        <v>2934</v>
      </c>
      <c r="G5" s="58" t="s">
        <v>115</v>
      </c>
      <c r="H5" s="58" t="s">
        <v>160</v>
      </c>
      <c r="I5" s="58" t="s">
        <v>117</v>
      </c>
      <c r="J5" s="58" t="s">
        <v>2195</v>
      </c>
      <c r="K5" s="59">
        <v>45949</v>
      </c>
      <c r="L5" s="59">
        <v>46022</v>
      </c>
      <c r="M5" s="59"/>
      <c r="N5" s="59">
        <v>46082</v>
      </c>
      <c r="O5" s="59">
        <v>46065</v>
      </c>
      <c r="P5" s="59"/>
      <c r="Q5" s="59"/>
      <c r="R5" s="58" t="s">
        <v>142</v>
      </c>
      <c r="S5" s="58" t="s">
        <v>2440</v>
      </c>
      <c r="T5" s="58" t="s">
        <v>2441</v>
      </c>
      <c r="U5" s="54" t="s">
        <v>88</v>
      </c>
      <c r="V5" s="58" t="s">
        <v>845</v>
      </c>
      <c r="W5" s="58" t="s">
        <v>123</v>
      </c>
      <c r="X5" s="58">
        <v>-11169.29</v>
      </c>
      <c r="Y5" s="58">
        <v>-1675.39</v>
      </c>
      <c r="Z5" s="58">
        <v>-1675.39</v>
      </c>
      <c r="AA5" s="58">
        <v>0</v>
      </c>
      <c r="AB5" s="58"/>
      <c r="AC5" s="58">
        <v>0</v>
      </c>
      <c r="AD5" s="58"/>
      <c r="AE5" s="58">
        <v>0</v>
      </c>
      <c r="AF5" s="58"/>
      <c r="AG5" s="58">
        <v>0</v>
      </c>
      <c r="AH5" s="58"/>
      <c r="AI5" s="60">
        <v>0</v>
      </c>
    </row>
    <row r="6" spans="1:35" s="30" customFormat="1" x14ac:dyDescent="0.25">
      <c r="A6" s="53" t="s">
        <v>110</v>
      </c>
      <c r="B6" s="54" t="s">
        <v>2200</v>
      </c>
      <c r="C6" s="54" t="s">
        <v>2201</v>
      </c>
      <c r="D6" s="54">
        <v>12861</v>
      </c>
      <c r="E6" s="54" t="s">
        <v>2202</v>
      </c>
      <c r="F6" s="54" t="s">
        <v>2203</v>
      </c>
      <c r="G6" s="54" t="s">
        <v>115</v>
      </c>
      <c r="H6" s="54" t="s">
        <v>160</v>
      </c>
      <c r="I6" s="54" t="s">
        <v>117</v>
      </c>
      <c r="J6" s="54" t="s">
        <v>2195</v>
      </c>
      <c r="K6" s="55">
        <v>45976</v>
      </c>
      <c r="L6" s="55">
        <v>46010</v>
      </c>
      <c r="M6" s="55"/>
      <c r="N6" s="55">
        <v>46082</v>
      </c>
      <c r="O6" s="55">
        <v>46035</v>
      </c>
      <c r="P6" s="55"/>
      <c r="Q6" s="55"/>
      <c r="R6" s="54" t="s">
        <v>142</v>
      </c>
      <c r="S6" s="54" t="s">
        <v>698</v>
      </c>
      <c r="T6" s="54" t="s">
        <v>698</v>
      </c>
      <c r="U6" s="54" t="s">
        <v>88</v>
      </c>
      <c r="V6" s="54" t="s">
        <v>509</v>
      </c>
      <c r="W6" s="54" t="s">
        <v>123</v>
      </c>
      <c r="X6" s="54">
        <v>-1339.03</v>
      </c>
      <c r="Y6" s="54">
        <v>-267.81</v>
      </c>
      <c r="Z6" s="54">
        <v>-267.81</v>
      </c>
      <c r="AA6" s="54">
        <v>0</v>
      </c>
      <c r="AB6" s="54"/>
      <c r="AC6" s="54">
        <v>0</v>
      </c>
      <c r="AD6" s="54"/>
      <c r="AE6" s="54">
        <v>0</v>
      </c>
      <c r="AF6" s="54"/>
      <c r="AG6" s="54">
        <v>0</v>
      </c>
      <c r="AH6" s="54"/>
      <c r="AI6" s="56">
        <v>0</v>
      </c>
    </row>
    <row r="7" spans="1:35" s="30" customFormat="1" x14ac:dyDescent="0.25">
      <c r="A7" s="53" t="s">
        <v>110</v>
      </c>
      <c r="B7" s="54" t="s">
        <v>2204</v>
      </c>
      <c r="C7" s="54" t="s">
        <v>2205</v>
      </c>
      <c r="D7" s="54">
        <v>17865</v>
      </c>
      <c r="E7" s="54" t="s">
        <v>2206</v>
      </c>
      <c r="F7" s="54" t="s">
        <v>2207</v>
      </c>
      <c r="G7" s="54" t="s">
        <v>115</v>
      </c>
      <c r="H7" s="54" t="s">
        <v>160</v>
      </c>
      <c r="I7" s="54" t="s">
        <v>117</v>
      </c>
      <c r="J7" s="54" t="s">
        <v>2195</v>
      </c>
      <c r="K7" s="55">
        <v>45982</v>
      </c>
      <c r="L7" s="55">
        <v>46041</v>
      </c>
      <c r="M7" s="55"/>
      <c r="N7" s="55">
        <v>46034</v>
      </c>
      <c r="O7" s="55">
        <v>46023</v>
      </c>
      <c r="P7" s="55"/>
      <c r="Q7" s="55"/>
      <c r="R7" s="54" t="s">
        <v>142</v>
      </c>
      <c r="S7" s="54" t="s">
        <v>855</v>
      </c>
      <c r="T7" s="54" t="s">
        <v>83</v>
      </c>
      <c r="U7" s="54" t="s">
        <v>83</v>
      </c>
      <c r="V7" s="54" t="s">
        <v>845</v>
      </c>
      <c r="W7" s="54" t="s">
        <v>123</v>
      </c>
      <c r="X7" s="54">
        <v>-269.08999999999997</v>
      </c>
      <c r="Y7" s="54">
        <v>-64.040000000000006</v>
      </c>
      <c r="Z7" s="54">
        <v>-64.040000000000006</v>
      </c>
      <c r="AA7" s="54">
        <v>0</v>
      </c>
      <c r="AB7" s="54"/>
      <c r="AC7" s="54">
        <v>0</v>
      </c>
      <c r="AD7" s="54"/>
      <c r="AE7" s="54">
        <v>0</v>
      </c>
      <c r="AF7" s="54"/>
      <c r="AG7" s="54">
        <v>0</v>
      </c>
      <c r="AH7" s="54"/>
      <c r="AI7" s="56">
        <v>0</v>
      </c>
    </row>
    <row r="8" spans="1:35" s="30" customFormat="1" x14ac:dyDescent="0.25">
      <c r="A8" s="57" t="s">
        <v>110</v>
      </c>
      <c r="B8" s="58" t="s">
        <v>2208</v>
      </c>
      <c r="C8" s="58" t="s">
        <v>2209</v>
      </c>
      <c r="D8" s="58">
        <v>27521</v>
      </c>
      <c r="E8" s="58" t="s">
        <v>2210</v>
      </c>
      <c r="F8" s="58" t="s">
        <v>2211</v>
      </c>
      <c r="G8" s="58" t="s">
        <v>115</v>
      </c>
      <c r="H8" s="58" t="s">
        <v>116</v>
      </c>
      <c r="I8" s="58" t="s">
        <v>117</v>
      </c>
      <c r="J8" s="58" t="s">
        <v>2195</v>
      </c>
      <c r="K8" s="59">
        <v>45982</v>
      </c>
      <c r="L8" s="59">
        <v>46025</v>
      </c>
      <c r="M8" s="59"/>
      <c r="N8" s="59"/>
      <c r="O8" s="59">
        <v>46023</v>
      </c>
      <c r="P8" s="59"/>
      <c r="Q8" s="59"/>
      <c r="R8" s="58" t="s">
        <v>142</v>
      </c>
      <c r="S8" s="58" t="s">
        <v>855</v>
      </c>
      <c r="T8" s="58" t="s">
        <v>83</v>
      </c>
      <c r="U8" s="54" t="s">
        <v>83</v>
      </c>
      <c r="V8" s="58" t="s">
        <v>845</v>
      </c>
      <c r="W8" s="58" t="s">
        <v>123</v>
      </c>
      <c r="X8" s="58">
        <v>-156.37</v>
      </c>
      <c r="Y8" s="58">
        <v>-39.090000000000003</v>
      </c>
      <c r="Z8" s="58">
        <v>-39.090000000000003</v>
      </c>
      <c r="AA8" s="58">
        <v>0</v>
      </c>
      <c r="AB8" s="58"/>
      <c r="AC8" s="58">
        <v>0</v>
      </c>
      <c r="AD8" s="58"/>
      <c r="AE8" s="58">
        <v>0</v>
      </c>
      <c r="AF8" s="58"/>
      <c r="AG8" s="58">
        <v>0</v>
      </c>
      <c r="AH8" s="58"/>
      <c r="AI8" s="60">
        <v>0</v>
      </c>
    </row>
    <row r="9" spans="1:35" s="30" customFormat="1" x14ac:dyDescent="0.25">
      <c r="A9" s="57" t="s">
        <v>110</v>
      </c>
      <c r="B9" s="58" t="s">
        <v>2212</v>
      </c>
      <c r="C9" s="58" t="s">
        <v>2213</v>
      </c>
      <c r="D9" s="58">
        <v>26352</v>
      </c>
      <c r="E9" s="58" t="s">
        <v>2214</v>
      </c>
      <c r="F9" s="58" t="s">
        <v>2215</v>
      </c>
      <c r="G9" s="58" t="s">
        <v>115</v>
      </c>
      <c r="H9" s="58" t="s">
        <v>160</v>
      </c>
      <c r="I9" s="58" t="s">
        <v>117</v>
      </c>
      <c r="J9" s="58" t="s">
        <v>2195</v>
      </c>
      <c r="K9" s="59">
        <v>45982</v>
      </c>
      <c r="L9" s="59">
        <v>46023</v>
      </c>
      <c r="M9" s="59"/>
      <c r="N9" s="59">
        <v>46034</v>
      </c>
      <c r="O9" s="59">
        <v>46023</v>
      </c>
      <c r="P9" s="59"/>
      <c r="Q9" s="59"/>
      <c r="R9" s="58" t="s">
        <v>142</v>
      </c>
      <c r="S9" s="58" t="s">
        <v>1644</v>
      </c>
      <c r="T9" s="58" t="s">
        <v>162</v>
      </c>
      <c r="U9" s="54" t="s">
        <v>87</v>
      </c>
      <c r="V9" s="58" t="s">
        <v>845</v>
      </c>
      <c r="W9" s="58" t="s">
        <v>123</v>
      </c>
      <c r="X9" s="58">
        <v>-174.38</v>
      </c>
      <c r="Y9" s="58">
        <v>-38.369999999999997</v>
      </c>
      <c r="Z9" s="58">
        <v>-38.369999999999997</v>
      </c>
      <c r="AA9" s="58">
        <v>0</v>
      </c>
      <c r="AB9" s="58"/>
      <c r="AC9" s="58">
        <v>0</v>
      </c>
      <c r="AD9" s="58"/>
      <c r="AE9" s="58">
        <v>0</v>
      </c>
      <c r="AF9" s="58"/>
      <c r="AG9" s="58">
        <v>0</v>
      </c>
      <c r="AH9" s="58"/>
      <c r="AI9" s="60">
        <v>0</v>
      </c>
    </row>
    <row r="10" spans="1:35" s="30" customFormat="1" x14ac:dyDescent="0.25">
      <c r="A10" s="53" t="s">
        <v>110</v>
      </c>
      <c r="B10" s="54" t="s">
        <v>1483</v>
      </c>
      <c r="C10" s="54" t="s">
        <v>2216</v>
      </c>
      <c r="D10" s="54">
        <v>30576</v>
      </c>
      <c r="E10" s="54" t="s">
        <v>2217</v>
      </c>
      <c r="F10" s="54" t="s">
        <v>2218</v>
      </c>
      <c r="G10" s="54" t="s">
        <v>115</v>
      </c>
      <c r="H10" s="54" t="s">
        <v>116</v>
      </c>
      <c r="I10" s="54" t="s">
        <v>117</v>
      </c>
      <c r="J10" s="54" t="s">
        <v>2195</v>
      </c>
      <c r="K10" s="55">
        <v>45983</v>
      </c>
      <c r="L10" s="55">
        <v>46054</v>
      </c>
      <c r="M10" s="55"/>
      <c r="N10" s="55">
        <v>46060</v>
      </c>
      <c r="O10" s="55">
        <v>46037</v>
      </c>
      <c r="P10" s="55"/>
      <c r="Q10" s="55"/>
      <c r="R10" s="54" t="s">
        <v>142</v>
      </c>
      <c r="S10" s="54" t="s">
        <v>492</v>
      </c>
      <c r="T10" s="54" t="s">
        <v>177</v>
      </c>
      <c r="U10" s="54" t="s">
        <v>81</v>
      </c>
      <c r="V10" s="54" t="s">
        <v>163</v>
      </c>
      <c r="W10" s="54" t="s">
        <v>123</v>
      </c>
      <c r="X10" s="54">
        <v>-1654.37</v>
      </c>
      <c r="Y10" s="54">
        <v>-148.88999999999999</v>
      </c>
      <c r="Z10" s="54">
        <v>-148.88999999999999</v>
      </c>
      <c r="AA10" s="54">
        <v>0</v>
      </c>
      <c r="AB10" s="54"/>
      <c r="AC10" s="54">
        <v>0</v>
      </c>
      <c r="AD10" s="54"/>
      <c r="AE10" s="54">
        <v>0</v>
      </c>
      <c r="AF10" s="54"/>
      <c r="AG10" s="54">
        <v>0</v>
      </c>
      <c r="AH10" s="54"/>
      <c r="AI10" s="56">
        <v>0</v>
      </c>
    </row>
    <row r="11" spans="1:35" s="30" customFormat="1" x14ac:dyDescent="0.25">
      <c r="A11" s="57" t="s">
        <v>110</v>
      </c>
      <c r="B11" s="58" t="s">
        <v>938</v>
      </c>
      <c r="C11" s="58" t="s">
        <v>2219</v>
      </c>
      <c r="D11" s="58">
        <v>19032</v>
      </c>
      <c r="E11" s="58" t="s">
        <v>2220</v>
      </c>
      <c r="F11" s="58" t="s">
        <v>2221</v>
      </c>
      <c r="G11" s="58" t="s">
        <v>115</v>
      </c>
      <c r="H11" s="58" t="s">
        <v>160</v>
      </c>
      <c r="I11" s="58" t="s">
        <v>117</v>
      </c>
      <c r="J11" s="58" t="s">
        <v>2195</v>
      </c>
      <c r="K11" s="59">
        <v>45983</v>
      </c>
      <c r="L11" s="59">
        <v>46054</v>
      </c>
      <c r="M11" s="59"/>
      <c r="N11" s="59">
        <v>46054</v>
      </c>
      <c r="O11" s="59">
        <v>46044</v>
      </c>
      <c r="P11" s="59"/>
      <c r="Q11" s="59"/>
      <c r="R11" s="58" t="s">
        <v>142</v>
      </c>
      <c r="S11" s="58" t="s">
        <v>2222</v>
      </c>
      <c r="T11" s="58" t="s">
        <v>169</v>
      </c>
      <c r="U11" s="54" t="s">
        <v>81</v>
      </c>
      <c r="V11" s="58" t="s">
        <v>163</v>
      </c>
      <c r="W11" s="58" t="s">
        <v>123</v>
      </c>
      <c r="X11" s="58">
        <v>-165.35</v>
      </c>
      <c r="Y11" s="58">
        <v>-21.5</v>
      </c>
      <c r="Z11" s="58">
        <v>-21.5</v>
      </c>
      <c r="AA11" s="58">
        <v>0</v>
      </c>
      <c r="AB11" s="58"/>
      <c r="AC11" s="58">
        <v>0</v>
      </c>
      <c r="AD11" s="58"/>
      <c r="AE11" s="58">
        <v>0</v>
      </c>
      <c r="AF11" s="58"/>
      <c r="AG11" s="58">
        <v>0</v>
      </c>
      <c r="AH11" s="58"/>
      <c r="AI11" s="60">
        <v>0</v>
      </c>
    </row>
    <row r="12" spans="1:35" s="30" customFormat="1" x14ac:dyDescent="0.25">
      <c r="A12" s="57" t="s">
        <v>110</v>
      </c>
      <c r="B12" s="58" t="s">
        <v>720</v>
      </c>
      <c r="C12" s="58" t="s">
        <v>721</v>
      </c>
      <c r="D12" s="58">
        <v>788</v>
      </c>
      <c r="E12" s="58" t="s">
        <v>2223</v>
      </c>
      <c r="F12" s="58" t="s">
        <v>2224</v>
      </c>
      <c r="G12" s="58" t="s">
        <v>192</v>
      </c>
      <c r="H12" s="58" t="s">
        <v>160</v>
      </c>
      <c r="I12" s="58" t="s">
        <v>117</v>
      </c>
      <c r="J12" s="58" t="s">
        <v>2195</v>
      </c>
      <c r="K12" s="59">
        <v>45993</v>
      </c>
      <c r="L12" s="59">
        <v>46046</v>
      </c>
      <c r="M12" s="59"/>
      <c r="N12" s="59">
        <v>46082</v>
      </c>
      <c r="O12" s="59">
        <v>46038</v>
      </c>
      <c r="P12" s="59"/>
      <c r="Q12" s="59"/>
      <c r="R12" s="58" t="s">
        <v>175</v>
      </c>
      <c r="S12" s="58" t="s">
        <v>724</v>
      </c>
      <c r="T12" s="58" t="s">
        <v>724</v>
      </c>
      <c r="U12" s="54" t="s">
        <v>88</v>
      </c>
      <c r="V12" s="58" t="s">
        <v>509</v>
      </c>
      <c r="W12" s="58" t="s">
        <v>123</v>
      </c>
      <c r="X12" s="58">
        <v>-2925.58</v>
      </c>
      <c r="Y12" s="58">
        <v>-585.12</v>
      </c>
      <c r="Z12" s="58">
        <v>-585.12</v>
      </c>
      <c r="AA12" s="58">
        <v>0</v>
      </c>
      <c r="AB12" s="58"/>
      <c r="AC12" s="58">
        <v>0</v>
      </c>
      <c r="AD12" s="58"/>
      <c r="AE12" s="58">
        <v>0</v>
      </c>
      <c r="AF12" s="58"/>
      <c r="AG12" s="58">
        <v>0</v>
      </c>
      <c r="AH12" s="58"/>
      <c r="AI12" s="60">
        <v>0</v>
      </c>
    </row>
    <row r="13" spans="1:35" s="30" customFormat="1" x14ac:dyDescent="0.25">
      <c r="A13" s="53" t="s">
        <v>110</v>
      </c>
      <c r="B13" s="54" t="s">
        <v>770</v>
      </c>
      <c r="C13" s="54" t="s">
        <v>951</v>
      </c>
      <c r="D13" s="54">
        <v>11224</v>
      </c>
      <c r="E13" s="54" t="s">
        <v>2225</v>
      </c>
      <c r="F13" s="54" t="s">
        <v>2226</v>
      </c>
      <c r="G13" s="54" t="s">
        <v>115</v>
      </c>
      <c r="H13" s="54" t="s">
        <v>116</v>
      </c>
      <c r="I13" s="54" t="s">
        <v>117</v>
      </c>
      <c r="J13" s="54" t="s">
        <v>2195</v>
      </c>
      <c r="K13" s="55">
        <v>46002</v>
      </c>
      <c r="L13" s="55">
        <v>46023</v>
      </c>
      <c r="M13" s="55"/>
      <c r="N13" s="55"/>
      <c r="O13" s="55">
        <v>46023</v>
      </c>
      <c r="P13" s="55"/>
      <c r="Q13" s="55"/>
      <c r="R13" s="54" t="s">
        <v>142</v>
      </c>
      <c r="S13" s="54" t="s">
        <v>950</v>
      </c>
      <c r="T13" s="54" t="s">
        <v>129</v>
      </c>
      <c r="U13" s="54" t="s">
        <v>90</v>
      </c>
      <c r="V13" s="54" t="s">
        <v>122</v>
      </c>
      <c r="W13" s="54" t="s">
        <v>123</v>
      </c>
      <c r="X13" s="54">
        <v>-5062.49</v>
      </c>
      <c r="Y13" s="54">
        <v>-506.24</v>
      </c>
      <c r="Z13" s="54">
        <v>-404.99</v>
      </c>
      <c r="AA13" s="54">
        <v>0</v>
      </c>
      <c r="AB13" s="54"/>
      <c r="AC13" s="54">
        <v>0</v>
      </c>
      <c r="AD13" s="54"/>
      <c r="AE13" s="54">
        <v>0</v>
      </c>
      <c r="AF13" s="54"/>
      <c r="AG13" s="54">
        <v>0</v>
      </c>
      <c r="AH13" s="54"/>
      <c r="AI13" s="56">
        <v>0</v>
      </c>
    </row>
    <row r="14" spans="1:35" s="30" customFormat="1" x14ac:dyDescent="0.25">
      <c r="A14" s="53" t="s">
        <v>110</v>
      </c>
      <c r="B14" s="54" t="s">
        <v>664</v>
      </c>
      <c r="C14" s="54" t="s">
        <v>2398</v>
      </c>
      <c r="D14" s="54">
        <v>27367</v>
      </c>
      <c r="E14" s="54" t="s">
        <v>2935</v>
      </c>
      <c r="F14" s="54" t="s">
        <v>2936</v>
      </c>
      <c r="G14" s="54" t="s">
        <v>115</v>
      </c>
      <c r="H14" s="54" t="s">
        <v>116</v>
      </c>
      <c r="I14" s="54" t="s">
        <v>117</v>
      </c>
      <c r="J14" s="54" t="s">
        <v>2195</v>
      </c>
      <c r="K14" s="55">
        <v>46002</v>
      </c>
      <c r="L14" s="55">
        <v>46023</v>
      </c>
      <c r="M14" s="55"/>
      <c r="N14" s="55"/>
      <c r="O14" s="55">
        <v>46069</v>
      </c>
      <c r="P14" s="55"/>
      <c r="Q14" s="55"/>
      <c r="R14" s="54" t="s">
        <v>142</v>
      </c>
      <c r="S14" s="54" t="s">
        <v>2352</v>
      </c>
      <c r="T14" s="54" t="s">
        <v>177</v>
      </c>
      <c r="U14" s="54" t="s">
        <v>81</v>
      </c>
      <c r="V14" s="54" t="s">
        <v>122</v>
      </c>
      <c r="W14" s="54" t="s">
        <v>123</v>
      </c>
      <c r="X14" s="54">
        <v>-224.11</v>
      </c>
      <c r="Y14" s="54">
        <v>-20.170000000000002</v>
      </c>
      <c r="Z14" s="54">
        <v>-15.69</v>
      </c>
      <c r="AA14" s="54">
        <v>0</v>
      </c>
      <c r="AB14" s="54"/>
      <c r="AC14" s="54">
        <v>0</v>
      </c>
      <c r="AD14" s="54"/>
      <c r="AE14" s="54">
        <v>0</v>
      </c>
      <c r="AF14" s="54"/>
      <c r="AG14" s="54">
        <v>0</v>
      </c>
      <c r="AH14" s="54"/>
      <c r="AI14" s="56">
        <v>0</v>
      </c>
    </row>
    <row r="15" spans="1:35" s="30" customFormat="1" x14ac:dyDescent="0.25">
      <c r="A15" s="53" t="s">
        <v>110</v>
      </c>
      <c r="B15" s="54" t="s">
        <v>2240</v>
      </c>
      <c r="C15" s="54" t="s">
        <v>2241</v>
      </c>
      <c r="D15" s="54">
        <v>7761</v>
      </c>
      <c r="E15" s="54" t="s">
        <v>2242</v>
      </c>
      <c r="F15" s="54" t="s">
        <v>2243</v>
      </c>
      <c r="G15" s="54" t="s">
        <v>115</v>
      </c>
      <c r="H15" s="54" t="s">
        <v>116</v>
      </c>
      <c r="I15" s="54" t="s">
        <v>117</v>
      </c>
      <c r="J15" s="54" t="s">
        <v>2195</v>
      </c>
      <c r="K15" s="55">
        <v>46003</v>
      </c>
      <c r="L15" s="55">
        <v>46050</v>
      </c>
      <c r="M15" s="55"/>
      <c r="N15" s="55"/>
      <c r="O15" s="55">
        <v>46024</v>
      </c>
      <c r="P15" s="55"/>
      <c r="Q15" s="55"/>
      <c r="R15" s="54" t="s">
        <v>142</v>
      </c>
      <c r="S15" s="54" t="s">
        <v>508</v>
      </c>
      <c r="T15" s="54" t="s">
        <v>198</v>
      </c>
      <c r="U15" s="54" t="s">
        <v>94</v>
      </c>
      <c r="V15" s="54" t="s">
        <v>509</v>
      </c>
      <c r="W15" s="54" t="s">
        <v>123</v>
      </c>
      <c r="X15" s="54">
        <v>-903.58</v>
      </c>
      <c r="Y15" s="54">
        <v>-108.43</v>
      </c>
      <c r="Z15" s="54">
        <v>-108.43</v>
      </c>
      <c r="AA15" s="54">
        <v>0</v>
      </c>
      <c r="AB15" s="54"/>
      <c r="AC15" s="54">
        <v>0</v>
      </c>
      <c r="AD15" s="54"/>
      <c r="AE15" s="54">
        <v>0</v>
      </c>
      <c r="AF15" s="54"/>
      <c r="AG15" s="54">
        <v>0</v>
      </c>
      <c r="AH15" s="54"/>
      <c r="AI15" s="56">
        <v>0</v>
      </c>
    </row>
    <row r="16" spans="1:35" s="30" customFormat="1" x14ac:dyDescent="0.25">
      <c r="A16" s="53" t="s">
        <v>110</v>
      </c>
      <c r="B16" s="54" t="s">
        <v>2256</v>
      </c>
      <c r="C16" s="54" t="s">
        <v>2257</v>
      </c>
      <c r="D16" s="54">
        <v>30346</v>
      </c>
      <c r="E16" s="54" t="s">
        <v>2258</v>
      </c>
      <c r="F16" s="54" t="s">
        <v>2259</v>
      </c>
      <c r="G16" s="54" t="s">
        <v>115</v>
      </c>
      <c r="H16" s="54" t="s">
        <v>116</v>
      </c>
      <c r="I16" s="54" t="s">
        <v>117</v>
      </c>
      <c r="J16" s="54" t="s">
        <v>2195</v>
      </c>
      <c r="K16" s="55">
        <v>46003</v>
      </c>
      <c r="L16" s="55">
        <v>46023</v>
      </c>
      <c r="M16" s="55"/>
      <c r="N16" s="55"/>
      <c r="O16" s="55">
        <v>46040</v>
      </c>
      <c r="P16" s="55">
        <v>46044</v>
      </c>
      <c r="Q16" s="55"/>
      <c r="R16" s="54" t="s">
        <v>142</v>
      </c>
      <c r="S16" s="54" t="s">
        <v>598</v>
      </c>
      <c r="T16" s="54" t="s">
        <v>129</v>
      </c>
      <c r="U16" s="54" t="s">
        <v>90</v>
      </c>
      <c r="V16" s="54" t="s">
        <v>509</v>
      </c>
      <c r="W16" s="54" t="s">
        <v>123</v>
      </c>
      <c r="X16" s="54">
        <v>-637.42999999999995</v>
      </c>
      <c r="Y16" s="54">
        <v>-50.99</v>
      </c>
      <c r="Z16" s="54">
        <v>-50.99</v>
      </c>
      <c r="AA16" s="54">
        <v>0</v>
      </c>
      <c r="AB16" s="54"/>
      <c r="AC16" s="54">
        <v>0</v>
      </c>
      <c r="AD16" s="54" t="s">
        <v>2260</v>
      </c>
      <c r="AE16" s="54">
        <v>-35.69</v>
      </c>
      <c r="AF16" s="54"/>
      <c r="AG16" s="54">
        <v>0</v>
      </c>
      <c r="AH16" s="54"/>
      <c r="AI16" s="56">
        <v>0</v>
      </c>
    </row>
    <row r="17" spans="1:35" s="30" customFormat="1" x14ac:dyDescent="0.25">
      <c r="A17" s="53" t="s">
        <v>110</v>
      </c>
      <c r="B17" s="54" t="s">
        <v>156</v>
      </c>
      <c r="C17" s="54" t="s">
        <v>2227</v>
      </c>
      <c r="D17" s="54">
        <v>20953</v>
      </c>
      <c r="E17" s="54" t="s">
        <v>2228</v>
      </c>
      <c r="F17" s="54" t="s">
        <v>2229</v>
      </c>
      <c r="G17" s="54" t="s">
        <v>115</v>
      </c>
      <c r="H17" s="54" t="s">
        <v>160</v>
      </c>
      <c r="I17" s="54" t="s">
        <v>117</v>
      </c>
      <c r="J17" s="54" t="s">
        <v>2195</v>
      </c>
      <c r="K17" s="55">
        <v>46003</v>
      </c>
      <c r="L17" s="55">
        <v>46023</v>
      </c>
      <c r="M17" s="55"/>
      <c r="N17" s="55">
        <v>46082</v>
      </c>
      <c r="O17" s="55">
        <v>46023</v>
      </c>
      <c r="P17" s="55"/>
      <c r="Q17" s="55"/>
      <c r="R17" s="54" t="s">
        <v>187</v>
      </c>
      <c r="S17" s="54" t="s">
        <v>442</v>
      </c>
      <c r="T17" s="54" t="s">
        <v>442</v>
      </c>
      <c r="U17" s="54" t="s">
        <v>81</v>
      </c>
      <c r="V17" s="54" t="s">
        <v>509</v>
      </c>
      <c r="W17" s="54" t="s">
        <v>123</v>
      </c>
      <c r="X17" s="54">
        <v>-324.08</v>
      </c>
      <c r="Y17" s="54">
        <v>-25.92</v>
      </c>
      <c r="Z17" s="54">
        <v>-25.92</v>
      </c>
      <c r="AA17" s="54">
        <v>0</v>
      </c>
      <c r="AB17" s="54"/>
      <c r="AC17" s="54">
        <v>0</v>
      </c>
      <c r="AD17" s="54"/>
      <c r="AE17" s="54">
        <v>0</v>
      </c>
      <c r="AF17" s="54"/>
      <c r="AG17" s="54">
        <v>0</v>
      </c>
      <c r="AH17" s="54"/>
      <c r="AI17" s="56">
        <v>0</v>
      </c>
    </row>
    <row r="18" spans="1:35" s="30" customFormat="1" x14ac:dyDescent="0.25">
      <c r="A18" s="53" t="s">
        <v>110</v>
      </c>
      <c r="B18" s="54" t="s">
        <v>156</v>
      </c>
      <c r="C18" s="54" t="s">
        <v>2230</v>
      </c>
      <c r="D18" s="54">
        <v>22697</v>
      </c>
      <c r="E18" s="54" t="s">
        <v>2231</v>
      </c>
      <c r="F18" s="54" t="s">
        <v>2232</v>
      </c>
      <c r="G18" s="54" t="s">
        <v>115</v>
      </c>
      <c r="H18" s="54" t="s">
        <v>160</v>
      </c>
      <c r="I18" s="54" t="s">
        <v>117</v>
      </c>
      <c r="J18" s="54" t="s">
        <v>2195</v>
      </c>
      <c r="K18" s="55">
        <v>46003</v>
      </c>
      <c r="L18" s="55">
        <v>46023</v>
      </c>
      <c r="M18" s="55"/>
      <c r="N18" s="55">
        <v>46082</v>
      </c>
      <c r="O18" s="55">
        <v>46023</v>
      </c>
      <c r="P18" s="55"/>
      <c r="Q18" s="55"/>
      <c r="R18" s="54" t="s">
        <v>187</v>
      </c>
      <c r="S18" s="54" t="s">
        <v>543</v>
      </c>
      <c r="T18" s="54" t="s">
        <v>177</v>
      </c>
      <c r="U18" s="54" t="s">
        <v>81</v>
      </c>
      <c r="V18" s="54" t="s">
        <v>509</v>
      </c>
      <c r="W18" s="54" t="s">
        <v>123</v>
      </c>
      <c r="X18" s="54">
        <v>-48.7</v>
      </c>
      <c r="Y18" s="54">
        <v>-2.76</v>
      </c>
      <c r="Z18" s="54">
        <v>-2.76</v>
      </c>
      <c r="AA18" s="54">
        <v>0</v>
      </c>
      <c r="AB18" s="54"/>
      <c r="AC18" s="54">
        <v>0</v>
      </c>
      <c r="AD18" s="54"/>
      <c r="AE18" s="54">
        <v>0</v>
      </c>
      <c r="AF18" s="54"/>
      <c r="AG18" s="54">
        <v>0</v>
      </c>
      <c r="AH18" s="54"/>
      <c r="AI18" s="56">
        <v>0</v>
      </c>
    </row>
    <row r="19" spans="1:35" s="30" customFormat="1" x14ac:dyDescent="0.25">
      <c r="A19" s="57" t="s">
        <v>110</v>
      </c>
      <c r="B19" s="58" t="s">
        <v>156</v>
      </c>
      <c r="C19" s="58" t="s">
        <v>2233</v>
      </c>
      <c r="D19" s="58">
        <v>22698</v>
      </c>
      <c r="E19" s="58" t="s">
        <v>2234</v>
      </c>
      <c r="F19" s="58" t="s">
        <v>2235</v>
      </c>
      <c r="G19" s="58" t="s">
        <v>115</v>
      </c>
      <c r="H19" s="58" t="s">
        <v>160</v>
      </c>
      <c r="I19" s="58" t="s">
        <v>117</v>
      </c>
      <c r="J19" s="58" t="s">
        <v>2195</v>
      </c>
      <c r="K19" s="59">
        <v>46003</v>
      </c>
      <c r="L19" s="59">
        <v>46023</v>
      </c>
      <c r="M19" s="59"/>
      <c r="N19" s="59">
        <v>46082</v>
      </c>
      <c r="O19" s="59">
        <v>46023</v>
      </c>
      <c r="P19" s="59"/>
      <c r="Q19" s="59"/>
      <c r="R19" s="58" t="s">
        <v>187</v>
      </c>
      <c r="S19" s="58" t="s">
        <v>543</v>
      </c>
      <c r="T19" s="58" t="s">
        <v>177</v>
      </c>
      <c r="U19" s="54" t="s">
        <v>81</v>
      </c>
      <c r="V19" s="58" t="s">
        <v>509</v>
      </c>
      <c r="W19" s="58" t="s">
        <v>123</v>
      </c>
      <c r="X19" s="58">
        <v>-48.7</v>
      </c>
      <c r="Y19" s="58">
        <v>-2.76</v>
      </c>
      <c r="Z19" s="58">
        <v>-2.76</v>
      </c>
      <c r="AA19" s="58">
        <v>0</v>
      </c>
      <c r="AB19" s="58"/>
      <c r="AC19" s="58">
        <v>0</v>
      </c>
      <c r="AD19" s="58"/>
      <c r="AE19" s="58">
        <v>0</v>
      </c>
      <c r="AF19" s="58"/>
      <c r="AG19" s="58">
        <v>0</v>
      </c>
      <c r="AH19" s="58"/>
      <c r="AI19" s="60">
        <v>0</v>
      </c>
    </row>
    <row r="20" spans="1:35" s="30" customFormat="1" x14ac:dyDescent="0.25">
      <c r="A20" s="57" t="s">
        <v>110</v>
      </c>
      <c r="B20" s="58" t="s">
        <v>178</v>
      </c>
      <c r="C20" s="58" t="s">
        <v>2244</v>
      </c>
      <c r="D20" s="58">
        <v>21210</v>
      </c>
      <c r="E20" s="58" t="s">
        <v>2245</v>
      </c>
      <c r="F20" s="58" t="s">
        <v>2246</v>
      </c>
      <c r="G20" s="58" t="s">
        <v>115</v>
      </c>
      <c r="H20" s="58" t="s">
        <v>160</v>
      </c>
      <c r="I20" s="58" t="s">
        <v>117</v>
      </c>
      <c r="J20" s="58" t="s">
        <v>2195</v>
      </c>
      <c r="K20" s="59">
        <v>46003</v>
      </c>
      <c r="L20" s="59">
        <v>46023</v>
      </c>
      <c r="M20" s="59"/>
      <c r="N20" s="59">
        <v>46082</v>
      </c>
      <c r="O20" s="59">
        <v>46029</v>
      </c>
      <c r="P20" s="59"/>
      <c r="Q20" s="59"/>
      <c r="R20" s="58" t="s">
        <v>187</v>
      </c>
      <c r="S20" s="58" t="s">
        <v>997</v>
      </c>
      <c r="T20" s="58" t="s">
        <v>998</v>
      </c>
      <c r="U20" s="54" t="s">
        <v>91</v>
      </c>
      <c r="V20" s="58" t="s">
        <v>509</v>
      </c>
      <c r="W20" s="58" t="s">
        <v>123</v>
      </c>
      <c r="X20" s="58">
        <v>-207.7</v>
      </c>
      <c r="Y20" s="58">
        <v>-16.62</v>
      </c>
      <c r="Z20" s="58">
        <v>-16.62</v>
      </c>
      <c r="AA20" s="58">
        <v>0</v>
      </c>
      <c r="AB20" s="58"/>
      <c r="AC20" s="58">
        <v>0</v>
      </c>
      <c r="AD20" s="58"/>
      <c r="AE20" s="58">
        <v>0</v>
      </c>
      <c r="AF20" s="58"/>
      <c r="AG20" s="58">
        <v>0</v>
      </c>
      <c r="AH20" s="58"/>
      <c r="AI20" s="60">
        <v>0</v>
      </c>
    </row>
    <row r="21" spans="1:35" s="30" customFormat="1" x14ac:dyDescent="0.25">
      <c r="A21" s="53" t="s">
        <v>110</v>
      </c>
      <c r="B21" s="54" t="s">
        <v>178</v>
      </c>
      <c r="C21" s="54" t="s">
        <v>2247</v>
      </c>
      <c r="D21" s="54">
        <v>21211</v>
      </c>
      <c r="E21" s="54" t="s">
        <v>2248</v>
      </c>
      <c r="F21" s="54" t="s">
        <v>2249</v>
      </c>
      <c r="G21" s="54" t="s">
        <v>115</v>
      </c>
      <c r="H21" s="54" t="s">
        <v>160</v>
      </c>
      <c r="I21" s="54" t="s">
        <v>117</v>
      </c>
      <c r="J21" s="54" t="s">
        <v>2195</v>
      </c>
      <c r="K21" s="55">
        <v>46003</v>
      </c>
      <c r="L21" s="55">
        <v>46023</v>
      </c>
      <c r="M21" s="55"/>
      <c r="N21" s="55">
        <v>46082</v>
      </c>
      <c r="O21" s="55">
        <v>46029</v>
      </c>
      <c r="P21" s="55"/>
      <c r="Q21" s="55"/>
      <c r="R21" s="54" t="s">
        <v>187</v>
      </c>
      <c r="S21" s="54" t="s">
        <v>997</v>
      </c>
      <c r="T21" s="54" t="s">
        <v>998</v>
      </c>
      <c r="U21" s="54" t="s">
        <v>91</v>
      </c>
      <c r="V21" s="54" t="s">
        <v>509</v>
      </c>
      <c r="W21" s="54" t="s">
        <v>123</v>
      </c>
      <c r="X21" s="54">
        <v>-207.7</v>
      </c>
      <c r="Y21" s="54">
        <v>-16.62</v>
      </c>
      <c r="Z21" s="54">
        <v>-16.62</v>
      </c>
      <c r="AA21" s="54">
        <v>0</v>
      </c>
      <c r="AB21" s="54"/>
      <c r="AC21" s="54">
        <v>0</v>
      </c>
      <c r="AD21" s="54"/>
      <c r="AE21" s="54">
        <v>0</v>
      </c>
      <c r="AF21" s="54"/>
      <c r="AG21" s="54">
        <v>0</v>
      </c>
      <c r="AH21" s="54"/>
      <c r="AI21" s="56">
        <v>0</v>
      </c>
    </row>
    <row r="22" spans="1:35" s="30" customFormat="1" x14ac:dyDescent="0.25">
      <c r="A22" s="57" t="s">
        <v>110</v>
      </c>
      <c r="B22" s="58" t="s">
        <v>178</v>
      </c>
      <c r="C22" s="58" t="s">
        <v>2250</v>
      </c>
      <c r="D22" s="58">
        <v>21212</v>
      </c>
      <c r="E22" s="58" t="s">
        <v>2251</v>
      </c>
      <c r="F22" s="58" t="s">
        <v>2252</v>
      </c>
      <c r="G22" s="58" t="s">
        <v>115</v>
      </c>
      <c r="H22" s="58" t="s">
        <v>160</v>
      </c>
      <c r="I22" s="58" t="s">
        <v>117</v>
      </c>
      <c r="J22" s="58" t="s">
        <v>2195</v>
      </c>
      <c r="K22" s="59">
        <v>46003</v>
      </c>
      <c r="L22" s="59">
        <v>46023</v>
      </c>
      <c r="M22" s="59"/>
      <c r="N22" s="59">
        <v>46082</v>
      </c>
      <c r="O22" s="59">
        <v>46029</v>
      </c>
      <c r="P22" s="59"/>
      <c r="Q22" s="59"/>
      <c r="R22" s="58" t="s">
        <v>187</v>
      </c>
      <c r="S22" s="58" t="s">
        <v>997</v>
      </c>
      <c r="T22" s="58" t="s">
        <v>998</v>
      </c>
      <c r="U22" s="54" t="s">
        <v>91</v>
      </c>
      <c r="V22" s="58" t="s">
        <v>509</v>
      </c>
      <c r="W22" s="58" t="s">
        <v>123</v>
      </c>
      <c r="X22" s="58">
        <v>-435.5</v>
      </c>
      <c r="Y22" s="58">
        <v>-34.840000000000003</v>
      </c>
      <c r="Z22" s="58">
        <v>-34.840000000000003</v>
      </c>
      <c r="AA22" s="58">
        <v>0</v>
      </c>
      <c r="AB22" s="58"/>
      <c r="AC22" s="58">
        <v>0</v>
      </c>
      <c r="AD22" s="58"/>
      <c r="AE22" s="58">
        <v>0</v>
      </c>
      <c r="AF22" s="58"/>
      <c r="AG22" s="58">
        <v>0</v>
      </c>
      <c r="AH22" s="58"/>
      <c r="AI22" s="60">
        <v>0</v>
      </c>
    </row>
    <row r="23" spans="1:35" s="30" customFormat="1" x14ac:dyDescent="0.25">
      <c r="A23" s="53" t="s">
        <v>110</v>
      </c>
      <c r="B23" s="54" t="s">
        <v>178</v>
      </c>
      <c r="C23" s="54" t="s">
        <v>2253</v>
      </c>
      <c r="D23" s="54">
        <v>21213</v>
      </c>
      <c r="E23" s="54" t="s">
        <v>2254</v>
      </c>
      <c r="F23" s="54" t="s">
        <v>2255</v>
      </c>
      <c r="G23" s="54" t="s">
        <v>115</v>
      </c>
      <c r="H23" s="54" t="s">
        <v>160</v>
      </c>
      <c r="I23" s="54" t="s">
        <v>117</v>
      </c>
      <c r="J23" s="54" t="s">
        <v>2195</v>
      </c>
      <c r="K23" s="55">
        <v>46003</v>
      </c>
      <c r="L23" s="55">
        <v>46023</v>
      </c>
      <c r="M23" s="55"/>
      <c r="N23" s="55">
        <v>46082</v>
      </c>
      <c r="O23" s="55">
        <v>46029</v>
      </c>
      <c r="P23" s="55"/>
      <c r="Q23" s="55"/>
      <c r="R23" s="54" t="s">
        <v>187</v>
      </c>
      <c r="S23" s="54" t="s">
        <v>997</v>
      </c>
      <c r="T23" s="54" t="s">
        <v>998</v>
      </c>
      <c r="U23" s="54" t="s">
        <v>91</v>
      </c>
      <c r="V23" s="54" t="s">
        <v>509</v>
      </c>
      <c r="W23" s="54" t="s">
        <v>123</v>
      </c>
      <c r="X23" s="54">
        <v>-426.64</v>
      </c>
      <c r="Y23" s="54">
        <v>-34.130000000000003</v>
      </c>
      <c r="Z23" s="54">
        <v>-34.130000000000003</v>
      </c>
      <c r="AA23" s="54">
        <v>0</v>
      </c>
      <c r="AB23" s="54"/>
      <c r="AC23" s="54">
        <v>0</v>
      </c>
      <c r="AD23" s="54"/>
      <c r="AE23" s="54">
        <v>0</v>
      </c>
      <c r="AF23" s="54"/>
      <c r="AG23" s="54">
        <v>0</v>
      </c>
      <c r="AH23" s="54"/>
      <c r="AI23" s="56">
        <v>0</v>
      </c>
    </row>
    <row r="24" spans="1:35" s="30" customFormat="1" x14ac:dyDescent="0.25">
      <c r="A24" s="57" t="s">
        <v>110</v>
      </c>
      <c r="B24" s="58" t="s">
        <v>2236</v>
      </c>
      <c r="C24" s="58" t="s">
        <v>2237</v>
      </c>
      <c r="D24" s="58">
        <v>16813</v>
      </c>
      <c r="E24" s="58" t="s">
        <v>2238</v>
      </c>
      <c r="F24" s="58" t="s">
        <v>2239</v>
      </c>
      <c r="G24" s="58" t="s">
        <v>115</v>
      </c>
      <c r="H24" s="58" t="s">
        <v>160</v>
      </c>
      <c r="I24" s="58" t="s">
        <v>117</v>
      </c>
      <c r="J24" s="58" t="s">
        <v>2195</v>
      </c>
      <c r="K24" s="59">
        <v>46003</v>
      </c>
      <c r="L24" s="59">
        <v>46048</v>
      </c>
      <c r="M24" s="59"/>
      <c r="N24" s="59">
        <v>46082</v>
      </c>
      <c r="O24" s="59">
        <v>46023</v>
      </c>
      <c r="P24" s="59">
        <v>46044</v>
      </c>
      <c r="Q24" s="59"/>
      <c r="R24" s="58" t="s">
        <v>142</v>
      </c>
      <c r="S24" s="58" t="s">
        <v>698</v>
      </c>
      <c r="T24" s="58" t="s">
        <v>698</v>
      </c>
      <c r="U24" s="54" t="s">
        <v>88</v>
      </c>
      <c r="V24" s="58" t="s">
        <v>509</v>
      </c>
      <c r="W24" s="58" t="s">
        <v>123</v>
      </c>
      <c r="X24" s="58">
        <v>-4124.49</v>
      </c>
      <c r="Y24" s="58">
        <v>-824.89</v>
      </c>
      <c r="Z24" s="58">
        <v>-824.89</v>
      </c>
      <c r="AA24" s="58">
        <v>0</v>
      </c>
      <c r="AB24" s="58"/>
      <c r="AC24" s="58">
        <v>0</v>
      </c>
      <c r="AD24" s="58" t="s">
        <v>1359</v>
      </c>
      <c r="AE24" s="58">
        <v>-412.45</v>
      </c>
      <c r="AF24" s="58"/>
      <c r="AG24" s="58">
        <v>0</v>
      </c>
      <c r="AH24" s="58"/>
      <c r="AI24" s="60">
        <v>0</v>
      </c>
    </row>
    <row r="25" spans="1:35" s="30" customFormat="1" x14ac:dyDescent="0.25">
      <c r="A25" s="57" t="s">
        <v>110</v>
      </c>
      <c r="B25" s="58" t="s">
        <v>544</v>
      </c>
      <c r="C25" s="58" t="s">
        <v>2261</v>
      </c>
      <c r="D25" s="58">
        <v>29350</v>
      </c>
      <c r="E25" s="58" t="s">
        <v>2262</v>
      </c>
      <c r="F25" s="58" t="s">
        <v>2263</v>
      </c>
      <c r="G25" s="58" t="s">
        <v>115</v>
      </c>
      <c r="H25" s="58" t="s">
        <v>160</v>
      </c>
      <c r="I25" s="58" t="s">
        <v>117</v>
      </c>
      <c r="J25" s="58" t="s">
        <v>2195</v>
      </c>
      <c r="K25" s="59">
        <v>46011</v>
      </c>
      <c r="L25" s="59">
        <v>46023</v>
      </c>
      <c r="M25" s="59"/>
      <c r="N25" s="59">
        <v>46082</v>
      </c>
      <c r="O25" s="59">
        <v>46023</v>
      </c>
      <c r="P25" s="59"/>
      <c r="Q25" s="59"/>
      <c r="R25" s="58" t="s">
        <v>187</v>
      </c>
      <c r="S25" s="58" t="s">
        <v>543</v>
      </c>
      <c r="T25" s="58" t="s">
        <v>177</v>
      </c>
      <c r="U25" s="54" t="s">
        <v>81</v>
      </c>
      <c r="V25" s="58" t="s">
        <v>509</v>
      </c>
      <c r="W25" s="58" t="s">
        <v>123</v>
      </c>
      <c r="X25" s="58">
        <v>-366.92</v>
      </c>
      <c r="Y25" s="58">
        <v>-14.68</v>
      </c>
      <c r="Z25" s="58">
        <v>-14.68</v>
      </c>
      <c r="AA25" s="58">
        <v>0</v>
      </c>
      <c r="AB25" s="58"/>
      <c r="AC25" s="58">
        <v>0</v>
      </c>
      <c r="AD25" s="58"/>
      <c r="AE25" s="58">
        <v>0</v>
      </c>
      <c r="AF25" s="58"/>
      <c r="AG25" s="58">
        <v>0</v>
      </c>
      <c r="AH25" s="58"/>
      <c r="AI25" s="60">
        <v>0</v>
      </c>
    </row>
    <row r="26" spans="1:35" s="30" customFormat="1" x14ac:dyDescent="0.25">
      <c r="A26" s="57" t="s">
        <v>110</v>
      </c>
      <c r="B26" s="58" t="s">
        <v>544</v>
      </c>
      <c r="C26" s="58" t="s">
        <v>2264</v>
      </c>
      <c r="D26" s="58">
        <v>29362</v>
      </c>
      <c r="E26" s="58" t="s">
        <v>2265</v>
      </c>
      <c r="F26" s="58" t="s">
        <v>2266</v>
      </c>
      <c r="G26" s="58" t="s">
        <v>115</v>
      </c>
      <c r="H26" s="58" t="s">
        <v>160</v>
      </c>
      <c r="I26" s="58" t="s">
        <v>117</v>
      </c>
      <c r="J26" s="58" t="s">
        <v>2195</v>
      </c>
      <c r="K26" s="59">
        <v>46011</v>
      </c>
      <c r="L26" s="59">
        <v>46023</v>
      </c>
      <c r="M26" s="59"/>
      <c r="N26" s="59">
        <v>46082</v>
      </c>
      <c r="O26" s="59">
        <v>46023</v>
      </c>
      <c r="P26" s="59"/>
      <c r="Q26" s="59"/>
      <c r="R26" s="58" t="s">
        <v>187</v>
      </c>
      <c r="S26" s="58" t="s">
        <v>543</v>
      </c>
      <c r="T26" s="58" t="s">
        <v>177</v>
      </c>
      <c r="U26" s="54" t="s">
        <v>81</v>
      </c>
      <c r="V26" s="58" t="s">
        <v>509</v>
      </c>
      <c r="W26" s="58" t="s">
        <v>123</v>
      </c>
      <c r="X26" s="58">
        <v>-366.92</v>
      </c>
      <c r="Y26" s="58">
        <v>-14.68</v>
      </c>
      <c r="Z26" s="58">
        <v>-14.68</v>
      </c>
      <c r="AA26" s="58">
        <v>0</v>
      </c>
      <c r="AB26" s="58"/>
      <c r="AC26" s="58">
        <v>0</v>
      </c>
      <c r="AD26" s="58"/>
      <c r="AE26" s="58">
        <v>0</v>
      </c>
      <c r="AF26" s="58"/>
      <c r="AG26" s="58">
        <v>0</v>
      </c>
      <c r="AH26" s="58"/>
      <c r="AI26" s="60">
        <v>0</v>
      </c>
    </row>
    <row r="27" spans="1:35" s="30" customFormat="1" x14ac:dyDescent="0.25">
      <c r="A27" s="53" t="s">
        <v>110</v>
      </c>
      <c r="B27" s="54" t="s">
        <v>544</v>
      </c>
      <c r="C27" s="54" t="s">
        <v>2267</v>
      </c>
      <c r="D27" s="54">
        <v>29388</v>
      </c>
      <c r="E27" s="54" t="s">
        <v>2268</v>
      </c>
      <c r="F27" s="54" t="s">
        <v>2269</v>
      </c>
      <c r="G27" s="54" t="s">
        <v>115</v>
      </c>
      <c r="H27" s="54" t="s">
        <v>160</v>
      </c>
      <c r="I27" s="54" t="s">
        <v>117</v>
      </c>
      <c r="J27" s="54" t="s">
        <v>2195</v>
      </c>
      <c r="K27" s="55">
        <v>46011</v>
      </c>
      <c r="L27" s="55">
        <v>46023</v>
      </c>
      <c r="M27" s="55"/>
      <c r="N27" s="55">
        <v>46082</v>
      </c>
      <c r="O27" s="55">
        <v>46023</v>
      </c>
      <c r="P27" s="55"/>
      <c r="Q27" s="55"/>
      <c r="R27" s="54" t="s">
        <v>187</v>
      </c>
      <c r="S27" s="54" t="s">
        <v>543</v>
      </c>
      <c r="T27" s="54" t="s">
        <v>177</v>
      </c>
      <c r="U27" s="54" t="s">
        <v>81</v>
      </c>
      <c r="V27" s="54" t="s">
        <v>509</v>
      </c>
      <c r="W27" s="54" t="s">
        <v>123</v>
      </c>
      <c r="X27" s="54">
        <v>-366.92</v>
      </c>
      <c r="Y27" s="54">
        <v>-14.68</v>
      </c>
      <c r="Z27" s="54">
        <v>-14.68</v>
      </c>
      <c r="AA27" s="54">
        <v>0</v>
      </c>
      <c r="AB27" s="54"/>
      <c r="AC27" s="54">
        <v>0</v>
      </c>
      <c r="AD27" s="54"/>
      <c r="AE27" s="54">
        <v>0</v>
      </c>
      <c r="AF27" s="54"/>
      <c r="AG27" s="54">
        <v>0</v>
      </c>
      <c r="AH27" s="54"/>
      <c r="AI27" s="56">
        <v>0</v>
      </c>
    </row>
    <row r="28" spans="1:35" s="30" customFormat="1" x14ac:dyDescent="0.25">
      <c r="A28" s="53" t="s">
        <v>110</v>
      </c>
      <c r="B28" s="54" t="s">
        <v>544</v>
      </c>
      <c r="C28" s="54" t="s">
        <v>2270</v>
      </c>
      <c r="D28" s="54">
        <v>29390</v>
      </c>
      <c r="E28" s="54" t="s">
        <v>2271</v>
      </c>
      <c r="F28" s="54" t="s">
        <v>2272</v>
      </c>
      <c r="G28" s="54" t="s">
        <v>115</v>
      </c>
      <c r="H28" s="54" t="s">
        <v>160</v>
      </c>
      <c r="I28" s="54" t="s">
        <v>117</v>
      </c>
      <c r="J28" s="54" t="s">
        <v>2195</v>
      </c>
      <c r="K28" s="55">
        <v>46011</v>
      </c>
      <c r="L28" s="55">
        <v>46023</v>
      </c>
      <c r="M28" s="55"/>
      <c r="N28" s="55">
        <v>46082</v>
      </c>
      <c r="O28" s="55">
        <v>46023</v>
      </c>
      <c r="P28" s="55"/>
      <c r="Q28" s="55"/>
      <c r="R28" s="54" t="s">
        <v>187</v>
      </c>
      <c r="S28" s="54" t="s">
        <v>543</v>
      </c>
      <c r="T28" s="54" t="s">
        <v>177</v>
      </c>
      <c r="U28" s="54" t="s">
        <v>81</v>
      </c>
      <c r="V28" s="54" t="s">
        <v>509</v>
      </c>
      <c r="W28" s="54" t="s">
        <v>123</v>
      </c>
      <c r="X28" s="54">
        <v>-366.92</v>
      </c>
      <c r="Y28" s="54">
        <v>-14.68</v>
      </c>
      <c r="Z28" s="54">
        <v>-14.68</v>
      </c>
      <c r="AA28" s="54">
        <v>0</v>
      </c>
      <c r="AB28" s="54"/>
      <c r="AC28" s="54">
        <v>0</v>
      </c>
      <c r="AD28" s="54"/>
      <c r="AE28" s="54">
        <v>0</v>
      </c>
      <c r="AF28" s="54"/>
      <c r="AG28" s="54">
        <v>0</v>
      </c>
      <c r="AH28" s="54"/>
      <c r="AI28" s="56">
        <v>0</v>
      </c>
    </row>
    <row r="29" spans="1:35" s="30" customFormat="1" x14ac:dyDescent="0.25">
      <c r="A29" s="53" t="s">
        <v>110</v>
      </c>
      <c r="B29" s="54" t="s">
        <v>544</v>
      </c>
      <c r="C29" s="54" t="s">
        <v>2273</v>
      </c>
      <c r="D29" s="54">
        <v>29406</v>
      </c>
      <c r="E29" s="54" t="s">
        <v>2274</v>
      </c>
      <c r="F29" s="54" t="s">
        <v>2275</v>
      </c>
      <c r="G29" s="54" t="s">
        <v>115</v>
      </c>
      <c r="H29" s="54" t="s">
        <v>160</v>
      </c>
      <c r="I29" s="54" t="s">
        <v>117</v>
      </c>
      <c r="J29" s="54" t="s">
        <v>2195</v>
      </c>
      <c r="K29" s="55">
        <v>46011</v>
      </c>
      <c r="L29" s="55">
        <v>46023</v>
      </c>
      <c r="M29" s="55"/>
      <c r="N29" s="55">
        <v>46082</v>
      </c>
      <c r="O29" s="55">
        <v>46023</v>
      </c>
      <c r="P29" s="55"/>
      <c r="Q29" s="55"/>
      <c r="R29" s="54" t="s">
        <v>187</v>
      </c>
      <c r="S29" s="54" t="s">
        <v>543</v>
      </c>
      <c r="T29" s="54" t="s">
        <v>177</v>
      </c>
      <c r="U29" s="54" t="s">
        <v>81</v>
      </c>
      <c r="V29" s="54" t="s">
        <v>509</v>
      </c>
      <c r="W29" s="54" t="s">
        <v>123</v>
      </c>
      <c r="X29" s="54">
        <v>-366.92</v>
      </c>
      <c r="Y29" s="54">
        <v>-14.68</v>
      </c>
      <c r="Z29" s="54">
        <v>-14.68</v>
      </c>
      <c r="AA29" s="54">
        <v>0</v>
      </c>
      <c r="AB29" s="54"/>
      <c r="AC29" s="54">
        <v>0</v>
      </c>
      <c r="AD29" s="54"/>
      <c r="AE29" s="54">
        <v>0</v>
      </c>
      <c r="AF29" s="54"/>
      <c r="AG29" s="54">
        <v>0</v>
      </c>
      <c r="AH29" s="54"/>
      <c r="AI29" s="56">
        <v>0</v>
      </c>
    </row>
    <row r="30" spans="1:35" s="30" customFormat="1" x14ac:dyDescent="0.25">
      <c r="A30" s="53" t="s">
        <v>110</v>
      </c>
      <c r="B30" s="54" t="s">
        <v>544</v>
      </c>
      <c r="C30" s="54" t="s">
        <v>2276</v>
      </c>
      <c r="D30" s="54">
        <v>29624</v>
      </c>
      <c r="E30" s="54" t="s">
        <v>2277</v>
      </c>
      <c r="F30" s="54" t="s">
        <v>2278</v>
      </c>
      <c r="G30" s="54" t="s">
        <v>115</v>
      </c>
      <c r="H30" s="54" t="s">
        <v>160</v>
      </c>
      <c r="I30" s="54" t="s">
        <v>117</v>
      </c>
      <c r="J30" s="54" t="s">
        <v>2195</v>
      </c>
      <c r="K30" s="55">
        <v>46011</v>
      </c>
      <c r="L30" s="55">
        <v>46023</v>
      </c>
      <c r="M30" s="55"/>
      <c r="N30" s="55">
        <v>46082</v>
      </c>
      <c r="O30" s="55">
        <v>46023</v>
      </c>
      <c r="P30" s="55"/>
      <c r="Q30" s="55"/>
      <c r="R30" s="54" t="s">
        <v>187</v>
      </c>
      <c r="S30" s="54" t="s">
        <v>543</v>
      </c>
      <c r="T30" s="54" t="s">
        <v>177</v>
      </c>
      <c r="U30" s="54" t="s">
        <v>81</v>
      </c>
      <c r="V30" s="54" t="s">
        <v>509</v>
      </c>
      <c r="W30" s="54" t="s">
        <v>123</v>
      </c>
      <c r="X30" s="54">
        <v>-366.92</v>
      </c>
      <c r="Y30" s="54">
        <v>-14.68</v>
      </c>
      <c r="Z30" s="54">
        <v>-14.68</v>
      </c>
      <c r="AA30" s="54">
        <v>0</v>
      </c>
      <c r="AB30" s="54"/>
      <c r="AC30" s="54">
        <v>0</v>
      </c>
      <c r="AD30" s="54"/>
      <c r="AE30" s="54">
        <v>0</v>
      </c>
      <c r="AF30" s="54"/>
      <c r="AG30" s="54">
        <v>0</v>
      </c>
      <c r="AH30" s="54"/>
      <c r="AI30" s="56">
        <v>0</v>
      </c>
    </row>
    <row r="31" spans="1:35" s="30" customFormat="1" x14ac:dyDescent="0.25">
      <c r="A31" s="57" t="s">
        <v>110</v>
      </c>
      <c r="B31" s="58" t="s">
        <v>544</v>
      </c>
      <c r="C31" s="58" t="s">
        <v>2279</v>
      </c>
      <c r="D31" s="58">
        <v>29626</v>
      </c>
      <c r="E31" s="58" t="s">
        <v>2280</v>
      </c>
      <c r="F31" s="58" t="s">
        <v>2281</v>
      </c>
      <c r="G31" s="58" t="s">
        <v>115</v>
      </c>
      <c r="H31" s="58" t="s">
        <v>160</v>
      </c>
      <c r="I31" s="58" t="s">
        <v>117</v>
      </c>
      <c r="J31" s="58" t="s">
        <v>2195</v>
      </c>
      <c r="K31" s="59">
        <v>46011</v>
      </c>
      <c r="L31" s="59">
        <v>46023</v>
      </c>
      <c r="M31" s="59"/>
      <c r="N31" s="59">
        <v>46082</v>
      </c>
      <c r="O31" s="59">
        <v>46023</v>
      </c>
      <c r="P31" s="59"/>
      <c r="Q31" s="59"/>
      <c r="R31" s="58" t="s">
        <v>187</v>
      </c>
      <c r="S31" s="58" t="s">
        <v>543</v>
      </c>
      <c r="T31" s="58" t="s">
        <v>177</v>
      </c>
      <c r="U31" s="54" t="s">
        <v>81</v>
      </c>
      <c r="V31" s="58" t="s">
        <v>509</v>
      </c>
      <c r="W31" s="58" t="s">
        <v>123</v>
      </c>
      <c r="X31" s="58">
        <v>-366.92</v>
      </c>
      <c r="Y31" s="58">
        <v>-14.68</v>
      </c>
      <c r="Z31" s="58">
        <v>-14.68</v>
      </c>
      <c r="AA31" s="58">
        <v>0</v>
      </c>
      <c r="AB31" s="58"/>
      <c r="AC31" s="58">
        <v>0</v>
      </c>
      <c r="AD31" s="58"/>
      <c r="AE31" s="58">
        <v>0</v>
      </c>
      <c r="AF31" s="58"/>
      <c r="AG31" s="58">
        <v>0</v>
      </c>
      <c r="AH31" s="58"/>
      <c r="AI31" s="60">
        <v>0</v>
      </c>
    </row>
    <row r="32" spans="1:35" s="30" customFormat="1" x14ac:dyDescent="0.25">
      <c r="A32" s="53" t="s">
        <v>110</v>
      </c>
      <c r="B32" s="54" t="s">
        <v>544</v>
      </c>
      <c r="C32" s="54" t="s">
        <v>2282</v>
      </c>
      <c r="D32" s="54">
        <v>29627</v>
      </c>
      <c r="E32" s="54" t="s">
        <v>2283</v>
      </c>
      <c r="F32" s="54" t="s">
        <v>2284</v>
      </c>
      <c r="G32" s="54" t="s">
        <v>115</v>
      </c>
      <c r="H32" s="54" t="s">
        <v>160</v>
      </c>
      <c r="I32" s="54" t="s">
        <v>117</v>
      </c>
      <c r="J32" s="54" t="s">
        <v>2195</v>
      </c>
      <c r="K32" s="55">
        <v>46011</v>
      </c>
      <c r="L32" s="55">
        <v>46023</v>
      </c>
      <c r="M32" s="55"/>
      <c r="N32" s="55">
        <v>46082</v>
      </c>
      <c r="O32" s="55">
        <v>46023</v>
      </c>
      <c r="P32" s="55"/>
      <c r="Q32" s="55"/>
      <c r="R32" s="54" t="s">
        <v>187</v>
      </c>
      <c r="S32" s="54" t="s">
        <v>543</v>
      </c>
      <c r="T32" s="54" t="s">
        <v>177</v>
      </c>
      <c r="U32" s="54" t="s">
        <v>81</v>
      </c>
      <c r="V32" s="54" t="s">
        <v>509</v>
      </c>
      <c r="W32" s="54" t="s">
        <v>123</v>
      </c>
      <c r="X32" s="54">
        <v>-366.92</v>
      </c>
      <c r="Y32" s="54">
        <v>-14.68</v>
      </c>
      <c r="Z32" s="54">
        <v>-14.68</v>
      </c>
      <c r="AA32" s="54">
        <v>0</v>
      </c>
      <c r="AB32" s="54"/>
      <c r="AC32" s="54">
        <v>0</v>
      </c>
      <c r="AD32" s="54"/>
      <c r="AE32" s="54">
        <v>0</v>
      </c>
      <c r="AF32" s="54"/>
      <c r="AG32" s="54">
        <v>0</v>
      </c>
      <c r="AH32" s="54"/>
      <c r="AI32" s="56">
        <v>0</v>
      </c>
    </row>
    <row r="33" spans="1:35" s="30" customFormat="1" x14ac:dyDescent="0.25">
      <c r="A33" s="53" t="s">
        <v>110</v>
      </c>
      <c r="B33" s="54" t="s">
        <v>544</v>
      </c>
      <c r="C33" s="54" t="s">
        <v>2285</v>
      </c>
      <c r="D33" s="54">
        <v>29638</v>
      </c>
      <c r="E33" s="54" t="s">
        <v>2286</v>
      </c>
      <c r="F33" s="54" t="s">
        <v>2287</v>
      </c>
      <c r="G33" s="54" t="s">
        <v>115</v>
      </c>
      <c r="H33" s="54" t="s">
        <v>160</v>
      </c>
      <c r="I33" s="54" t="s">
        <v>117</v>
      </c>
      <c r="J33" s="54" t="s">
        <v>2195</v>
      </c>
      <c r="K33" s="55">
        <v>46011</v>
      </c>
      <c r="L33" s="55">
        <v>46023</v>
      </c>
      <c r="M33" s="55"/>
      <c r="N33" s="55">
        <v>46082</v>
      </c>
      <c r="O33" s="55">
        <v>46023</v>
      </c>
      <c r="P33" s="55"/>
      <c r="Q33" s="55"/>
      <c r="R33" s="54" t="s">
        <v>187</v>
      </c>
      <c r="S33" s="54" t="s">
        <v>543</v>
      </c>
      <c r="T33" s="54" t="s">
        <v>177</v>
      </c>
      <c r="U33" s="54" t="s">
        <v>81</v>
      </c>
      <c r="V33" s="54" t="s">
        <v>509</v>
      </c>
      <c r="W33" s="54" t="s">
        <v>123</v>
      </c>
      <c r="X33" s="54">
        <v>-366.92</v>
      </c>
      <c r="Y33" s="54">
        <v>-14.68</v>
      </c>
      <c r="Z33" s="54">
        <v>-14.68</v>
      </c>
      <c r="AA33" s="54">
        <v>0</v>
      </c>
      <c r="AB33" s="54"/>
      <c r="AC33" s="54">
        <v>0</v>
      </c>
      <c r="AD33" s="54"/>
      <c r="AE33" s="54">
        <v>0</v>
      </c>
      <c r="AF33" s="54"/>
      <c r="AG33" s="54">
        <v>0</v>
      </c>
      <c r="AH33" s="54"/>
      <c r="AI33" s="56">
        <v>0</v>
      </c>
    </row>
    <row r="34" spans="1:35" s="30" customFormat="1" x14ac:dyDescent="0.25">
      <c r="A34" s="57" t="s">
        <v>110</v>
      </c>
      <c r="B34" s="58" t="s">
        <v>544</v>
      </c>
      <c r="C34" s="58" t="s">
        <v>2288</v>
      </c>
      <c r="D34" s="58">
        <v>29659</v>
      </c>
      <c r="E34" s="58" t="s">
        <v>2289</v>
      </c>
      <c r="F34" s="58" t="s">
        <v>2290</v>
      </c>
      <c r="G34" s="58" t="s">
        <v>115</v>
      </c>
      <c r="H34" s="58" t="s">
        <v>160</v>
      </c>
      <c r="I34" s="58" t="s">
        <v>117</v>
      </c>
      <c r="J34" s="58" t="s">
        <v>2195</v>
      </c>
      <c r="K34" s="59">
        <v>46011</v>
      </c>
      <c r="L34" s="59">
        <v>46023</v>
      </c>
      <c r="M34" s="59"/>
      <c r="N34" s="59">
        <v>46082</v>
      </c>
      <c r="O34" s="59">
        <v>46023</v>
      </c>
      <c r="P34" s="59"/>
      <c r="Q34" s="59"/>
      <c r="R34" s="58" t="s">
        <v>187</v>
      </c>
      <c r="S34" s="58" t="s">
        <v>543</v>
      </c>
      <c r="T34" s="58" t="s">
        <v>177</v>
      </c>
      <c r="U34" s="54" t="s">
        <v>81</v>
      </c>
      <c r="V34" s="58" t="s">
        <v>509</v>
      </c>
      <c r="W34" s="58" t="s">
        <v>123</v>
      </c>
      <c r="X34" s="58">
        <v>-366.92</v>
      </c>
      <c r="Y34" s="58">
        <v>-14.68</v>
      </c>
      <c r="Z34" s="58">
        <v>-14.68</v>
      </c>
      <c r="AA34" s="58">
        <v>0</v>
      </c>
      <c r="AB34" s="58"/>
      <c r="AC34" s="58">
        <v>0</v>
      </c>
      <c r="AD34" s="58"/>
      <c r="AE34" s="58">
        <v>0</v>
      </c>
      <c r="AF34" s="58"/>
      <c r="AG34" s="58">
        <v>0</v>
      </c>
      <c r="AH34" s="58"/>
      <c r="AI34" s="60">
        <v>0</v>
      </c>
    </row>
    <row r="35" spans="1:35" s="30" customFormat="1" x14ac:dyDescent="0.25">
      <c r="A35" s="53" t="s">
        <v>110</v>
      </c>
      <c r="B35" s="54" t="s">
        <v>544</v>
      </c>
      <c r="C35" s="54" t="s">
        <v>2291</v>
      </c>
      <c r="D35" s="54">
        <v>30275</v>
      </c>
      <c r="E35" s="54" t="s">
        <v>2292</v>
      </c>
      <c r="F35" s="54" t="s">
        <v>2293</v>
      </c>
      <c r="G35" s="54" t="s">
        <v>115</v>
      </c>
      <c r="H35" s="54" t="s">
        <v>160</v>
      </c>
      <c r="I35" s="54" t="s">
        <v>117</v>
      </c>
      <c r="J35" s="54" t="s">
        <v>2195</v>
      </c>
      <c r="K35" s="55">
        <v>46011</v>
      </c>
      <c r="L35" s="55">
        <v>46023</v>
      </c>
      <c r="M35" s="55"/>
      <c r="N35" s="55">
        <v>46082</v>
      </c>
      <c r="O35" s="55">
        <v>46023</v>
      </c>
      <c r="P35" s="55"/>
      <c r="Q35" s="55"/>
      <c r="R35" s="54" t="s">
        <v>187</v>
      </c>
      <c r="S35" s="54" t="s">
        <v>543</v>
      </c>
      <c r="T35" s="54" t="s">
        <v>177</v>
      </c>
      <c r="U35" s="54" t="s">
        <v>81</v>
      </c>
      <c r="V35" s="54" t="s">
        <v>509</v>
      </c>
      <c r="W35" s="54" t="s">
        <v>123</v>
      </c>
      <c r="X35" s="54">
        <v>-234.24</v>
      </c>
      <c r="Y35" s="54">
        <v>-9.3800000000000008</v>
      </c>
      <c r="Z35" s="54">
        <v>-9.3800000000000008</v>
      </c>
      <c r="AA35" s="54">
        <v>0</v>
      </c>
      <c r="AB35" s="54"/>
      <c r="AC35" s="54">
        <v>0</v>
      </c>
      <c r="AD35" s="54"/>
      <c r="AE35" s="54">
        <v>0</v>
      </c>
      <c r="AF35" s="54"/>
      <c r="AG35" s="54">
        <v>0</v>
      </c>
      <c r="AH35" s="54"/>
      <c r="AI35" s="56">
        <v>0</v>
      </c>
    </row>
    <row r="36" spans="1:35" s="30" customFormat="1" x14ac:dyDescent="0.25">
      <c r="A36" s="53" t="s">
        <v>110</v>
      </c>
      <c r="B36" s="54" t="s">
        <v>544</v>
      </c>
      <c r="C36" s="54" t="s">
        <v>2294</v>
      </c>
      <c r="D36" s="54">
        <v>30304</v>
      </c>
      <c r="E36" s="54" t="s">
        <v>2295</v>
      </c>
      <c r="F36" s="54" t="s">
        <v>2296</v>
      </c>
      <c r="G36" s="54" t="s">
        <v>115</v>
      </c>
      <c r="H36" s="54" t="s">
        <v>160</v>
      </c>
      <c r="I36" s="54" t="s">
        <v>117</v>
      </c>
      <c r="J36" s="54" t="s">
        <v>2195</v>
      </c>
      <c r="K36" s="55">
        <v>46011</v>
      </c>
      <c r="L36" s="55">
        <v>46023</v>
      </c>
      <c r="M36" s="55"/>
      <c r="N36" s="55">
        <v>46082</v>
      </c>
      <c r="O36" s="55">
        <v>46023</v>
      </c>
      <c r="P36" s="55"/>
      <c r="Q36" s="55"/>
      <c r="R36" s="54" t="s">
        <v>187</v>
      </c>
      <c r="S36" s="54" t="s">
        <v>1469</v>
      </c>
      <c r="T36" s="54" t="s">
        <v>177</v>
      </c>
      <c r="U36" s="54" t="s">
        <v>81</v>
      </c>
      <c r="V36" s="54" t="s">
        <v>509</v>
      </c>
      <c r="W36" s="54" t="s">
        <v>123</v>
      </c>
      <c r="X36" s="54">
        <v>-153.91999999999999</v>
      </c>
      <c r="Y36" s="54">
        <v>-6.16</v>
      </c>
      <c r="Z36" s="54">
        <v>-6.16</v>
      </c>
      <c r="AA36" s="54">
        <v>0</v>
      </c>
      <c r="AB36" s="54"/>
      <c r="AC36" s="54">
        <v>0</v>
      </c>
      <c r="AD36" s="54"/>
      <c r="AE36" s="54">
        <v>0</v>
      </c>
      <c r="AF36" s="54"/>
      <c r="AG36" s="54">
        <v>0</v>
      </c>
      <c r="AH36" s="54"/>
      <c r="AI36" s="56">
        <v>0</v>
      </c>
    </row>
    <row r="37" spans="1:35" s="30" customFormat="1" x14ac:dyDescent="0.25">
      <c r="A37" s="53" t="s">
        <v>110</v>
      </c>
      <c r="B37" s="54" t="s">
        <v>544</v>
      </c>
      <c r="C37" s="54" t="s">
        <v>2297</v>
      </c>
      <c r="D37" s="54">
        <v>30312</v>
      </c>
      <c r="E37" s="54" t="s">
        <v>2298</v>
      </c>
      <c r="F37" s="54" t="s">
        <v>2299</v>
      </c>
      <c r="G37" s="54" t="s">
        <v>115</v>
      </c>
      <c r="H37" s="54" t="s">
        <v>160</v>
      </c>
      <c r="I37" s="54" t="s">
        <v>117</v>
      </c>
      <c r="J37" s="54" t="s">
        <v>2195</v>
      </c>
      <c r="K37" s="55">
        <v>46011</v>
      </c>
      <c r="L37" s="55">
        <v>46023</v>
      </c>
      <c r="M37" s="55"/>
      <c r="N37" s="55">
        <v>46082</v>
      </c>
      <c r="O37" s="55">
        <v>46023</v>
      </c>
      <c r="P37" s="55"/>
      <c r="Q37" s="55"/>
      <c r="R37" s="54" t="s">
        <v>187</v>
      </c>
      <c r="S37" s="54" t="s">
        <v>1469</v>
      </c>
      <c r="T37" s="54" t="s">
        <v>177</v>
      </c>
      <c r="U37" s="54" t="s">
        <v>81</v>
      </c>
      <c r="V37" s="54" t="s">
        <v>509</v>
      </c>
      <c r="W37" s="54" t="s">
        <v>123</v>
      </c>
      <c r="X37" s="54">
        <v>-153.91999999999999</v>
      </c>
      <c r="Y37" s="54">
        <v>-6.16</v>
      </c>
      <c r="Z37" s="54">
        <v>-6.16</v>
      </c>
      <c r="AA37" s="54">
        <v>0</v>
      </c>
      <c r="AB37" s="54"/>
      <c r="AC37" s="54">
        <v>0</v>
      </c>
      <c r="AD37" s="54"/>
      <c r="AE37" s="54">
        <v>0</v>
      </c>
      <c r="AF37" s="54"/>
      <c r="AG37" s="54">
        <v>0</v>
      </c>
      <c r="AH37" s="54"/>
      <c r="AI37" s="56">
        <v>0</v>
      </c>
    </row>
    <row r="38" spans="1:35" s="30" customFormat="1" x14ac:dyDescent="0.25">
      <c r="A38" s="53" t="s">
        <v>110</v>
      </c>
      <c r="B38" s="54" t="s">
        <v>544</v>
      </c>
      <c r="C38" s="54" t="s">
        <v>2300</v>
      </c>
      <c r="D38" s="54">
        <v>30320</v>
      </c>
      <c r="E38" s="54" t="s">
        <v>2301</v>
      </c>
      <c r="F38" s="54" t="s">
        <v>2302</v>
      </c>
      <c r="G38" s="54" t="s">
        <v>115</v>
      </c>
      <c r="H38" s="54" t="s">
        <v>160</v>
      </c>
      <c r="I38" s="54" t="s">
        <v>117</v>
      </c>
      <c r="J38" s="54" t="s">
        <v>2195</v>
      </c>
      <c r="K38" s="55">
        <v>46011</v>
      </c>
      <c r="L38" s="55">
        <v>46023</v>
      </c>
      <c r="M38" s="55"/>
      <c r="N38" s="55">
        <v>46082</v>
      </c>
      <c r="O38" s="55">
        <v>46023</v>
      </c>
      <c r="P38" s="55"/>
      <c r="Q38" s="55"/>
      <c r="R38" s="54" t="s">
        <v>187</v>
      </c>
      <c r="S38" s="54" t="s">
        <v>543</v>
      </c>
      <c r="T38" s="54" t="s">
        <v>177</v>
      </c>
      <c r="U38" s="54" t="s">
        <v>81</v>
      </c>
      <c r="V38" s="54" t="s">
        <v>509</v>
      </c>
      <c r="W38" s="54" t="s">
        <v>123</v>
      </c>
      <c r="X38" s="54">
        <v>-181.89</v>
      </c>
      <c r="Y38" s="54">
        <v>-7.28</v>
      </c>
      <c r="Z38" s="54">
        <v>-7.28</v>
      </c>
      <c r="AA38" s="54">
        <v>0</v>
      </c>
      <c r="AB38" s="54"/>
      <c r="AC38" s="54">
        <v>0</v>
      </c>
      <c r="AD38" s="54"/>
      <c r="AE38" s="54">
        <v>0</v>
      </c>
      <c r="AF38" s="54"/>
      <c r="AG38" s="54">
        <v>0</v>
      </c>
      <c r="AH38" s="54"/>
      <c r="AI38" s="56">
        <v>0</v>
      </c>
    </row>
    <row r="39" spans="1:35" s="30" customFormat="1" x14ac:dyDescent="0.25">
      <c r="A39" s="53" t="s">
        <v>110</v>
      </c>
      <c r="B39" s="54" t="s">
        <v>2191</v>
      </c>
      <c r="C39" s="54" t="s">
        <v>2196</v>
      </c>
      <c r="D39" s="54">
        <v>31813</v>
      </c>
      <c r="E39" s="54" t="s">
        <v>2303</v>
      </c>
      <c r="F39" s="54" t="s">
        <v>2304</v>
      </c>
      <c r="G39" s="54" t="s">
        <v>174</v>
      </c>
      <c r="H39" s="54" t="s">
        <v>160</v>
      </c>
      <c r="I39" s="54" t="s">
        <v>117</v>
      </c>
      <c r="J39" s="54" t="s">
        <v>2195</v>
      </c>
      <c r="K39" s="55">
        <v>46013</v>
      </c>
      <c r="L39" s="55">
        <v>46081</v>
      </c>
      <c r="M39" s="55"/>
      <c r="N39" s="55">
        <v>46053</v>
      </c>
      <c r="O39" s="55">
        <v>46043</v>
      </c>
      <c r="P39" s="55"/>
      <c r="Q39" s="55"/>
      <c r="R39" s="54" t="s">
        <v>187</v>
      </c>
      <c r="S39" s="54" t="s">
        <v>844</v>
      </c>
      <c r="T39" s="54" t="s">
        <v>744</v>
      </c>
      <c r="U39" s="54" t="s">
        <v>88</v>
      </c>
      <c r="V39" s="54" t="s">
        <v>845</v>
      </c>
      <c r="W39" s="54" t="s">
        <v>123</v>
      </c>
      <c r="X39" s="54">
        <v>-643.79</v>
      </c>
      <c r="Y39" s="54">
        <v>-96.57</v>
      </c>
      <c r="Z39" s="54">
        <v>-96.57</v>
      </c>
      <c r="AA39" s="54">
        <v>0</v>
      </c>
      <c r="AB39" s="54"/>
      <c r="AC39" s="54">
        <v>0</v>
      </c>
      <c r="AD39" s="54"/>
      <c r="AE39" s="54">
        <v>0</v>
      </c>
      <c r="AF39" s="54"/>
      <c r="AG39" s="54">
        <v>0</v>
      </c>
      <c r="AH39" s="54"/>
      <c r="AI39" s="56">
        <v>0</v>
      </c>
    </row>
    <row r="40" spans="1:35" s="30" customFormat="1" x14ac:dyDescent="0.25">
      <c r="A40" s="53" t="s">
        <v>110</v>
      </c>
      <c r="B40" s="54" t="s">
        <v>938</v>
      </c>
      <c r="C40" s="54" t="s">
        <v>2305</v>
      </c>
      <c r="D40" s="54">
        <v>26017</v>
      </c>
      <c r="E40" s="54" t="s">
        <v>2306</v>
      </c>
      <c r="F40" s="54" t="s">
        <v>2307</v>
      </c>
      <c r="G40" s="54" t="s">
        <v>115</v>
      </c>
      <c r="H40" s="54" t="s">
        <v>160</v>
      </c>
      <c r="I40" s="54" t="s">
        <v>117</v>
      </c>
      <c r="J40" s="54" t="s">
        <v>2195</v>
      </c>
      <c r="K40" s="55">
        <v>46013</v>
      </c>
      <c r="L40" s="55">
        <v>46054</v>
      </c>
      <c r="M40" s="55"/>
      <c r="N40" s="55">
        <v>46053</v>
      </c>
      <c r="O40" s="55">
        <v>46043</v>
      </c>
      <c r="P40" s="55"/>
      <c r="Q40" s="55"/>
      <c r="R40" s="54" t="s">
        <v>142</v>
      </c>
      <c r="S40" s="54" t="s">
        <v>1699</v>
      </c>
      <c r="T40" s="54" t="s">
        <v>169</v>
      </c>
      <c r="U40" s="54" t="s">
        <v>81</v>
      </c>
      <c r="V40" s="54" t="s">
        <v>845</v>
      </c>
      <c r="W40" s="54" t="s">
        <v>123</v>
      </c>
      <c r="X40" s="54">
        <v>-238.56</v>
      </c>
      <c r="Y40" s="54">
        <v>-28.63</v>
      </c>
      <c r="Z40" s="54">
        <v>-28.63</v>
      </c>
      <c r="AA40" s="54">
        <v>0</v>
      </c>
      <c r="AB40" s="54"/>
      <c r="AC40" s="54">
        <v>0</v>
      </c>
      <c r="AD40" s="54"/>
      <c r="AE40" s="54">
        <v>0</v>
      </c>
      <c r="AF40" s="54"/>
      <c r="AG40" s="54">
        <v>0</v>
      </c>
      <c r="AH40" s="54"/>
      <c r="AI40" s="56">
        <v>0</v>
      </c>
    </row>
    <row r="41" spans="1:35" s="30" customFormat="1" x14ac:dyDescent="0.25">
      <c r="A41" s="57" t="s">
        <v>110</v>
      </c>
      <c r="B41" s="58" t="s">
        <v>918</v>
      </c>
      <c r="C41" s="58" t="s">
        <v>919</v>
      </c>
      <c r="D41" s="58">
        <v>27634</v>
      </c>
      <c r="E41" s="58" t="s">
        <v>2308</v>
      </c>
      <c r="F41" s="58" t="s">
        <v>2309</v>
      </c>
      <c r="G41" s="58" t="s">
        <v>115</v>
      </c>
      <c r="H41" s="58" t="s">
        <v>116</v>
      </c>
      <c r="I41" s="58" t="s">
        <v>117</v>
      </c>
      <c r="J41" s="58" t="s">
        <v>2195</v>
      </c>
      <c r="K41" s="59">
        <v>46013</v>
      </c>
      <c r="L41" s="59">
        <v>46054</v>
      </c>
      <c r="M41" s="59"/>
      <c r="N41" s="59"/>
      <c r="O41" s="59">
        <v>46054</v>
      </c>
      <c r="P41" s="59"/>
      <c r="Q41" s="59"/>
      <c r="R41" s="58" t="s">
        <v>142</v>
      </c>
      <c r="S41" s="58" t="s">
        <v>922</v>
      </c>
      <c r="T41" s="58" t="s">
        <v>923</v>
      </c>
      <c r="U41" s="54" t="s">
        <v>81</v>
      </c>
      <c r="V41" s="58" t="s">
        <v>845</v>
      </c>
      <c r="W41" s="58" t="s">
        <v>123</v>
      </c>
      <c r="X41" s="58">
        <v>-1024.3399999999999</v>
      </c>
      <c r="Y41" s="58">
        <v>-92.19</v>
      </c>
      <c r="Z41" s="58">
        <v>-92.19</v>
      </c>
      <c r="AA41" s="58">
        <v>0</v>
      </c>
      <c r="AB41" s="58"/>
      <c r="AC41" s="58">
        <v>0</v>
      </c>
      <c r="AD41" s="58"/>
      <c r="AE41" s="58">
        <v>0</v>
      </c>
      <c r="AF41" s="58"/>
      <c r="AG41" s="58">
        <v>0</v>
      </c>
      <c r="AH41" s="58"/>
      <c r="AI41" s="60">
        <v>0</v>
      </c>
    </row>
    <row r="42" spans="1:35" s="30" customFormat="1" x14ac:dyDescent="0.25">
      <c r="A42" s="53" t="s">
        <v>110</v>
      </c>
      <c r="B42" s="54" t="s">
        <v>1768</v>
      </c>
      <c r="C42" s="54" t="s">
        <v>2310</v>
      </c>
      <c r="D42" s="54">
        <v>27802</v>
      </c>
      <c r="E42" s="54" t="s">
        <v>2311</v>
      </c>
      <c r="F42" s="54" t="s">
        <v>2312</v>
      </c>
      <c r="G42" s="54" t="s">
        <v>115</v>
      </c>
      <c r="H42" s="54" t="s">
        <v>160</v>
      </c>
      <c r="I42" s="54" t="s">
        <v>117</v>
      </c>
      <c r="J42" s="54" t="s">
        <v>2195</v>
      </c>
      <c r="K42" s="55">
        <v>46013</v>
      </c>
      <c r="L42" s="55">
        <v>46072</v>
      </c>
      <c r="M42" s="55"/>
      <c r="N42" s="55">
        <v>46082</v>
      </c>
      <c r="O42" s="55">
        <v>46054</v>
      </c>
      <c r="P42" s="55"/>
      <c r="Q42" s="55"/>
      <c r="R42" s="54" t="s">
        <v>142</v>
      </c>
      <c r="S42" s="54" t="s">
        <v>1735</v>
      </c>
      <c r="T42" s="54" t="s">
        <v>1736</v>
      </c>
      <c r="U42" s="54" t="s">
        <v>87</v>
      </c>
      <c r="V42" s="54" t="s">
        <v>845</v>
      </c>
      <c r="W42" s="54" t="s">
        <v>123</v>
      </c>
      <c r="X42" s="54">
        <v>-423.1</v>
      </c>
      <c r="Y42" s="54">
        <v>-88.86</v>
      </c>
      <c r="Z42" s="54">
        <v>-88.86</v>
      </c>
      <c r="AA42" s="54">
        <v>0</v>
      </c>
      <c r="AB42" s="54"/>
      <c r="AC42" s="54">
        <v>0</v>
      </c>
      <c r="AD42" s="54"/>
      <c r="AE42" s="54">
        <v>0</v>
      </c>
      <c r="AF42" s="54"/>
      <c r="AG42" s="54">
        <v>0</v>
      </c>
      <c r="AH42" s="54"/>
      <c r="AI42" s="56">
        <v>0</v>
      </c>
    </row>
    <row r="43" spans="1:35" s="30" customFormat="1" x14ac:dyDescent="0.25">
      <c r="A43" s="57" t="s">
        <v>110</v>
      </c>
      <c r="B43" s="58" t="s">
        <v>1724</v>
      </c>
      <c r="C43" s="58" t="s">
        <v>1725</v>
      </c>
      <c r="D43" s="58">
        <v>16911</v>
      </c>
      <c r="E43" s="58" t="s">
        <v>2316</v>
      </c>
      <c r="F43" s="58" t="s">
        <v>2317</v>
      </c>
      <c r="G43" s="58" t="s">
        <v>115</v>
      </c>
      <c r="H43" s="58" t="s">
        <v>160</v>
      </c>
      <c r="I43" s="58" t="s">
        <v>117</v>
      </c>
      <c r="J43" s="58" t="s">
        <v>2195</v>
      </c>
      <c r="K43" s="59">
        <v>46020</v>
      </c>
      <c r="L43" s="59">
        <v>46077</v>
      </c>
      <c r="M43" s="59"/>
      <c r="N43" s="59">
        <v>46082</v>
      </c>
      <c r="O43" s="59">
        <v>46054</v>
      </c>
      <c r="P43" s="59"/>
      <c r="Q43" s="59"/>
      <c r="R43" s="58" t="s">
        <v>142</v>
      </c>
      <c r="S43" s="58" t="s">
        <v>855</v>
      </c>
      <c r="T43" s="58" t="s">
        <v>83</v>
      </c>
      <c r="U43" s="54" t="s">
        <v>83</v>
      </c>
      <c r="V43" s="58" t="s">
        <v>845</v>
      </c>
      <c r="W43" s="58" t="s">
        <v>123</v>
      </c>
      <c r="X43" s="58">
        <v>-237.05</v>
      </c>
      <c r="Y43" s="58">
        <v>-56.41</v>
      </c>
      <c r="Z43" s="58">
        <v>-56.41</v>
      </c>
      <c r="AA43" s="58">
        <v>0</v>
      </c>
      <c r="AB43" s="58"/>
      <c r="AC43" s="58">
        <v>0</v>
      </c>
      <c r="AD43" s="58"/>
      <c r="AE43" s="58">
        <v>0</v>
      </c>
      <c r="AF43" s="58"/>
      <c r="AG43" s="58">
        <v>0</v>
      </c>
      <c r="AH43" s="58"/>
      <c r="AI43" s="60">
        <v>0</v>
      </c>
    </row>
    <row r="44" spans="1:35" s="30" customFormat="1" x14ac:dyDescent="0.25">
      <c r="A44" s="57" t="s">
        <v>110</v>
      </c>
      <c r="B44" s="58" t="s">
        <v>929</v>
      </c>
      <c r="C44" s="58" t="s">
        <v>2313</v>
      </c>
      <c r="D44" s="58">
        <v>23313</v>
      </c>
      <c r="E44" s="58" t="s">
        <v>2314</v>
      </c>
      <c r="F44" s="58" t="s">
        <v>2315</v>
      </c>
      <c r="G44" s="58" t="s">
        <v>115</v>
      </c>
      <c r="H44" s="58" t="s">
        <v>160</v>
      </c>
      <c r="I44" s="58" t="s">
        <v>117</v>
      </c>
      <c r="J44" s="58" t="s">
        <v>2195</v>
      </c>
      <c r="K44" s="59">
        <v>46020</v>
      </c>
      <c r="L44" s="59">
        <v>46082</v>
      </c>
      <c r="M44" s="59"/>
      <c r="N44" s="59">
        <v>46054</v>
      </c>
      <c r="O44" s="59">
        <v>46044</v>
      </c>
      <c r="P44" s="59"/>
      <c r="Q44" s="59"/>
      <c r="R44" s="58" t="s">
        <v>142</v>
      </c>
      <c r="S44" s="58" t="s">
        <v>1436</v>
      </c>
      <c r="T44" s="58" t="s">
        <v>177</v>
      </c>
      <c r="U44" s="54" t="s">
        <v>81</v>
      </c>
      <c r="V44" s="58" t="s">
        <v>163</v>
      </c>
      <c r="W44" s="58" t="s">
        <v>123</v>
      </c>
      <c r="X44" s="58">
        <v>-708.04</v>
      </c>
      <c r="Y44" s="58">
        <v>-92.05</v>
      </c>
      <c r="Z44" s="58">
        <v>-92.05</v>
      </c>
      <c r="AA44" s="58">
        <v>0</v>
      </c>
      <c r="AB44" s="58"/>
      <c r="AC44" s="58">
        <v>0</v>
      </c>
      <c r="AD44" s="58"/>
      <c r="AE44" s="58">
        <v>0</v>
      </c>
      <c r="AF44" s="58"/>
      <c r="AG44" s="58">
        <v>0</v>
      </c>
      <c r="AH44" s="58"/>
      <c r="AI44" s="60">
        <v>0</v>
      </c>
    </row>
    <row r="45" spans="1:35" x14ac:dyDescent="0.25">
      <c r="A45" s="38" t="s">
        <v>110</v>
      </c>
      <c r="B45" s="39" t="s">
        <v>544</v>
      </c>
      <c r="C45" s="39" t="s">
        <v>548</v>
      </c>
      <c r="D45" s="39">
        <v>32496</v>
      </c>
      <c r="E45" s="39" t="s">
        <v>551</v>
      </c>
      <c r="F45" s="39" t="s">
        <v>552</v>
      </c>
      <c r="G45" s="39" t="s">
        <v>115</v>
      </c>
      <c r="H45" s="39" t="s">
        <v>160</v>
      </c>
      <c r="I45" s="39" t="s">
        <v>117</v>
      </c>
      <c r="J45" s="39" t="s">
        <v>118</v>
      </c>
      <c r="K45" s="40">
        <v>46024</v>
      </c>
      <c r="L45" s="40">
        <v>46023</v>
      </c>
      <c r="M45" s="40">
        <v>46033</v>
      </c>
      <c r="N45" s="40"/>
      <c r="O45" s="40"/>
      <c r="P45" s="40"/>
      <c r="Q45" s="40">
        <v>46082</v>
      </c>
      <c r="R45" s="39" t="s">
        <v>187</v>
      </c>
      <c r="S45" s="39" t="s">
        <v>543</v>
      </c>
      <c r="T45" s="39" t="s">
        <v>177</v>
      </c>
      <c r="U45" s="35" t="s">
        <v>81</v>
      </c>
      <c r="V45" s="39" t="s">
        <v>509</v>
      </c>
      <c r="W45" s="39" t="s">
        <v>123</v>
      </c>
      <c r="X45" s="39">
        <v>102.61</v>
      </c>
      <c r="Y45" s="39">
        <v>5.14</v>
      </c>
      <c r="Z45" s="39">
        <v>5.14</v>
      </c>
      <c r="AA45" s="39">
        <v>0</v>
      </c>
      <c r="AB45" s="39"/>
      <c r="AC45" s="39">
        <v>0</v>
      </c>
      <c r="AD45" s="39"/>
      <c r="AE45" s="39">
        <v>0</v>
      </c>
      <c r="AF45" s="39"/>
      <c r="AG45" s="39">
        <v>0</v>
      </c>
      <c r="AH45" s="39"/>
      <c r="AI45" s="41">
        <v>0</v>
      </c>
    </row>
    <row r="46" spans="1:35" x14ac:dyDescent="0.25">
      <c r="A46" s="34" t="s">
        <v>110</v>
      </c>
      <c r="B46" s="35" t="s">
        <v>544</v>
      </c>
      <c r="C46" s="35" t="s">
        <v>548</v>
      </c>
      <c r="D46" s="35">
        <v>32496</v>
      </c>
      <c r="E46" s="35" t="s">
        <v>549</v>
      </c>
      <c r="F46" s="35" t="s">
        <v>550</v>
      </c>
      <c r="G46" s="35" t="s">
        <v>174</v>
      </c>
      <c r="H46" s="35" t="s">
        <v>160</v>
      </c>
      <c r="I46" s="35" t="s">
        <v>117</v>
      </c>
      <c r="J46" s="35" t="s">
        <v>118</v>
      </c>
      <c r="K46" s="36">
        <v>46024</v>
      </c>
      <c r="L46" s="36">
        <v>46021</v>
      </c>
      <c r="M46" s="36">
        <v>46033</v>
      </c>
      <c r="N46" s="36"/>
      <c r="O46" s="36"/>
      <c r="P46" s="36"/>
      <c r="Q46" s="36">
        <v>46082</v>
      </c>
      <c r="R46" s="35" t="s">
        <v>187</v>
      </c>
      <c r="S46" s="35" t="s">
        <v>543</v>
      </c>
      <c r="T46" s="35" t="s">
        <v>177</v>
      </c>
      <c r="U46" s="35" t="s">
        <v>81</v>
      </c>
      <c r="V46" s="35" t="s">
        <v>509</v>
      </c>
      <c r="W46" s="35" t="s">
        <v>123</v>
      </c>
      <c r="X46" s="35">
        <v>1.95</v>
      </c>
      <c r="Y46" s="35">
        <v>0.1</v>
      </c>
      <c r="Z46" s="35">
        <v>0.1</v>
      </c>
      <c r="AA46" s="35">
        <v>0</v>
      </c>
      <c r="AB46" s="35"/>
      <c r="AC46" s="35">
        <v>0</v>
      </c>
      <c r="AD46" s="35"/>
      <c r="AE46" s="35">
        <v>0</v>
      </c>
      <c r="AF46" s="35"/>
      <c r="AG46" s="35">
        <v>0</v>
      </c>
      <c r="AH46" s="35"/>
      <c r="AI46" s="37">
        <v>0</v>
      </c>
    </row>
    <row r="47" spans="1:35" x14ac:dyDescent="0.25">
      <c r="A47" s="38" t="s">
        <v>110</v>
      </c>
      <c r="B47" s="39" t="s">
        <v>1815</v>
      </c>
      <c r="C47" s="39" t="s">
        <v>2328</v>
      </c>
      <c r="D47" s="39">
        <v>23150</v>
      </c>
      <c r="E47" s="39" t="s">
        <v>2329</v>
      </c>
      <c r="F47" s="39" t="s">
        <v>2330</v>
      </c>
      <c r="G47" s="39" t="s">
        <v>440</v>
      </c>
      <c r="H47" s="39" t="s">
        <v>160</v>
      </c>
      <c r="I47" s="39" t="s">
        <v>117</v>
      </c>
      <c r="J47" s="39" t="s">
        <v>2195</v>
      </c>
      <c r="K47" s="40">
        <v>46027</v>
      </c>
      <c r="L47" s="40">
        <v>46023</v>
      </c>
      <c r="M47" s="40"/>
      <c r="N47" s="40">
        <v>46082</v>
      </c>
      <c r="O47" s="40">
        <v>46023</v>
      </c>
      <c r="P47" s="40"/>
      <c r="Q47" s="40"/>
      <c r="R47" s="39" t="s">
        <v>142</v>
      </c>
      <c r="S47" s="39" t="s">
        <v>2331</v>
      </c>
      <c r="T47" s="39" t="s">
        <v>974</v>
      </c>
      <c r="U47" s="35" t="s">
        <v>91</v>
      </c>
      <c r="V47" s="39" t="s">
        <v>509</v>
      </c>
      <c r="W47" s="39" t="s">
        <v>123</v>
      </c>
      <c r="X47" s="39">
        <v>-416.69</v>
      </c>
      <c r="Y47" s="39">
        <v>-83.34</v>
      </c>
      <c r="Z47" s="39">
        <v>-83.34</v>
      </c>
      <c r="AA47" s="39">
        <v>0</v>
      </c>
      <c r="AB47" s="39"/>
      <c r="AC47" s="39">
        <v>0</v>
      </c>
      <c r="AD47" s="39"/>
      <c r="AE47" s="39">
        <v>0</v>
      </c>
      <c r="AF47" s="39"/>
      <c r="AG47" s="39">
        <v>0</v>
      </c>
      <c r="AH47" s="39"/>
      <c r="AI47" s="41">
        <v>0</v>
      </c>
    </row>
    <row r="48" spans="1:35" x14ac:dyDescent="0.25">
      <c r="A48" s="34" t="s">
        <v>110</v>
      </c>
      <c r="B48" s="35" t="s">
        <v>493</v>
      </c>
      <c r="C48" s="35" t="s">
        <v>494</v>
      </c>
      <c r="D48" s="35">
        <v>5092</v>
      </c>
      <c r="E48" s="35" t="s">
        <v>502</v>
      </c>
      <c r="F48" s="35" t="s">
        <v>503</v>
      </c>
      <c r="G48" s="35" t="s">
        <v>115</v>
      </c>
      <c r="H48" s="35" t="s">
        <v>116</v>
      </c>
      <c r="I48" s="35" t="s">
        <v>117</v>
      </c>
      <c r="J48" s="35" t="s">
        <v>118</v>
      </c>
      <c r="K48" s="36">
        <v>46027</v>
      </c>
      <c r="L48" s="36">
        <v>46023</v>
      </c>
      <c r="M48" s="36">
        <v>46050</v>
      </c>
      <c r="N48" s="36"/>
      <c r="O48" s="36"/>
      <c r="P48" s="36">
        <v>46044</v>
      </c>
      <c r="Q48" s="36">
        <v>46055</v>
      </c>
      <c r="R48" s="35" t="s">
        <v>119</v>
      </c>
      <c r="S48" s="35" t="s">
        <v>497</v>
      </c>
      <c r="T48" s="35" t="s">
        <v>129</v>
      </c>
      <c r="U48" s="35" t="s">
        <v>90</v>
      </c>
      <c r="V48" s="35" t="s">
        <v>122</v>
      </c>
      <c r="W48" s="35" t="s">
        <v>123</v>
      </c>
      <c r="X48" s="35">
        <v>287.17</v>
      </c>
      <c r="Y48" s="35">
        <v>28.71</v>
      </c>
      <c r="Z48" s="35">
        <v>28.71</v>
      </c>
      <c r="AA48" s="35">
        <v>0</v>
      </c>
      <c r="AB48" s="35"/>
      <c r="AC48" s="35">
        <v>0</v>
      </c>
      <c r="AD48" s="35" t="s">
        <v>130</v>
      </c>
      <c r="AE48" s="35">
        <v>0</v>
      </c>
      <c r="AF48" s="35"/>
      <c r="AG48" s="35">
        <v>0</v>
      </c>
      <c r="AH48" s="35"/>
      <c r="AI48" s="37">
        <v>0</v>
      </c>
    </row>
    <row r="49" spans="1:35" x14ac:dyDescent="0.25">
      <c r="A49" s="38" t="s">
        <v>110</v>
      </c>
      <c r="B49" s="39" t="s">
        <v>770</v>
      </c>
      <c r="C49" s="39" t="s">
        <v>951</v>
      </c>
      <c r="D49" s="39">
        <v>11224</v>
      </c>
      <c r="E49" s="39" t="s">
        <v>2320</v>
      </c>
      <c r="F49" s="39" t="s">
        <v>2321</v>
      </c>
      <c r="G49" s="39" t="s">
        <v>440</v>
      </c>
      <c r="H49" s="39" t="s">
        <v>116</v>
      </c>
      <c r="I49" s="39" t="s">
        <v>117</v>
      </c>
      <c r="J49" s="39" t="s">
        <v>2195</v>
      </c>
      <c r="K49" s="40">
        <v>46027</v>
      </c>
      <c r="L49" s="40">
        <v>46023</v>
      </c>
      <c r="M49" s="40"/>
      <c r="N49" s="40"/>
      <c r="O49" s="40">
        <v>46023</v>
      </c>
      <c r="P49" s="40"/>
      <c r="Q49" s="40"/>
      <c r="R49" s="39" t="s">
        <v>142</v>
      </c>
      <c r="S49" s="39" t="s">
        <v>950</v>
      </c>
      <c r="T49" s="39" t="s">
        <v>129</v>
      </c>
      <c r="U49" s="35" t="s">
        <v>90</v>
      </c>
      <c r="V49" s="39" t="s">
        <v>122</v>
      </c>
      <c r="W49" s="39" t="s">
        <v>123</v>
      </c>
      <c r="X49" s="39">
        <v>-62.31</v>
      </c>
      <c r="Y49" s="39">
        <v>-6.24</v>
      </c>
      <c r="Z49" s="39">
        <v>-4.99</v>
      </c>
      <c r="AA49" s="39">
        <v>0</v>
      </c>
      <c r="AB49" s="39"/>
      <c r="AC49" s="39">
        <v>0</v>
      </c>
      <c r="AD49" s="39"/>
      <c r="AE49" s="39">
        <v>0</v>
      </c>
      <c r="AF49" s="39"/>
      <c r="AG49" s="39">
        <v>0</v>
      </c>
      <c r="AH49" s="39"/>
      <c r="AI49" s="41">
        <v>0</v>
      </c>
    </row>
    <row r="50" spans="1:35" x14ac:dyDescent="0.25">
      <c r="A50" s="34" t="s">
        <v>110</v>
      </c>
      <c r="B50" s="35" t="s">
        <v>770</v>
      </c>
      <c r="C50" s="35" t="s">
        <v>951</v>
      </c>
      <c r="D50" s="35">
        <v>11224</v>
      </c>
      <c r="E50" s="35" t="s">
        <v>2324</v>
      </c>
      <c r="F50" s="35" t="s">
        <v>2325</v>
      </c>
      <c r="G50" s="35" t="s">
        <v>440</v>
      </c>
      <c r="H50" s="35" t="s">
        <v>116</v>
      </c>
      <c r="I50" s="35" t="s">
        <v>117</v>
      </c>
      <c r="J50" s="35" t="s">
        <v>2195</v>
      </c>
      <c r="K50" s="36">
        <v>46027</v>
      </c>
      <c r="L50" s="36">
        <v>46023</v>
      </c>
      <c r="M50" s="36"/>
      <c r="N50" s="36"/>
      <c r="O50" s="36">
        <v>46023</v>
      </c>
      <c r="P50" s="36"/>
      <c r="Q50" s="36"/>
      <c r="R50" s="35" t="s">
        <v>142</v>
      </c>
      <c r="S50" s="35" t="s">
        <v>950</v>
      </c>
      <c r="T50" s="35" t="s">
        <v>129</v>
      </c>
      <c r="U50" s="35" t="s">
        <v>90</v>
      </c>
      <c r="V50" s="35" t="s">
        <v>122</v>
      </c>
      <c r="W50" s="35" t="s">
        <v>123</v>
      </c>
      <c r="X50" s="35">
        <v>-255.93</v>
      </c>
      <c r="Y50" s="35">
        <v>-25.59</v>
      </c>
      <c r="Z50" s="35">
        <v>-20.47</v>
      </c>
      <c r="AA50" s="35">
        <v>0</v>
      </c>
      <c r="AB50" s="35"/>
      <c r="AC50" s="35">
        <v>0</v>
      </c>
      <c r="AD50" s="35"/>
      <c r="AE50" s="35">
        <v>0</v>
      </c>
      <c r="AF50" s="35"/>
      <c r="AG50" s="35">
        <v>0</v>
      </c>
      <c r="AH50" s="35"/>
      <c r="AI50" s="37">
        <v>0</v>
      </c>
    </row>
    <row r="51" spans="1:35" x14ac:dyDescent="0.25">
      <c r="A51" s="38" t="s">
        <v>110</v>
      </c>
      <c r="B51" s="39" t="s">
        <v>770</v>
      </c>
      <c r="C51" s="39" t="s">
        <v>951</v>
      </c>
      <c r="D51" s="39">
        <v>11224</v>
      </c>
      <c r="E51" s="39" t="s">
        <v>2318</v>
      </c>
      <c r="F51" s="39" t="s">
        <v>2319</v>
      </c>
      <c r="G51" s="39" t="s">
        <v>440</v>
      </c>
      <c r="H51" s="39" t="s">
        <v>116</v>
      </c>
      <c r="I51" s="39" t="s">
        <v>117</v>
      </c>
      <c r="J51" s="39" t="s">
        <v>2195</v>
      </c>
      <c r="K51" s="40">
        <v>46027</v>
      </c>
      <c r="L51" s="40">
        <v>46023</v>
      </c>
      <c r="M51" s="40"/>
      <c r="N51" s="40"/>
      <c r="O51" s="40">
        <v>46023</v>
      </c>
      <c r="P51" s="40"/>
      <c r="Q51" s="40"/>
      <c r="R51" s="39" t="s">
        <v>142</v>
      </c>
      <c r="S51" s="39" t="s">
        <v>950</v>
      </c>
      <c r="T51" s="39" t="s">
        <v>129</v>
      </c>
      <c r="U51" s="35" t="s">
        <v>90</v>
      </c>
      <c r="V51" s="39" t="s">
        <v>122</v>
      </c>
      <c r="W51" s="39" t="s">
        <v>123</v>
      </c>
      <c r="X51" s="39">
        <v>-694.24</v>
      </c>
      <c r="Y51" s="39">
        <v>-69.42</v>
      </c>
      <c r="Z51" s="39">
        <v>-55.54</v>
      </c>
      <c r="AA51" s="39">
        <v>0</v>
      </c>
      <c r="AB51" s="39"/>
      <c r="AC51" s="39">
        <v>0</v>
      </c>
      <c r="AD51" s="39"/>
      <c r="AE51" s="39">
        <v>0</v>
      </c>
      <c r="AF51" s="39"/>
      <c r="AG51" s="39">
        <v>0</v>
      </c>
      <c r="AH51" s="39"/>
      <c r="AI51" s="41">
        <v>0</v>
      </c>
    </row>
    <row r="52" spans="1:35" x14ac:dyDescent="0.25">
      <c r="A52" s="34" t="s">
        <v>110</v>
      </c>
      <c r="B52" s="35" t="s">
        <v>770</v>
      </c>
      <c r="C52" s="35" t="s">
        <v>951</v>
      </c>
      <c r="D52" s="35">
        <v>11224</v>
      </c>
      <c r="E52" s="35" t="s">
        <v>2322</v>
      </c>
      <c r="F52" s="35" t="s">
        <v>2323</v>
      </c>
      <c r="G52" s="35" t="s">
        <v>115</v>
      </c>
      <c r="H52" s="35" t="s">
        <v>116</v>
      </c>
      <c r="I52" s="35" t="s">
        <v>117</v>
      </c>
      <c r="J52" s="35" t="s">
        <v>2195</v>
      </c>
      <c r="K52" s="36">
        <v>46027</v>
      </c>
      <c r="L52" s="36">
        <v>46023</v>
      </c>
      <c r="M52" s="36"/>
      <c r="N52" s="36"/>
      <c r="O52" s="36">
        <v>46023</v>
      </c>
      <c r="P52" s="36"/>
      <c r="Q52" s="36"/>
      <c r="R52" s="35" t="s">
        <v>142</v>
      </c>
      <c r="S52" s="35" t="s">
        <v>950</v>
      </c>
      <c r="T52" s="35" t="s">
        <v>129</v>
      </c>
      <c r="U52" s="35" t="s">
        <v>90</v>
      </c>
      <c r="V52" s="35" t="s">
        <v>122</v>
      </c>
      <c r="W52" s="35" t="s">
        <v>123</v>
      </c>
      <c r="X52" s="35">
        <v>4744.25</v>
      </c>
      <c r="Y52" s="35">
        <v>474.42</v>
      </c>
      <c r="Z52" s="35">
        <v>379.53</v>
      </c>
      <c r="AA52" s="35">
        <v>0</v>
      </c>
      <c r="AB52" s="35"/>
      <c r="AC52" s="35">
        <v>0</v>
      </c>
      <c r="AD52" s="35"/>
      <c r="AE52" s="35">
        <v>0</v>
      </c>
      <c r="AF52" s="35"/>
      <c r="AG52" s="35">
        <v>0</v>
      </c>
      <c r="AH52" s="35"/>
      <c r="AI52" s="37">
        <v>0</v>
      </c>
    </row>
    <row r="53" spans="1:35" x14ac:dyDescent="0.25">
      <c r="A53" s="38" t="s">
        <v>110</v>
      </c>
      <c r="B53" s="39" t="s">
        <v>770</v>
      </c>
      <c r="C53" s="39" t="s">
        <v>951</v>
      </c>
      <c r="D53" s="39">
        <v>11224</v>
      </c>
      <c r="E53" s="39" t="s">
        <v>2326</v>
      </c>
      <c r="F53" s="39" t="s">
        <v>2327</v>
      </c>
      <c r="G53" s="39" t="s">
        <v>115</v>
      </c>
      <c r="H53" s="39" t="s">
        <v>116</v>
      </c>
      <c r="I53" s="39" t="s">
        <v>117</v>
      </c>
      <c r="J53" s="39" t="s">
        <v>2195</v>
      </c>
      <c r="K53" s="40">
        <v>46027</v>
      </c>
      <c r="L53" s="40">
        <v>46023</v>
      </c>
      <c r="M53" s="40"/>
      <c r="N53" s="40"/>
      <c r="O53" s="40">
        <v>46023</v>
      </c>
      <c r="P53" s="40"/>
      <c r="Q53" s="40"/>
      <c r="R53" s="39" t="s">
        <v>142</v>
      </c>
      <c r="S53" s="39" t="s">
        <v>950</v>
      </c>
      <c r="T53" s="39" t="s">
        <v>129</v>
      </c>
      <c r="U53" s="35" t="s">
        <v>90</v>
      </c>
      <c r="V53" s="39" t="s">
        <v>122</v>
      </c>
      <c r="W53" s="39" t="s">
        <v>123</v>
      </c>
      <c r="X53" s="39">
        <v>4806.5600000000004</v>
      </c>
      <c r="Y53" s="39">
        <v>480.65</v>
      </c>
      <c r="Z53" s="39">
        <v>384.52</v>
      </c>
      <c r="AA53" s="39">
        <v>0</v>
      </c>
      <c r="AB53" s="39"/>
      <c r="AC53" s="39">
        <v>0</v>
      </c>
      <c r="AD53" s="39"/>
      <c r="AE53" s="39">
        <v>0</v>
      </c>
      <c r="AF53" s="39"/>
      <c r="AG53" s="39">
        <v>0</v>
      </c>
      <c r="AH53" s="39"/>
      <c r="AI53" s="41">
        <v>0</v>
      </c>
    </row>
    <row r="54" spans="1:35" x14ac:dyDescent="0.25">
      <c r="A54" s="34" t="s">
        <v>110</v>
      </c>
      <c r="B54" s="35" t="s">
        <v>770</v>
      </c>
      <c r="C54" s="35" t="s">
        <v>951</v>
      </c>
      <c r="D54" s="35">
        <v>11224</v>
      </c>
      <c r="E54" s="35" t="s">
        <v>952</v>
      </c>
      <c r="F54" s="35" t="s">
        <v>953</v>
      </c>
      <c r="G54" s="35" t="s">
        <v>115</v>
      </c>
      <c r="H54" s="35" t="s">
        <v>116</v>
      </c>
      <c r="I54" s="35" t="s">
        <v>117</v>
      </c>
      <c r="J54" s="35" t="s">
        <v>118</v>
      </c>
      <c r="K54" s="36">
        <v>46027</v>
      </c>
      <c r="L54" s="36">
        <v>46023</v>
      </c>
      <c r="M54" s="36">
        <v>46024</v>
      </c>
      <c r="N54" s="36"/>
      <c r="O54" s="36"/>
      <c r="P54" s="36"/>
      <c r="Q54" s="36">
        <v>46030</v>
      </c>
      <c r="R54" s="35" t="s">
        <v>142</v>
      </c>
      <c r="S54" s="35" t="s">
        <v>950</v>
      </c>
      <c r="T54" s="35" t="s">
        <v>129</v>
      </c>
      <c r="U54" s="35" t="s">
        <v>90</v>
      </c>
      <c r="V54" s="35" t="s">
        <v>122</v>
      </c>
      <c r="W54" s="35" t="s">
        <v>123</v>
      </c>
      <c r="X54" s="35">
        <v>4050.01</v>
      </c>
      <c r="Y54" s="35">
        <v>404.99</v>
      </c>
      <c r="Z54" s="35">
        <v>323.99</v>
      </c>
      <c r="AA54" s="35">
        <v>0</v>
      </c>
      <c r="AB54" s="35"/>
      <c r="AC54" s="35">
        <v>0</v>
      </c>
      <c r="AD54" s="35"/>
      <c r="AE54" s="35">
        <v>0</v>
      </c>
      <c r="AF54" s="35"/>
      <c r="AG54" s="35">
        <v>0</v>
      </c>
      <c r="AH54" s="35"/>
      <c r="AI54" s="37">
        <v>0</v>
      </c>
    </row>
    <row r="55" spans="1:35" x14ac:dyDescent="0.25">
      <c r="A55" s="38" t="s">
        <v>110</v>
      </c>
      <c r="B55" s="39" t="s">
        <v>521</v>
      </c>
      <c r="C55" s="39" t="s">
        <v>522</v>
      </c>
      <c r="D55" s="39">
        <v>26382</v>
      </c>
      <c r="E55" s="39" t="s">
        <v>523</v>
      </c>
      <c r="F55" s="39" t="s">
        <v>524</v>
      </c>
      <c r="G55" s="39" t="s">
        <v>192</v>
      </c>
      <c r="H55" s="39" t="s">
        <v>160</v>
      </c>
      <c r="I55" s="39" t="s">
        <v>117</v>
      </c>
      <c r="J55" s="39" t="s">
        <v>118</v>
      </c>
      <c r="K55" s="40">
        <v>46027</v>
      </c>
      <c r="L55" s="40">
        <v>45992</v>
      </c>
      <c r="M55" s="40">
        <v>46041</v>
      </c>
      <c r="N55" s="40"/>
      <c r="O55" s="40"/>
      <c r="P55" s="40"/>
      <c r="Q55" s="40">
        <v>46054</v>
      </c>
      <c r="R55" s="39" t="s">
        <v>119</v>
      </c>
      <c r="S55" s="39" t="s">
        <v>518</v>
      </c>
      <c r="T55" s="39" t="s">
        <v>519</v>
      </c>
      <c r="U55" s="35" t="s">
        <v>86</v>
      </c>
      <c r="V55" s="39" t="s">
        <v>520</v>
      </c>
      <c r="W55" s="39" t="s">
        <v>123</v>
      </c>
      <c r="X55" s="39">
        <v>16.59</v>
      </c>
      <c r="Y55" s="39">
        <v>4.6500000000000004</v>
      </c>
      <c r="Z55" s="39">
        <v>4.6500000000000004</v>
      </c>
      <c r="AA55" s="39">
        <v>0</v>
      </c>
      <c r="AB55" s="39"/>
      <c r="AC55" s="39">
        <v>0</v>
      </c>
      <c r="AD55" s="39"/>
      <c r="AE55" s="39">
        <v>0</v>
      </c>
      <c r="AF55" s="39"/>
      <c r="AG55" s="39">
        <v>0</v>
      </c>
      <c r="AH55" s="39"/>
      <c r="AI55" s="41">
        <v>0</v>
      </c>
    </row>
    <row r="56" spans="1:35" x14ac:dyDescent="0.25">
      <c r="A56" s="34" t="s">
        <v>110</v>
      </c>
      <c r="B56" s="35" t="s">
        <v>1492</v>
      </c>
      <c r="C56" s="35" t="s">
        <v>1612</v>
      </c>
      <c r="D56" s="35">
        <v>24821</v>
      </c>
      <c r="E56" s="35" t="s">
        <v>1613</v>
      </c>
      <c r="F56" s="35" t="s">
        <v>1614</v>
      </c>
      <c r="G56" s="35" t="s">
        <v>115</v>
      </c>
      <c r="H56" s="35" t="s">
        <v>116</v>
      </c>
      <c r="I56" s="35" t="s">
        <v>117</v>
      </c>
      <c r="J56" s="35" t="s">
        <v>118</v>
      </c>
      <c r="K56" s="36">
        <v>46028</v>
      </c>
      <c r="L56" s="36">
        <v>46071</v>
      </c>
      <c r="M56" s="36">
        <v>46076</v>
      </c>
      <c r="N56" s="36"/>
      <c r="O56" s="36"/>
      <c r="P56" s="36"/>
      <c r="Q56" s="36"/>
      <c r="R56" s="35" t="s">
        <v>142</v>
      </c>
      <c r="S56" s="35" t="s">
        <v>1615</v>
      </c>
      <c r="T56" s="35" t="s">
        <v>1616</v>
      </c>
      <c r="U56" s="35" t="s">
        <v>81</v>
      </c>
      <c r="V56" s="35" t="s">
        <v>1454</v>
      </c>
      <c r="W56" s="35" t="s">
        <v>123</v>
      </c>
      <c r="X56" s="35">
        <v>47.31</v>
      </c>
      <c r="Y56" s="35">
        <v>9.4600000000000009</v>
      </c>
      <c r="Z56" s="35">
        <v>9.4600000000000009</v>
      </c>
      <c r="AA56" s="35">
        <v>0</v>
      </c>
      <c r="AB56" s="35"/>
      <c r="AC56" s="35">
        <v>0</v>
      </c>
      <c r="AD56" s="35"/>
      <c r="AE56" s="35">
        <v>0</v>
      </c>
      <c r="AF56" s="35"/>
      <c r="AG56" s="35">
        <v>0</v>
      </c>
      <c r="AH56" s="35"/>
      <c r="AI56" s="37">
        <v>0</v>
      </c>
    </row>
    <row r="57" spans="1:35" x14ac:dyDescent="0.25">
      <c r="A57" s="38" t="s">
        <v>110</v>
      </c>
      <c r="B57" s="39" t="s">
        <v>1334</v>
      </c>
      <c r="C57" s="39" t="s">
        <v>1335</v>
      </c>
      <c r="D57" s="39">
        <v>15494</v>
      </c>
      <c r="E57" s="39" t="s">
        <v>1336</v>
      </c>
      <c r="F57" s="39" t="s">
        <v>1337</v>
      </c>
      <c r="G57" s="39" t="s">
        <v>115</v>
      </c>
      <c r="H57" s="39" t="s">
        <v>160</v>
      </c>
      <c r="I57" s="39" t="s">
        <v>117</v>
      </c>
      <c r="J57" s="39" t="s">
        <v>118</v>
      </c>
      <c r="K57" s="40">
        <v>46028</v>
      </c>
      <c r="L57" s="40">
        <v>46036</v>
      </c>
      <c r="M57" s="40">
        <v>46042</v>
      </c>
      <c r="N57" s="40"/>
      <c r="O57" s="40"/>
      <c r="P57" s="40"/>
      <c r="Q57" s="40">
        <v>46082</v>
      </c>
      <c r="R57" s="39" t="s">
        <v>142</v>
      </c>
      <c r="S57" s="39" t="s">
        <v>1338</v>
      </c>
      <c r="T57" s="39" t="s">
        <v>1339</v>
      </c>
      <c r="U57" s="35" t="s">
        <v>84</v>
      </c>
      <c r="V57" s="39" t="s">
        <v>1330</v>
      </c>
      <c r="W57" s="39" t="s">
        <v>123</v>
      </c>
      <c r="X57" s="39">
        <v>1680</v>
      </c>
      <c r="Y57" s="39">
        <v>336</v>
      </c>
      <c r="Z57" s="39">
        <v>336</v>
      </c>
      <c r="AA57" s="39">
        <v>0</v>
      </c>
      <c r="AB57" s="39"/>
      <c r="AC57" s="39">
        <v>0</v>
      </c>
      <c r="AD57" s="39"/>
      <c r="AE57" s="39">
        <v>0</v>
      </c>
      <c r="AF57" s="39"/>
      <c r="AG57" s="39">
        <v>0</v>
      </c>
      <c r="AH57" s="39"/>
      <c r="AI57" s="41">
        <v>0</v>
      </c>
    </row>
    <row r="58" spans="1:35" x14ac:dyDescent="0.25">
      <c r="A58" s="34" t="s">
        <v>110</v>
      </c>
      <c r="B58" s="35" t="s">
        <v>2332</v>
      </c>
      <c r="C58" s="35" t="s">
        <v>2333</v>
      </c>
      <c r="D58" s="35">
        <v>31952</v>
      </c>
      <c r="E58" s="35" t="s">
        <v>2334</v>
      </c>
      <c r="F58" s="35" t="s">
        <v>2335</v>
      </c>
      <c r="G58" s="35" t="s">
        <v>174</v>
      </c>
      <c r="H58" s="35" t="s">
        <v>160</v>
      </c>
      <c r="I58" s="35" t="s">
        <v>117</v>
      </c>
      <c r="J58" s="35" t="s">
        <v>2195</v>
      </c>
      <c r="K58" s="36">
        <v>46029</v>
      </c>
      <c r="L58" s="36">
        <v>45905</v>
      </c>
      <c r="M58" s="36"/>
      <c r="N58" s="36">
        <v>46054</v>
      </c>
      <c r="O58" s="36">
        <v>46027</v>
      </c>
      <c r="P58" s="36"/>
      <c r="Q58" s="36"/>
      <c r="R58" s="35" t="s">
        <v>142</v>
      </c>
      <c r="S58" s="35" t="s">
        <v>482</v>
      </c>
      <c r="T58" s="35" t="s">
        <v>177</v>
      </c>
      <c r="U58" s="35" t="s">
        <v>81</v>
      </c>
      <c r="V58" s="35" t="s">
        <v>163</v>
      </c>
      <c r="W58" s="35" t="s">
        <v>123</v>
      </c>
      <c r="X58" s="35">
        <v>124.04</v>
      </c>
      <c r="Y58" s="35">
        <v>14.88</v>
      </c>
      <c r="Z58" s="35">
        <v>14.88</v>
      </c>
      <c r="AA58" s="35">
        <v>0</v>
      </c>
      <c r="AB58" s="35"/>
      <c r="AC58" s="35">
        <v>0</v>
      </c>
      <c r="AD58" s="35"/>
      <c r="AE58" s="35">
        <v>0</v>
      </c>
      <c r="AF58" s="35"/>
      <c r="AG58" s="35">
        <v>0</v>
      </c>
      <c r="AH58" s="35"/>
      <c r="AI58" s="37">
        <v>0</v>
      </c>
    </row>
    <row r="59" spans="1:35" x14ac:dyDescent="0.25">
      <c r="A59" s="38" t="s">
        <v>110</v>
      </c>
      <c r="B59" s="39" t="s">
        <v>2088</v>
      </c>
      <c r="C59" s="39" t="s">
        <v>2089</v>
      </c>
      <c r="D59" s="39">
        <v>27169</v>
      </c>
      <c r="E59" s="39" t="s">
        <v>2090</v>
      </c>
      <c r="F59" s="39" t="s">
        <v>2091</v>
      </c>
      <c r="G59" s="39" t="s">
        <v>174</v>
      </c>
      <c r="H59" s="39" t="s">
        <v>160</v>
      </c>
      <c r="I59" s="39" t="s">
        <v>217</v>
      </c>
      <c r="J59" s="39" t="s">
        <v>141</v>
      </c>
      <c r="K59" s="40">
        <v>46029</v>
      </c>
      <c r="L59" s="40">
        <v>45444</v>
      </c>
      <c r="M59" s="40"/>
      <c r="N59" s="40"/>
      <c r="O59" s="40"/>
      <c r="P59" s="40"/>
      <c r="Q59" s="40">
        <v>46022</v>
      </c>
      <c r="R59" s="39" t="s">
        <v>218</v>
      </c>
      <c r="S59" s="39" t="s">
        <v>1329</v>
      </c>
      <c r="T59" s="39" t="s">
        <v>519</v>
      </c>
      <c r="U59" s="35" t="s">
        <v>86</v>
      </c>
      <c r="V59" s="39" t="s">
        <v>1330</v>
      </c>
      <c r="W59" s="39" t="s">
        <v>123</v>
      </c>
      <c r="X59" s="39">
        <v>1.84</v>
      </c>
      <c r="Y59" s="39">
        <v>0.1</v>
      </c>
      <c r="Z59" s="39">
        <v>0.1</v>
      </c>
      <c r="AA59" s="39">
        <v>0</v>
      </c>
      <c r="AB59" s="39"/>
      <c r="AC59" s="39">
        <v>0</v>
      </c>
      <c r="AD59" s="39"/>
      <c r="AE59" s="39">
        <v>0</v>
      </c>
      <c r="AF59" s="39"/>
      <c r="AG59" s="39">
        <v>0</v>
      </c>
      <c r="AH59" s="39"/>
      <c r="AI59" s="41">
        <v>0</v>
      </c>
    </row>
    <row r="60" spans="1:35" x14ac:dyDescent="0.25">
      <c r="A60" s="34" t="s">
        <v>110</v>
      </c>
      <c r="B60" s="35" t="s">
        <v>594</v>
      </c>
      <c r="C60" s="35" t="s">
        <v>1327</v>
      </c>
      <c r="D60" s="35">
        <v>27765</v>
      </c>
      <c r="E60" s="35" t="s">
        <v>2090</v>
      </c>
      <c r="F60" s="35" t="s">
        <v>2092</v>
      </c>
      <c r="G60" s="35" t="s">
        <v>115</v>
      </c>
      <c r="H60" s="35" t="s">
        <v>160</v>
      </c>
      <c r="I60" s="35" t="s">
        <v>117</v>
      </c>
      <c r="J60" s="35" t="s">
        <v>141</v>
      </c>
      <c r="K60" s="36">
        <v>46029</v>
      </c>
      <c r="L60" s="36">
        <v>45809</v>
      </c>
      <c r="M60" s="36"/>
      <c r="N60" s="36"/>
      <c r="O60" s="36"/>
      <c r="P60" s="36"/>
      <c r="Q60" s="36">
        <v>46022</v>
      </c>
      <c r="R60" s="35" t="s">
        <v>119</v>
      </c>
      <c r="S60" s="35" t="s">
        <v>1329</v>
      </c>
      <c r="T60" s="35" t="s">
        <v>519</v>
      </c>
      <c r="U60" s="35" t="s">
        <v>86</v>
      </c>
      <c r="V60" s="35" t="s">
        <v>1330</v>
      </c>
      <c r="W60" s="35" t="s">
        <v>123</v>
      </c>
      <c r="X60" s="35">
        <v>598.16999999999996</v>
      </c>
      <c r="Y60" s="35">
        <v>29.91</v>
      </c>
      <c r="Z60" s="35">
        <v>29.91</v>
      </c>
      <c r="AA60" s="35">
        <v>0</v>
      </c>
      <c r="AB60" s="35"/>
      <c r="AC60" s="35">
        <v>0</v>
      </c>
      <c r="AD60" s="35"/>
      <c r="AE60" s="35">
        <v>0</v>
      </c>
      <c r="AF60" s="35"/>
      <c r="AG60" s="35">
        <v>0</v>
      </c>
      <c r="AH60" s="35"/>
      <c r="AI60" s="37">
        <v>0</v>
      </c>
    </row>
    <row r="61" spans="1:35" x14ac:dyDescent="0.25">
      <c r="A61" s="38" t="s">
        <v>110</v>
      </c>
      <c r="B61" s="39" t="s">
        <v>2105</v>
      </c>
      <c r="C61" s="39" t="s">
        <v>2106</v>
      </c>
      <c r="D61" s="39">
        <v>28279</v>
      </c>
      <c r="E61" s="39" t="s">
        <v>2090</v>
      </c>
      <c r="F61" s="39" t="s">
        <v>2107</v>
      </c>
      <c r="G61" s="39" t="s">
        <v>174</v>
      </c>
      <c r="H61" s="39" t="s">
        <v>160</v>
      </c>
      <c r="I61" s="39" t="s">
        <v>117</v>
      </c>
      <c r="J61" s="39" t="s">
        <v>141</v>
      </c>
      <c r="K61" s="40">
        <v>46029</v>
      </c>
      <c r="L61" s="40">
        <v>45413</v>
      </c>
      <c r="M61" s="40"/>
      <c r="N61" s="40"/>
      <c r="O61" s="40"/>
      <c r="P61" s="40"/>
      <c r="Q61" s="40">
        <v>46022</v>
      </c>
      <c r="R61" s="39" t="s">
        <v>119</v>
      </c>
      <c r="S61" s="39" t="s">
        <v>1329</v>
      </c>
      <c r="T61" s="39" t="s">
        <v>519</v>
      </c>
      <c r="U61" s="35" t="s">
        <v>86</v>
      </c>
      <c r="V61" s="39" t="s">
        <v>1330</v>
      </c>
      <c r="W61" s="39" t="s">
        <v>123</v>
      </c>
      <c r="X61" s="39">
        <v>7169.06</v>
      </c>
      <c r="Y61" s="39">
        <v>358.45</v>
      </c>
      <c r="Z61" s="39">
        <v>358.45</v>
      </c>
      <c r="AA61" s="39">
        <v>0</v>
      </c>
      <c r="AB61" s="39"/>
      <c r="AC61" s="39">
        <v>0</v>
      </c>
      <c r="AD61" s="39"/>
      <c r="AE61" s="39">
        <v>0</v>
      </c>
      <c r="AF61" s="39"/>
      <c r="AG61" s="39">
        <v>0</v>
      </c>
      <c r="AH61" s="39"/>
      <c r="AI61" s="41">
        <v>0</v>
      </c>
    </row>
    <row r="62" spans="1:35" x14ac:dyDescent="0.25">
      <c r="A62" s="34" t="s">
        <v>110</v>
      </c>
      <c r="B62" s="35" t="s">
        <v>2088</v>
      </c>
      <c r="C62" s="35" t="s">
        <v>2108</v>
      </c>
      <c r="D62" s="35">
        <v>28349</v>
      </c>
      <c r="E62" s="35" t="s">
        <v>2090</v>
      </c>
      <c r="F62" s="35" t="s">
        <v>2109</v>
      </c>
      <c r="G62" s="35" t="s">
        <v>174</v>
      </c>
      <c r="H62" s="35" t="s">
        <v>160</v>
      </c>
      <c r="I62" s="35" t="s">
        <v>117</v>
      </c>
      <c r="J62" s="35" t="s">
        <v>141</v>
      </c>
      <c r="K62" s="36">
        <v>46029</v>
      </c>
      <c r="L62" s="36">
        <v>45413</v>
      </c>
      <c r="M62" s="36"/>
      <c r="N62" s="36"/>
      <c r="O62" s="36"/>
      <c r="P62" s="36"/>
      <c r="Q62" s="36">
        <v>46022</v>
      </c>
      <c r="R62" s="35" t="s">
        <v>119</v>
      </c>
      <c r="S62" s="35" t="s">
        <v>1329</v>
      </c>
      <c r="T62" s="35" t="s">
        <v>519</v>
      </c>
      <c r="U62" s="35" t="s">
        <v>86</v>
      </c>
      <c r="V62" s="35" t="s">
        <v>1330</v>
      </c>
      <c r="W62" s="35" t="s">
        <v>123</v>
      </c>
      <c r="X62" s="35">
        <v>525.28</v>
      </c>
      <c r="Y62" s="35">
        <v>26.26</v>
      </c>
      <c r="Z62" s="35">
        <v>26.26</v>
      </c>
      <c r="AA62" s="35">
        <v>0</v>
      </c>
      <c r="AB62" s="35"/>
      <c r="AC62" s="35">
        <v>0</v>
      </c>
      <c r="AD62" s="35"/>
      <c r="AE62" s="35">
        <v>0</v>
      </c>
      <c r="AF62" s="35"/>
      <c r="AG62" s="35">
        <v>0</v>
      </c>
      <c r="AH62" s="35"/>
      <c r="AI62" s="37">
        <v>0</v>
      </c>
    </row>
    <row r="63" spans="1:35" x14ac:dyDescent="0.25">
      <c r="A63" s="38" t="s">
        <v>110</v>
      </c>
      <c r="B63" s="39" t="s">
        <v>2088</v>
      </c>
      <c r="C63" s="39" t="s">
        <v>2108</v>
      </c>
      <c r="D63" s="39">
        <v>28349</v>
      </c>
      <c r="E63" s="39" t="s">
        <v>2090</v>
      </c>
      <c r="F63" s="39" t="s">
        <v>2110</v>
      </c>
      <c r="G63" s="39" t="s">
        <v>174</v>
      </c>
      <c r="H63" s="39" t="s">
        <v>160</v>
      </c>
      <c r="I63" s="39" t="s">
        <v>117</v>
      </c>
      <c r="J63" s="39" t="s">
        <v>141</v>
      </c>
      <c r="K63" s="40">
        <v>46029</v>
      </c>
      <c r="L63" s="40">
        <v>45627</v>
      </c>
      <c r="M63" s="40"/>
      <c r="N63" s="40"/>
      <c r="O63" s="40"/>
      <c r="P63" s="40"/>
      <c r="Q63" s="40">
        <v>46022</v>
      </c>
      <c r="R63" s="39" t="s">
        <v>119</v>
      </c>
      <c r="S63" s="39" t="s">
        <v>1329</v>
      </c>
      <c r="T63" s="39" t="s">
        <v>519</v>
      </c>
      <c r="U63" s="35" t="s">
        <v>86</v>
      </c>
      <c r="V63" s="39" t="s">
        <v>1330</v>
      </c>
      <c r="W63" s="39" t="s">
        <v>123</v>
      </c>
      <c r="X63" s="39">
        <v>0.92</v>
      </c>
      <c r="Y63" s="39">
        <v>0.05</v>
      </c>
      <c r="Z63" s="39">
        <v>0.05</v>
      </c>
      <c r="AA63" s="39">
        <v>0</v>
      </c>
      <c r="AB63" s="39"/>
      <c r="AC63" s="39">
        <v>0</v>
      </c>
      <c r="AD63" s="39"/>
      <c r="AE63" s="39">
        <v>0</v>
      </c>
      <c r="AF63" s="39"/>
      <c r="AG63" s="39">
        <v>0</v>
      </c>
      <c r="AH63" s="39"/>
      <c r="AI63" s="41">
        <v>0</v>
      </c>
    </row>
    <row r="64" spans="1:35" x14ac:dyDescent="0.25">
      <c r="A64" s="34" t="s">
        <v>110</v>
      </c>
      <c r="B64" s="35" t="s">
        <v>2088</v>
      </c>
      <c r="C64" s="35" t="s">
        <v>2108</v>
      </c>
      <c r="D64" s="35">
        <v>28349</v>
      </c>
      <c r="E64" s="35" t="s">
        <v>2090</v>
      </c>
      <c r="F64" s="35" t="s">
        <v>2111</v>
      </c>
      <c r="G64" s="35" t="s">
        <v>115</v>
      </c>
      <c r="H64" s="35" t="s">
        <v>160</v>
      </c>
      <c r="I64" s="35" t="s">
        <v>117</v>
      </c>
      <c r="J64" s="35" t="s">
        <v>141</v>
      </c>
      <c r="K64" s="36">
        <v>46029</v>
      </c>
      <c r="L64" s="36">
        <v>45778</v>
      </c>
      <c r="M64" s="36"/>
      <c r="N64" s="36"/>
      <c r="O64" s="36"/>
      <c r="P64" s="36"/>
      <c r="Q64" s="36">
        <v>46022</v>
      </c>
      <c r="R64" s="35" t="s">
        <v>119</v>
      </c>
      <c r="S64" s="35" t="s">
        <v>1329</v>
      </c>
      <c r="T64" s="35" t="s">
        <v>519</v>
      </c>
      <c r="U64" s="35" t="s">
        <v>86</v>
      </c>
      <c r="V64" s="35" t="s">
        <v>1330</v>
      </c>
      <c r="W64" s="35" t="s">
        <v>123</v>
      </c>
      <c r="X64" s="35">
        <v>2186.48</v>
      </c>
      <c r="Y64" s="35">
        <v>109.32</v>
      </c>
      <c r="Z64" s="35">
        <v>109.32</v>
      </c>
      <c r="AA64" s="35">
        <v>0</v>
      </c>
      <c r="AB64" s="35"/>
      <c r="AC64" s="35">
        <v>0</v>
      </c>
      <c r="AD64" s="35"/>
      <c r="AE64" s="35">
        <v>0</v>
      </c>
      <c r="AF64" s="35"/>
      <c r="AG64" s="35">
        <v>0</v>
      </c>
      <c r="AH64" s="35"/>
      <c r="AI64" s="37">
        <v>0</v>
      </c>
    </row>
    <row r="65" spans="1:35" x14ac:dyDescent="0.25">
      <c r="A65" s="38" t="s">
        <v>110</v>
      </c>
      <c r="B65" s="39" t="s">
        <v>2088</v>
      </c>
      <c r="C65" s="39" t="s">
        <v>2108</v>
      </c>
      <c r="D65" s="39">
        <v>28349</v>
      </c>
      <c r="E65" s="39" t="s">
        <v>2090</v>
      </c>
      <c r="F65" s="39" t="s">
        <v>2112</v>
      </c>
      <c r="G65" s="39" t="s">
        <v>115</v>
      </c>
      <c r="H65" s="39" t="s">
        <v>160</v>
      </c>
      <c r="I65" s="39" t="s">
        <v>117</v>
      </c>
      <c r="J65" s="39" t="s">
        <v>141</v>
      </c>
      <c r="K65" s="40">
        <v>46029</v>
      </c>
      <c r="L65" s="40">
        <v>45809</v>
      </c>
      <c r="M65" s="40"/>
      <c r="N65" s="40"/>
      <c r="O65" s="40"/>
      <c r="P65" s="40"/>
      <c r="Q65" s="40">
        <v>46022</v>
      </c>
      <c r="R65" s="39" t="s">
        <v>119</v>
      </c>
      <c r="S65" s="39" t="s">
        <v>1329</v>
      </c>
      <c r="T65" s="39" t="s">
        <v>519</v>
      </c>
      <c r="U65" s="35" t="s">
        <v>86</v>
      </c>
      <c r="V65" s="39" t="s">
        <v>1330</v>
      </c>
      <c r="W65" s="39" t="s">
        <v>123</v>
      </c>
      <c r="X65" s="39">
        <v>791.58</v>
      </c>
      <c r="Y65" s="39">
        <v>39.58</v>
      </c>
      <c r="Z65" s="39">
        <v>39.58</v>
      </c>
      <c r="AA65" s="39">
        <v>0</v>
      </c>
      <c r="AB65" s="39"/>
      <c r="AC65" s="39">
        <v>0</v>
      </c>
      <c r="AD65" s="39"/>
      <c r="AE65" s="39">
        <v>0</v>
      </c>
      <c r="AF65" s="39"/>
      <c r="AG65" s="39">
        <v>0</v>
      </c>
      <c r="AH65" s="39"/>
      <c r="AI65" s="41">
        <v>0</v>
      </c>
    </row>
    <row r="66" spans="1:35" x14ac:dyDescent="0.25">
      <c r="A66" s="34" t="s">
        <v>110</v>
      </c>
      <c r="B66" s="35" t="s">
        <v>2088</v>
      </c>
      <c r="C66" s="35" t="s">
        <v>2108</v>
      </c>
      <c r="D66" s="35">
        <v>28349</v>
      </c>
      <c r="E66" s="35" t="s">
        <v>2090</v>
      </c>
      <c r="F66" s="35" t="s">
        <v>2113</v>
      </c>
      <c r="G66" s="35" t="s">
        <v>115</v>
      </c>
      <c r="H66" s="35" t="s">
        <v>160</v>
      </c>
      <c r="I66" s="35" t="s">
        <v>117</v>
      </c>
      <c r="J66" s="35" t="s">
        <v>141</v>
      </c>
      <c r="K66" s="36">
        <v>46029</v>
      </c>
      <c r="L66" s="36">
        <v>45839</v>
      </c>
      <c r="M66" s="36"/>
      <c r="N66" s="36"/>
      <c r="O66" s="36"/>
      <c r="P66" s="36"/>
      <c r="Q66" s="36">
        <v>46022</v>
      </c>
      <c r="R66" s="35" t="s">
        <v>119</v>
      </c>
      <c r="S66" s="35" t="s">
        <v>1329</v>
      </c>
      <c r="T66" s="35" t="s">
        <v>519</v>
      </c>
      <c r="U66" s="35" t="s">
        <v>86</v>
      </c>
      <c r="V66" s="35" t="s">
        <v>1330</v>
      </c>
      <c r="W66" s="35" t="s">
        <v>123</v>
      </c>
      <c r="X66" s="35">
        <v>620.97</v>
      </c>
      <c r="Y66" s="35">
        <v>31.05</v>
      </c>
      <c r="Z66" s="35">
        <v>31.05</v>
      </c>
      <c r="AA66" s="35">
        <v>0</v>
      </c>
      <c r="AB66" s="35"/>
      <c r="AC66" s="35">
        <v>0</v>
      </c>
      <c r="AD66" s="35"/>
      <c r="AE66" s="35">
        <v>0</v>
      </c>
      <c r="AF66" s="35"/>
      <c r="AG66" s="35">
        <v>0</v>
      </c>
      <c r="AH66" s="35"/>
      <c r="AI66" s="37">
        <v>0</v>
      </c>
    </row>
    <row r="67" spans="1:35" x14ac:dyDescent="0.25">
      <c r="A67" s="38" t="s">
        <v>110</v>
      </c>
      <c r="B67" s="39" t="s">
        <v>2119</v>
      </c>
      <c r="C67" s="39" t="s">
        <v>2120</v>
      </c>
      <c r="D67" s="39">
        <v>29050</v>
      </c>
      <c r="E67" s="39" t="s">
        <v>2090</v>
      </c>
      <c r="F67" s="39" t="s">
        <v>2121</v>
      </c>
      <c r="G67" s="39" t="s">
        <v>115</v>
      </c>
      <c r="H67" s="39" t="s">
        <v>160</v>
      </c>
      <c r="I67" s="39" t="s">
        <v>117</v>
      </c>
      <c r="J67" s="39" t="s">
        <v>141</v>
      </c>
      <c r="K67" s="40">
        <v>46029</v>
      </c>
      <c r="L67" s="40">
        <v>45689</v>
      </c>
      <c r="M67" s="40"/>
      <c r="N67" s="40"/>
      <c r="O67" s="40"/>
      <c r="P67" s="40"/>
      <c r="Q67" s="40">
        <v>46022</v>
      </c>
      <c r="R67" s="39" t="s">
        <v>119</v>
      </c>
      <c r="S67" s="39" t="s">
        <v>1329</v>
      </c>
      <c r="T67" s="39" t="s">
        <v>519</v>
      </c>
      <c r="U67" s="35" t="s">
        <v>86</v>
      </c>
      <c r="V67" s="39" t="s">
        <v>1330</v>
      </c>
      <c r="W67" s="39" t="s">
        <v>123</v>
      </c>
      <c r="X67" s="39">
        <v>33826.199999999997</v>
      </c>
      <c r="Y67" s="39">
        <v>1691.31</v>
      </c>
      <c r="Z67" s="39">
        <v>1691.31</v>
      </c>
      <c r="AA67" s="39">
        <v>0</v>
      </c>
      <c r="AB67" s="39"/>
      <c r="AC67" s="39">
        <v>0</v>
      </c>
      <c r="AD67" s="39"/>
      <c r="AE67" s="39">
        <v>0</v>
      </c>
      <c r="AF67" s="39"/>
      <c r="AG67" s="39">
        <v>0</v>
      </c>
      <c r="AH67" s="39"/>
      <c r="AI67" s="41">
        <v>0</v>
      </c>
    </row>
    <row r="68" spans="1:35" x14ac:dyDescent="0.25">
      <c r="A68" s="34" t="s">
        <v>110</v>
      </c>
      <c r="B68" s="35" t="s">
        <v>2094</v>
      </c>
      <c r="C68" s="35" t="s">
        <v>2095</v>
      </c>
      <c r="D68" s="35">
        <v>27792</v>
      </c>
      <c r="E68" s="35" t="s">
        <v>2090</v>
      </c>
      <c r="F68" s="35" t="s">
        <v>2096</v>
      </c>
      <c r="G68" s="35" t="s">
        <v>115</v>
      </c>
      <c r="H68" s="35" t="s">
        <v>160</v>
      </c>
      <c r="I68" s="35" t="s">
        <v>117</v>
      </c>
      <c r="J68" s="35" t="s">
        <v>141</v>
      </c>
      <c r="K68" s="36">
        <v>46029</v>
      </c>
      <c r="L68" s="36">
        <v>45323</v>
      </c>
      <c r="M68" s="36"/>
      <c r="N68" s="36"/>
      <c r="O68" s="36"/>
      <c r="P68" s="36"/>
      <c r="Q68" s="36">
        <v>46022</v>
      </c>
      <c r="R68" s="35" t="s">
        <v>142</v>
      </c>
      <c r="S68" s="35" t="s">
        <v>1329</v>
      </c>
      <c r="T68" s="35" t="s">
        <v>519</v>
      </c>
      <c r="U68" s="35" t="s">
        <v>86</v>
      </c>
      <c r="V68" s="35" t="s">
        <v>1330</v>
      </c>
      <c r="W68" s="35" t="s">
        <v>123</v>
      </c>
      <c r="X68" s="35">
        <v>-0.92</v>
      </c>
      <c r="Y68" s="35">
        <v>-0.05</v>
      </c>
      <c r="Z68" s="35">
        <v>-0.05</v>
      </c>
      <c r="AA68" s="35">
        <v>0</v>
      </c>
      <c r="AB68" s="35"/>
      <c r="AC68" s="35">
        <v>0</v>
      </c>
      <c r="AD68" s="35"/>
      <c r="AE68" s="35">
        <v>0</v>
      </c>
      <c r="AF68" s="35"/>
      <c r="AG68" s="35">
        <v>0</v>
      </c>
      <c r="AH68" s="35"/>
      <c r="AI68" s="37">
        <v>0</v>
      </c>
    </row>
    <row r="69" spans="1:35" x14ac:dyDescent="0.25">
      <c r="A69" s="38" t="s">
        <v>110</v>
      </c>
      <c r="B69" s="39" t="s">
        <v>2094</v>
      </c>
      <c r="C69" s="39" t="s">
        <v>2097</v>
      </c>
      <c r="D69" s="39">
        <v>27794</v>
      </c>
      <c r="E69" s="39" t="s">
        <v>2098</v>
      </c>
      <c r="F69" s="39" t="s">
        <v>2099</v>
      </c>
      <c r="G69" s="39" t="s">
        <v>115</v>
      </c>
      <c r="H69" s="39" t="s">
        <v>160</v>
      </c>
      <c r="I69" s="39" t="s">
        <v>117</v>
      </c>
      <c r="J69" s="39" t="s">
        <v>141</v>
      </c>
      <c r="K69" s="40">
        <v>46029</v>
      </c>
      <c r="L69" s="40">
        <v>45323</v>
      </c>
      <c r="M69" s="40"/>
      <c r="N69" s="40"/>
      <c r="O69" s="40"/>
      <c r="P69" s="40"/>
      <c r="Q69" s="40">
        <v>46022</v>
      </c>
      <c r="R69" s="39" t="s">
        <v>142</v>
      </c>
      <c r="S69" s="39" t="s">
        <v>1329</v>
      </c>
      <c r="T69" s="39" t="s">
        <v>519</v>
      </c>
      <c r="U69" s="35" t="s">
        <v>86</v>
      </c>
      <c r="V69" s="39" t="s">
        <v>1330</v>
      </c>
      <c r="W69" s="39" t="s">
        <v>123</v>
      </c>
      <c r="X69" s="39">
        <v>0.92</v>
      </c>
      <c r="Y69" s="39">
        <v>0.05</v>
      </c>
      <c r="Z69" s="39">
        <v>0.05</v>
      </c>
      <c r="AA69" s="39">
        <v>0</v>
      </c>
      <c r="AB69" s="39"/>
      <c r="AC69" s="39">
        <v>0</v>
      </c>
      <c r="AD69" s="39"/>
      <c r="AE69" s="39">
        <v>0</v>
      </c>
      <c r="AF69" s="39"/>
      <c r="AG69" s="39">
        <v>0</v>
      </c>
      <c r="AH69" s="39"/>
      <c r="AI69" s="41">
        <v>0</v>
      </c>
    </row>
    <row r="70" spans="1:35" x14ac:dyDescent="0.25">
      <c r="A70" s="34" t="s">
        <v>110</v>
      </c>
      <c r="B70" s="35" t="s">
        <v>2094</v>
      </c>
      <c r="C70" s="35" t="s">
        <v>2100</v>
      </c>
      <c r="D70" s="35">
        <v>27795</v>
      </c>
      <c r="E70" s="35" t="s">
        <v>2090</v>
      </c>
      <c r="F70" s="35" t="s">
        <v>2101</v>
      </c>
      <c r="G70" s="35" t="s">
        <v>115</v>
      </c>
      <c r="H70" s="35" t="s">
        <v>160</v>
      </c>
      <c r="I70" s="35" t="s">
        <v>117</v>
      </c>
      <c r="J70" s="35" t="s">
        <v>141</v>
      </c>
      <c r="K70" s="36">
        <v>46029</v>
      </c>
      <c r="L70" s="36">
        <v>45323</v>
      </c>
      <c r="M70" s="36"/>
      <c r="N70" s="36"/>
      <c r="O70" s="36"/>
      <c r="P70" s="36"/>
      <c r="Q70" s="36">
        <v>46022</v>
      </c>
      <c r="R70" s="35" t="s">
        <v>142</v>
      </c>
      <c r="S70" s="35" t="s">
        <v>1329</v>
      </c>
      <c r="T70" s="35" t="s">
        <v>519</v>
      </c>
      <c r="U70" s="35" t="s">
        <v>86</v>
      </c>
      <c r="V70" s="35" t="s">
        <v>1330</v>
      </c>
      <c r="W70" s="35" t="s">
        <v>123</v>
      </c>
      <c r="X70" s="35">
        <v>0.92</v>
      </c>
      <c r="Y70" s="35">
        <v>0.05</v>
      </c>
      <c r="Z70" s="35">
        <v>0.05</v>
      </c>
      <c r="AA70" s="35">
        <v>0</v>
      </c>
      <c r="AB70" s="35"/>
      <c r="AC70" s="35">
        <v>0</v>
      </c>
      <c r="AD70" s="35"/>
      <c r="AE70" s="35">
        <v>0</v>
      </c>
      <c r="AF70" s="35"/>
      <c r="AG70" s="35">
        <v>0</v>
      </c>
      <c r="AH70" s="35"/>
      <c r="AI70" s="37">
        <v>0</v>
      </c>
    </row>
    <row r="71" spans="1:35" x14ac:dyDescent="0.25">
      <c r="A71" s="38" t="s">
        <v>110</v>
      </c>
      <c r="B71" s="39" t="s">
        <v>2094</v>
      </c>
      <c r="C71" s="39" t="s">
        <v>2100</v>
      </c>
      <c r="D71" s="39">
        <v>27795</v>
      </c>
      <c r="E71" s="39" t="s">
        <v>2090</v>
      </c>
      <c r="F71" s="39" t="s">
        <v>2102</v>
      </c>
      <c r="G71" s="39" t="s">
        <v>115</v>
      </c>
      <c r="H71" s="39" t="s">
        <v>160</v>
      </c>
      <c r="I71" s="39" t="s">
        <v>117</v>
      </c>
      <c r="J71" s="39" t="s">
        <v>141</v>
      </c>
      <c r="K71" s="40">
        <v>46029</v>
      </c>
      <c r="L71" s="40">
        <v>45413</v>
      </c>
      <c r="M71" s="40"/>
      <c r="N71" s="40"/>
      <c r="O71" s="40"/>
      <c r="P71" s="40"/>
      <c r="Q71" s="40">
        <v>46022</v>
      </c>
      <c r="R71" s="39" t="s">
        <v>142</v>
      </c>
      <c r="S71" s="39" t="s">
        <v>1329</v>
      </c>
      <c r="T71" s="39" t="s">
        <v>519</v>
      </c>
      <c r="U71" s="35" t="s">
        <v>86</v>
      </c>
      <c r="V71" s="39" t="s">
        <v>1330</v>
      </c>
      <c r="W71" s="39" t="s">
        <v>123</v>
      </c>
      <c r="X71" s="39">
        <v>0.92</v>
      </c>
      <c r="Y71" s="39">
        <v>0.05</v>
      </c>
      <c r="Z71" s="39">
        <v>0.05</v>
      </c>
      <c r="AA71" s="39">
        <v>0</v>
      </c>
      <c r="AB71" s="39"/>
      <c r="AC71" s="39">
        <v>0</v>
      </c>
      <c r="AD71" s="39"/>
      <c r="AE71" s="39">
        <v>0</v>
      </c>
      <c r="AF71" s="39"/>
      <c r="AG71" s="39">
        <v>0</v>
      </c>
      <c r="AH71" s="39"/>
      <c r="AI71" s="41">
        <v>0</v>
      </c>
    </row>
    <row r="72" spans="1:35" x14ac:dyDescent="0.25">
      <c r="A72" s="34" t="s">
        <v>110</v>
      </c>
      <c r="B72" s="35" t="s">
        <v>2094</v>
      </c>
      <c r="C72" s="35" t="s">
        <v>2103</v>
      </c>
      <c r="D72" s="35">
        <v>27797</v>
      </c>
      <c r="E72" s="35" t="s">
        <v>2090</v>
      </c>
      <c r="F72" s="35" t="s">
        <v>2104</v>
      </c>
      <c r="G72" s="35" t="s">
        <v>115</v>
      </c>
      <c r="H72" s="35" t="s">
        <v>160</v>
      </c>
      <c r="I72" s="35" t="s">
        <v>117</v>
      </c>
      <c r="J72" s="35" t="s">
        <v>141</v>
      </c>
      <c r="K72" s="36">
        <v>46029</v>
      </c>
      <c r="L72" s="36">
        <v>45413</v>
      </c>
      <c r="M72" s="36"/>
      <c r="N72" s="36"/>
      <c r="O72" s="36"/>
      <c r="P72" s="36"/>
      <c r="Q72" s="36">
        <v>46022</v>
      </c>
      <c r="R72" s="35" t="s">
        <v>142</v>
      </c>
      <c r="S72" s="35" t="s">
        <v>1329</v>
      </c>
      <c r="T72" s="35" t="s">
        <v>519</v>
      </c>
      <c r="U72" s="35" t="s">
        <v>86</v>
      </c>
      <c r="V72" s="35" t="s">
        <v>1330</v>
      </c>
      <c r="W72" s="35" t="s">
        <v>123</v>
      </c>
      <c r="X72" s="35">
        <v>0.41</v>
      </c>
      <c r="Y72" s="35">
        <v>0.02</v>
      </c>
      <c r="Z72" s="35">
        <v>0.02</v>
      </c>
      <c r="AA72" s="35">
        <v>0</v>
      </c>
      <c r="AB72" s="35"/>
      <c r="AC72" s="35">
        <v>0</v>
      </c>
      <c r="AD72" s="35"/>
      <c r="AE72" s="35">
        <v>0</v>
      </c>
      <c r="AF72" s="35"/>
      <c r="AG72" s="35">
        <v>0</v>
      </c>
      <c r="AH72" s="35"/>
      <c r="AI72" s="37">
        <v>0</v>
      </c>
    </row>
    <row r="73" spans="1:35" x14ac:dyDescent="0.25">
      <c r="A73" s="38" t="s">
        <v>110</v>
      </c>
      <c r="B73" s="39" t="s">
        <v>420</v>
      </c>
      <c r="C73" s="39" t="s">
        <v>421</v>
      </c>
      <c r="D73" s="39">
        <v>17860</v>
      </c>
      <c r="E73" s="39" t="s">
        <v>422</v>
      </c>
      <c r="F73" s="39" t="s">
        <v>423</v>
      </c>
      <c r="G73" s="39" t="s">
        <v>174</v>
      </c>
      <c r="H73" s="39" t="s">
        <v>160</v>
      </c>
      <c r="I73" s="39" t="s">
        <v>217</v>
      </c>
      <c r="J73" s="39" t="s">
        <v>118</v>
      </c>
      <c r="K73" s="40">
        <v>46030</v>
      </c>
      <c r="L73" s="40">
        <v>46041</v>
      </c>
      <c r="M73" s="40">
        <v>46037</v>
      </c>
      <c r="N73" s="40"/>
      <c r="O73" s="40"/>
      <c r="P73" s="40"/>
      <c r="Q73" s="40">
        <v>46056</v>
      </c>
      <c r="R73" s="39" t="s">
        <v>218</v>
      </c>
      <c r="S73" s="39" t="s">
        <v>225</v>
      </c>
      <c r="T73" s="39" t="s">
        <v>225</v>
      </c>
      <c r="U73" s="35" t="s">
        <v>88</v>
      </c>
      <c r="V73" s="39" t="s">
        <v>226</v>
      </c>
      <c r="W73" s="39" t="s">
        <v>123</v>
      </c>
      <c r="X73" s="39">
        <v>64000</v>
      </c>
      <c r="Y73" s="39">
        <v>11636.36</v>
      </c>
      <c r="Z73" s="39">
        <v>11636.36</v>
      </c>
      <c r="AA73" s="39">
        <v>0</v>
      </c>
      <c r="AB73" s="39"/>
      <c r="AC73" s="39">
        <v>0</v>
      </c>
      <c r="AD73" s="39"/>
      <c r="AE73" s="39">
        <v>0</v>
      </c>
      <c r="AF73" s="39"/>
      <c r="AG73" s="39">
        <v>0</v>
      </c>
      <c r="AH73" s="39"/>
      <c r="AI73" s="41">
        <v>0</v>
      </c>
    </row>
    <row r="74" spans="1:35" x14ac:dyDescent="0.25">
      <c r="A74" s="34" t="s">
        <v>110</v>
      </c>
      <c r="B74" s="35" t="s">
        <v>416</v>
      </c>
      <c r="C74" s="35" t="s">
        <v>417</v>
      </c>
      <c r="D74" s="35">
        <v>15577</v>
      </c>
      <c r="E74" s="35" t="s">
        <v>418</v>
      </c>
      <c r="F74" s="35" t="s">
        <v>419</v>
      </c>
      <c r="G74" s="35" t="s">
        <v>174</v>
      </c>
      <c r="H74" s="35" t="s">
        <v>160</v>
      </c>
      <c r="I74" s="35" t="s">
        <v>217</v>
      </c>
      <c r="J74" s="35" t="s">
        <v>118</v>
      </c>
      <c r="K74" s="36">
        <v>46030</v>
      </c>
      <c r="L74" s="36">
        <v>46081</v>
      </c>
      <c r="M74" s="36">
        <v>46083</v>
      </c>
      <c r="N74" s="36"/>
      <c r="O74" s="36"/>
      <c r="P74" s="36"/>
      <c r="Q74" s="36"/>
      <c r="R74" s="35" t="s">
        <v>218</v>
      </c>
      <c r="S74" s="35" t="s">
        <v>225</v>
      </c>
      <c r="T74" s="35" t="s">
        <v>225</v>
      </c>
      <c r="U74" s="35" t="s">
        <v>88</v>
      </c>
      <c r="V74" s="35" t="s">
        <v>226</v>
      </c>
      <c r="W74" s="35" t="s">
        <v>123</v>
      </c>
      <c r="X74" s="35">
        <v>693.48</v>
      </c>
      <c r="Y74" s="35">
        <v>126.08</v>
      </c>
      <c r="Z74" s="35">
        <v>126.08</v>
      </c>
      <c r="AA74" s="35">
        <v>0</v>
      </c>
      <c r="AB74" s="35"/>
      <c r="AC74" s="35">
        <v>0</v>
      </c>
      <c r="AD74" s="35"/>
      <c r="AE74" s="35">
        <v>0</v>
      </c>
      <c r="AF74" s="35"/>
      <c r="AG74" s="35">
        <v>0</v>
      </c>
      <c r="AH74" s="35"/>
      <c r="AI74" s="37">
        <v>0</v>
      </c>
    </row>
    <row r="75" spans="1:35" x14ac:dyDescent="0.25">
      <c r="A75" s="38" t="s">
        <v>110</v>
      </c>
      <c r="B75" s="39" t="s">
        <v>1034</v>
      </c>
      <c r="C75" s="39" t="s">
        <v>1379</v>
      </c>
      <c r="D75" s="39">
        <v>29108</v>
      </c>
      <c r="E75" s="39" t="s">
        <v>2338</v>
      </c>
      <c r="F75" s="39" t="s">
        <v>2339</v>
      </c>
      <c r="G75" s="39" t="s">
        <v>174</v>
      </c>
      <c r="H75" s="39" t="s">
        <v>160</v>
      </c>
      <c r="I75" s="39" t="s">
        <v>217</v>
      </c>
      <c r="J75" s="39" t="s">
        <v>2195</v>
      </c>
      <c r="K75" s="40">
        <v>46030</v>
      </c>
      <c r="L75" s="40">
        <v>46023</v>
      </c>
      <c r="M75" s="40"/>
      <c r="N75" s="40">
        <v>46056</v>
      </c>
      <c r="O75" s="40">
        <v>46030</v>
      </c>
      <c r="P75" s="40"/>
      <c r="Q75" s="40"/>
      <c r="R75" s="39" t="s">
        <v>218</v>
      </c>
      <c r="S75" s="39" t="s">
        <v>225</v>
      </c>
      <c r="T75" s="39" t="s">
        <v>225</v>
      </c>
      <c r="U75" s="35" t="s">
        <v>88</v>
      </c>
      <c r="V75" s="39" t="s">
        <v>226</v>
      </c>
      <c r="W75" s="39" t="s">
        <v>123</v>
      </c>
      <c r="X75" s="39">
        <v>693.48</v>
      </c>
      <c r="Y75" s="39">
        <v>126.08</v>
      </c>
      <c r="Z75" s="39">
        <v>126.08</v>
      </c>
      <c r="AA75" s="39">
        <v>0</v>
      </c>
      <c r="AB75" s="39"/>
      <c r="AC75" s="39">
        <v>0</v>
      </c>
      <c r="AD75" s="39"/>
      <c r="AE75" s="39">
        <v>0</v>
      </c>
      <c r="AF75" s="39"/>
      <c r="AG75" s="39">
        <v>0</v>
      </c>
      <c r="AH75" s="39"/>
      <c r="AI75" s="41">
        <v>0</v>
      </c>
    </row>
    <row r="76" spans="1:35" x14ac:dyDescent="0.25">
      <c r="A76" s="34" t="s">
        <v>110</v>
      </c>
      <c r="B76" s="35" t="s">
        <v>235</v>
      </c>
      <c r="C76" s="35" t="s">
        <v>236</v>
      </c>
      <c r="D76" s="35">
        <v>29257</v>
      </c>
      <c r="E76" s="35" t="s">
        <v>237</v>
      </c>
      <c r="F76" s="35" t="s">
        <v>238</v>
      </c>
      <c r="G76" s="35" t="s">
        <v>174</v>
      </c>
      <c r="H76" s="35" t="s">
        <v>160</v>
      </c>
      <c r="I76" s="35" t="s">
        <v>217</v>
      </c>
      <c r="J76" s="35" t="s">
        <v>118</v>
      </c>
      <c r="K76" s="36">
        <v>46030</v>
      </c>
      <c r="L76" s="36">
        <v>45989</v>
      </c>
      <c r="M76" s="36">
        <v>46030</v>
      </c>
      <c r="N76" s="36"/>
      <c r="O76" s="36"/>
      <c r="P76" s="36"/>
      <c r="Q76" s="36">
        <v>46056</v>
      </c>
      <c r="R76" s="35" t="s">
        <v>218</v>
      </c>
      <c r="S76" s="35" t="s">
        <v>225</v>
      </c>
      <c r="T76" s="35" t="s">
        <v>225</v>
      </c>
      <c r="U76" s="35" t="s">
        <v>88</v>
      </c>
      <c r="V76" s="35" t="s">
        <v>226</v>
      </c>
      <c r="W76" s="35" t="s">
        <v>123</v>
      </c>
      <c r="X76" s="35">
        <v>-508.55</v>
      </c>
      <c r="Y76" s="35">
        <v>-92.46</v>
      </c>
      <c r="Z76" s="35">
        <v>-92.46</v>
      </c>
      <c r="AA76" s="35">
        <v>0</v>
      </c>
      <c r="AB76" s="35"/>
      <c r="AC76" s="35">
        <v>0</v>
      </c>
      <c r="AD76" s="35"/>
      <c r="AE76" s="35">
        <v>0</v>
      </c>
      <c r="AF76" s="35"/>
      <c r="AG76" s="35">
        <v>0</v>
      </c>
      <c r="AH76" s="35"/>
      <c r="AI76" s="37">
        <v>0</v>
      </c>
    </row>
    <row r="77" spans="1:35" x14ac:dyDescent="0.25">
      <c r="A77" s="38" t="s">
        <v>110</v>
      </c>
      <c r="B77" s="39" t="s">
        <v>338</v>
      </c>
      <c r="C77" s="39" t="s">
        <v>339</v>
      </c>
      <c r="D77" s="39">
        <v>32497</v>
      </c>
      <c r="E77" s="39" t="s">
        <v>340</v>
      </c>
      <c r="F77" s="39" t="s">
        <v>341</v>
      </c>
      <c r="G77" s="39" t="s">
        <v>174</v>
      </c>
      <c r="H77" s="39" t="s">
        <v>160</v>
      </c>
      <c r="I77" s="39" t="s">
        <v>217</v>
      </c>
      <c r="J77" s="39" t="s">
        <v>118</v>
      </c>
      <c r="K77" s="40">
        <v>46030</v>
      </c>
      <c r="L77" s="40">
        <v>46042</v>
      </c>
      <c r="M77" s="40">
        <v>46042</v>
      </c>
      <c r="N77" s="40"/>
      <c r="O77" s="40"/>
      <c r="P77" s="40"/>
      <c r="Q77" s="40">
        <v>46056</v>
      </c>
      <c r="R77" s="39" t="s">
        <v>218</v>
      </c>
      <c r="S77" s="39" t="s">
        <v>225</v>
      </c>
      <c r="T77" s="39" t="s">
        <v>225</v>
      </c>
      <c r="U77" s="35" t="s">
        <v>88</v>
      </c>
      <c r="V77" s="39" t="s">
        <v>226</v>
      </c>
      <c r="W77" s="39" t="s">
        <v>123</v>
      </c>
      <c r="X77" s="39">
        <v>4470</v>
      </c>
      <c r="Y77" s="39">
        <v>812.72</v>
      </c>
      <c r="Z77" s="39">
        <v>812.72</v>
      </c>
      <c r="AA77" s="39">
        <v>0</v>
      </c>
      <c r="AB77" s="39"/>
      <c r="AC77" s="39">
        <v>0</v>
      </c>
      <c r="AD77" s="39"/>
      <c r="AE77" s="39">
        <v>0</v>
      </c>
      <c r="AF77" s="39"/>
      <c r="AG77" s="39">
        <v>0</v>
      </c>
      <c r="AH77" s="39"/>
      <c r="AI77" s="41">
        <v>0</v>
      </c>
    </row>
    <row r="78" spans="1:35" x14ac:dyDescent="0.25">
      <c r="A78" s="34" t="s">
        <v>110</v>
      </c>
      <c r="B78" s="35" t="s">
        <v>1087</v>
      </c>
      <c r="C78" s="35" t="s">
        <v>1088</v>
      </c>
      <c r="D78" s="35">
        <v>32498</v>
      </c>
      <c r="E78" s="35" t="s">
        <v>2336</v>
      </c>
      <c r="F78" s="35" t="s">
        <v>2337</v>
      </c>
      <c r="G78" s="35" t="s">
        <v>174</v>
      </c>
      <c r="H78" s="35" t="s">
        <v>160</v>
      </c>
      <c r="I78" s="35" t="s">
        <v>217</v>
      </c>
      <c r="J78" s="35" t="s">
        <v>2195</v>
      </c>
      <c r="K78" s="36">
        <v>46030</v>
      </c>
      <c r="L78" s="36">
        <v>46027</v>
      </c>
      <c r="M78" s="36"/>
      <c r="N78" s="36">
        <v>46056</v>
      </c>
      <c r="O78" s="36">
        <v>46049</v>
      </c>
      <c r="P78" s="36"/>
      <c r="Q78" s="36"/>
      <c r="R78" s="35" t="s">
        <v>218</v>
      </c>
      <c r="S78" s="35" t="s">
        <v>1018</v>
      </c>
      <c r="T78" s="35" t="s">
        <v>1018</v>
      </c>
      <c r="U78" s="35" t="s">
        <v>82</v>
      </c>
      <c r="V78" s="35" t="s">
        <v>226</v>
      </c>
      <c r="W78" s="35" t="s">
        <v>123</v>
      </c>
      <c r="X78" s="35">
        <v>5464.63</v>
      </c>
      <c r="Y78" s="35">
        <v>993.57</v>
      </c>
      <c r="Z78" s="35">
        <v>993.57</v>
      </c>
      <c r="AA78" s="35">
        <v>0</v>
      </c>
      <c r="AB78" s="35"/>
      <c r="AC78" s="35">
        <v>0</v>
      </c>
      <c r="AD78" s="35" t="s">
        <v>1091</v>
      </c>
      <c r="AE78" s="35">
        <v>546.46</v>
      </c>
      <c r="AF78" s="35"/>
      <c r="AG78" s="35">
        <v>0</v>
      </c>
      <c r="AH78" s="35"/>
      <c r="AI78" s="37">
        <v>0</v>
      </c>
    </row>
    <row r="79" spans="1:35" x14ac:dyDescent="0.25">
      <c r="A79" s="38" t="s">
        <v>110</v>
      </c>
      <c r="B79" s="39" t="s">
        <v>420</v>
      </c>
      <c r="C79" s="39" t="s">
        <v>1128</v>
      </c>
      <c r="D79" s="39">
        <v>32499</v>
      </c>
      <c r="E79" s="39" t="s">
        <v>1129</v>
      </c>
      <c r="F79" s="39" t="s">
        <v>1130</v>
      </c>
      <c r="G79" s="39" t="s">
        <v>174</v>
      </c>
      <c r="H79" s="39" t="s">
        <v>160</v>
      </c>
      <c r="I79" s="39" t="s">
        <v>217</v>
      </c>
      <c r="J79" s="39" t="s">
        <v>118</v>
      </c>
      <c r="K79" s="40">
        <v>46030</v>
      </c>
      <c r="L79" s="40">
        <v>46024</v>
      </c>
      <c r="M79" s="40">
        <v>46037</v>
      </c>
      <c r="N79" s="40"/>
      <c r="O79" s="40"/>
      <c r="P79" s="40"/>
      <c r="Q79" s="40"/>
      <c r="R79" s="39" t="s">
        <v>218</v>
      </c>
      <c r="S79" s="39" t="s">
        <v>1018</v>
      </c>
      <c r="T79" s="39" t="s">
        <v>1018</v>
      </c>
      <c r="U79" s="35" t="s">
        <v>82</v>
      </c>
      <c r="V79" s="39" t="s">
        <v>226</v>
      </c>
      <c r="W79" s="39" t="s">
        <v>123</v>
      </c>
      <c r="X79" s="39">
        <v>19214.009999999998</v>
      </c>
      <c r="Y79" s="39">
        <v>3493.46</v>
      </c>
      <c r="Z79" s="39">
        <v>3493.46</v>
      </c>
      <c r="AA79" s="39">
        <v>0</v>
      </c>
      <c r="AB79" s="39"/>
      <c r="AC79" s="39">
        <v>0</v>
      </c>
      <c r="AD79" s="39"/>
      <c r="AE79" s="39">
        <v>0</v>
      </c>
      <c r="AF79" s="39"/>
      <c r="AG79" s="39">
        <v>0</v>
      </c>
      <c r="AH79" s="39"/>
      <c r="AI79" s="41">
        <v>0</v>
      </c>
    </row>
    <row r="80" spans="1:35" x14ac:dyDescent="0.25">
      <c r="A80" s="34" t="s">
        <v>110</v>
      </c>
      <c r="B80" s="35" t="s">
        <v>420</v>
      </c>
      <c r="C80" s="35" t="s">
        <v>1128</v>
      </c>
      <c r="D80" s="35">
        <v>32499</v>
      </c>
      <c r="E80" s="35" t="s">
        <v>1131</v>
      </c>
      <c r="F80" s="35" t="s">
        <v>1132</v>
      </c>
      <c r="G80" s="35" t="s">
        <v>174</v>
      </c>
      <c r="H80" s="35" t="s">
        <v>160</v>
      </c>
      <c r="I80" s="35" t="s">
        <v>217</v>
      </c>
      <c r="J80" s="35" t="s">
        <v>118</v>
      </c>
      <c r="K80" s="36">
        <v>46030</v>
      </c>
      <c r="L80" s="36">
        <v>46024</v>
      </c>
      <c r="M80" s="36">
        <v>46037</v>
      </c>
      <c r="N80" s="36"/>
      <c r="O80" s="36"/>
      <c r="P80" s="36"/>
      <c r="Q80" s="36"/>
      <c r="R80" s="35" t="s">
        <v>218</v>
      </c>
      <c r="S80" s="35" t="s">
        <v>1018</v>
      </c>
      <c r="T80" s="35" t="s">
        <v>1018</v>
      </c>
      <c r="U80" s="35" t="s">
        <v>82</v>
      </c>
      <c r="V80" s="35" t="s">
        <v>226</v>
      </c>
      <c r="W80" s="35" t="s">
        <v>123</v>
      </c>
      <c r="X80" s="35">
        <v>86463.039999999994</v>
      </c>
      <c r="Y80" s="35">
        <v>15720.56</v>
      </c>
      <c r="Z80" s="35">
        <v>15720.56</v>
      </c>
      <c r="AA80" s="35">
        <v>0</v>
      </c>
      <c r="AB80" s="35"/>
      <c r="AC80" s="35">
        <v>0</v>
      </c>
      <c r="AD80" s="35"/>
      <c r="AE80" s="35">
        <v>0</v>
      </c>
      <c r="AF80" s="35"/>
      <c r="AG80" s="35">
        <v>0</v>
      </c>
      <c r="AH80" s="35"/>
      <c r="AI80" s="37">
        <v>0</v>
      </c>
    </row>
    <row r="81" spans="1:35" x14ac:dyDescent="0.25">
      <c r="A81" s="38" t="s">
        <v>110</v>
      </c>
      <c r="B81" s="39" t="s">
        <v>420</v>
      </c>
      <c r="C81" s="39" t="s">
        <v>1128</v>
      </c>
      <c r="D81" s="39">
        <v>32499</v>
      </c>
      <c r="E81" s="39" t="s">
        <v>1133</v>
      </c>
      <c r="F81" s="39" t="s">
        <v>1134</v>
      </c>
      <c r="G81" s="39" t="s">
        <v>174</v>
      </c>
      <c r="H81" s="39" t="s">
        <v>160</v>
      </c>
      <c r="I81" s="39" t="s">
        <v>217</v>
      </c>
      <c r="J81" s="39" t="s">
        <v>118</v>
      </c>
      <c r="K81" s="40">
        <v>46030</v>
      </c>
      <c r="L81" s="40">
        <v>46024</v>
      </c>
      <c r="M81" s="40">
        <v>46037</v>
      </c>
      <c r="N81" s="40"/>
      <c r="O81" s="40"/>
      <c r="P81" s="40"/>
      <c r="Q81" s="40"/>
      <c r="R81" s="39" t="s">
        <v>218</v>
      </c>
      <c r="S81" s="39" t="s">
        <v>1018</v>
      </c>
      <c r="T81" s="39" t="s">
        <v>1018</v>
      </c>
      <c r="U81" s="35" t="s">
        <v>82</v>
      </c>
      <c r="V81" s="39" t="s">
        <v>226</v>
      </c>
      <c r="W81" s="39" t="s">
        <v>123</v>
      </c>
      <c r="X81" s="39">
        <v>86463.039999999994</v>
      </c>
      <c r="Y81" s="39">
        <v>15720.56</v>
      </c>
      <c r="Z81" s="39">
        <v>15720.56</v>
      </c>
      <c r="AA81" s="39">
        <v>0</v>
      </c>
      <c r="AB81" s="39"/>
      <c r="AC81" s="39">
        <v>0</v>
      </c>
      <c r="AD81" s="39"/>
      <c r="AE81" s="39">
        <v>0</v>
      </c>
      <c r="AF81" s="39"/>
      <c r="AG81" s="39">
        <v>0</v>
      </c>
      <c r="AH81" s="39"/>
      <c r="AI81" s="41">
        <v>0</v>
      </c>
    </row>
    <row r="82" spans="1:35" x14ac:dyDescent="0.25">
      <c r="A82" s="34" t="s">
        <v>110</v>
      </c>
      <c r="B82" s="35" t="s">
        <v>1174</v>
      </c>
      <c r="C82" s="35" t="s">
        <v>1175</v>
      </c>
      <c r="D82" s="35">
        <v>32500</v>
      </c>
      <c r="E82" s="35" t="s">
        <v>1176</v>
      </c>
      <c r="F82" s="35" t="s">
        <v>1177</v>
      </c>
      <c r="G82" s="35" t="s">
        <v>174</v>
      </c>
      <c r="H82" s="35" t="s">
        <v>160</v>
      </c>
      <c r="I82" s="35" t="s">
        <v>217</v>
      </c>
      <c r="J82" s="35" t="s">
        <v>118</v>
      </c>
      <c r="K82" s="36">
        <v>46030</v>
      </c>
      <c r="L82" s="36">
        <v>46024</v>
      </c>
      <c r="M82" s="36">
        <v>46042</v>
      </c>
      <c r="N82" s="36"/>
      <c r="O82" s="36"/>
      <c r="P82" s="36"/>
      <c r="Q82" s="36">
        <v>46056</v>
      </c>
      <c r="R82" s="35" t="s">
        <v>218</v>
      </c>
      <c r="S82" s="35" t="s">
        <v>1018</v>
      </c>
      <c r="T82" s="35" t="s">
        <v>1018</v>
      </c>
      <c r="U82" s="35" t="s">
        <v>82</v>
      </c>
      <c r="V82" s="35" t="s">
        <v>226</v>
      </c>
      <c r="W82" s="35" t="s">
        <v>123</v>
      </c>
      <c r="X82" s="35">
        <v>661.12</v>
      </c>
      <c r="Y82" s="35">
        <v>120.2</v>
      </c>
      <c r="Z82" s="35">
        <v>120.2</v>
      </c>
      <c r="AA82" s="35">
        <v>0</v>
      </c>
      <c r="AB82" s="35"/>
      <c r="AC82" s="35">
        <v>0</v>
      </c>
      <c r="AD82" s="35"/>
      <c r="AE82" s="35">
        <v>0</v>
      </c>
      <c r="AF82" s="35"/>
      <c r="AG82" s="35">
        <v>0</v>
      </c>
      <c r="AH82" s="35"/>
      <c r="AI82" s="37">
        <v>0</v>
      </c>
    </row>
    <row r="83" spans="1:35" x14ac:dyDescent="0.25">
      <c r="A83" s="38" t="s">
        <v>110</v>
      </c>
      <c r="B83" s="39" t="s">
        <v>1174</v>
      </c>
      <c r="C83" s="39" t="s">
        <v>1180</v>
      </c>
      <c r="D83" s="39">
        <v>32501</v>
      </c>
      <c r="E83" s="39" t="s">
        <v>1181</v>
      </c>
      <c r="F83" s="39" t="s">
        <v>1182</v>
      </c>
      <c r="G83" s="39" t="s">
        <v>174</v>
      </c>
      <c r="H83" s="39" t="s">
        <v>160</v>
      </c>
      <c r="I83" s="39" t="s">
        <v>217</v>
      </c>
      <c r="J83" s="39" t="s">
        <v>118</v>
      </c>
      <c r="K83" s="40">
        <v>46030</v>
      </c>
      <c r="L83" s="40">
        <v>46024</v>
      </c>
      <c r="M83" s="40">
        <v>46042</v>
      </c>
      <c r="N83" s="40"/>
      <c r="O83" s="40"/>
      <c r="P83" s="40"/>
      <c r="Q83" s="40">
        <v>46056</v>
      </c>
      <c r="R83" s="39" t="s">
        <v>218</v>
      </c>
      <c r="S83" s="39" t="s">
        <v>1018</v>
      </c>
      <c r="T83" s="39" t="s">
        <v>1018</v>
      </c>
      <c r="U83" s="35" t="s">
        <v>82</v>
      </c>
      <c r="V83" s="39" t="s">
        <v>226</v>
      </c>
      <c r="W83" s="39" t="s">
        <v>123</v>
      </c>
      <c r="X83" s="39">
        <v>4954.46</v>
      </c>
      <c r="Y83" s="39">
        <v>900.81</v>
      </c>
      <c r="Z83" s="39">
        <v>900.81</v>
      </c>
      <c r="AA83" s="39">
        <v>0</v>
      </c>
      <c r="AB83" s="39"/>
      <c r="AC83" s="39">
        <v>0</v>
      </c>
      <c r="AD83" s="39"/>
      <c r="AE83" s="39">
        <v>0</v>
      </c>
      <c r="AF83" s="39"/>
      <c r="AG83" s="39">
        <v>0</v>
      </c>
      <c r="AH83" s="39"/>
      <c r="AI83" s="41">
        <v>0</v>
      </c>
    </row>
    <row r="84" spans="1:35" x14ac:dyDescent="0.25">
      <c r="A84" s="34" t="s">
        <v>110</v>
      </c>
      <c r="B84" s="35" t="s">
        <v>1174</v>
      </c>
      <c r="C84" s="35" t="s">
        <v>1180</v>
      </c>
      <c r="D84" s="35">
        <v>32501</v>
      </c>
      <c r="E84" s="35" t="s">
        <v>1949</v>
      </c>
      <c r="F84" s="35" t="s">
        <v>1950</v>
      </c>
      <c r="G84" s="35" t="s">
        <v>174</v>
      </c>
      <c r="H84" s="35" t="s">
        <v>160</v>
      </c>
      <c r="I84" s="35" t="s">
        <v>217</v>
      </c>
      <c r="J84" s="35" t="s">
        <v>118</v>
      </c>
      <c r="K84" s="36">
        <v>46030</v>
      </c>
      <c r="L84" s="36">
        <v>46024</v>
      </c>
      <c r="M84" s="36">
        <v>46085</v>
      </c>
      <c r="N84" s="36"/>
      <c r="O84" s="36"/>
      <c r="P84" s="36"/>
      <c r="Q84" s="36"/>
      <c r="R84" s="35" t="s">
        <v>218</v>
      </c>
      <c r="S84" s="35" t="s">
        <v>1018</v>
      </c>
      <c r="T84" s="35" t="s">
        <v>1018</v>
      </c>
      <c r="U84" s="35" t="s">
        <v>82</v>
      </c>
      <c r="V84" s="35" t="s">
        <v>226</v>
      </c>
      <c r="W84" s="35" t="s">
        <v>123</v>
      </c>
      <c r="X84" s="35">
        <v>4954.46</v>
      </c>
      <c r="Y84" s="35">
        <v>900.81</v>
      </c>
      <c r="Z84" s="35">
        <v>900.81</v>
      </c>
      <c r="AA84" s="35">
        <v>0</v>
      </c>
      <c r="AB84" s="35"/>
      <c r="AC84" s="35">
        <v>0</v>
      </c>
      <c r="AD84" s="35"/>
      <c r="AE84" s="35">
        <v>0</v>
      </c>
      <c r="AF84" s="35"/>
      <c r="AG84" s="35">
        <v>0</v>
      </c>
      <c r="AH84" s="35"/>
      <c r="AI84" s="37">
        <v>0</v>
      </c>
    </row>
    <row r="85" spans="1:35" x14ac:dyDescent="0.25">
      <c r="A85" s="38" t="s">
        <v>110</v>
      </c>
      <c r="B85" s="39" t="s">
        <v>1174</v>
      </c>
      <c r="C85" s="39" t="s">
        <v>1183</v>
      </c>
      <c r="D85" s="39">
        <v>32502</v>
      </c>
      <c r="E85" s="39" t="s">
        <v>1184</v>
      </c>
      <c r="F85" s="39" t="s">
        <v>1185</v>
      </c>
      <c r="G85" s="39" t="s">
        <v>174</v>
      </c>
      <c r="H85" s="39" t="s">
        <v>160</v>
      </c>
      <c r="I85" s="39" t="s">
        <v>217</v>
      </c>
      <c r="J85" s="39" t="s">
        <v>118</v>
      </c>
      <c r="K85" s="40">
        <v>46030</v>
      </c>
      <c r="L85" s="40">
        <v>46024</v>
      </c>
      <c r="M85" s="40">
        <v>46044</v>
      </c>
      <c r="N85" s="40"/>
      <c r="O85" s="40"/>
      <c r="P85" s="40"/>
      <c r="Q85" s="40"/>
      <c r="R85" s="39" t="s">
        <v>218</v>
      </c>
      <c r="S85" s="39" t="s">
        <v>1018</v>
      </c>
      <c r="T85" s="39" t="s">
        <v>1018</v>
      </c>
      <c r="U85" s="35" t="s">
        <v>82</v>
      </c>
      <c r="V85" s="39" t="s">
        <v>226</v>
      </c>
      <c r="W85" s="39" t="s">
        <v>123</v>
      </c>
      <c r="X85" s="39">
        <v>2437.3200000000002</v>
      </c>
      <c r="Y85" s="39">
        <v>443.14</v>
      </c>
      <c r="Z85" s="39">
        <v>443.14</v>
      </c>
      <c r="AA85" s="39">
        <v>0</v>
      </c>
      <c r="AB85" s="39"/>
      <c r="AC85" s="39">
        <v>0</v>
      </c>
      <c r="AD85" s="39"/>
      <c r="AE85" s="39">
        <v>0</v>
      </c>
      <c r="AF85" s="39"/>
      <c r="AG85" s="39">
        <v>0</v>
      </c>
      <c r="AH85" s="39"/>
      <c r="AI85" s="41">
        <v>0</v>
      </c>
    </row>
    <row r="86" spans="1:35" x14ac:dyDescent="0.25">
      <c r="A86" s="34" t="s">
        <v>110</v>
      </c>
      <c r="B86" s="35" t="s">
        <v>1174</v>
      </c>
      <c r="C86" s="35" t="s">
        <v>1183</v>
      </c>
      <c r="D86" s="35">
        <v>32502</v>
      </c>
      <c r="E86" s="35" t="s">
        <v>1951</v>
      </c>
      <c r="F86" s="35" t="s">
        <v>1952</v>
      </c>
      <c r="G86" s="35" t="s">
        <v>174</v>
      </c>
      <c r="H86" s="35" t="s">
        <v>160</v>
      </c>
      <c r="I86" s="35" t="s">
        <v>217</v>
      </c>
      <c r="J86" s="35" t="s">
        <v>141</v>
      </c>
      <c r="K86" s="36">
        <v>46030</v>
      </c>
      <c r="L86" s="36">
        <v>46024</v>
      </c>
      <c r="M86" s="36"/>
      <c r="N86" s="36"/>
      <c r="O86" s="36"/>
      <c r="P86" s="36"/>
      <c r="Q86" s="36"/>
      <c r="R86" s="35" t="s">
        <v>218</v>
      </c>
      <c r="S86" s="35" t="s">
        <v>1018</v>
      </c>
      <c r="T86" s="35" t="s">
        <v>1018</v>
      </c>
      <c r="U86" s="35" t="s">
        <v>82</v>
      </c>
      <c r="V86" s="35" t="s">
        <v>226</v>
      </c>
      <c r="W86" s="35" t="s">
        <v>123</v>
      </c>
      <c r="X86" s="35">
        <v>15842.62</v>
      </c>
      <c r="Y86" s="35">
        <v>2880.48</v>
      </c>
      <c r="Z86" s="35">
        <v>2880.48</v>
      </c>
      <c r="AA86" s="35">
        <v>0</v>
      </c>
      <c r="AB86" s="35"/>
      <c r="AC86" s="35">
        <v>0</v>
      </c>
      <c r="AD86" s="35"/>
      <c r="AE86" s="35">
        <v>0</v>
      </c>
      <c r="AF86" s="35"/>
      <c r="AG86" s="35">
        <v>0</v>
      </c>
      <c r="AH86" s="35"/>
      <c r="AI86" s="37">
        <v>0</v>
      </c>
    </row>
    <row r="87" spans="1:35" x14ac:dyDescent="0.25">
      <c r="A87" s="38" t="s">
        <v>110</v>
      </c>
      <c r="B87" s="39" t="s">
        <v>1174</v>
      </c>
      <c r="C87" s="39" t="s">
        <v>1183</v>
      </c>
      <c r="D87" s="39">
        <v>32502</v>
      </c>
      <c r="E87" s="39" t="s">
        <v>1953</v>
      </c>
      <c r="F87" s="39" t="s">
        <v>1954</v>
      </c>
      <c r="G87" s="39" t="s">
        <v>174</v>
      </c>
      <c r="H87" s="39" t="s">
        <v>160</v>
      </c>
      <c r="I87" s="39" t="s">
        <v>217</v>
      </c>
      <c r="J87" s="39" t="s">
        <v>141</v>
      </c>
      <c r="K87" s="40">
        <v>46030</v>
      </c>
      <c r="L87" s="40">
        <v>46024</v>
      </c>
      <c r="M87" s="40"/>
      <c r="N87" s="40"/>
      <c r="O87" s="40"/>
      <c r="P87" s="40"/>
      <c r="Q87" s="40"/>
      <c r="R87" s="39" t="s">
        <v>218</v>
      </c>
      <c r="S87" s="39" t="s">
        <v>1018</v>
      </c>
      <c r="T87" s="39" t="s">
        <v>1018</v>
      </c>
      <c r="U87" s="35" t="s">
        <v>82</v>
      </c>
      <c r="V87" s="39" t="s">
        <v>226</v>
      </c>
      <c r="W87" s="39" t="s">
        <v>123</v>
      </c>
      <c r="X87" s="39">
        <v>6093.31</v>
      </c>
      <c r="Y87" s="39">
        <v>1107.8699999999999</v>
      </c>
      <c r="Z87" s="39">
        <v>1107.8699999999999</v>
      </c>
      <c r="AA87" s="39">
        <v>0</v>
      </c>
      <c r="AB87" s="39"/>
      <c r="AC87" s="39">
        <v>0</v>
      </c>
      <c r="AD87" s="39"/>
      <c r="AE87" s="39">
        <v>0</v>
      </c>
      <c r="AF87" s="39"/>
      <c r="AG87" s="39">
        <v>0</v>
      </c>
      <c r="AH87" s="39"/>
      <c r="AI87" s="41">
        <v>0</v>
      </c>
    </row>
    <row r="88" spans="1:35" x14ac:dyDescent="0.25">
      <c r="A88" s="34" t="s">
        <v>110</v>
      </c>
      <c r="B88" s="35" t="s">
        <v>1174</v>
      </c>
      <c r="C88" s="35" t="s">
        <v>1186</v>
      </c>
      <c r="D88" s="35">
        <v>32503</v>
      </c>
      <c r="E88" s="35" t="s">
        <v>1187</v>
      </c>
      <c r="F88" s="35" t="s">
        <v>1188</v>
      </c>
      <c r="G88" s="35" t="s">
        <v>174</v>
      </c>
      <c r="H88" s="35" t="s">
        <v>160</v>
      </c>
      <c r="I88" s="35" t="s">
        <v>217</v>
      </c>
      <c r="J88" s="35" t="s">
        <v>118</v>
      </c>
      <c r="K88" s="36">
        <v>46030</v>
      </c>
      <c r="L88" s="36">
        <v>46024</v>
      </c>
      <c r="M88" s="36">
        <v>46056</v>
      </c>
      <c r="N88" s="36"/>
      <c r="O88" s="36"/>
      <c r="P88" s="36"/>
      <c r="Q88" s="36"/>
      <c r="R88" s="35" t="s">
        <v>218</v>
      </c>
      <c r="S88" s="35" t="s">
        <v>1018</v>
      </c>
      <c r="T88" s="35" t="s">
        <v>1018</v>
      </c>
      <c r="U88" s="35" t="s">
        <v>82</v>
      </c>
      <c r="V88" s="35" t="s">
        <v>226</v>
      </c>
      <c r="W88" s="35" t="s">
        <v>123</v>
      </c>
      <c r="X88" s="35">
        <v>1887.82</v>
      </c>
      <c r="Y88" s="35">
        <v>343.24</v>
      </c>
      <c r="Z88" s="35">
        <v>343.24</v>
      </c>
      <c r="AA88" s="35">
        <v>0</v>
      </c>
      <c r="AB88" s="35"/>
      <c r="AC88" s="35">
        <v>0</v>
      </c>
      <c r="AD88" s="35"/>
      <c r="AE88" s="35">
        <v>0</v>
      </c>
      <c r="AF88" s="35"/>
      <c r="AG88" s="35">
        <v>0</v>
      </c>
      <c r="AH88" s="35"/>
      <c r="AI88" s="37">
        <v>0</v>
      </c>
    </row>
    <row r="89" spans="1:35" x14ac:dyDescent="0.25">
      <c r="A89" s="38" t="s">
        <v>110</v>
      </c>
      <c r="B89" s="39" t="s">
        <v>1174</v>
      </c>
      <c r="C89" s="39" t="s">
        <v>1186</v>
      </c>
      <c r="D89" s="39">
        <v>32503</v>
      </c>
      <c r="E89" s="39" t="s">
        <v>1957</v>
      </c>
      <c r="F89" s="39" t="s">
        <v>1958</v>
      </c>
      <c r="G89" s="39" t="s">
        <v>174</v>
      </c>
      <c r="H89" s="39" t="s">
        <v>160</v>
      </c>
      <c r="I89" s="39" t="s">
        <v>217</v>
      </c>
      <c r="J89" s="39" t="s">
        <v>141</v>
      </c>
      <c r="K89" s="40">
        <v>46030</v>
      </c>
      <c r="L89" s="40">
        <v>46024</v>
      </c>
      <c r="M89" s="40"/>
      <c r="N89" s="40"/>
      <c r="O89" s="40"/>
      <c r="P89" s="40"/>
      <c r="Q89" s="40"/>
      <c r="R89" s="39" t="s">
        <v>218</v>
      </c>
      <c r="S89" s="39" t="s">
        <v>1018</v>
      </c>
      <c r="T89" s="39" t="s">
        <v>1018</v>
      </c>
      <c r="U89" s="35" t="s">
        <v>82</v>
      </c>
      <c r="V89" s="39" t="s">
        <v>226</v>
      </c>
      <c r="W89" s="39" t="s">
        <v>123</v>
      </c>
      <c r="X89" s="39">
        <v>3775.65</v>
      </c>
      <c r="Y89" s="39">
        <v>686.49</v>
      </c>
      <c r="Z89" s="39">
        <v>686.49</v>
      </c>
      <c r="AA89" s="39">
        <v>0</v>
      </c>
      <c r="AB89" s="39"/>
      <c r="AC89" s="39">
        <v>0</v>
      </c>
      <c r="AD89" s="39"/>
      <c r="AE89" s="39">
        <v>0</v>
      </c>
      <c r="AF89" s="39"/>
      <c r="AG89" s="39">
        <v>0</v>
      </c>
      <c r="AH89" s="39"/>
      <c r="AI89" s="41">
        <v>0</v>
      </c>
    </row>
    <row r="90" spans="1:35" x14ac:dyDescent="0.25">
      <c r="A90" s="34" t="s">
        <v>110</v>
      </c>
      <c r="B90" s="35" t="s">
        <v>1174</v>
      </c>
      <c r="C90" s="35" t="s">
        <v>1186</v>
      </c>
      <c r="D90" s="35">
        <v>32503</v>
      </c>
      <c r="E90" s="35" t="s">
        <v>1959</v>
      </c>
      <c r="F90" s="35" t="s">
        <v>1960</v>
      </c>
      <c r="G90" s="35" t="s">
        <v>174</v>
      </c>
      <c r="H90" s="35" t="s">
        <v>160</v>
      </c>
      <c r="I90" s="35" t="s">
        <v>217</v>
      </c>
      <c r="J90" s="35" t="s">
        <v>141</v>
      </c>
      <c r="K90" s="36">
        <v>46030</v>
      </c>
      <c r="L90" s="36">
        <v>46024</v>
      </c>
      <c r="M90" s="36"/>
      <c r="N90" s="36"/>
      <c r="O90" s="36"/>
      <c r="P90" s="36"/>
      <c r="Q90" s="36"/>
      <c r="R90" s="35" t="s">
        <v>218</v>
      </c>
      <c r="S90" s="35" t="s">
        <v>1018</v>
      </c>
      <c r="T90" s="35" t="s">
        <v>1018</v>
      </c>
      <c r="U90" s="35" t="s">
        <v>82</v>
      </c>
      <c r="V90" s="35" t="s">
        <v>226</v>
      </c>
      <c r="W90" s="35" t="s">
        <v>123</v>
      </c>
      <c r="X90" s="35">
        <v>3775.65</v>
      </c>
      <c r="Y90" s="35">
        <v>686.49</v>
      </c>
      <c r="Z90" s="35">
        <v>686.49</v>
      </c>
      <c r="AA90" s="35">
        <v>0</v>
      </c>
      <c r="AB90" s="35"/>
      <c r="AC90" s="35">
        <v>0</v>
      </c>
      <c r="AD90" s="35"/>
      <c r="AE90" s="35">
        <v>0</v>
      </c>
      <c r="AF90" s="35"/>
      <c r="AG90" s="35">
        <v>0</v>
      </c>
      <c r="AH90" s="35"/>
      <c r="AI90" s="37">
        <v>0</v>
      </c>
    </row>
    <row r="91" spans="1:35" x14ac:dyDescent="0.25">
      <c r="A91" s="38" t="s">
        <v>110</v>
      </c>
      <c r="B91" s="39" t="s">
        <v>1174</v>
      </c>
      <c r="C91" s="39" t="s">
        <v>1189</v>
      </c>
      <c r="D91" s="39">
        <v>32504</v>
      </c>
      <c r="E91" s="39" t="s">
        <v>1190</v>
      </c>
      <c r="F91" s="39" t="s">
        <v>1191</v>
      </c>
      <c r="G91" s="39" t="s">
        <v>174</v>
      </c>
      <c r="H91" s="39" t="s">
        <v>160</v>
      </c>
      <c r="I91" s="39" t="s">
        <v>217</v>
      </c>
      <c r="J91" s="39" t="s">
        <v>118</v>
      </c>
      <c r="K91" s="40">
        <v>46030</v>
      </c>
      <c r="L91" s="40">
        <v>46024</v>
      </c>
      <c r="M91" s="40">
        <v>46044</v>
      </c>
      <c r="N91" s="40"/>
      <c r="O91" s="40"/>
      <c r="P91" s="40"/>
      <c r="Q91" s="40"/>
      <c r="R91" s="39" t="s">
        <v>218</v>
      </c>
      <c r="S91" s="39" t="s">
        <v>1018</v>
      </c>
      <c r="T91" s="39" t="s">
        <v>1018</v>
      </c>
      <c r="U91" s="35" t="s">
        <v>82</v>
      </c>
      <c r="V91" s="39" t="s">
        <v>226</v>
      </c>
      <c r="W91" s="39" t="s">
        <v>123</v>
      </c>
      <c r="X91" s="39">
        <v>2132.14</v>
      </c>
      <c r="Y91" s="39">
        <v>387.66</v>
      </c>
      <c r="Z91" s="39">
        <v>387.66</v>
      </c>
      <c r="AA91" s="39">
        <v>0</v>
      </c>
      <c r="AB91" s="39"/>
      <c r="AC91" s="39">
        <v>0</v>
      </c>
      <c r="AD91" s="39"/>
      <c r="AE91" s="39">
        <v>0</v>
      </c>
      <c r="AF91" s="39"/>
      <c r="AG91" s="39">
        <v>0</v>
      </c>
      <c r="AH91" s="39"/>
      <c r="AI91" s="41">
        <v>0</v>
      </c>
    </row>
    <row r="92" spans="1:35" x14ac:dyDescent="0.25">
      <c r="A92" s="34" t="s">
        <v>110</v>
      </c>
      <c r="B92" s="35" t="s">
        <v>1174</v>
      </c>
      <c r="C92" s="35" t="s">
        <v>1189</v>
      </c>
      <c r="D92" s="35">
        <v>32504</v>
      </c>
      <c r="E92" s="35" t="s">
        <v>1961</v>
      </c>
      <c r="F92" s="35" t="s">
        <v>1962</v>
      </c>
      <c r="G92" s="35" t="s">
        <v>174</v>
      </c>
      <c r="H92" s="35" t="s">
        <v>160</v>
      </c>
      <c r="I92" s="35" t="s">
        <v>217</v>
      </c>
      <c r="J92" s="35" t="s">
        <v>141</v>
      </c>
      <c r="K92" s="36">
        <v>46030</v>
      </c>
      <c r="L92" s="36">
        <v>46024</v>
      </c>
      <c r="M92" s="36"/>
      <c r="N92" s="36"/>
      <c r="O92" s="36"/>
      <c r="P92" s="36"/>
      <c r="Q92" s="36"/>
      <c r="R92" s="35" t="s">
        <v>218</v>
      </c>
      <c r="S92" s="35" t="s">
        <v>1018</v>
      </c>
      <c r="T92" s="35" t="s">
        <v>1018</v>
      </c>
      <c r="U92" s="35" t="s">
        <v>82</v>
      </c>
      <c r="V92" s="35" t="s">
        <v>226</v>
      </c>
      <c r="W92" s="35" t="s">
        <v>123</v>
      </c>
      <c r="X92" s="35">
        <v>9594.6</v>
      </c>
      <c r="Y92" s="35">
        <v>1744.44</v>
      </c>
      <c r="Z92" s="35">
        <v>1744.44</v>
      </c>
      <c r="AA92" s="35">
        <v>0</v>
      </c>
      <c r="AB92" s="35"/>
      <c r="AC92" s="35">
        <v>0</v>
      </c>
      <c r="AD92" s="35"/>
      <c r="AE92" s="35">
        <v>0</v>
      </c>
      <c r="AF92" s="35"/>
      <c r="AG92" s="35">
        <v>0</v>
      </c>
      <c r="AH92" s="35"/>
      <c r="AI92" s="37">
        <v>0</v>
      </c>
    </row>
    <row r="93" spans="1:35" x14ac:dyDescent="0.25">
      <c r="A93" s="38" t="s">
        <v>110</v>
      </c>
      <c r="B93" s="39" t="s">
        <v>1174</v>
      </c>
      <c r="C93" s="39" t="s">
        <v>1189</v>
      </c>
      <c r="D93" s="39">
        <v>32504</v>
      </c>
      <c r="E93" s="39" t="s">
        <v>1963</v>
      </c>
      <c r="F93" s="39" t="s">
        <v>1964</v>
      </c>
      <c r="G93" s="39" t="s">
        <v>174</v>
      </c>
      <c r="H93" s="39" t="s">
        <v>160</v>
      </c>
      <c r="I93" s="39" t="s">
        <v>217</v>
      </c>
      <c r="J93" s="39" t="s">
        <v>141</v>
      </c>
      <c r="K93" s="40">
        <v>46030</v>
      </c>
      <c r="L93" s="40">
        <v>46024</v>
      </c>
      <c r="M93" s="40"/>
      <c r="N93" s="40"/>
      <c r="O93" s="40"/>
      <c r="P93" s="40"/>
      <c r="Q93" s="40"/>
      <c r="R93" s="39" t="s">
        <v>218</v>
      </c>
      <c r="S93" s="39" t="s">
        <v>1018</v>
      </c>
      <c r="T93" s="39" t="s">
        <v>1018</v>
      </c>
      <c r="U93" s="35" t="s">
        <v>82</v>
      </c>
      <c r="V93" s="39" t="s">
        <v>226</v>
      </c>
      <c r="W93" s="39" t="s">
        <v>123</v>
      </c>
      <c r="X93" s="39">
        <v>9594.6</v>
      </c>
      <c r="Y93" s="39">
        <v>1744.47</v>
      </c>
      <c r="Z93" s="39">
        <v>1744.47</v>
      </c>
      <c r="AA93" s="39">
        <v>0</v>
      </c>
      <c r="AB93" s="39"/>
      <c r="AC93" s="39">
        <v>0</v>
      </c>
      <c r="AD93" s="39"/>
      <c r="AE93" s="39">
        <v>0</v>
      </c>
      <c r="AF93" s="39"/>
      <c r="AG93" s="39">
        <v>0</v>
      </c>
      <c r="AH93" s="39"/>
      <c r="AI93" s="41">
        <v>0</v>
      </c>
    </row>
    <row r="94" spans="1:35" x14ac:dyDescent="0.25">
      <c r="A94" s="34" t="s">
        <v>110</v>
      </c>
      <c r="B94" s="35" t="s">
        <v>1174</v>
      </c>
      <c r="C94" s="35" t="s">
        <v>1201</v>
      </c>
      <c r="D94" s="35">
        <v>32505</v>
      </c>
      <c r="E94" s="35" t="s">
        <v>1202</v>
      </c>
      <c r="F94" s="35" t="s">
        <v>1203</v>
      </c>
      <c r="G94" s="35" t="s">
        <v>174</v>
      </c>
      <c r="H94" s="35" t="s">
        <v>160</v>
      </c>
      <c r="I94" s="35" t="s">
        <v>217</v>
      </c>
      <c r="J94" s="35" t="s">
        <v>118</v>
      </c>
      <c r="K94" s="36">
        <v>46030</v>
      </c>
      <c r="L94" s="36">
        <v>46024</v>
      </c>
      <c r="M94" s="36">
        <v>46045</v>
      </c>
      <c r="N94" s="36"/>
      <c r="O94" s="36"/>
      <c r="P94" s="36"/>
      <c r="Q94" s="36">
        <v>46068</v>
      </c>
      <c r="R94" s="35" t="s">
        <v>218</v>
      </c>
      <c r="S94" s="35" t="s">
        <v>1018</v>
      </c>
      <c r="T94" s="35" t="s">
        <v>1018</v>
      </c>
      <c r="U94" s="35" t="s">
        <v>82</v>
      </c>
      <c r="V94" s="35" t="s">
        <v>226</v>
      </c>
      <c r="W94" s="35" t="s">
        <v>123</v>
      </c>
      <c r="X94" s="35">
        <v>1456.82</v>
      </c>
      <c r="Y94" s="35">
        <v>264.88</v>
      </c>
      <c r="Z94" s="35">
        <v>264.88</v>
      </c>
      <c r="AA94" s="35">
        <v>0</v>
      </c>
      <c r="AB94" s="35"/>
      <c r="AC94" s="35">
        <v>0</v>
      </c>
      <c r="AD94" s="35"/>
      <c r="AE94" s="35">
        <v>0</v>
      </c>
      <c r="AF94" s="35"/>
      <c r="AG94" s="35">
        <v>0</v>
      </c>
      <c r="AH94" s="35"/>
      <c r="AI94" s="37">
        <v>0</v>
      </c>
    </row>
    <row r="95" spans="1:35" x14ac:dyDescent="0.25">
      <c r="A95" s="38" t="s">
        <v>110</v>
      </c>
      <c r="B95" s="39" t="s">
        <v>1174</v>
      </c>
      <c r="C95" s="39" t="s">
        <v>1195</v>
      </c>
      <c r="D95" s="39">
        <v>32506</v>
      </c>
      <c r="E95" s="39" t="s">
        <v>1196</v>
      </c>
      <c r="F95" s="39" t="s">
        <v>1197</v>
      </c>
      <c r="G95" s="39" t="s">
        <v>174</v>
      </c>
      <c r="H95" s="39" t="s">
        <v>160</v>
      </c>
      <c r="I95" s="39" t="s">
        <v>217</v>
      </c>
      <c r="J95" s="39" t="s">
        <v>118</v>
      </c>
      <c r="K95" s="40">
        <v>46030</v>
      </c>
      <c r="L95" s="40">
        <v>46024</v>
      </c>
      <c r="M95" s="40">
        <v>46048</v>
      </c>
      <c r="N95" s="40"/>
      <c r="O95" s="40"/>
      <c r="P95" s="40"/>
      <c r="Q95" s="40">
        <v>46068</v>
      </c>
      <c r="R95" s="39" t="s">
        <v>218</v>
      </c>
      <c r="S95" s="39" t="s">
        <v>1018</v>
      </c>
      <c r="T95" s="39" t="s">
        <v>1018</v>
      </c>
      <c r="U95" s="35" t="s">
        <v>82</v>
      </c>
      <c r="V95" s="39" t="s">
        <v>226</v>
      </c>
      <c r="W95" s="39" t="s">
        <v>123</v>
      </c>
      <c r="X95" s="39">
        <v>1541.96</v>
      </c>
      <c r="Y95" s="39">
        <v>280.36</v>
      </c>
      <c r="Z95" s="39">
        <v>280.36</v>
      </c>
      <c r="AA95" s="39">
        <v>0</v>
      </c>
      <c r="AB95" s="39"/>
      <c r="AC95" s="39">
        <v>0</v>
      </c>
      <c r="AD95" s="39"/>
      <c r="AE95" s="39">
        <v>0</v>
      </c>
      <c r="AF95" s="39"/>
      <c r="AG95" s="39">
        <v>0</v>
      </c>
      <c r="AH95" s="39"/>
      <c r="AI95" s="41">
        <v>0</v>
      </c>
    </row>
    <row r="96" spans="1:35" x14ac:dyDescent="0.25">
      <c r="A96" s="34" t="s">
        <v>110</v>
      </c>
      <c r="B96" s="35" t="s">
        <v>1232</v>
      </c>
      <c r="C96" s="35" t="s">
        <v>1233</v>
      </c>
      <c r="D96" s="35">
        <v>32507</v>
      </c>
      <c r="E96" s="35" t="s">
        <v>1234</v>
      </c>
      <c r="F96" s="35" t="s">
        <v>1235</v>
      </c>
      <c r="G96" s="35" t="s">
        <v>174</v>
      </c>
      <c r="H96" s="35" t="s">
        <v>160</v>
      </c>
      <c r="I96" s="35" t="s">
        <v>217</v>
      </c>
      <c r="J96" s="35" t="s">
        <v>118</v>
      </c>
      <c r="K96" s="36">
        <v>46030</v>
      </c>
      <c r="L96" s="36">
        <v>46027</v>
      </c>
      <c r="M96" s="36">
        <v>46034</v>
      </c>
      <c r="N96" s="36"/>
      <c r="O96" s="36"/>
      <c r="P96" s="36"/>
      <c r="Q96" s="36">
        <v>46056</v>
      </c>
      <c r="R96" s="35" t="s">
        <v>218</v>
      </c>
      <c r="S96" s="35" t="s">
        <v>1018</v>
      </c>
      <c r="T96" s="35" t="s">
        <v>1018</v>
      </c>
      <c r="U96" s="35" t="s">
        <v>82</v>
      </c>
      <c r="V96" s="35" t="s">
        <v>226</v>
      </c>
      <c r="W96" s="35" t="s">
        <v>123</v>
      </c>
      <c r="X96" s="35">
        <v>4284.28</v>
      </c>
      <c r="Y96" s="35">
        <v>778.96</v>
      </c>
      <c r="Z96" s="35">
        <v>778.96</v>
      </c>
      <c r="AA96" s="35">
        <v>0</v>
      </c>
      <c r="AB96" s="35"/>
      <c r="AC96" s="35">
        <v>0</v>
      </c>
      <c r="AD96" s="35"/>
      <c r="AE96" s="35">
        <v>0</v>
      </c>
      <c r="AF96" s="35"/>
      <c r="AG96" s="35">
        <v>0</v>
      </c>
      <c r="AH96" s="35"/>
      <c r="AI96" s="37">
        <v>0</v>
      </c>
    </row>
    <row r="97" spans="1:35" x14ac:dyDescent="0.25">
      <c r="A97" s="38" t="s">
        <v>110</v>
      </c>
      <c r="B97" s="39" t="s">
        <v>564</v>
      </c>
      <c r="C97" s="39" t="s">
        <v>565</v>
      </c>
      <c r="D97" s="39">
        <v>12680</v>
      </c>
      <c r="E97" s="39" t="s">
        <v>566</v>
      </c>
      <c r="F97" s="39" t="s">
        <v>567</v>
      </c>
      <c r="G97" s="39" t="s">
        <v>115</v>
      </c>
      <c r="H97" s="39" t="s">
        <v>116</v>
      </c>
      <c r="I97" s="39" t="s">
        <v>117</v>
      </c>
      <c r="J97" s="39" t="s">
        <v>118</v>
      </c>
      <c r="K97" s="40">
        <v>46030</v>
      </c>
      <c r="L97" s="40">
        <v>46023</v>
      </c>
      <c r="M97" s="40">
        <v>46023</v>
      </c>
      <c r="N97" s="40"/>
      <c r="O97" s="40"/>
      <c r="P97" s="40"/>
      <c r="Q97" s="40">
        <v>46051</v>
      </c>
      <c r="R97" s="39" t="s">
        <v>119</v>
      </c>
      <c r="S97" s="39" t="s">
        <v>568</v>
      </c>
      <c r="T97" s="39" t="s">
        <v>568</v>
      </c>
      <c r="U97" s="35" t="s">
        <v>90</v>
      </c>
      <c r="V97" s="39" t="s">
        <v>569</v>
      </c>
      <c r="W97" s="39" t="s">
        <v>123</v>
      </c>
      <c r="X97" s="39">
        <v>11</v>
      </c>
      <c r="Y97" s="39">
        <v>0.99</v>
      </c>
      <c r="Z97" s="39">
        <v>0.99</v>
      </c>
      <c r="AA97" s="39">
        <v>0</v>
      </c>
      <c r="AB97" s="39"/>
      <c r="AC97" s="39">
        <v>0</v>
      </c>
      <c r="AD97" s="39"/>
      <c r="AE97" s="39">
        <v>0</v>
      </c>
      <c r="AF97" s="39"/>
      <c r="AG97" s="39">
        <v>0</v>
      </c>
      <c r="AH97" s="39"/>
      <c r="AI97" s="41">
        <v>0</v>
      </c>
    </row>
    <row r="98" spans="1:35" x14ac:dyDescent="0.25">
      <c r="A98" s="34" t="s">
        <v>110</v>
      </c>
      <c r="B98" s="35" t="s">
        <v>570</v>
      </c>
      <c r="C98" s="35" t="s">
        <v>571</v>
      </c>
      <c r="D98" s="35">
        <v>14638</v>
      </c>
      <c r="E98" s="35" t="s">
        <v>572</v>
      </c>
      <c r="F98" s="35" t="s">
        <v>573</v>
      </c>
      <c r="G98" s="35" t="s">
        <v>115</v>
      </c>
      <c r="H98" s="35" t="s">
        <v>116</v>
      </c>
      <c r="I98" s="35" t="s">
        <v>117</v>
      </c>
      <c r="J98" s="35" t="s">
        <v>118</v>
      </c>
      <c r="K98" s="36">
        <v>46030</v>
      </c>
      <c r="L98" s="36">
        <v>46023</v>
      </c>
      <c r="M98" s="36">
        <v>46023</v>
      </c>
      <c r="N98" s="36"/>
      <c r="O98" s="36"/>
      <c r="P98" s="36"/>
      <c r="Q98" s="36">
        <v>46051</v>
      </c>
      <c r="R98" s="35" t="s">
        <v>119</v>
      </c>
      <c r="S98" s="35" t="s">
        <v>574</v>
      </c>
      <c r="T98" s="35" t="s">
        <v>129</v>
      </c>
      <c r="U98" s="35" t="s">
        <v>90</v>
      </c>
      <c r="V98" s="35" t="s">
        <v>569</v>
      </c>
      <c r="W98" s="35" t="s">
        <v>123</v>
      </c>
      <c r="X98" s="35">
        <v>112.35</v>
      </c>
      <c r="Y98" s="35">
        <v>10.11</v>
      </c>
      <c r="Z98" s="35">
        <v>10.11</v>
      </c>
      <c r="AA98" s="35">
        <v>0</v>
      </c>
      <c r="AB98" s="35"/>
      <c r="AC98" s="35">
        <v>0</v>
      </c>
      <c r="AD98" s="35"/>
      <c r="AE98" s="35">
        <v>0</v>
      </c>
      <c r="AF98" s="35"/>
      <c r="AG98" s="35">
        <v>0</v>
      </c>
      <c r="AH98" s="35"/>
      <c r="AI98" s="37">
        <v>0</v>
      </c>
    </row>
    <row r="99" spans="1:35" x14ac:dyDescent="0.25">
      <c r="A99" s="38" t="s">
        <v>110</v>
      </c>
      <c r="B99" s="39" t="s">
        <v>575</v>
      </c>
      <c r="C99" s="39" t="s">
        <v>576</v>
      </c>
      <c r="D99" s="39">
        <v>15477</v>
      </c>
      <c r="E99" s="39" t="s">
        <v>577</v>
      </c>
      <c r="F99" s="39" t="s">
        <v>578</v>
      </c>
      <c r="G99" s="39" t="s">
        <v>115</v>
      </c>
      <c r="H99" s="39" t="s">
        <v>116</v>
      </c>
      <c r="I99" s="39" t="s">
        <v>117</v>
      </c>
      <c r="J99" s="39" t="s">
        <v>118</v>
      </c>
      <c r="K99" s="40">
        <v>46030</v>
      </c>
      <c r="L99" s="40">
        <v>46023</v>
      </c>
      <c r="M99" s="40">
        <v>46023</v>
      </c>
      <c r="N99" s="40"/>
      <c r="O99" s="40"/>
      <c r="P99" s="40"/>
      <c r="Q99" s="40">
        <v>46051</v>
      </c>
      <c r="R99" s="39" t="s">
        <v>119</v>
      </c>
      <c r="S99" s="39" t="s">
        <v>579</v>
      </c>
      <c r="T99" s="39" t="s">
        <v>129</v>
      </c>
      <c r="U99" s="35" t="s">
        <v>90</v>
      </c>
      <c r="V99" s="39" t="s">
        <v>569</v>
      </c>
      <c r="W99" s="39" t="s">
        <v>123</v>
      </c>
      <c r="X99" s="39">
        <v>373.24</v>
      </c>
      <c r="Y99" s="39">
        <v>33.590000000000003</v>
      </c>
      <c r="Z99" s="39">
        <v>33.590000000000003</v>
      </c>
      <c r="AA99" s="39">
        <v>0</v>
      </c>
      <c r="AB99" s="39"/>
      <c r="AC99" s="39">
        <v>0</v>
      </c>
      <c r="AD99" s="39"/>
      <c r="AE99" s="39">
        <v>0</v>
      </c>
      <c r="AF99" s="39"/>
      <c r="AG99" s="39">
        <v>0</v>
      </c>
      <c r="AH99" s="39"/>
      <c r="AI99" s="41">
        <v>0</v>
      </c>
    </row>
    <row r="100" spans="1:35" x14ac:dyDescent="0.25">
      <c r="A100" s="34" t="s">
        <v>110</v>
      </c>
      <c r="B100" s="35" t="s">
        <v>880</v>
      </c>
      <c r="C100" s="35" t="s">
        <v>881</v>
      </c>
      <c r="D100" s="35">
        <v>14503</v>
      </c>
      <c r="E100" s="35" t="s">
        <v>882</v>
      </c>
      <c r="F100" s="35" t="s">
        <v>883</v>
      </c>
      <c r="G100" s="35" t="s">
        <v>115</v>
      </c>
      <c r="H100" s="35" t="s">
        <v>116</v>
      </c>
      <c r="I100" s="35" t="s">
        <v>117</v>
      </c>
      <c r="J100" s="35" t="s">
        <v>118</v>
      </c>
      <c r="K100" s="36">
        <v>46030</v>
      </c>
      <c r="L100" s="36">
        <v>46023</v>
      </c>
      <c r="M100" s="36">
        <v>46023</v>
      </c>
      <c r="N100" s="36"/>
      <c r="O100" s="36"/>
      <c r="P100" s="36"/>
      <c r="Q100" s="36">
        <v>46051</v>
      </c>
      <c r="R100" s="35" t="s">
        <v>119</v>
      </c>
      <c r="S100" s="35" t="s">
        <v>574</v>
      </c>
      <c r="T100" s="35" t="s">
        <v>129</v>
      </c>
      <c r="U100" s="35" t="s">
        <v>90</v>
      </c>
      <c r="V100" s="35" t="s">
        <v>569</v>
      </c>
      <c r="W100" s="35" t="s">
        <v>123</v>
      </c>
      <c r="X100" s="35">
        <v>122.04</v>
      </c>
      <c r="Y100" s="35">
        <v>10.98</v>
      </c>
      <c r="Z100" s="35">
        <v>10.98</v>
      </c>
      <c r="AA100" s="35">
        <v>0</v>
      </c>
      <c r="AB100" s="35"/>
      <c r="AC100" s="35">
        <v>0</v>
      </c>
      <c r="AD100" s="35"/>
      <c r="AE100" s="35">
        <v>0</v>
      </c>
      <c r="AF100" s="35"/>
      <c r="AG100" s="35">
        <v>0</v>
      </c>
      <c r="AH100" s="35"/>
      <c r="AI100" s="37">
        <v>0</v>
      </c>
    </row>
    <row r="101" spans="1:35" x14ac:dyDescent="0.25">
      <c r="A101" s="38" t="s">
        <v>110</v>
      </c>
      <c r="B101" s="39" t="s">
        <v>856</v>
      </c>
      <c r="C101" s="39" t="s">
        <v>857</v>
      </c>
      <c r="D101" s="39">
        <v>13993</v>
      </c>
      <c r="E101" s="39" t="s">
        <v>858</v>
      </c>
      <c r="F101" s="39" t="s">
        <v>859</v>
      </c>
      <c r="G101" s="39" t="s">
        <v>115</v>
      </c>
      <c r="H101" s="39" t="s">
        <v>116</v>
      </c>
      <c r="I101" s="39" t="s">
        <v>117</v>
      </c>
      <c r="J101" s="39" t="s">
        <v>118</v>
      </c>
      <c r="K101" s="40">
        <v>46030</v>
      </c>
      <c r="L101" s="40">
        <v>46023</v>
      </c>
      <c r="M101" s="40">
        <v>46023</v>
      </c>
      <c r="N101" s="40"/>
      <c r="O101" s="40"/>
      <c r="P101" s="40"/>
      <c r="Q101" s="40">
        <v>46051</v>
      </c>
      <c r="R101" s="39" t="s">
        <v>119</v>
      </c>
      <c r="S101" s="39" t="s">
        <v>574</v>
      </c>
      <c r="T101" s="39" t="s">
        <v>129</v>
      </c>
      <c r="U101" s="35" t="s">
        <v>90</v>
      </c>
      <c r="V101" s="39" t="s">
        <v>569</v>
      </c>
      <c r="W101" s="39" t="s">
        <v>123</v>
      </c>
      <c r="X101" s="39">
        <v>491.64</v>
      </c>
      <c r="Y101" s="39">
        <v>0</v>
      </c>
      <c r="Z101" s="39">
        <v>0</v>
      </c>
      <c r="AA101" s="39">
        <v>0</v>
      </c>
      <c r="AB101" s="39"/>
      <c r="AC101" s="39">
        <v>0</v>
      </c>
      <c r="AD101" s="39"/>
      <c r="AE101" s="39">
        <v>0</v>
      </c>
      <c r="AF101" s="39"/>
      <c r="AG101" s="39">
        <v>0</v>
      </c>
      <c r="AH101" s="39"/>
      <c r="AI101" s="41">
        <v>0</v>
      </c>
    </row>
    <row r="102" spans="1:35" x14ac:dyDescent="0.25">
      <c r="A102" s="34" t="s">
        <v>110</v>
      </c>
      <c r="B102" s="35" t="s">
        <v>824</v>
      </c>
      <c r="C102" s="35" t="s">
        <v>825</v>
      </c>
      <c r="D102" s="35">
        <v>5120</v>
      </c>
      <c r="E102" s="35" t="s">
        <v>826</v>
      </c>
      <c r="F102" s="35" t="s">
        <v>827</v>
      </c>
      <c r="G102" s="35" t="s">
        <v>115</v>
      </c>
      <c r="H102" s="35" t="s">
        <v>116</v>
      </c>
      <c r="I102" s="35" t="s">
        <v>117</v>
      </c>
      <c r="J102" s="35" t="s">
        <v>118</v>
      </c>
      <c r="K102" s="36">
        <v>46030</v>
      </c>
      <c r="L102" s="36">
        <v>46023</v>
      </c>
      <c r="M102" s="36">
        <v>46023</v>
      </c>
      <c r="N102" s="36"/>
      <c r="O102" s="36"/>
      <c r="P102" s="36">
        <v>46044</v>
      </c>
      <c r="Q102" s="36">
        <v>46051</v>
      </c>
      <c r="R102" s="35" t="s">
        <v>119</v>
      </c>
      <c r="S102" s="35" t="s">
        <v>817</v>
      </c>
      <c r="T102" s="35" t="s">
        <v>607</v>
      </c>
      <c r="U102" s="35" t="s">
        <v>89</v>
      </c>
      <c r="V102" s="35" t="s">
        <v>569</v>
      </c>
      <c r="W102" s="35" t="s">
        <v>123</v>
      </c>
      <c r="X102" s="35">
        <v>269.68</v>
      </c>
      <c r="Y102" s="35">
        <v>21.57</v>
      </c>
      <c r="Z102" s="35">
        <v>21.57</v>
      </c>
      <c r="AA102" s="35">
        <v>0</v>
      </c>
      <c r="AB102" s="35"/>
      <c r="AC102" s="35">
        <v>0</v>
      </c>
      <c r="AD102" s="35" t="s">
        <v>130</v>
      </c>
      <c r="AE102" s="35">
        <v>0</v>
      </c>
      <c r="AF102" s="35"/>
      <c r="AG102" s="35">
        <v>0</v>
      </c>
      <c r="AH102" s="35"/>
      <c r="AI102" s="37">
        <v>0</v>
      </c>
    </row>
    <row r="103" spans="1:35" x14ac:dyDescent="0.25">
      <c r="A103" s="38" t="s">
        <v>110</v>
      </c>
      <c r="B103" s="39" t="s">
        <v>582</v>
      </c>
      <c r="C103" s="39" t="s">
        <v>583</v>
      </c>
      <c r="D103" s="39">
        <v>12619</v>
      </c>
      <c r="E103" s="39" t="s">
        <v>584</v>
      </c>
      <c r="F103" s="39" t="s">
        <v>585</v>
      </c>
      <c r="G103" s="39" t="s">
        <v>115</v>
      </c>
      <c r="H103" s="39" t="s">
        <v>116</v>
      </c>
      <c r="I103" s="39" t="s">
        <v>117</v>
      </c>
      <c r="J103" s="39" t="s">
        <v>118</v>
      </c>
      <c r="K103" s="40">
        <v>46030</v>
      </c>
      <c r="L103" s="40">
        <v>46023</v>
      </c>
      <c r="M103" s="40">
        <v>46023</v>
      </c>
      <c r="N103" s="40"/>
      <c r="O103" s="40"/>
      <c r="P103" s="40"/>
      <c r="Q103" s="40">
        <v>46051</v>
      </c>
      <c r="R103" s="39" t="s">
        <v>119</v>
      </c>
      <c r="S103" s="39" t="s">
        <v>574</v>
      </c>
      <c r="T103" s="39" t="s">
        <v>129</v>
      </c>
      <c r="U103" s="35" t="s">
        <v>90</v>
      </c>
      <c r="V103" s="39" t="s">
        <v>569</v>
      </c>
      <c r="W103" s="39" t="s">
        <v>123</v>
      </c>
      <c r="X103" s="39">
        <v>72.930000000000007</v>
      </c>
      <c r="Y103" s="39">
        <v>3.65</v>
      </c>
      <c r="Z103" s="39">
        <v>3.65</v>
      </c>
      <c r="AA103" s="39">
        <v>0</v>
      </c>
      <c r="AB103" s="39"/>
      <c r="AC103" s="39">
        <v>0</v>
      </c>
      <c r="AD103" s="39"/>
      <c r="AE103" s="39">
        <v>0</v>
      </c>
      <c r="AF103" s="39"/>
      <c r="AG103" s="39">
        <v>0</v>
      </c>
      <c r="AH103" s="39"/>
      <c r="AI103" s="41">
        <v>0</v>
      </c>
    </row>
    <row r="104" spans="1:35" x14ac:dyDescent="0.25">
      <c r="A104" s="34" t="s">
        <v>110</v>
      </c>
      <c r="B104" s="35" t="s">
        <v>588</v>
      </c>
      <c r="C104" s="35" t="s">
        <v>589</v>
      </c>
      <c r="D104" s="35">
        <v>19150</v>
      </c>
      <c r="E104" s="35" t="s">
        <v>590</v>
      </c>
      <c r="F104" s="35" t="s">
        <v>591</v>
      </c>
      <c r="G104" s="35" t="s">
        <v>115</v>
      </c>
      <c r="H104" s="35" t="s">
        <v>116</v>
      </c>
      <c r="I104" s="35" t="s">
        <v>117</v>
      </c>
      <c r="J104" s="35" t="s">
        <v>118</v>
      </c>
      <c r="K104" s="36">
        <v>46030</v>
      </c>
      <c r="L104" s="36">
        <v>46023</v>
      </c>
      <c r="M104" s="36">
        <v>46023</v>
      </c>
      <c r="N104" s="36"/>
      <c r="O104" s="36"/>
      <c r="P104" s="36"/>
      <c r="Q104" s="36">
        <v>46051</v>
      </c>
      <c r="R104" s="35" t="s">
        <v>119</v>
      </c>
      <c r="S104" s="35" t="s">
        <v>579</v>
      </c>
      <c r="T104" s="35" t="s">
        <v>129</v>
      </c>
      <c r="U104" s="35" t="s">
        <v>90</v>
      </c>
      <c r="V104" s="35" t="s">
        <v>569</v>
      </c>
      <c r="W104" s="35" t="s">
        <v>123</v>
      </c>
      <c r="X104" s="35">
        <v>36.68</v>
      </c>
      <c r="Y104" s="35">
        <v>3.3</v>
      </c>
      <c r="Z104" s="35">
        <v>3.3</v>
      </c>
      <c r="AA104" s="35">
        <v>0</v>
      </c>
      <c r="AB104" s="35"/>
      <c r="AC104" s="35">
        <v>0</v>
      </c>
      <c r="AD104" s="35"/>
      <c r="AE104" s="35">
        <v>0</v>
      </c>
      <c r="AF104" s="35"/>
      <c r="AG104" s="35">
        <v>0</v>
      </c>
      <c r="AH104" s="35"/>
      <c r="AI104" s="37">
        <v>0</v>
      </c>
    </row>
    <row r="105" spans="1:35" x14ac:dyDescent="0.25">
      <c r="A105" s="38" t="s">
        <v>110</v>
      </c>
      <c r="B105" s="39" t="s">
        <v>834</v>
      </c>
      <c r="C105" s="39" t="s">
        <v>835</v>
      </c>
      <c r="D105" s="39">
        <v>5157</v>
      </c>
      <c r="E105" s="39" t="s">
        <v>836</v>
      </c>
      <c r="F105" s="39" t="s">
        <v>837</v>
      </c>
      <c r="G105" s="39" t="s">
        <v>115</v>
      </c>
      <c r="H105" s="39" t="s">
        <v>116</v>
      </c>
      <c r="I105" s="39" t="s">
        <v>117</v>
      </c>
      <c r="J105" s="39" t="s">
        <v>118</v>
      </c>
      <c r="K105" s="40">
        <v>46030</v>
      </c>
      <c r="L105" s="40">
        <v>46023</v>
      </c>
      <c r="M105" s="40">
        <v>46023</v>
      </c>
      <c r="N105" s="40"/>
      <c r="O105" s="40"/>
      <c r="P105" s="40"/>
      <c r="Q105" s="40">
        <v>46051</v>
      </c>
      <c r="R105" s="39" t="s">
        <v>119</v>
      </c>
      <c r="S105" s="39" t="s">
        <v>817</v>
      </c>
      <c r="T105" s="39" t="s">
        <v>607</v>
      </c>
      <c r="U105" s="35" t="s">
        <v>89</v>
      </c>
      <c r="V105" s="39" t="s">
        <v>569</v>
      </c>
      <c r="W105" s="39" t="s">
        <v>123</v>
      </c>
      <c r="X105" s="39">
        <v>69.900000000000006</v>
      </c>
      <c r="Y105" s="39">
        <v>5.59</v>
      </c>
      <c r="Z105" s="39">
        <v>5.59</v>
      </c>
      <c r="AA105" s="39">
        <v>0</v>
      </c>
      <c r="AB105" s="39"/>
      <c r="AC105" s="39">
        <v>0</v>
      </c>
      <c r="AD105" s="39"/>
      <c r="AE105" s="39">
        <v>0</v>
      </c>
      <c r="AF105" s="39"/>
      <c r="AG105" s="39">
        <v>0</v>
      </c>
      <c r="AH105" s="39"/>
      <c r="AI105" s="41">
        <v>0</v>
      </c>
    </row>
    <row r="106" spans="1:35" x14ac:dyDescent="0.25">
      <c r="A106" s="34" t="s">
        <v>110</v>
      </c>
      <c r="B106" s="35" t="s">
        <v>1378</v>
      </c>
      <c r="C106" s="35" t="s">
        <v>1379</v>
      </c>
      <c r="D106" s="35">
        <v>29108</v>
      </c>
      <c r="E106" s="35" t="s">
        <v>1380</v>
      </c>
      <c r="F106" s="35" t="s">
        <v>1381</v>
      </c>
      <c r="G106" s="35" t="s">
        <v>174</v>
      </c>
      <c r="H106" s="35" t="s">
        <v>160</v>
      </c>
      <c r="I106" s="35" t="s">
        <v>217</v>
      </c>
      <c r="J106" s="35" t="s">
        <v>118</v>
      </c>
      <c r="K106" s="36">
        <v>46030</v>
      </c>
      <c r="L106" s="36">
        <v>46023</v>
      </c>
      <c r="M106" s="36">
        <v>46037</v>
      </c>
      <c r="N106" s="36"/>
      <c r="O106" s="36"/>
      <c r="P106" s="36"/>
      <c r="Q106" s="36">
        <v>46056</v>
      </c>
      <c r="R106" s="35" t="s">
        <v>218</v>
      </c>
      <c r="S106" s="35" t="s">
        <v>225</v>
      </c>
      <c r="T106" s="35" t="s">
        <v>225</v>
      </c>
      <c r="U106" s="35" t="s">
        <v>88</v>
      </c>
      <c r="V106" s="35" t="s">
        <v>226</v>
      </c>
      <c r="W106" s="35" t="s">
        <v>123</v>
      </c>
      <c r="X106" s="35">
        <v>693.48</v>
      </c>
      <c r="Y106" s="35">
        <v>126.08</v>
      </c>
      <c r="Z106" s="35">
        <v>126.08</v>
      </c>
      <c r="AA106" s="35">
        <v>0</v>
      </c>
      <c r="AB106" s="35"/>
      <c r="AC106" s="35">
        <v>0</v>
      </c>
      <c r="AD106" s="35"/>
      <c r="AE106" s="35">
        <v>0</v>
      </c>
      <c r="AF106" s="35"/>
      <c r="AG106" s="35">
        <v>0</v>
      </c>
      <c r="AH106" s="35"/>
      <c r="AI106" s="37">
        <v>0</v>
      </c>
    </row>
    <row r="107" spans="1:35" x14ac:dyDescent="0.25">
      <c r="A107" s="38" t="s">
        <v>110</v>
      </c>
      <c r="B107" s="39" t="s">
        <v>178</v>
      </c>
      <c r="C107" s="39" t="s">
        <v>214</v>
      </c>
      <c r="D107" s="39">
        <v>32510</v>
      </c>
      <c r="E107" s="39" t="s">
        <v>215</v>
      </c>
      <c r="F107" s="39" t="s">
        <v>216</v>
      </c>
      <c r="G107" s="39" t="s">
        <v>174</v>
      </c>
      <c r="H107" s="39" t="s">
        <v>160</v>
      </c>
      <c r="I107" s="39" t="s">
        <v>217</v>
      </c>
      <c r="J107" s="39" t="s">
        <v>118</v>
      </c>
      <c r="K107" s="40">
        <v>46030</v>
      </c>
      <c r="L107" s="40">
        <v>45962</v>
      </c>
      <c r="M107" s="40">
        <v>46044</v>
      </c>
      <c r="N107" s="40"/>
      <c r="O107" s="40"/>
      <c r="P107" s="40"/>
      <c r="Q107" s="40">
        <v>46054</v>
      </c>
      <c r="R107" s="39" t="s">
        <v>218</v>
      </c>
      <c r="S107" s="39" t="s">
        <v>219</v>
      </c>
      <c r="T107" s="39" t="s">
        <v>220</v>
      </c>
      <c r="U107" s="35" t="s">
        <v>91</v>
      </c>
      <c r="V107" s="39" t="s">
        <v>163</v>
      </c>
      <c r="W107" s="39" t="s">
        <v>123</v>
      </c>
      <c r="X107" s="39">
        <v>50</v>
      </c>
      <c r="Y107" s="39">
        <v>8.75</v>
      </c>
      <c r="Z107" s="39">
        <v>8.75</v>
      </c>
      <c r="AA107" s="39">
        <v>0</v>
      </c>
      <c r="AB107" s="39"/>
      <c r="AC107" s="39">
        <v>0</v>
      </c>
      <c r="AD107" s="39"/>
      <c r="AE107" s="39">
        <v>0</v>
      </c>
      <c r="AF107" s="39"/>
      <c r="AG107" s="39">
        <v>0</v>
      </c>
      <c r="AH107" s="39"/>
      <c r="AI107" s="41">
        <v>0</v>
      </c>
    </row>
    <row r="108" spans="1:35" x14ac:dyDescent="0.25">
      <c r="A108" s="34" t="s">
        <v>110</v>
      </c>
      <c r="B108" s="35" t="s">
        <v>720</v>
      </c>
      <c r="C108" s="35" t="s">
        <v>970</v>
      </c>
      <c r="D108" s="35">
        <v>787</v>
      </c>
      <c r="E108" s="35" t="s">
        <v>971</v>
      </c>
      <c r="F108" s="35" t="s">
        <v>972</v>
      </c>
      <c r="G108" s="35" t="s">
        <v>192</v>
      </c>
      <c r="H108" s="35" t="s">
        <v>160</v>
      </c>
      <c r="I108" s="35" t="s">
        <v>117</v>
      </c>
      <c r="J108" s="35" t="s">
        <v>118</v>
      </c>
      <c r="K108" s="36">
        <v>46030</v>
      </c>
      <c r="L108" s="36">
        <v>46046</v>
      </c>
      <c r="M108" s="36">
        <v>46048</v>
      </c>
      <c r="N108" s="36"/>
      <c r="O108" s="36"/>
      <c r="P108" s="36"/>
      <c r="Q108" s="36">
        <v>46113</v>
      </c>
      <c r="R108" s="35" t="s">
        <v>142</v>
      </c>
      <c r="S108" s="35" t="s">
        <v>973</v>
      </c>
      <c r="T108" s="35" t="s">
        <v>974</v>
      </c>
      <c r="U108" s="35" t="s">
        <v>91</v>
      </c>
      <c r="V108" s="35" t="s">
        <v>509</v>
      </c>
      <c r="W108" s="35" t="s">
        <v>123</v>
      </c>
      <c r="X108" s="35">
        <v>180</v>
      </c>
      <c r="Y108" s="35">
        <v>36</v>
      </c>
      <c r="Z108" s="35">
        <v>36</v>
      </c>
      <c r="AA108" s="35">
        <v>0</v>
      </c>
      <c r="AB108" s="35"/>
      <c r="AC108" s="35">
        <v>0</v>
      </c>
      <c r="AD108" s="35"/>
      <c r="AE108" s="35">
        <v>0</v>
      </c>
      <c r="AF108" s="35"/>
      <c r="AG108" s="35">
        <v>0</v>
      </c>
      <c r="AH108" s="35"/>
      <c r="AI108" s="37">
        <v>0</v>
      </c>
    </row>
    <row r="109" spans="1:35" x14ac:dyDescent="0.25">
      <c r="A109" s="38" t="s">
        <v>110</v>
      </c>
      <c r="B109" s="39" t="s">
        <v>706</v>
      </c>
      <c r="C109" s="39" t="s">
        <v>707</v>
      </c>
      <c r="D109" s="39">
        <v>32511</v>
      </c>
      <c r="E109" s="39" t="s">
        <v>708</v>
      </c>
      <c r="F109" s="39" t="s">
        <v>709</v>
      </c>
      <c r="G109" s="39" t="s">
        <v>192</v>
      </c>
      <c r="H109" s="39" t="s">
        <v>160</v>
      </c>
      <c r="I109" s="39" t="s">
        <v>117</v>
      </c>
      <c r="J109" s="39" t="s">
        <v>118</v>
      </c>
      <c r="K109" s="40">
        <v>46030</v>
      </c>
      <c r="L109" s="40">
        <v>46023</v>
      </c>
      <c r="M109" s="40">
        <v>46034</v>
      </c>
      <c r="N109" s="40"/>
      <c r="O109" s="40"/>
      <c r="P109" s="40"/>
      <c r="Q109" s="40">
        <v>46055</v>
      </c>
      <c r="R109" s="39" t="s">
        <v>142</v>
      </c>
      <c r="S109" s="39" t="s">
        <v>697</v>
      </c>
      <c r="T109" s="39" t="s">
        <v>698</v>
      </c>
      <c r="U109" s="35" t="s">
        <v>88</v>
      </c>
      <c r="V109" s="39" t="s">
        <v>699</v>
      </c>
      <c r="W109" s="39" t="s">
        <v>123</v>
      </c>
      <c r="X109" s="39">
        <v>423.5</v>
      </c>
      <c r="Y109" s="39">
        <v>105.88</v>
      </c>
      <c r="Z109" s="39">
        <v>105.88</v>
      </c>
      <c r="AA109" s="39">
        <v>0</v>
      </c>
      <c r="AB109" s="39"/>
      <c r="AC109" s="39">
        <v>0</v>
      </c>
      <c r="AD109" s="39"/>
      <c r="AE109" s="39">
        <v>0</v>
      </c>
      <c r="AF109" s="39"/>
      <c r="AG109" s="39">
        <v>0</v>
      </c>
      <c r="AH109" s="39"/>
      <c r="AI109" s="41">
        <v>0</v>
      </c>
    </row>
    <row r="110" spans="1:35" x14ac:dyDescent="0.25">
      <c r="A110" s="34" t="s">
        <v>110</v>
      </c>
      <c r="B110" s="35" t="s">
        <v>1042</v>
      </c>
      <c r="C110" s="35" t="s">
        <v>1043</v>
      </c>
      <c r="D110" s="35">
        <v>31960</v>
      </c>
      <c r="E110" s="35" t="s">
        <v>1044</v>
      </c>
      <c r="F110" s="35" t="s">
        <v>1045</v>
      </c>
      <c r="G110" s="35" t="s">
        <v>174</v>
      </c>
      <c r="H110" s="35" t="s">
        <v>160</v>
      </c>
      <c r="I110" s="35" t="s">
        <v>217</v>
      </c>
      <c r="J110" s="35" t="s">
        <v>118</v>
      </c>
      <c r="K110" s="36">
        <v>46030</v>
      </c>
      <c r="L110" s="36">
        <v>45923</v>
      </c>
      <c r="M110" s="36">
        <v>46027</v>
      </c>
      <c r="N110" s="36"/>
      <c r="O110" s="36"/>
      <c r="P110" s="36"/>
      <c r="Q110" s="36">
        <v>46056</v>
      </c>
      <c r="R110" s="35" t="s">
        <v>218</v>
      </c>
      <c r="S110" s="35" t="s">
        <v>1018</v>
      </c>
      <c r="T110" s="35" t="s">
        <v>1018</v>
      </c>
      <c r="U110" s="35" t="s">
        <v>82</v>
      </c>
      <c r="V110" s="35" t="s">
        <v>226</v>
      </c>
      <c r="W110" s="35" t="s">
        <v>123</v>
      </c>
      <c r="X110" s="35">
        <v>537.91</v>
      </c>
      <c r="Y110" s="35">
        <v>53.79</v>
      </c>
      <c r="Z110" s="35">
        <v>53.79</v>
      </c>
      <c r="AA110" s="35">
        <v>0</v>
      </c>
      <c r="AB110" s="35"/>
      <c r="AC110" s="35">
        <v>0</v>
      </c>
      <c r="AD110" s="35"/>
      <c r="AE110" s="35">
        <v>0</v>
      </c>
      <c r="AF110" s="35"/>
      <c r="AG110" s="35">
        <v>0</v>
      </c>
      <c r="AH110" s="35"/>
      <c r="AI110" s="37">
        <v>0</v>
      </c>
    </row>
    <row r="111" spans="1:35" x14ac:dyDescent="0.25">
      <c r="A111" s="38" t="s">
        <v>110</v>
      </c>
      <c r="B111" s="39" t="s">
        <v>1224</v>
      </c>
      <c r="C111" s="39" t="s">
        <v>1225</v>
      </c>
      <c r="D111" s="39">
        <v>32512</v>
      </c>
      <c r="E111" s="39" t="s">
        <v>1226</v>
      </c>
      <c r="F111" s="39" t="s">
        <v>1227</v>
      </c>
      <c r="G111" s="39" t="s">
        <v>174</v>
      </c>
      <c r="H111" s="39" t="s">
        <v>160</v>
      </c>
      <c r="I111" s="39" t="s">
        <v>217</v>
      </c>
      <c r="J111" s="39" t="s">
        <v>118</v>
      </c>
      <c r="K111" s="40">
        <v>46030</v>
      </c>
      <c r="L111" s="40">
        <v>46021</v>
      </c>
      <c r="M111" s="40">
        <v>46034</v>
      </c>
      <c r="N111" s="40"/>
      <c r="O111" s="40"/>
      <c r="P111" s="40"/>
      <c r="Q111" s="40">
        <v>46056</v>
      </c>
      <c r="R111" s="39" t="s">
        <v>218</v>
      </c>
      <c r="S111" s="39" t="s">
        <v>1018</v>
      </c>
      <c r="T111" s="39" t="s">
        <v>1018</v>
      </c>
      <c r="U111" s="35" t="s">
        <v>82</v>
      </c>
      <c r="V111" s="39" t="s">
        <v>226</v>
      </c>
      <c r="W111" s="39" t="s">
        <v>123</v>
      </c>
      <c r="X111" s="39">
        <v>661.12</v>
      </c>
      <c r="Y111" s="39">
        <v>120.2</v>
      </c>
      <c r="Z111" s="39">
        <v>120.2</v>
      </c>
      <c r="AA111" s="39">
        <v>0</v>
      </c>
      <c r="AB111" s="39"/>
      <c r="AC111" s="39">
        <v>0</v>
      </c>
      <c r="AD111" s="39"/>
      <c r="AE111" s="39">
        <v>0</v>
      </c>
      <c r="AF111" s="39"/>
      <c r="AG111" s="39">
        <v>0</v>
      </c>
      <c r="AH111" s="39"/>
      <c r="AI111" s="41">
        <v>0</v>
      </c>
    </row>
    <row r="112" spans="1:35" x14ac:dyDescent="0.25">
      <c r="A112" s="34" t="s">
        <v>110</v>
      </c>
      <c r="B112" s="35" t="s">
        <v>1228</v>
      </c>
      <c r="C112" s="35" t="s">
        <v>1229</v>
      </c>
      <c r="D112" s="35">
        <v>32513</v>
      </c>
      <c r="E112" s="35" t="s">
        <v>1230</v>
      </c>
      <c r="F112" s="35" t="s">
        <v>1231</v>
      </c>
      <c r="G112" s="35" t="s">
        <v>174</v>
      </c>
      <c r="H112" s="35" t="s">
        <v>160</v>
      </c>
      <c r="I112" s="35" t="s">
        <v>217</v>
      </c>
      <c r="J112" s="35" t="s">
        <v>118</v>
      </c>
      <c r="K112" s="36">
        <v>46030</v>
      </c>
      <c r="L112" s="36">
        <v>46024</v>
      </c>
      <c r="M112" s="36">
        <v>46030</v>
      </c>
      <c r="N112" s="36"/>
      <c r="O112" s="36"/>
      <c r="P112" s="36"/>
      <c r="Q112" s="36">
        <v>46056</v>
      </c>
      <c r="R112" s="35" t="s">
        <v>218</v>
      </c>
      <c r="S112" s="35" t="s">
        <v>1018</v>
      </c>
      <c r="T112" s="35" t="s">
        <v>1018</v>
      </c>
      <c r="U112" s="35" t="s">
        <v>82</v>
      </c>
      <c r="V112" s="35" t="s">
        <v>226</v>
      </c>
      <c r="W112" s="35" t="s">
        <v>123</v>
      </c>
      <c r="X112" s="35">
        <v>713.68</v>
      </c>
      <c r="Y112" s="35">
        <v>129.76</v>
      </c>
      <c r="Z112" s="35">
        <v>129.76</v>
      </c>
      <c r="AA112" s="35">
        <v>0</v>
      </c>
      <c r="AB112" s="35"/>
      <c r="AC112" s="35">
        <v>0</v>
      </c>
      <c r="AD112" s="35"/>
      <c r="AE112" s="35">
        <v>0</v>
      </c>
      <c r="AF112" s="35"/>
      <c r="AG112" s="35">
        <v>0</v>
      </c>
      <c r="AH112" s="35"/>
      <c r="AI112" s="37">
        <v>0</v>
      </c>
    </row>
    <row r="113" spans="1:35" x14ac:dyDescent="0.25">
      <c r="A113" s="38" t="s">
        <v>110</v>
      </c>
      <c r="B113" s="39" t="s">
        <v>514</v>
      </c>
      <c r="C113" s="39" t="s">
        <v>515</v>
      </c>
      <c r="D113" s="39">
        <v>25018</v>
      </c>
      <c r="E113" s="39" t="s">
        <v>516</v>
      </c>
      <c r="F113" s="39" t="s">
        <v>517</v>
      </c>
      <c r="G113" s="39" t="s">
        <v>192</v>
      </c>
      <c r="H113" s="39" t="s">
        <v>160</v>
      </c>
      <c r="I113" s="39" t="s">
        <v>117</v>
      </c>
      <c r="J113" s="39" t="s">
        <v>118</v>
      </c>
      <c r="K113" s="40">
        <v>46030</v>
      </c>
      <c r="L113" s="40">
        <v>45992</v>
      </c>
      <c r="M113" s="40">
        <v>46044</v>
      </c>
      <c r="N113" s="40"/>
      <c r="O113" s="40"/>
      <c r="P113" s="40"/>
      <c r="Q113" s="40">
        <v>46054</v>
      </c>
      <c r="R113" s="39" t="s">
        <v>119</v>
      </c>
      <c r="S113" s="39" t="s">
        <v>518</v>
      </c>
      <c r="T113" s="39" t="s">
        <v>519</v>
      </c>
      <c r="U113" s="35" t="s">
        <v>86</v>
      </c>
      <c r="V113" s="39" t="s">
        <v>520</v>
      </c>
      <c r="W113" s="39" t="s">
        <v>123</v>
      </c>
      <c r="X113" s="39">
        <v>16.59</v>
      </c>
      <c r="Y113" s="39">
        <v>4.6500000000000004</v>
      </c>
      <c r="Z113" s="39">
        <v>4.6500000000000004</v>
      </c>
      <c r="AA113" s="39">
        <v>0</v>
      </c>
      <c r="AB113" s="39"/>
      <c r="AC113" s="39">
        <v>0</v>
      </c>
      <c r="AD113" s="39"/>
      <c r="AE113" s="39">
        <v>0</v>
      </c>
      <c r="AF113" s="39"/>
      <c r="AG113" s="39">
        <v>0</v>
      </c>
      <c r="AH113" s="39"/>
      <c r="AI113" s="41">
        <v>0</v>
      </c>
    </row>
    <row r="114" spans="1:35" x14ac:dyDescent="0.25">
      <c r="A114" s="34" t="s">
        <v>110</v>
      </c>
      <c r="B114" s="35" t="s">
        <v>2088</v>
      </c>
      <c r="C114" s="35" t="s">
        <v>2108</v>
      </c>
      <c r="D114" s="35">
        <v>28349</v>
      </c>
      <c r="E114" s="35"/>
      <c r="F114" s="35" t="s">
        <v>2114</v>
      </c>
      <c r="G114" s="35" t="s">
        <v>115</v>
      </c>
      <c r="H114" s="35" t="s">
        <v>160</v>
      </c>
      <c r="I114" s="35" t="s">
        <v>117</v>
      </c>
      <c r="J114" s="35" t="s">
        <v>141</v>
      </c>
      <c r="K114" s="36">
        <v>46030</v>
      </c>
      <c r="L114" s="36">
        <v>45992</v>
      </c>
      <c r="M114" s="36"/>
      <c r="N114" s="36"/>
      <c r="O114" s="36"/>
      <c r="P114" s="36"/>
      <c r="Q114" s="36"/>
      <c r="R114" s="35" t="s">
        <v>119</v>
      </c>
      <c r="S114" s="35" t="s">
        <v>1329</v>
      </c>
      <c r="T114" s="35" t="s">
        <v>519</v>
      </c>
      <c r="U114" s="35" t="s">
        <v>86</v>
      </c>
      <c r="V114" s="35" t="s">
        <v>1330</v>
      </c>
      <c r="W114" s="35" t="s">
        <v>123</v>
      </c>
      <c r="X114" s="35">
        <v>808.54</v>
      </c>
      <c r="Y114" s="35">
        <v>40.43</v>
      </c>
      <c r="Z114" s="35">
        <v>40.43</v>
      </c>
      <c r="AA114" s="35">
        <v>0</v>
      </c>
      <c r="AB114" s="35"/>
      <c r="AC114" s="35">
        <v>0</v>
      </c>
      <c r="AD114" s="35"/>
      <c r="AE114" s="35">
        <v>0</v>
      </c>
      <c r="AF114" s="35"/>
      <c r="AG114" s="35">
        <v>0</v>
      </c>
      <c r="AH114" s="35"/>
      <c r="AI114" s="37">
        <v>0</v>
      </c>
    </row>
    <row r="115" spans="1:35" x14ac:dyDescent="0.25">
      <c r="A115" s="38" t="s">
        <v>110</v>
      </c>
      <c r="B115" s="39" t="s">
        <v>1331</v>
      </c>
      <c r="C115" s="39" t="s">
        <v>1332</v>
      </c>
      <c r="D115" s="39">
        <v>28905</v>
      </c>
      <c r="E115" s="39"/>
      <c r="F115" s="39" t="s">
        <v>1333</v>
      </c>
      <c r="G115" s="39" t="s">
        <v>115</v>
      </c>
      <c r="H115" s="39" t="s">
        <v>160</v>
      </c>
      <c r="I115" s="39" t="s">
        <v>117</v>
      </c>
      <c r="J115" s="39" t="s">
        <v>118</v>
      </c>
      <c r="K115" s="40">
        <v>46030</v>
      </c>
      <c r="L115" s="40">
        <v>45992</v>
      </c>
      <c r="M115" s="40">
        <v>46044</v>
      </c>
      <c r="N115" s="40"/>
      <c r="O115" s="40"/>
      <c r="P115" s="40"/>
      <c r="Q115" s="40"/>
      <c r="R115" s="39" t="s">
        <v>119</v>
      </c>
      <c r="S115" s="39" t="s">
        <v>1329</v>
      </c>
      <c r="T115" s="39" t="s">
        <v>519</v>
      </c>
      <c r="U115" s="35" t="s">
        <v>86</v>
      </c>
      <c r="V115" s="39" t="s">
        <v>1330</v>
      </c>
      <c r="W115" s="39" t="s">
        <v>123</v>
      </c>
      <c r="X115" s="39">
        <v>2893.72</v>
      </c>
      <c r="Y115" s="39">
        <v>144.69</v>
      </c>
      <c r="Z115" s="39">
        <v>144.69</v>
      </c>
      <c r="AA115" s="39">
        <v>0</v>
      </c>
      <c r="AB115" s="39"/>
      <c r="AC115" s="39">
        <v>0</v>
      </c>
      <c r="AD115" s="39"/>
      <c r="AE115" s="39">
        <v>0</v>
      </c>
      <c r="AF115" s="39"/>
      <c r="AG115" s="39">
        <v>0</v>
      </c>
      <c r="AH115" s="39"/>
      <c r="AI115" s="41">
        <v>0</v>
      </c>
    </row>
    <row r="116" spans="1:35" x14ac:dyDescent="0.25">
      <c r="A116" s="34" t="s">
        <v>110</v>
      </c>
      <c r="B116" s="35"/>
      <c r="C116" s="35" t="s">
        <v>1046</v>
      </c>
      <c r="D116" s="35">
        <v>31987</v>
      </c>
      <c r="E116" s="35" t="s">
        <v>1047</v>
      </c>
      <c r="F116" s="35" t="s">
        <v>1048</v>
      </c>
      <c r="G116" s="35" t="s">
        <v>174</v>
      </c>
      <c r="H116" s="35" t="s">
        <v>160</v>
      </c>
      <c r="I116" s="35" t="s">
        <v>217</v>
      </c>
      <c r="J116" s="35" t="s">
        <v>118</v>
      </c>
      <c r="K116" s="36">
        <v>46031</v>
      </c>
      <c r="L116" s="36">
        <v>45930</v>
      </c>
      <c r="M116" s="36">
        <v>46035</v>
      </c>
      <c r="N116" s="36"/>
      <c r="O116" s="36"/>
      <c r="P116" s="36"/>
      <c r="Q116" s="36">
        <v>46056</v>
      </c>
      <c r="R116" s="35" t="s">
        <v>218</v>
      </c>
      <c r="S116" s="35" t="s">
        <v>1018</v>
      </c>
      <c r="T116" s="35" t="s">
        <v>1018</v>
      </c>
      <c r="U116" s="35" t="s">
        <v>82</v>
      </c>
      <c r="V116" s="35" t="s">
        <v>226</v>
      </c>
      <c r="W116" s="35" t="s">
        <v>123</v>
      </c>
      <c r="X116" s="35">
        <v>1096.22</v>
      </c>
      <c r="Y116" s="35">
        <v>109.62</v>
      </c>
      <c r="Z116" s="35">
        <v>109.62</v>
      </c>
      <c r="AA116" s="35">
        <v>0</v>
      </c>
      <c r="AB116" s="35"/>
      <c r="AC116" s="35">
        <v>0</v>
      </c>
      <c r="AD116" s="35"/>
      <c r="AE116" s="35">
        <v>0</v>
      </c>
      <c r="AF116" s="35"/>
      <c r="AG116" s="35">
        <v>0</v>
      </c>
      <c r="AH116" s="35"/>
      <c r="AI116" s="37">
        <v>0</v>
      </c>
    </row>
    <row r="117" spans="1:35" x14ac:dyDescent="0.25">
      <c r="A117" s="38" t="s">
        <v>110</v>
      </c>
      <c r="B117" s="39" t="s">
        <v>1077</v>
      </c>
      <c r="C117" s="39" t="s">
        <v>1078</v>
      </c>
      <c r="D117" s="39">
        <v>32515</v>
      </c>
      <c r="E117" s="39" t="s">
        <v>1079</v>
      </c>
      <c r="F117" s="39" t="s">
        <v>1080</v>
      </c>
      <c r="G117" s="39" t="s">
        <v>174</v>
      </c>
      <c r="H117" s="39" t="s">
        <v>160</v>
      </c>
      <c r="I117" s="39" t="s">
        <v>217</v>
      </c>
      <c r="J117" s="39" t="s">
        <v>118</v>
      </c>
      <c r="K117" s="40">
        <v>46031</v>
      </c>
      <c r="L117" s="40">
        <v>46030</v>
      </c>
      <c r="M117" s="40">
        <v>46035</v>
      </c>
      <c r="N117" s="40"/>
      <c r="O117" s="40"/>
      <c r="P117" s="40"/>
      <c r="Q117" s="40">
        <v>46056</v>
      </c>
      <c r="R117" s="39" t="s">
        <v>218</v>
      </c>
      <c r="S117" s="39" t="s">
        <v>1018</v>
      </c>
      <c r="T117" s="39" t="s">
        <v>1018</v>
      </c>
      <c r="U117" s="35" t="s">
        <v>82</v>
      </c>
      <c r="V117" s="39" t="s">
        <v>226</v>
      </c>
      <c r="W117" s="39" t="s">
        <v>123</v>
      </c>
      <c r="X117" s="39">
        <v>661.12</v>
      </c>
      <c r="Y117" s="39">
        <v>120.2</v>
      </c>
      <c r="Z117" s="39">
        <v>120.2</v>
      </c>
      <c r="AA117" s="39">
        <v>0</v>
      </c>
      <c r="AB117" s="39"/>
      <c r="AC117" s="39">
        <v>0</v>
      </c>
      <c r="AD117" s="39"/>
      <c r="AE117" s="39">
        <v>0</v>
      </c>
      <c r="AF117" s="39"/>
      <c r="AG117" s="39">
        <v>0</v>
      </c>
      <c r="AH117" s="39"/>
      <c r="AI117" s="41">
        <v>0</v>
      </c>
    </row>
    <row r="118" spans="1:35" x14ac:dyDescent="0.25">
      <c r="A118" s="34" t="s">
        <v>110</v>
      </c>
      <c r="B118" s="35" t="s">
        <v>1073</v>
      </c>
      <c r="C118" s="35" t="s">
        <v>1074</v>
      </c>
      <c r="D118" s="35">
        <v>32516</v>
      </c>
      <c r="E118" s="35" t="s">
        <v>1075</v>
      </c>
      <c r="F118" s="35" t="s">
        <v>1076</v>
      </c>
      <c r="G118" s="35" t="s">
        <v>174</v>
      </c>
      <c r="H118" s="35" t="s">
        <v>160</v>
      </c>
      <c r="I118" s="35" t="s">
        <v>217</v>
      </c>
      <c r="J118" s="35" t="s">
        <v>118</v>
      </c>
      <c r="K118" s="36">
        <v>46031</v>
      </c>
      <c r="L118" s="36">
        <v>46024</v>
      </c>
      <c r="M118" s="36">
        <v>46055</v>
      </c>
      <c r="N118" s="36"/>
      <c r="O118" s="36"/>
      <c r="P118" s="36"/>
      <c r="Q118" s="36"/>
      <c r="R118" s="35" t="s">
        <v>218</v>
      </c>
      <c r="S118" s="35" t="s">
        <v>1018</v>
      </c>
      <c r="T118" s="35" t="s">
        <v>1018</v>
      </c>
      <c r="U118" s="35" t="s">
        <v>82</v>
      </c>
      <c r="V118" s="35" t="s">
        <v>226</v>
      </c>
      <c r="W118" s="35" t="s">
        <v>123</v>
      </c>
      <c r="X118" s="35">
        <v>3563.08</v>
      </c>
      <c r="Y118" s="35">
        <v>647.84</v>
      </c>
      <c r="Z118" s="35">
        <v>647.84</v>
      </c>
      <c r="AA118" s="35">
        <v>0</v>
      </c>
      <c r="AB118" s="35"/>
      <c r="AC118" s="35">
        <v>0</v>
      </c>
      <c r="AD118" s="35"/>
      <c r="AE118" s="35">
        <v>0</v>
      </c>
      <c r="AF118" s="35"/>
      <c r="AG118" s="35">
        <v>0</v>
      </c>
      <c r="AH118" s="35"/>
      <c r="AI118" s="37">
        <v>0</v>
      </c>
    </row>
    <row r="119" spans="1:35" x14ac:dyDescent="0.25">
      <c r="A119" s="38" t="s">
        <v>110</v>
      </c>
      <c r="B119" s="39" t="s">
        <v>1073</v>
      </c>
      <c r="C119" s="39" t="s">
        <v>1074</v>
      </c>
      <c r="D119" s="39">
        <v>32516</v>
      </c>
      <c r="E119" s="39" t="s">
        <v>1886</v>
      </c>
      <c r="F119" s="39" t="s">
        <v>1887</v>
      </c>
      <c r="G119" s="39" t="s">
        <v>174</v>
      </c>
      <c r="H119" s="39" t="s">
        <v>160</v>
      </c>
      <c r="I119" s="39" t="s">
        <v>217</v>
      </c>
      <c r="J119" s="39" t="s">
        <v>118</v>
      </c>
      <c r="K119" s="40">
        <v>46031</v>
      </c>
      <c r="L119" s="40">
        <v>46024</v>
      </c>
      <c r="M119" s="40">
        <v>46084</v>
      </c>
      <c r="N119" s="40"/>
      <c r="O119" s="40"/>
      <c r="P119" s="40"/>
      <c r="Q119" s="40"/>
      <c r="R119" s="39" t="s">
        <v>218</v>
      </c>
      <c r="S119" s="39" t="s">
        <v>1018</v>
      </c>
      <c r="T119" s="39" t="s">
        <v>1018</v>
      </c>
      <c r="U119" s="35" t="s">
        <v>82</v>
      </c>
      <c r="V119" s="39" t="s">
        <v>226</v>
      </c>
      <c r="W119" s="39" t="s">
        <v>123</v>
      </c>
      <c r="X119" s="39">
        <v>10689.23</v>
      </c>
      <c r="Y119" s="39">
        <v>1943.5</v>
      </c>
      <c r="Z119" s="39">
        <v>1943.5</v>
      </c>
      <c r="AA119" s="39">
        <v>0</v>
      </c>
      <c r="AB119" s="39"/>
      <c r="AC119" s="39">
        <v>0</v>
      </c>
      <c r="AD119" s="39"/>
      <c r="AE119" s="39">
        <v>0</v>
      </c>
      <c r="AF119" s="39"/>
      <c r="AG119" s="39">
        <v>0</v>
      </c>
      <c r="AH119" s="39"/>
      <c r="AI119" s="41">
        <v>0</v>
      </c>
    </row>
    <row r="120" spans="1:35" x14ac:dyDescent="0.25">
      <c r="A120" s="34" t="s">
        <v>110</v>
      </c>
      <c r="B120" s="35" t="s">
        <v>1073</v>
      </c>
      <c r="C120" s="35" t="s">
        <v>1074</v>
      </c>
      <c r="D120" s="35">
        <v>32516</v>
      </c>
      <c r="E120" s="35" t="s">
        <v>1888</v>
      </c>
      <c r="F120" s="35" t="s">
        <v>1889</v>
      </c>
      <c r="G120" s="35" t="s">
        <v>174</v>
      </c>
      <c r="H120" s="35" t="s">
        <v>160</v>
      </c>
      <c r="I120" s="35" t="s">
        <v>217</v>
      </c>
      <c r="J120" s="35" t="s">
        <v>141</v>
      </c>
      <c r="K120" s="36">
        <v>46031</v>
      </c>
      <c r="L120" s="36">
        <v>46024</v>
      </c>
      <c r="M120" s="36"/>
      <c r="N120" s="36"/>
      <c r="O120" s="36"/>
      <c r="P120" s="36"/>
      <c r="Q120" s="36"/>
      <c r="R120" s="35" t="s">
        <v>218</v>
      </c>
      <c r="S120" s="35" t="s">
        <v>1018</v>
      </c>
      <c r="T120" s="35" t="s">
        <v>1018</v>
      </c>
      <c r="U120" s="35" t="s">
        <v>82</v>
      </c>
      <c r="V120" s="35" t="s">
        <v>226</v>
      </c>
      <c r="W120" s="35" t="s">
        <v>123</v>
      </c>
      <c r="X120" s="35">
        <v>10689.23</v>
      </c>
      <c r="Y120" s="35">
        <v>1943.5</v>
      </c>
      <c r="Z120" s="35">
        <v>1943.5</v>
      </c>
      <c r="AA120" s="35">
        <v>0</v>
      </c>
      <c r="AB120" s="35"/>
      <c r="AC120" s="35">
        <v>0</v>
      </c>
      <c r="AD120" s="35"/>
      <c r="AE120" s="35">
        <v>0</v>
      </c>
      <c r="AF120" s="35"/>
      <c r="AG120" s="35">
        <v>0</v>
      </c>
      <c r="AH120" s="35"/>
      <c r="AI120" s="37">
        <v>0</v>
      </c>
    </row>
    <row r="121" spans="1:35" x14ac:dyDescent="0.25">
      <c r="A121" s="38" t="s">
        <v>110</v>
      </c>
      <c r="B121" s="39" t="s">
        <v>1073</v>
      </c>
      <c r="C121" s="39" t="s">
        <v>1074</v>
      </c>
      <c r="D121" s="39">
        <v>32516</v>
      </c>
      <c r="E121" s="39" t="s">
        <v>1890</v>
      </c>
      <c r="F121" s="39" t="s">
        <v>1891</v>
      </c>
      <c r="G121" s="39" t="s">
        <v>174</v>
      </c>
      <c r="H121" s="39" t="s">
        <v>160</v>
      </c>
      <c r="I121" s="39" t="s">
        <v>217</v>
      </c>
      <c r="J121" s="39" t="s">
        <v>141</v>
      </c>
      <c r="K121" s="40">
        <v>46031</v>
      </c>
      <c r="L121" s="40">
        <v>46024</v>
      </c>
      <c r="M121" s="40"/>
      <c r="N121" s="40"/>
      <c r="O121" s="40"/>
      <c r="P121" s="40"/>
      <c r="Q121" s="40"/>
      <c r="R121" s="39" t="s">
        <v>218</v>
      </c>
      <c r="S121" s="39" t="s">
        <v>1018</v>
      </c>
      <c r="T121" s="39" t="s">
        <v>1018</v>
      </c>
      <c r="U121" s="35" t="s">
        <v>82</v>
      </c>
      <c r="V121" s="39" t="s">
        <v>226</v>
      </c>
      <c r="W121" s="39" t="s">
        <v>123</v>
      </c>
      <c r="X121" s="39">
        <v>10689.23</v>
      </c>
      <c r="Y121" s="39">
        <v>1943.5</v>
      </c>
      <c r="Z121" s="39">
        <v>1943.5</v>
      </c>
      <c r="AA121" s="39">
        <v>0</v>
      </c>
      <c r="AB121" s="39"/>
      <c r="AC121" s="39">
        <v>0</v>
      </c>
      <c r="AD121" s="39"/>
      <c r="AE121" s="39">
        <v>0</v>
      </c>
      <c r="AF121" s="39"/>
      <c r="AG121" s="39">
        <v>0</v>
      </c>
      <c r="AH121" s="39"/>
      <c r="AI121" s="41">
        <v>0</v>
      </c>
    </row>
    <row r="122" spans="1:35" x14ac:dyDescent="0.25">
      <c r="A122" s="34" t="s">
        <v>110</v>
      </c>
      <c r="B122" s="35" t="s">
        <v>1081</v>
      </c>
      <c r="C122" s="35" t="s">
        <v>1082</v>
      </c>
      <c r="D122" s="35">
        <v>32244</v>
      </c>
      <c r="E122" s="35" t="s">
        <v>1083</v>
      </c>
      <c r="F122" s="35" t="s">
        <v>1084</v>
      </c>
      <c r="G122" s="35" t="s">
        <v>174</v>
      </c>
      <c r="H122" s="35" t="s">
        <v>160</v>
      </c>
      <c r="I122" s="35" t="s">
        <v>217</v>
      </c>
      <c r="J122" s="35" t="s">
        <v>118</v>
      </c>
      <c r="K122" s="36">
        <v>46031</v>
      </c>
      <c r="L122" s="36">
        <v>45981</v>
      </c>
      <c r="M122" s="36">
        <v>46050</v>
      </c>
      <c r="N122" s="36"/>
      <c r="O122" s="36"/>
      <c r="P122" s="36"/>
      <c r="Q122" s="36">
        <v>46068</v>
      </c>
      <c r="R122" s="35" t="s">
        <v>218</v>
      </c>
      <c r="S122" s="35" t="s">
        <v>1018</v>
      </c>
      <c r="T122" s="35" t="s">
        <v>1018</v>
      </c>
      <c r="U122" s="35" t="s">
        <v>82</v>
      </c>
      <c r="V122" s="35" t="s">
        <v>226</v>
      </c>
      <c r="W122" s="35" t="s">
        <v>123</v>
      </c>
      <c r="X122" s="35">
        <v>615.34</v>
      </c>
      <c r="Y122" s="35">
        <v>111.88</v>
      </c>
      <c r="Z122" s="35">
        <v>111.88</v>
      </c>
      <c r="AA122" s="35">
        <v>0</v>
      </c>
      <c r="AB122" s="35"/>
      <c r="AC122" s="35">
        <v>0</v>
      </c>
      <c r="AD122" s="35"/>
      <c r="AE122" s="35">
        <v>0</v>
      </c>
      <c r="AF122" s="35"/>
      <c r="AG122" s="35">
        <v>0</v>
      </c>
      <c r="AH122" s="35"/>
      <c r="AI122" s="37">
        <v>0</v>
      </c>
    </row>
    <row r="123" spans="1:35" x14ac:dyDescent="0.25">
      <c r="A123" s="38" t="s">
        <v>110</v>
      </c>
      <c r="B123" s="39" t="s">
        <v>420</v>
      </c>
      <c r="C123" s="39" t="s">
        <v>1094</v>
      </c>
      <c r="D123" s="39">
        <v>32517</v>
      </c>
      <c r="E123" s="39" t="s">
        <v>1095</v>
      </c>
      <c r="F123" s="39" t="s">
        <v>1096</v>
      </c>
      <c r="G123" s="39" t="s">
        <v>174</v>
      </c>
      <c r="H123" s="39" t="s">
        <v>160</v>
      </c>
      <c r="I123" s="39" t="s">
        <v>217</v>
      </c>
      <c r="J123" s="39" t="s">
        <v>118</v>
      </c>
      <c r="K123" s="40">
        <v>46031</v>
      </c>
      <c r="L123" s="40">
        <v>46024</v>
      </c>
      <c r="M123" s="40">
        <v>46037</v>
      </c>
      <c r="N123" s="40"/>
      <c r="O123" s="40"/>
      <c r="P123" s="40"/>
      <c r="Q123" s="40">
        <v>46068</v>
      </c>
      <c r="R123" s="39" t="s">
        <v>218</v>
      </c>
      <c r="S123" s="39" t="s">
        <v>1018</v>
      </c>
      <c r="T123" s="39" t="s">
        <v>1018</v>
      </c>
      <c r="U123" s="35" t="s">
        <v>82</v>
      </c>
      <c r="V123" s="39" t="s">
        <v>226</v>
      </c>
      <c r="W123" s="39" t="s">
        <v>123</v>
      </c>
      <c r="X123" s="39">
        <v>3873.93</v>
      </c>
      <c r="Y123" s="39">
        <v>704.35</v>
      </c>
      <c r="Z123" s="39">
        <v>704.35</v>
      </c>
      <c r="AA123" s="39">
        <v>0</v>
      </c>
      <c r="AB123" s="39"/>
      <c r="AC123" s="39">
        <v>0</v>
      </c>
      <c r="AD123" s="39"/>
      <c r="AE123" s="39">
        <v>0</v>
      </c>
      <c r="AF123" s="39"/>
      <c r="AG123" s="39">
        <v>0</v>
      </c>
      <c r="AH123" s="39"/>
      <c r="AI123" s="41">
        <v>0</v>
      </c>
    </row>
    <row r="124" spans="1:35" x14ac:dyDescent="0.25">
      <c r="A124" s="34" t="s">
        <v>110</v>
      </c>
      <c r="B124" s="35" t="s">
        <v>1109</v>
      </c>
      <c r="C124" s="35" t="s">
        <v>1110</v>
      </c>
      <c r="D124" s="35">
        <v>32518</v>
      </c>
      <c r="E124" s="35" t="s">
        <v>1111</v>
      </c>
      <c r="F124" s="35" t="s">
        <v>1112</v>
      </c>
      <c r="G124" s="35" t="s">
        <v>174</v>
      </c>
      <c r="H124" s="35" t="s">
        <v>160</v>
      </c>
      <c r="I124" s="35" t="s">
        <v>217</v>
      </c>
      <c r="J124" s="35" t="s">
        <v>118</v>
      </c>
      <c r="K124" s="36">
        <v>46031</v>
      </c>
      <c r="L124" s="36">
        <v>46024</v>
      </c>
      <c r="M124" s="36">
        <v>46041</v>
      </c>
      <c r="N124" s="36"/>
      <c r="O124" s="36"/>
      <c r="P124" s="36"/>
      <c r="Q124" s="36"/>
      <c r="R124" s="35" t="s">
        <v>218</v>
      </c>
      <c r="S124" s="35" t="s">
        <v>1018</v>
      </c>
      <c r="T124" s="35" t="s">
        <v>1018</v>
      </c>
      <c r="U124" s="35" t="s">
        <v>82</v>
      </c>
      <c r="V124" s="35" t="s">
        <v>226</v>
      </c>
      <c r="W124" s="35" t="s">
        <v>123</v>
      </c>
      <c r="X124" s="35">
        <v>13570.93</v>
      </c>
      <c r="Y124" s="35">
        <v>2467.44</v>
      </c>
      <c r="Z124" s="35">
        <v>2467.44</v>
      </c>
      <c r="AA124" s="35">
        <v>0</v>
      </c>
      <c r="AB124" s="35"/>
      <c r="AC124" s="35">
        <v>0</v>
      </c>
      <c r="AD124" s="35"/>
      <c r="AE124" s="35">
        <v>0</v>
      </c>
      <c r="AF124" s="35"/>
      <c r="AG124" s="35">
        <v>0</v>
      </c>
      <c r="AH124" s="35"/>
      <c r="AI124" s="37">
        <v>0</v>
      </c>
    </row>
    <row r="125" spans="1:35" x14ac:dyDescent="0.25">
      <c r="A125" s="38" t="s">
        <v>110</v>
      </c>
      <c r="B125" s="39" t="s">
        <v>1109</v>
      </c>
      <c r="C125" s="39" t="s">
        <v>1110</v>
      </c>
      <c r="D125" s="39">
        <v>32518</v>
      </c>
      <c r="E125" s="39" t="s">
        <v>1907</v>
      </c>
      <c r="F125" s="39" t="s">
        <v>1908</v>
      </c>
      <c r="G125" s="39" t="s">
        <v>174</v>
      </c>
      <c r="H125" s="39" t="s">
        <v>160</v>
      </c>
      <c r="I125" s="39" t="s">
        <v>217</v>
      </c>
      <c r="J125" s="39" t="s">
        <v>118</v>
      </c>
      <c r="K125" s="40">
        <v>46031</v>
      </c>
      <c r="L125" s="40">
        <v>46024</v>
      </c>
      <c r="M125" s="40">
        <v>46083</v>
      </c>
      <c r="N125" s="40"/>
      <c r="O125" s="40"/>
      <c r="P125" s="40"/>
      <c r="Q125" s="40"/>
      <c r="R125" s="39" t="s">
        <v>218</v>
      </c>
      <c r="S125" s="39" t="s">
        <v>1018</v>
      </c>
      <c r="T125" s="39" t="s">
        <v>1018</v>
      </c>
      <c r="U125" s="35" t="s">
        <v>82</v>
      </c>
      <c r="V125" s="39" t="s">
        <v>226</v>
      </c>
      <c r="W125" s="39" t="s">
        <v>123</v>
      </c>
      <c r="X125" s="39">
        <v>13570.93</v>
      </c>
      <c r="Y125" s="39">
        <v>2467.44</v>
      </c>
      <c r="Z125" s="39">
        <v>2467.44</v>
      </c>
      <c r="AA125" s="39">
        <v>0</v>
      </c>
      <c r="AB125" s="39"/>
      <c r="AC125" s="39">
        <v>0</v>
      </c>
      <c r="AD125" s="39"/>
      <c r="AE125" s="39">
        <v>0</v>
      </c>
      <c r="AF125" s="39"/>
      <c r="AG125" s="39">
        <v>0</v>
      </c>
      <c r="AH125" s="39"/>
      <c r="AI125" s="41">
        <v>0</v>
      </c>
    </row>
    <row r="126" spans="1:35" x14ac:dyDescent="0.25">
      <c r="A126" s="34" t="s">
        <v>110</v>
      </c>
      <c r="B126" s="35" t="s">
        <v>1109</v>
      </c>
      <c r="C126" s="35" t="s">
        <v>1110</v>
      </c>
      <c r="D126" s="35">
        <v>32518</v>
      </c>
      <c r="E126" s="35" t="s">
        <v>1909</v>
      </c>
      <c r="F126" s="35" t="s">
        <v>1910</v>
      </c>
      <c r="G126" s="35" t="s">
        <v>174</v>
      </c>
      <c r="H126" s="35" t="s">
        <v>160</v>
      </c>
      <c r="I126" s="35" t="s">
        <v>217</v>
      </c>
      <c r="J126" s="35" t="s">
        <v>141</v>
      </c>
      <c r="K126" s="36">
        <v>46031</v>
      </c>
      <c r="L126" s="36">
        <v>46024</v>
      </c>
      <c r="M126" s="36"/>
      <c r="N126" s="36"/>
      <c r="O126" s="36"/>
      <c r="P126" s="36"/>
      <c r="Q126" s="36"/>
      <c r="R126" s="35" t="s">
        <v>218</v>
      </c>
      <c r="S126" s="35" t="s">
        <v>1018</v>
      </c>
      <c r="T126" s="35" t="s">
        <v>1018</v>
      </c>
      <c r="U126" s="35" t="s">
        <v>82</v>
      </c>
      <c r="V126" s="35" t="s">
        <v>226</v>
      </c>
      <c r="W126" s="35" t="s">
        <v>123</v>
      </c>
      <c r="X126" s="35">
        <v>13570.93</v>
      </c>
      <c r="Y126" s="35">
        <v>2467.44</v>
      </c>
      <c r="Z126" s="35">
        <v>2467.44</v>
      </c>
      <c r="AA126" s="35">
        <v>0</v>
      </c>
      <c r="AB126" s="35"/>
      <c r="AC126" s="35">
        <v>0</v>
      </c>
      <c r="AD126" s="35"/>
      <c r="AE126" s="35">
        <v>0</v>
      </c>
      <c r="AF126" s="35"/>
      <c r="AG126" s="35">
        <v>0</v>
      </c>
      <c r="AH126" s="35"/>
      <c r="AI126" s="37">
        <v>0</v>
      </c>
    </row>
    <row r="127" spans="1:35" x14ac:dyDescent="0.25">
      <c r="A127" s="38" t="s">
        <v>110</v>
      </c>
      <c r="B127" s="39" t="s">
        <v>1135</v>
      </c>
      <c r="C127" s="39" t="s">
        <v>1136</v>
      </c>
      <c r="D127" s="39">
        <v>32519</v>
      </c>
      <c r="E127" s="39" t="s">
        <v>1137</v>
      </c>
      <c r="F127" s="39" t="s">
        <v>1138</v>
      </c>
      <c r="G127" s="39" t="s">
        <v>174</v>
      </c>
      <c r="H127" s="39" t="s">
        <v>160</v>
      </c>
      <c r="I127" s="39" t="s">
        <v>217</v>
      </c>
      <c r="J127" s="39" t="s">
        <v>118</v>
      </c>
      <c r="K127" s="40">
        <v>46031</v>
      </c>
      <c r="L127" s="40">
        <v>46030</v>
      </c>
      <c r="M127" s="40">
        <v>46043</v>
      </c>
      <c r="N127" s="40"/>
      <c r="O127" s="40"/>
      <c r="P127" s="40"/>
      <c r="Q127" s="40"/>
      <c r="R127" s="39" t="s">
        <v>218</v>
      </c>
      <c r="S127" s="39" t="s">
        <v>1018</v>
      </c>
      <c r="T127" s="39" t="s">
        <v>1018</v>
      </c>
      <c r="U127" s="35" t="s">
        <v>82</v>
      </c>
      <c r="V127" s="39" t="s">
        <v>226</v>
      </c>
      <c r="W127" s="39" t="s">
        <v>123</v>
      </c>
      <c r="X127" s="39">
        <v>2312.79</v>
      </c>
      <c r="Y127" s="39">
        <v>420.5</v>
      </c>
      <c r="Z127" s="39">
        <v>420.5</v>
      </c>
      <c r="AA127" s="39">
        <v>0</v>
      </c>
      <c r="AB127" s="39"/>
      <c r="AC127" s="39">
        <v>0</v>
      </c>
      <c r="AD127" s="39"/>
      <c r="AE127" s="39">
        <v>0</v>
      </c>
      <c r="AF127" s="39"/>
      <c r="AG127" s="39">
        <v>0</v>
      </c>
      <c r="AH127" s="39"/>
      <c r="AI127" s="41">
        <v>0</v>
      </c>
    </row>
    <row r="128" spans="1:35" x14ac:dyDescent="0.25">
      <c r="A128" s="34" t="s">
        <v>110</v>
      </c>
      <c r="B128" s="35" t="s">
        <v>1135</v>
      </c>
      <c r="C128" s="35" t="s">
        <v>1136</v>
      </c>
      <c r="D128" s="35">
        <v>32519</v>
      </c>
      <c r="E128" s="35" t="s">
        <v>1913</v>
      </c>
      <c r="F128" s="35" t="s">
        <v>1914</v>
      </c>
      <c r="G128" s="35" t="s">
        <v>174</v>
      </c>
      <c r="H128" s="35" t="s">
        <v>160</v>
      </c>
      <c r="I128" s="35" t="s">
        <v>217</v>
      </c>
      <c r="J128" s="35" t="s">
        <v>141</v>
      </c>
      <c r="K128" s="36">
        <v>46031</v>
      </c>
      <c r="L128" s="36">
        <v>46030</v>
      </c>
      <c r="M128" s="36"/>
      <c r="N128" s="36"/>
      <c r="O128" s="36"/>
      <c r="P128" s="36"/>
      <c r="Q128" s="36"/>
      <c r="R128" s="35" t="s">
        <v>218</v>
      </c>
      <c r="S128" s="35" t="s">
        <v>1018</v>
      </c>
      <c r="T128" s="35" t="s">
        <v>1018</v>
      </c>
      <c r="U128" s="35" t="s">
        <v>82</v>
      </c>
      <c r="V128" s="35" t="s">
        <v>226</v>
      </c>
      <c r="W128" s="35" t="s">
        <v>123</v>
      </c>
      <c r="X128" s="35">
        <v>2312.79</v>
      </c>
      <c r="Y128" s="35">
        <v>420.5</v>
      </c>
      <c r="Z128" s="35">
        <v>420.5</v>
      </c>
      <c r="AA128" s="35">
        <v>0</v>
      </c>
      <c r="AB128" s="35"/>
      <c r="AC128" s="35">
        <v>0</v>
      </c>
      <c r="AD128" s="35"/>
      <c r="AE128" s="35">
        <v>0</v>
      </c>
      <c r="AF128" s="35"/>
      <c r="AG128" s="35">
        <v>0</v>
      </c>
      <c r="AH128" s="35"/>
      <c r="AI128" s="37">
        <v>0</v>
      </c>
    </row>
    <row r="129" spans="1:35" x14ac:dyDescent="0.25">
      <c r="A129" s="38" t="s">
        <v>110</v>
      </c>
      <c r="B129" s="39" t="s">
        <v>1142</v>
      </c>
      <c r="C129" s="39" t="s">
        <v>1143</v>
      </c>
      <c r="D129" s="39">
        <v>32520</v>
      </c>
      <c r="E129" s="39" t="s">
        <v>1144</v>
      </c>
      <c r="F129" s="39" t="s">
        <v>1145</v>
      </c>
      <c r="G129" s="39" t="s">
        <v>174</v>
      </c>
      <c r="H129" s="39" t="s">
        <v>160</v>
      </c>
      <c r="I129" s="39" t="s">
        <v>217</v>
      </c>
      <c r="J129" s="39" t="s">
        <v>118</v>
      </c>
      <c r="K129" s="40">
        <v>46031</v>
      </c>
      <c r="L129" s="40">
        <v>45993</v>
      </c>
      <c r="M129" s="40">
        <v>46043</v>
      </c>
      <c r="N129" s="40"/>
      <c r="O129" s="40"/>
      <c r="P129" s="40"/>
      <c r="Q129" s="40"/>
      <c r="R129" s="39" t="s">
        <v>218</v>
      </c>
      <c r="S129" s="39" t="s">
        <v>1018</v>
      </c>
      <c r="T129" s="39" t="s">
        <v>1018</v>
      </c>
      <c r="U129" s="35" t="s">
        <v>82</v>
      </c>
      <c r="V129" s="39" t="s">
        <v>226</v>
      </c>
      <c r="W129" s="39" t="s">
        <v>123</v>
      </c>
      <c r="X129" s="39">
        <v>5457.24</v>
      </c>
      <c r="Y129" s="39">
        <v>992.23</v>
      </c>
      <c r="Z129" s="39">
        <v>992.23</v>
      </c>
      <c r="AA129" s="39">
        <v>0</v>
      </c>
      <c r="AB129" s="39"/>
      <c r="AC129" s="39">
        <v>0</v>
      </c>
      <c r="AD129" s="39"/>
      <c r="AE129" s="39">
        <v>0</v>
      </c>
      <c r="AF129" s="39"/>
      <c r="AG129" s="39">
        <v>0</v>
      </c>
      <c r="AH129" s="39"/>
      <c r="AI129" s="41">
        <v>0</v>
      </c>
    </row>
    <row r="130" spans="1:35" x14ac:dyDescent="0.25">
      <c r="A130" s="34" t="s">
        <v>110</v>
      </c>
      <c r="B130" s="35" t="s">
        <v>1142</v>
      </c>
      <c r="C130" s="35" t="s">
        <v>1143</v>
      </c>
      <c r="D130" s="35">
        <v>32520</v>
      </c>
      <c r="E130" s="35" t="s">
        <v>1925</v>
      </c>
      <c r="F130" s="35" t="s">
        <v>1926</v>
      </c>
      <c r="G130" s="35" t="s">
        <v>174</v>
      </c>
      <c r="H130" s="35" t="s">
        <v>160</v>
      </c>
      <c r="I130" s="35" t="s">
        <v>217</v>
      </c>
      <c r="J130" s="35" t="s">
        <v>141</v>
      </c>
      <c r="K130" s="36">
        <v>46031</v>
      </c>
      <c r="L130" s="36">
        <v>45993</v>
      </c>
      <c r="M130" s="36"/>
      <c r="N130" s="36"/>
      <c r="O130" s="36"/>
      <c r="P130" s="36"/>
      <c r="Q130" s="36"/>
      <c r="R130" s="35" t="s">
        <v>218</v>
      </c>
      <c r="S130" s="35" t="s">
        <v>1018</v>
      </c>
      <c r="T130" s="35" t="s">
        <v>1018</v>
      </c>
      <c r="U130" s="35" t="s">
        <v>82</v>
      </c>
      <c r="V130" s="35" t="s">
        <v>226</v>
      </c>
      <c r="W130" s="35" t="s">
        <v>123</v>
      </c>
      <c r="X130" s="35">
        <v>10914.47</v>
      </c>
      <c r="Y130" s="35">
        <v>1984.44</v>
      </c>
      <c r="Z130" s="35">
        <v>1984.44</v>
      </c>
      <c r="AA130" s="35">
        <v>0</v>
      </c>
      <c r="AB130" s="35"/>
      <c r="AC130" s="35">
        <v>0</v>
      </c>
      <c r="AD130" s="35"/>
      <c r="AE130" s="35">
        <v>0</v>
      </c>
      <c r="AF130" s="35"/>
      <c r="AG130" s="35">
        <v>0</v>
      </c>
      <c r="AH130" s="35"/>
      <c r="AI130" s="37">
        <v>0</v>
      </c>
    </row>
    <row r="131" spans="1:35" x14ac:dyDescent="0.25">
      <c r="A131" s="38" t="s">
        <v>110</v>
      </c>
      <c r="B131" s="39" t="s">
        <v>1142</v>
      </c>
      <c r="C131" s="39" t="s">
        <v>1143</v>
      </c>
      <c r="D131" s="39">
        <v>32520</v>
      </c>
      <c r="E131" s="39" t="s">
        <v>1923</v>
      </c>
      <c r="F131" s="39" t="s">
        <v>1924</v>
      </c>
      <c r="G131" s="39" t="s">
        <v>174</v>
      </c>
      <c r="H131" s="39" t="s">
        <v>160</v>
      </c>
      <c r="I131" s="39" t="s">
        <v>217</v>
      </c>
      <c r="J131" s="39" t="s">
        <v>141</v>
      </c>
      <c r="K131" s="40">
        <v>46031</v>
      </c>
      <c r="L131" s="40">
        <v>45993</v>
      </c>
      <c r="M131" s="40"/>
      <c r="N131" s="40"/>
      <c r="O131" s="40"/>
      <c r="P131" s="40"/>
      <c r="Q131" s="40"/>
      <c r="R131" s="39" t="s">
        <v>218</v>
      </c>
      <c r="S131" s="39" t="s">
        <v>1018</v>
      </c>
      <c r="T131" s="39" t="s">
        <v>1018</v>
      </c>
      <c r="U131" s="35" t="s">
        <v>82</v>
      </c>
      <c r="V131" s="39" t="s">
        <v>226</v>
      </c>
      <c r="W131" s="39" t="s">
        <v>123</v>
      </c>
      <c r="X131" s="39">
        <v>10914.47</v>
      </c>
      <c r="Y131" s="39">
        <v>1984.44</v>
      </c>
      <c r="Z131" s="39">
        <v>1984.44</v>
      </c>
      <c r="AA131" s="39">
        <v>0</v>
      </c>
      <c r="AB131" s="39"/>
      <c r="AC131" s="39">
        <v>0</v>
      </c>
      <c r="AD131" s="39"/>
      <c r="AE131" s="39">
        <v>0</v>
      </c>
      <c r="AF131" s="39"/>
      <c r="AG131" s="39">
        <v>0</v>
      </c>
      <c r="AH131" s="39"/>
      <c r="AI131" s="41">
        <v>0</v>
      </c>
    </row>
    <row r="132" spans="1:35" x14ac:dyDescent="0.25">
      <c r="A132" s="34" t="s">
        <v>110</v>
      </c>
      <c r="B132" s="35" t="s">
        <v>1162</v>
      </c>
      <c r="C132" s="35" t="s">
        <v>1163</v>
      </c>
      <c r="D132" s="35">
        <v>32521</v>
      </c>
      <c r="E132" s="35" t="s">
        <v>1164</v>
      </c>
      <c r="F132" s="35" t="s">
        <v>1165</v>
      </c>
      <c r="G132" s="35" t="s">
        <v>174</v>
      </c>
      <c r="H132" s="35" t="s">
        <v>160</v>
      </c>
      <c r="I132" s="35" t="s">
        <v>217</v>
      </c>
      <c r="J132" s="35" t="s">
        <v>118</v>
      </c>
      <c r="K132" s="36">
        <v>46031</v>
      </c>
      <c r="L132" s="36">
        <v>46029</v>
      </c>
      <c r="M132" s="36">
        <v>46036</v>
      </c>
      <c r="N132" s="36"/>
      <c r="O132" s="36"/>
      <c r="P132" s="36"/>
      <c r="Q132" s="36">
        <v>46056</v>
      </c>
      <c r="R132" s="35" t="s">
        <v>218</v>
      </c>
      <c r="S132" s="35" t="s">
        <v>1018</v>
      </c>
      <c r="T132" s="35" t="s">
        <v>1018</v>
      </c>
      <c r="U132" s="35" t="s">
        <v>82</v>
      </c>
      <c r="V132" s="35" t="s">
        <v>226</v>
      </c>
      <c r="W132" s="35" t="s">
        <v>123</v>
      </c>
      <c r="X132" s="35">
        <v>12657.64</v>
      </c>
      <c r="Y132" s="35">
        <v>2301.39</v>
      </c>
      <c r="Z132" s="35">
        <v>2301.39</v>
      </c>
      <c r="AA132" s="35">
        <v>0</v>
      </c>
      <c r="AB132" s="35"/>
      <c r="AC132" s="35">
        <v>0</v>
      </c>
      <c r="AD132" s="35"/>
      <c r="AE132" s="35">
        <v>0</v>
      </c>
      <c r="AF132" s="35"/>
      <c r="AG132" s="35">
        <v>0</v>
      </c>
      <c r="AH132" s="35"/>
      <c r="AI132" s="37">
        <v>0</v>
      </c>
    </row>
    <row r="133" spans="1:35" x14ac:dyDescent="0.25">
      <c r="A133" s="38" t="s">
        <v>110</v>
      </c>
      <c r="B133" s="39" t="s">
        <v>1166</v>
      </c>
      <c r="C133" s="39" t="s">
        <v>1167</v>
      </c>
      <c r="D133" s="39">
        <v>32522</v>
      </c>
      <c r="E133" s="39" t="s">
        <v>1168</v>
      </c>
      <c r="F133" s="39" t="s">
        <v>1169</v>
      </c>
      <c r="G133" s="39" t="s">
        <v>174</v>
      </c>
      <c r="H133" s="39" t="s">
        <v>160</v>
      </c>
      <c r="I133" s="39" t="s">
        <v>217</v>
      </c>
      <c r="J133" s="39" t="s">
        <v>118</v>
      </c>
      <c r="K133" s="40">
        <v>46031</v>
      </c>
      <c r="L133" s="40">
        <v>46029</v>
      </c>
      <c r="M133" s="40">
        <v>46035</v>
      </c>
      <c r="N133" s="40"/>
      <c r="O133" s="40"/>
      <c r="P133" s="40"/>
      <c r="Q133" s="40">
        <v>46056</v>
      </c>
      <c r="R133" s="39" t="s">
        <v>218</v>
      </c>
      <c r="S133" s="39" t="s">
        <v>1018</v>
      </c>
      <c r="T133" s="39" t="s">
        <v>1018</v>
      </c>
      <c r="U133" s="35" t="s">
        <v>82</v>
      </c>
      <c r="V133" s="39" t="s">
        <v>226</v>
      </c>
      <c r="W133" s="39" t="s">
        <v>123</v>
      </c>
      <c r="X133" s="39">
        <v>23472.45</v>
      </c>
      <c r="Y133" s="39">
        <v>4267.72</v>
      </c>
      <c r="Z133" s="39">
        <v>4267.72</v>
      </c>
      <c r="AA133" s="39">
        <v>0</v>
      </c>
      <c r="AB133" s="39"/>
      <c r="AC133" s="39">
        <v>0</v>
      </c>
      <c r="AD133" s="39"/>
      <c r="AE133" s="39">
        <v>0</v>
      </c>
      <c r="AF133" s="39"/>
      <c r="AG133" s="39">
        <v>0</v>
      </c>
      <c r="AH133" s="39"/>
      <c r="AI133" s="41">
        <v>0</v>
      </c>
    </row>
    <row r="134" spans="1:35" x14ac:dyDescent="0.25">
      <c r="A134" s="34" t="s">
        <v>110</v>
      </c>
      <c r="B134" s="35" t="s">
        <v>1170</v>
      </c>
      <c r="C134" s="35" t="s">
        <v>1171</v>
      </c>
      <c r="D134" s="35">
        <v>32523</v>
      </c>
      <c r="E134" s="35" t="s">
        <v>1172</v>
      </c>
      <c r="F134" s="35" t="s">
        <v>1173</v>
      </c>
      <c r="G134" s="35" t="s">
        <v>174</v>
      </c>
      <c r="H134" s="35" t="s">
        <v>160</v>
      </c>
      <c r="I134" s="35" t="s">
        <v>217</v>
      </c>
      <c r="J134" s="35" t="s">
        <v>118</v>
      </c>
      <c r="K134" s="36">
        <v>46031</v>
      </c>
      <c r="L134" s="36">
        <v>46029</v>
      </c>
      <c r="M134" s="36">
        <v>46037</v>
      </c>
      <c r="N134" s="36"/>
      <c r="O134" s="36"/>
      <c r="P134" s="36"/>
      <c r="Q134" s="36">
        <v>46056</v>
      </c>
      <c r="R134" s="35" t="s">
        <v>218</v>
      </c>
      <c r="S134" s="35" t="s">
        <v>1018</v>
      </c>
      <c r="T134" s="35" t="s">
        <v>1018</v>
      </c>
      <c r="U134" s="35" t="s">
        <v>82</v>
      </c>
      <c r="V134" s="35" t="s">
        <v>226</v>
      </c>
      <c r="W134" s="35" t="s">
        <v>123</v>
      </c>
      <c r="X134" s="35">
        <v>26447.75</v>
      </c>
      <c r="Y134" s="35">
        <v>4808.68</v>
      </c>
      <c r="Z134" s="35">
        <v>4808.68</v>
      </c>
      <c r="AA134" s="35">
        <v>0</v>
      </c>
      <c r="AB134" s="35"/>
      <c r="AC134" s="35">
        <v>0</v>
      </c>
      <c r="AD134" s="35"/>
      <c r="AE134" s="35">
        <v>0</v>
      </c>
      <c r="AF134" s="35"/>
      <c r="AG134" s="35">
        <v>0</v>
      </c>
      <c r="AH134" s="35"/>
      <c r="AI134" s="37">
        <v>0</v>
      </c>
    </row>
    <row r="135" spans="1:35" x14ac:dyDescent="0.25">
      <c r="A135" s="38" t="s">
        <v>110</v>
      </c>
      <c r="B135" s="39" t="s">
        <v>1174</v>
      </c>
      <c r="C135" s="39" t="s">
        <v>1198</v>
      </c>
      <c r="D135" s="39">
        <v>32508</v>
      </c>
      <c r="E135" s="39" t="s">
        <v>1199</v>
      </c>
      <c r="F135" s="39" t="s">
        <v>1200</v>
      </c>
      <c r="G135" s="39" t="s">
        <v>174</v>
      </c>
      <c r="H135" s="39" t="s">
        <v>160</v>
      </c>
      <c r="I135" s="39" t="s">
        <v>217</v>
      </c>
      <c r="J135" s="39" t="s">
        <v>118</v>
      </c>
      <c r="K135" s="40">
        <v>46031</v>
      </c>
      <c r="L135" s="40">
        <v>46024</v>
      </c>
      <c r="M135" s="40">
        <v>46055</v>
      </c>
      <c r="N135" s="40"/>
      <c r="O135" s="40"/>
      <c r="P135" s="40"/>
      <c r="Q135" s="40"/>
      <c r="R135" s="39" t="s">
        <v>218</v>
      </c>
      <c r="S135" s="39" t="s">
        <v>1018</v>
      </c>
      <c r="T135" s="39" t="s">
        <v>1018</v>
      </c>
      <c r="U135" s="35" t="s">
        <v>82</v>
      </c>
      <c r="V135" s="39" t="s">
        <v>226</v>
      </c>
      <c r="W135" s="39" t="s">
        <v>123</v>
      </c>
      <c r="X135" s="39">
        <v>1243.77</v>
      </c>
      <c r="Y135" s="39">
        <v>226.14</v>
      </c>
      <c r="Z135" s="39">
        <v>226.14</v>
      </c>
      <c r="AA135" s="39">
        <v>0</v>
      </c>
      <c r="AB135" s="39"/>
      <c r="AC135" s="39">
        <v>0</v>
      </c>
      <c r="AD135" s="39"/>
      <c r="AE135" s="39">
        <v>0</v>
      </c>
      <c r="AF135" s="39"/>
      <c r="AG135" s="39">
        <v>0</v>
      </c>
      <c r="AH135" s="39"/>
      <c r="AI135" s="41">
        <v>0</v>
      </c>
    </row>
    <row r="136" spans="1:35" x14ac:dyDescent="0.25">
      <c r="A136" s="34" t="s">
        <v>110</v>
      </c>
      <c r="B136" s="35" t="s">
        <v>1174</v>
      </c>
      <c r="C136" s="35" t="s">
        <v>1198</v>
      </c>
      <c r="D136" s="35">
        <v>32508</v>
      </c>
      <c r="E136" s="35" t="s">
        <v>1969</v>
      </c>
      <c r="F136" s="35" t="s">
        <v>1970</v>
      </c>
      <c r="G136" s="35" t="s">
        <v>174</v>
      </c>
      <c r="H136" s="35" t="s">
        <v>160</v>
      </c>
      <c r="I136" s="35" t="s">
        <v>217</v>
      </c>
      <c r="J136" s="35" t="s">
        <v>141</v>
      </c>
      <c r="K136" s="36">
        <v>46031</v>
      </c>
      <c r="L136" s="36">
        <v>46024</v>
      </c>
      <c r="M136" s="36"/>
      <c r="N136" s="36"/>
      <c r="O136" s="36"/>
      <c r="P136" s="36"/>
      <c r="Q136" s="36"/>
      <c r="R136" s="35" t="s">
        <v>218</v>
      </c>
      <c r="S136" s="35" t="s">
        <v>1018</v>
      </c>
      <c r="T136" s="35" t="s">
        <v>1018</v>
      </c>
      <c r="U136" s="35" t="s">
        <v>82</v>
      </c>
      <c r="V136" s="35" t="s">
        <v>226</v>
      </c>
      <c r="W136" s="35" t="s">
        <v>123</v>
      </c>
      <c r="X136" s="35">
        <v>5596.96</v>
      </c>
      <c r="Y136" s="35">
        <v>1017.62</v>
      </c>
      <c r="Z136" s="35">
        <v>1017.62</v>
      </c>
      <c r="AA136" s="35">
        <v>0</v>
      </c>
      <c r="AB136" s="35"/>
      <c r="AC136" s="35">
        <v>0</v>
      </c>
      <c r="AD136" s="35"/>
      <c r="AE136" s="35">
        <v>0</v>
      </c>
      <c r="AF136" s="35"/>
      <c r="AG136" s="35">
        <v>0</v>
      </c>
      <c r="AH136" s="35"/>
      <c r="AI136" s="37">
        <v>0</v>
      </c>
    </row>
    <row r="137" spans="1:35" x14ac:dyDescent="0.25">
      <c r="A137" s="38" t="s">
        <v>110</v>
      </c>
      <c r="B137" s="39" t="s">
        <v>1174</v>
      </c>
      <c r="C137" s="39" t="s">
        <v>1198</v>
      </c>
      <c r="D137" s="39">
        <v>32508</v>
      </c>
      <c r="E137" s="39" t="s">
        <v>1971</v>
      </c>
      <c r="F137" s="39" t="s">
        <v>1972</v>
      </c>
      <c r="G137" s="39" t="s">
        <v>174</v>
      </c>
      <c r="H137" s="39" t="s">
        <v>160</v>
      </c>
      <c r="I137" s="39" t="s">
        <v>217</v>
      </c>
      <c r="J137" s="39" t="s">
        <v>141</v>
      </c>
      <c r="K137" s="40">
        <v>46031</v>
      </c>
      <c r="L137" s="40">
        <v>46024</v>
      </c>
      <c r="M137" s="40"/>
      <c r="N137" s="40"/>
      <c r="O137" s="40"/>
      <c r="P137" s="40"/>
      <c r="Q137" s="40"/>
      <c r="R137" s="39" t="s">
        <v>218</v>
      </c>
      <c r="S137" s="39" t="s">
        <v>1018</v>
      </c>
      <c r="T137" s="39" t="s">
        <v>1018</v>
      </c>
      <c r="U137" s="35" t="s">
        <v>82</v>
      </c>
      <c r="V137" s="39" t="s">
        <v>226</v>
      </c>
      <c r="W137" s="39" t="s">
        <v>123</v>
      </c>
      <c r="X137" s="39">
        <v>5596.96</v>
      </c>
      <c r="Y137" s="39">
        <v>1017.62</v>
      </c>
      <c r="Z137" s="39">
        <v>1017.62</v>
      </c>
      <c r="AA137" s="39">
        <v>0</v>
      </c>
      <c r="AB137" s="39"/>
      <c r="AC137" s="39">
        <v>0</v>
      </c>
      <c r="AD137" s="39"/>
      <c r="AE137" s="39">
        <v>0</v>
      </c>
      <c r="AF137" s="39"/>
      <c r="AG137" s="39">
        <v>0</v>
      </c>
      <c r="AH137" s="39"/>
      <c r="AI137" s="41">
        <v>0</v>
      </c>
    </row>
    <row r="138" spans="1:35" x14ac:dyDescent="0.25">
      <c r="A138" s="34" t="s">
        <v>110</v>
      </c>
      <c r="B138" s="35" t="s">
        <v>1030</v>
      </c>
      <c r="C138" s="35" t="s">
        <v>1031</v>
      </c>
      <c r="D138" s="35">
        <v>32524</v>
      </c>
      <c r="E138" s="35" t="s">
        <v>1032</v>
      </c>
      <c r="F138" s="35" t="s">
        <v>1033</v>
      </c>
      <c r="G138" s="35" t="s">
        <v>174</v>
      </c>
      <c r="H138" s="35" t="s">
        <v>160</v>
      </c>
      <c r="I138" s="35" t="s">
        <v>217</v>
      </c>
      <c r="J138" s="35" t="s">
        <v>118</v>
      </c>
      <c r="K138" s="36">
        <v>46031</v>
      </c>
      <c r="L138" s="36">
        <v>46027</v>
      </c>
      <c r="M138" s="36">
        <v>46037</v>
      </c>
      <c r="N138" s="36"/>
      <c r="O138" s="36"/>
      <c r="P138" s="36"/>
      <c r="Q138" s="36">
        <v>46056</v>
      </c>
      <c r="R138" s="35" t="s">
        <v>218</v>
      </c>
      <c r="S138" s="35" t="s">
        <v>1018</v>
      </c>
      <c r="T138" s="35" t="s">
        <v>1018</v>
      </c>
      <c r="U138" s="35" t="s">
        <v>82</v>
      </c>
      <c r="V138" s="35" t="s">
        <v>226</v>
      </c>
      <c r="W138" s="35" t="s">
        <v>123</v>
      </c>
      <c r="X138" s="35">
        <v>3752.38</v>
      </c>
      <c r="Y138" s="35">
        <v>682.26</v>
      </c>
      <c r="Z138" s="35">
        <v>682.26</v>
      </c>
      <c r="AA138" s="35">
        <v>0</v>
      </c>
      <c r="AB138" s="35"/>
      <c r="AC138" s="35">
        <v>0</v>
      </c>
      <c r="AD138" s="35"/>
      <c r="AE138" s="35">
        <v>0</v>
      </c>
      <c r="AF138" s="35"/>
      <c r="AG138" s="35">
        <v>0</v>
      </c>
      <c r="AH138" s="35"/>
      <c r="AI138" s="37">
        <v>0</v>
      </c>
    </row>
    <row r="139" spans="1:35" x14ac:dyDescent="0.25">
      <c r="A139" s="38" t="s">
        <v>110</v>
      </c>
      <c r="B139" s="39" t="s">
        <v>1236</v>
      </c>
      <c r="C139" s="39" t="s">
        <v>1237</v>
      </c>
      <c r="D139" s="39">
        <v>32514</v>
      </c>
      <c r="E139" s="39" t="s">
        <v>1238</v>
      </c>
      <c r="F139" s="39" t="s">
        <v>1239</v>
      </c>
      <c r="G139" s="39" t="s">
        <v>174</v>
      </c>
      <c r="H139" s="39" t="s">
        <v>160</v>
      </c>
      <c r="I139" s="39" t="s">
        <v>217</v>
      </c>
      <c r="J139" s="39" t="s">
        <v>118</v>
      </c>
      <c r="K139" s="40">
        <v>46031</v>
      </c>
      <c r="L139" s="40">
        <v>46029</v>
      </c>
      <c r="M139" s="40">
        <v>46037</v>
      </c>
      <c r="N139" s="40"/>
      <c r="O139" s="40"/>
      <c r="P139" s="40"/>
      <c r="Q139" s="40">
        <v>46056</v>
      </c>
      <c r="R139" s="39" t="s">
        <v>218</v>
      </c>
      <c r="S139" s="39" t="s">
        <v>1018</v>
      </c>
      <c r="T139" s="39" t="s">
        <v>1018</v>
      </c>
      <c r="U139" s="35" t="s">
        <v>82</v>
      </c>
      <c r="V139" s="39" t="s">
        <v>226</v>
      </c>
      <c r="W139" s="39" t="s">
        <v>123</v>
      </c>
      <c r="X139" s="39">
        <v>998.61</v>
      </c>
      <c r="Y139" s="39">
        <v>181.56</v>
      </c>
      <c r="Z139" s="39">
        <v>181.56</v>
      </c>
      <c r="AA139" s="39">
        <v>0</v>
      </c>
      <c r="AB139" s="39"/>
      <c r="AC139" s="39">
        <v>0</v>
      </c>
      <c r="AD139" s="39"/>
      <c r="AE139" s="39">
        <v>0</v>
      </c>
      <c r="AF139" s="39"/>
      <c r="AG139" s="39">
        <v>0</v>
      </c>
      <c r="AH139" s="39"/>
      <c r="AI139" s="41">
        <v>0</v>
      </c>
    </row>
    <row r="140" spans="1:35" x14ac:dyDescent="0.25">
      <c r="A140" s="34" t="s">
        <v>110</v>
      </c>
      <c r="B140" s="35" t="s">
        <v>355</v>
      </c>
      <c r="C140" s="35" t="s">
        <v>1240</v>
      </c>
      <c r="D140" s="35">
        <v>32509</v>
      </c>
      <c r="E140" s="35" t="s">
        <v>1241</v>
      </c>
      <c r="F140" s="35" t="s">
        <v>1242</v>
      </c>
      <c r="G140" s="35" t="s">
        <v>174</v>
      </c>
      <c r="H140" s="35" t="s">
        <v>160</v>
      </c>
      <c r="I140" s="35" t="s">
        <v>217</v>
      </c>
      <c r="J140" s="35" t="s">
        <v>118</v>
      </c>
      <c r="K140" s="36">
        <v>46031</v>
      </c>
      <c r="L140" s="36">
        <v>46029</v>
      </c>
      <c r="M140" s="36">
        <v>46037</v>
      </c>
      <c r="N140" s="36"/>
      <c r="O140" s="36"/>
      <c r="P140" s="36"/>
      <c r="Q140" s="36">
        <v>46056</v>
      </c>
      <c r="R140" s="35" t="s">
        <v>218</v>
      </c>
      <c r="S140" s="35" t="s">
        <v>1018</v>
      </c>
      <c r="T140" s="35" t="s">
        <v>1018</v>
      </c>
      <c r="U140" s="35" t="s">
        <v>82</v>
      </c>
      <c r="V140" s="35" t="s">
        <v>226</v>
      </c>
      <c r="W140" s="35" t="s">
        <v>123</v>
      </c>
      <c r="X140" s="35">
        <v>1364.31</v>
      </c>
      <c r="Y140" s="35">
        <v>248.06</v>
      </c>
      <c r="Z140" s="35">
        <v>248.06</v>
      </c>
      <c r="AA140" s="35">
        <v>0</v>
      </c>
      <c r="AB140" s="35"/>
      <c r="AC140" s="35">
        <v>0</v>
      </c>
      <c r="AD140" s="35"/>
      <c r="AE140" s="35">
        <v>0</v>
      </c>
      <c r="AF140" s="35"/>
      <c r="AG140" s="35">
        <v>0</v>
      </c>
      <c r="AH140" s="35"/>
      <c r="AI140" s="37">
        <v>0</v>
      </c>
    </row>
    <row r="141" spans="1:35" x14ac:dyDescent="0.25">
      <c r="A141" s="38" t="s">
        <v>110</v>
      </c>
      <c r="B141" s="39" t="s">
        <v>178</v>
      </c>
      <c r="C141" s="39" t="s">
        <v>444</v>
      </c>
      <c r="D141" s="39">
        <v>32526</v>
      </c>
      <c r="E141" s="39" t="s">
        <v>2340</v>
      </c>
      <c r="F141" s="39" t="s">
        <v>2341</v>
      </c>
      <c r="G141" s="39" t="s">
        <v>174</v>
      </c>
      <c r="H141" s="39" t="s">
        <v>160</v>
      </c>
      <c r="I141" s="39" t="s">
        <v>217</v>
      </c>
      <c r="J141" s="39" t="s">
        <v>2195</v>
      </c>
      <c r="K141" s="40">
        <v>46031</v>
      </c>
      <c r="L141" s="40">
        <v>45992</v>
      </c>
      <c r="M141" s="40"/>
      <c r="N141" s="40">
        <v>46054</v>
      </c>
      <c r="O141" s="40">
        <v>46030</v>
      </c>
      <c r="P141" s="40"/>
      <c r="Q141" s="40"/>
      <c r="R141" s="39" t="s">
        <v>218</v>
      </c>
      <c r="S141" s="39" t="s">
        <v>219</v>
      </c>
      <c r="T141" s="39" t="s">
        <v>220</v>
      </c>
      <c r="U141" s="35" t="s">
        <v>91</v>
      </c>
      <c r="V141" s="39" t="s">
        <v>163</v>
      </c>
      <c r="W141" s="39" t="s">
        <v>123</v>
      </c>
      <c r="X141" s="39">
        <v>192.34</v>
      </c>
      <c r="Y141" s="39">
        <v>33.659999999999997</v>
      </c>
      <c r="Z141" s="39">
        <v>33.659999999999997</v>
      </c>
      <c r="AA141" s="39">
        <v>0</v>
      </c>
      <c r="AB141" s="39"/>
      <c r="AC141" s="39">
        <v>0</v>
      </c>
      <c r="AD141" s="39"/>
      <c r="AE141" s="39">
        <v>0</v>
      </c>
      <c r="AF141" s="39"/>
      <c r="AG141" s="39">
        <v>0</v>
      </c>
      <c r="AH141" s="39"/>
      <c r="AI141" s="41">
        <v>0</v>
      </c>
    </row>
    <row r="142" spans="1:35" x14ac:dyDescent="0.25">
      <c r="A142" s="34" t="s">
        <v>110</v>
      </c>
      <c r="B142" s="35" t="s">
        <v>178</v>
      </c>
      <c r="C142" s="35" t="s">
        <v>444</v>
      </c>
      <c r="D142" s="35">
        <v>32526</v>
      </c>
      <c r="E142" s="35" t="s">
        <v>445</v>
      </c>
      <c r="F142" s="35" t="s">
        <v>446</v>
      </c>
      <c r="G142" s="35" t="s">
        <v>174</v>
      </c>
      <c r="H142" s="35" t="s">
        <v>160</v>
      </c>
      <c r="I142" s="35" t="s">
        <v>217</v>
      </c>
      <c r="J142" s="35" t="s">
        <v>118</v>
      </c>
      <c r="K142" s="36">
        <v>46031</v>
      </c>
      <c r="L142" s="36">
        <v>45992</v>
      </c>
      <c r="M142" s="36">
        <v>46045</v>
      </c>
      <c r="N142" s="36"/>
      <c r="O142" s="36"/>
      <c r="P142" s="36"/>
      <c r="Q142" s="36">
        <v>46054</v>
      </c>
      <c r="R142" s="35" t="s">
        <v>218</v>
      </c>
      <c r="S142" s="35" t="s">
        <v>219</v>
      </c>
      <c r="T142" s="35" t="s">
        <v>220</v>
      </c>
      <c r="U142" s="35" t="s">
        <v>91</v>
      </c>
      <c r="V142" s="35" t="s">
        <v>163</v>
      </c>
      <c r="W142" s="35" t="s">
        <v>123</v>
      </c>
      <c r="X142" s="35">
        <v>177.84</v>
      </c>
      <c r="Y142" s="35">
        <v>31.12</v>
      </c>
      <c r="Z142" s="35">
        <v>31.12</v>
      </c>
      <c r="AA142" s="35">
        <v>0</v>
      </c>
      <c r="AB142" s="35"/>
      <c r="AC142" s="35">
        <v>0</v>
      </c>
      <c r="AD142" s="35"/>
      <c r="AE142" s="35">
        <v>0</v>
      </c>
      <c r="AF142" s="35"/>
      <c r="AG142" s="35">
        <v>0</v>
      </c>
      <c r="AH142" s="35"/>
      <c r="AI142" s="37">
        <v>0</v>
      </c>
    </row>
    <row r="143" spans="1:35" x14ac:dyDescent="0.25">
      <c r="A143" s="38" t="s">
        <v>110</v>
      </c>
      <c r="B143" s="39" t="s">
        <v>1479</v>
      </c>
      <c r="C143" s="39" t="s">
        <v>1480</v>
      </c>
      <c r="D143" s="39">
        <v>32527</v>
      </c>
      <c r="E143" s="39" t="s">
        <v>2342</v>
      </c>
      <c r="F143" s="39" t="s">
        <v>2343</v>
      </c>
      <c r="G143" s="39" t="s">
        <v>174</v>
      </c>
      <c r="H143" s="39" t="s">
        <v>160</v>
      </c>
      <c r="I143" s="39" t="s">
        <v>117</v>
      </c>
      <c r="J143" s="39" t="s">
        <v>2195</v>
      </c>
      <c r="K143" s="40">
        <v>46031</v>
      </c>
      <c r="L143" s="40">
        <v>46063</v>
      </c>
      <c r="M143" s="40"/>
      <c r="N143" s="40">
        <v>46082</v>
      </c>
      <c r="O143" s="40">
        <v>46054</v>
      </c>
      <c r="P143" s="40"/>
      <c r="Q143" s="40"/>
      <c r="R143" s="39" t="s">
        <v>142</v>
      </c>
      <c r="S143" s="39" t="s">
        <v>1469</v>
      </c>
      <c r="T143" s="39" t="s">
        <v>177</v>
      </c>
      <c r="U143" s="35" t="s">
        <v>81</v>
      </c>
      <c r="V143" s="39" t="s">
        <v>509</v>
      </c>
      <c r="W143" s="39" t="s">
        <v>123</v>
      </c>
      <c r="X143" s="39">
        <v>785.22</v>
      </c>
      <c r="Y143" s="39">
        <v>62.83</v>
      </c>
      <c r="Z143" s="39">
        <v>62.83</v>
      </c>
      <c r="AA143" s="39">
        <v>0</v>
      </c>
      <c r="AB143" s="39"/>
      <c r="AC143" s="39">
        <v>0</v>
      </c>
      <c r="AD143" s="39"/>
      <c r="AE143" s="39">
        <v>0</v>
      </c>
      <c r="AF143" s="39"/>
      <c r="AG143" s="39">
        <v>0</v>
      </c>
      <c r="AH143" s="39"/>
      <c r="AI143" s="41">
        <v>0</v>
      </c>
    </row>
    <row r="144" spans="1:35" x14ac:dyDescent="0.25">
      <c r="A144" s="34" t="s">
        <v>110</v>
      </c>
      <c r="B144" s="35" t="s">
        <v>594</v>
      </c>
      <c r="C144" s="35" t="s">
        <v>1327</v>
      </c>
      <c r="D144" s="35">
        <v>27765</v>
      </c>
      <c r="E144" s="35"/>
      <c r="F144" s="35" t="s">
        <v>1328</v>
      </c>
      <c r="G144" s="35" t="s">
        <v>115</v>
      </c>
      <c r="H144" s="35" t="s">
        <v>160</v>
      </c>
      <c r="I144" s="35" t="s">
        <v>117</v>
      </c>
      <c r="J144" s="35" t="s">
        <v>118</v>
      </c>
      <c r="K144" s="36">
        <v>46031</v>
      </c>
      <c r="L144" s="36">
        <v>45992</v>
      </c>
      <c r="M144" s="36">
        <v>46051</v>
      </c>
      <c r="N144" s="36"/>
      <c r="O144" s="36"/>
      <c r="P144" s="36"/>
      <c r="Q144" s="36"/>
      <c r="R144" s="35" t="s">
        <v>119</v>
      </c>
      <c r="S144" s="35" t="s">
        <v>1329</v>
      </c>
      <c r="T144" s="35" t="s">
        <v>519</v>
      </c>
      <c r="U144" s="35" t="s">
        <v>86</v>
      </c>
      <c r="V144" s="35" t="s">
        <v>1330</v>
      </c>
      <c r="W144" s="35" t="s">
        <v>123</v>
      </c>
      <c r="X144" s="35">
        <v>231.16</v>
      </c>
      <c r="Y144" s="35">
        <v>11.56</v>
      </c>
      <c r="Z144" s="35">
        <v>11.56</v>
      </c>
      <c r="AA144" s="35">
        <v>0</v>
      </c>
      <c r="AB144" s="35"/>
      <c r="AC144" s="35">
        <v>0</v>
      </c>
      <c r="AD144" s="35"/>
      <c r="AE144" s="35">
        <v>0</v>
      </c>
      <c r="AF144" s="35"/>
      <c r="AG144" s="35">
        <v>0</v>
      </c>
      <c r="AH144" s="35"/>
      <c r="AI144" s="37">
        <v>0</v>
      </c>
    </row>
    <row r="145" spans="1:35" x14ac:dyDescent="0.25">
      <c r="A145" s="38" t="s">
        <v>110</v>
      </c>
      <c r="B145" s="39" t="s">
        <v>1364</v>
      </c>
      <c r="C145" s="39" t="s">
        <v>1365</v>
      </c>
      <c r="D145" s="39">
        <v>26364</v>
      </c>
      <c r="E145" s="39" t="s">
        <v>1366</v>
      </c>
      <c r="F145" s="39" t="s">
        <v>1367</v>
      </c>
      <c r="G145" s="39" t="s">
        <v>174</v>
      </c>
      <c r="H145" s="39" t="s">
        <v>160</v>
      </c>
      <c r="I145" s="39" t="s">
        <v>217</v>
      </c>
      <c r="J145" s="39" t="s">
        <v>118</v>
      </c>
      <c r="K145" s="40">
        <v>46033</v>
      </c>
      <c r="L145" s="40">
        <v>45778</v>
      </c>
      <c r="M145" s="40">
        <v>46033</v>
      </c>
      <c r="N145" s="40"/>
      <c r="O145" s="40"/>
      <c r="P145" s="40"/>
      <c r="Q145" s="40">
        <v>46056</v>
      </c>
      <c r="R145" s="39" t="s">
        <v>218</v>
      </c>
      <c r="S145" s="39" t="s">
        <v>225</v>
      </c>
      <c r="T145" s="39" t="s">
        <v>225</v>
      </c>
      <c r="U145" s="35" t="s">
        <v>88</v>
      </c>
      <c r="V145" s="39" t="s">
        <v>226</v>
      </c>
      <c r="W145" s="39" t="s">
        <v>123</v>
      </c>
      <c r="X145" s="39">
        <v>13050</v>
      </c>
      <c r="Y145" s="39">
        <v>2372.7199999999998</v>
      </c>
      <c r="Z145" s="39">
        <v>2372.7199999999998</v>
      </c>
      <c r="AA145" s="39">
        <v>0</v>
      </c>
      <c r="AB145" s="39"/>
      <c r="AC145" s="39">
        <v>0</v>
      </c>
      <c r="AD145" s="39"/>
      <c r="AE145" s="39">
        <v>0</v>
      </c>
      <c r="AF145" s="39"/>
      <c r="AG145" s="39">
        <v>0</v>
      </c>
      <c r="AH145" s="39"/>
      <c r="AI145" s="41">
        <v>0</v>
      </c>
    </row>
    <row r="146" spans="1:35" x14ac:dyDescent="0.25">
      <c r="A146" s="34" t="s">
        <v>110</v>
      </c>
      <c r="B146" s="35" t="s">
        <v>1364</v>
      </c>
      <c r="C146" s="35" t="s">
        <v>1365</v>
      </c>
      <c r="D146" s="35">
        <v>26364</v>
      </c>
      <c r="E146" s="35" t="s">
        <v>1368</v>
      </c>
      <c r="F146" s="35" t="s">
        <v>1369</v>
      </c>
      <c r="G146" s="35" t="s">
        <v>174</v>
      </c>
      <c r="H146" s="35" t="s">
        <v>160</v>
      </c>
      <c r="I146" s="35" t="s">
        <v>217</v>
      </c>
      <c r="J146" s="35" t="s">
        <v>118</v>
      </c>
      <c r="K146" s="36">
        <v>46033</v>
      </c>
      <c r="L146" s="36">
        <v>45778</v>
      </c>
      <c r="M146" s="36">
        <v>46033</v>
      </c>
      <c r="N146" s="36"/>
      <c r="O146" s="36"/>
      <c r="P146" s="36"/>
      <c r="Q146" s="36">
        <v>46056</v>
      </c>
      <c r="R146" s="35" t="s">
        <v>218</v>
      </c>
      <c r="S146" s="35" t="s">
        <v>225</v>
      </c>
      <c r="T146" s="35" t="s">
        <v>225</v>
      </c>
      <c r="U146" s="35" t="s">
        <v>88</v>
      </c>
      <c r="V146" s="35" t="s">
        <v>226</v>
      </c>
      <c r="W146" s="35" t="s">
        <v>123</v>
      </c>
      <c r="X146" s="35">
        <v>-13050</v>
      </c>
      <c r="Y146" s="35">
        <v>-2372.7199999999998</v>
      </c>
      <c r="Z146" s="35">
        <v>-2372.7199999999998</v>
      </c>
      <c r="AA146" s="35">
        <v>0</v>
      </c>
      <c r="AB146" s="35"/>
      <c r="AC146" s="35">
        <v>0</v>
      </c>
      <c r="AD146" s="35"/>
      <c r="AE146" s="35">
        <v>0</v>
      </c>
      <c r="AF146" s="35"/>
      <c r="AG146" s="35">
        <v>0</v>
      </c>
      <c r="AH146" s="35"/>
      <c r="AI146" s="37">
        <v>0</v>
      </c>
    </row>
    <row r="147" spans="1:35" x14ac:dyDescent="0.25">
      <c r="A147" s="38" t="s">
        <v>110</v>
      </c>
      <c r="B147" s="39" t="s">
        <v>1065</v>
      </c>
      <c r="C147" s="39" t="s">
        <v>1066</v>
      </c>
      <c r="D147" s="39">
        <v>32186</v>
      </c>
      <c r="E147" s="39" t="s">
        <v>1067</v>
      </c>
      <c r="F147" s="39" t="s">
        <v>1068</v>
      </c>
      <c r="G147" s="39" t="s">
        <v>174</v>
      </c>
      <c r="H147" s="39" t="s">
        <v>160</v>
      </c>
      <c r="I147" s="39" t="s">
        <v>217</v>
      </c>
      <c r="J147" s="39" t="s">
        <v>118</v>
      </c>
      <c r="K147" s="40">
        <v>46033</v>
      </c>
      <c r="L147" s="40">
        <v>45967</v>
      </c>
      <c r="M147" s="40">
        <v>46034</v>
      </c>
      <c r="N147" s="40"/>
      <c r="O147" s="40"/>
      <c r="P147" s="40"/>
      <c r="Q147" s="40"/>
      <c r="R147" s="39" t="s">
        <v>218</v>
      </c>
      <c r="S147" s="39" t="s">
        <v>1018</v>
      </c>
      <c r="T147" s="39" t="s">
        <v>1018</v>
      </c>
      <c r="U147" s="35" t="s">
        <v>82</v>
      </c>
      <c r="V147" s="39" t="s">
        <v>226</v>
      </c>
      <c r="W147" s="39" t="s">
        <v>123</v>
      </c>
      <c r="X147" s="39">
        <v>10402.23</v>
      </c>
      <c r="Y147" s="39">
        <v>1891.32</v>
      </c>
      <c r="Z147" s="39">
        <v>1891.32</v>
      </c>
      <c r="AA147" s="39">
        <v>0</v>
      </c>
      <c r="AB147" s="39"/>
      <c r="AC147" s="39">
        <v>0</v>
      </c>
      <c r="AD147" s="39"/>
      <c r="AE147" s="39">
        <v>0</v>
      </c>
      <c r="AF147" s="39"/>
      <c r="AG147" s="39">
        <v>0</v>
      </c>
      <c r="AH147" s="39"/>
      <c r="AI147" s="41">
        <v>0</v>
      </c>
    </row>
    <row r="148" spans="1:35" x14ac:dyDescent="0.25">
      <c r="A148" s="34" t="s">
        <v>110</v>
      </c>
      <c r="B148" s="35" t="s">
        <v>1065</v>
      </c>
      <c r="C148" s="35" t="s">
        <v>1066</v>
      </c>
      <c r="D148" s="35">
        <v>32186</v>
      </c>
      <c r="E148" s="35" t="s">
        <v>1884</v>
      </c>
      <c r="F148" s="35" t="s">
        <v>1885</v>
      </c>
      <c r="G148" s="35" t="s">
        <v>174</v>
      </c>
      <c r="H148" s="35" t="s">
        <v>160</v>
      </c>
      <c r="I148" s="35" t="s">
        <v>217</v>
      </c>
      <c r="J148" s="35" t="s">
        <v>141</v>
      </c>
      <c r="K148" s="36">
        <v>46033</v>
      </c>
      <c r="L148" s="36">
        <v>45967</v>
      </c>
      <c r="M148" s="36"/>
      <c r="N148" s="36"/>
      <c r="O148" s="36"/>
      <c r="P148" s="36"/>
      <c r="Q148" s="36"/>
      <c r="R148" s="35" t="s">
        <v>218</v>
      </c>
      <c r="S148" s="35" t="s">
        <v>1018</v>
      </c>
      <c r="T148" s="35" t="s">
        <v>1018</v>
      </c>
      <c r="U148" s="35" t="s">
        <v>82</v>
      </c>
      <c r="V148" s="35" t="s">
        <v>226</v>
      </c>
      <c r="W148" s="35" t="s">
        <v>123</v>
      </c>
      <c r="X148" s="35">
        <v>10402.23</v>
      </c>
      <c r="Y148" s="35">
        <v>1891.32</v>
      </c>
      <c r="Z148" s="35">
        <v>1891.32</v>
      </c>
      <c r="AA148" s="35">
        <v>0</v>
      </c>
      <c r="AB148" s="35"/>
      <c r="AC148" s="35">
        <v>0</v>
      </c>
      <c r="AD148" s="35"/>
      <c r="AE148" s="35">
        <v>0</v>
      </c>
      <c r="AF148" s="35"/>
      <c r="AG148" s="35">
        <v>0</v>
      </c>
      <c r="AH148" s="35"/>
      <c r="AI148" s="37">
        <v>0</v>
      </c>
    </row>
    <row r="149" spans="1:35" x14ac:dyDescent="0.25">
      <c r="A149" s="38" t="s">
        <v>110</v>
      </c>
      <c r="B149" s="39" t="s">
        <v>1210</v>
      </c>
      <c r="C149" s="39" t="s">
        <v>1211</v>
      </c>
      <c r="D149" s="39">
        <v>32528</v>
      </c>
      <c r="E149" s="39" t="s">
        <v>1212</v>
      </c>
      <c r="F149" s="39" t="s">
        <v>1213</v>
      </c>
      <c r="G149" s="39" t="s">
        <v>174</v>
      </c>
      <c r="H149" s="39" t="s">
        <v>160</v>
      </c>
      <c r="I149" s="39" t="s">
        <v>217</v>
      </c>
      <c r="J149" s="39" t="s">
        <v>118</v>
      </c>
      <c r="K149" s="40">
        <v>46033</v>
      </c>
      <c r="L149" s="40">
        <v>46030</v>
      </c>
      <c r="M149" s="40">
        <v>46036</v>
      </c>
      <c r="N149" s="40"/>
      <c r="O149" s="40"/>
      <c r="P149" s="40"/>
      <c r="Q149" s="40">
        <v>46068</v>
      </c>
      <c r="R149" s="39" t="s">
        <v>218</v>
      </c>
      <c r="S149" s="39" t="s">
        <v>1018</v>
      </c>
      <c r="T149" s="39" t="s">
        <v>1018</v>
      </c>
      <c r="U149" s="35" t="s">
        <v>82</v>
      </c>
      <c r="V149" s="39" t="s">
        <v>226</v>
      </c>
      <c r="W149" s="39" t="s">
        <v>123</v>
      </c>
      <c r="X149" s="39">
        <v>1771.08</v>
      </c>
      <c r="Y149" s="39">
        <v>322.02</v>
      </c>
      <c r="Z149" s="39">
        <v>322.02</v>
      </c>
      <c r="AA149" s="39">
        <v>0</v>
      </c>
      <c r="AB149" s="39"/>
      <c r="AC149" s="39">
        <v>0</v>
      </c>
      <c r="AD149" s="39"/>
      <c r="AE149" s="39">
        <v>0</v>
      </c>
      <c r="AF149" s="39"/>
      <c r="AG149" s="39">
        <v>0</v>
      </c>
      <c r="AH149" s="39"/>
      <c r="AI149" s="41">
        <v>0</v>
      </c>
    </row>
    <row r="150" spans="1:35" x14ac:dyDescent="0.25">
      <c r="A150" s="34" t="s">
        <v>110</v>
      </c>
      <c r="B150" s="35" t="s">
        <v>1174</v>
      </c>
      <c r="C150" s="35" t="s">
        <v>1204</v>
      </c>
      <c r="D150" s="35">
        <v>32529</v>
      </c>
      <c r="E150" s="35" t="s">
        <v>1205</v>
      </c>
      <c r="F150" s="35" t="s">
        <v>1206</v>
      </c>
      <c r="G150" s="35" t="s">
        <v>174</v>
      </c>
      <c r="H150" s="35" t="s">
        <v>160</v>
      </c>
      <c r="I150" s="35" t="s">
        <v>217</v>
      </c>
      <c r="J150" s="35" t="s">
        <v>118</v>
      </c>
      <c r="K150" s="36">
        <v>46033</v>
      </c>
      <c r="L150" s="36">
        <v>46030</v>
      </c>
      <c r="M150" s="36">
        <v>46055</v>
      </c>
      <c r="N150" s="36"/>
      <c r="O150" s="36"/>
      <c r="P150" s="36"/>
      <c r="Q150" s="36"/>
      <c r="R150" s="35" t="s">
        <v>218</v>
      </c>
      <c r="S150" s="35" t="s">
        <v>1018</v>
      </c>
      <c r="T150" s="35" t="s">
        <v>1018</v>
      </c>
      <c r="U150" s="35" t="s">
        <v>82</v>
      </c>
      <c r="V150" s="35" t="s">
        <v>226</v>
      </c>
      <c r="W150" s="35" t="s">
        <v>123</v>
      </c>
      <c r="X150" s="35">
        <v>7872.49</v>
      </c>
      <c r="Y150" s="35">
        <v>1431.36</v>
      </c>
      <c r="Z150" s="35">
        <v>1431.36</v>
      </c>
      <c r="AA150" s="35">
        <v>0</v>
      </c>
      <c r="AB150" s="35"/>
      <c r="AC150" s="35">
        <v>0</v>
      </c>
      <c r="AD150" s="35"/>
      <c r="AE150" s="35">
        <v>0</v>
      </c>
      <c r="AF150" s="35"/>
      <c r="AG150" s="35">
        <v>0</v>
      </c>
      <c r="AH150" s="35"/>
      <c r="AI150" s="37">
        <v>0</v>
      </c>
    </row>
    <row r="151" spans="1:35" x14ac:dyDescent="0.25">
      <c r="A151" s="38" t="s">
        <v>110</v>
      </c>
      <c r="B151" s="39" t="s">
        <v>1174</v>
      </c>
      <c r="C151" s="39" t="s">
        <v>1204</v>
      </c>
      <c r="D151" s="39">
        <v>32529</v>
      </c>
      <c r="E151" s="39" t="s">
        <v>1975</v>
      </c>
      <c r="F151" s="39" t="s">
        <v>1976</v>
      </c>
      <c r="G151" s="39" t="s">
        <v>174</v>
      </c>
      <c r="H151" s="39" t="s">
        <v>160</v>
      </c>
      <c r="I151" s="39" t="s">
        <v>217</v>
      </c>
      <c r="J151" s="39" t="s">
        <v>141</v>
      </c>
      <c r="K151" s="40">
        <v>46033</v>
      </c>
      <c r="L151" s="40">
        <v>46030</v>
      </c>
      <c r="M151" s="40"/>
      <c r="N151" s="40"/>
      <c r="O151" s="40"/>
      <c r="P151" s="40"/>
      <c r="Q151" s="40"/>
      <c r="R151" s="39" t="s">
        <v>218</v>
      </c>
      <c r="S151" s="39" t="s">
        <v>1018</v>
      </c>
      <c r="T151" s="39" t="s">
        <v>1018</v>
      </c>
      <c r="U151" s="35" t="s">
        <v>82</v>
      </c>
      <c r="V151" s="39" t="s">
        <v>226</v>
      </c>
      <c r="W151" s="39" t="s">
        <v>123</v>
      </c>
      <c r="X151" s="39">
        <v>19681.23</v>
      </c>
      <c r="Y151" s="39">
        <v>3578.4</v>
      </c>
      <c r="Z151" s="39">
        <v>3578.4</v>
      </c>
      <c r="AA151" s="39">
        <v>0</v>
      </c>
      <c r="AB151" s="39"/>
      <c r="AC151" s="39">
        <v>0</v>
      </c>
      <c r="AD151" s="39"/>
      <c r="AE151" s="39">
        <v>0</v>
      </c>
      <c r="AF151" s="39"/>
      <c r="AG151" s="39">
        <v>0</v>
      </c>
      <c r="AH151" s="39"/>
      <c r="AI151" s="41">
        <v>0</v>
      </c>
    </row>
    <row r="152" spans="1:35" x14ac:dyDescent="0.25">
      <c r="A152" s="34" t="s">
        <v>110</v>
      </c>
      <c r="B152" s="35" t="s">
        <v>1174</v>
      </c>
      <c r="C152" s="35" t="s">
        <v>1204</v>
      </c>
      <c r="D152" s="35">
        <v>32529</v>
      </c>
      <c r="E152" s="35" t="s">
        <v>1977</v>
      </c>
      <c r="F152" s="35" t="s">
        <v>1978</v>
      </c>
      <c r="G152" s="35" t="s">
        <v>174</v>
      </c>
      <c r="H152" s="35" t="s">
        <v>160</v>
      </c>
      <c r="I152" s="35" t="s">
        <v>217</v>
      </c>
      <c r="J152" s="35" t="s">
        <v>141</v>
      </c>
      <c r="K152" s="36">
        <v>46033</v>
      </c>
      <c r="L152" s="36">
        <v>46030</v>
      </c>
      <c r="M152" s="36"/>
      <c r="N152" s="36"/>
      <c r="O152" s="36"/>
      <c r="P152" s="36"/>
      <c r="Q152" s="36"/>
      <c r="R152" s="35" t="s">
        <v>218</v>
      </c>
      <c r="S152" s="35" t="s">
        <v>1018</v>
      </c>
      <c r="T152" s="35" t="s">
        <v>1018</v>
      </c>
      <c r="U152" s="35" t="s">
        <v>82</v>
      </c>
      <c r="V152" s="35" t="s">
        <v>226</v>
      </c>
      <c r="W152" s="35" t="s">
        <v>123</v>
      </c>
      <c r="X152" s="35">
        <v>27553.72</v>
      </c>
      <c r="Y152" s="35">
        <v>5009.76</v>
      </c>
      <c r="Z152" s="35">
        <v>5009.76</v>
      </c>
      <c r="AA152" s="35">
        <v>0</v>
      </c>
      <c r="AB152" s="35"/>
      <c r="AC152" s="35">
        <v>0</v>
      </c>
      <c r="AD152" s="35"/>
      <c r="AE152" s="35">
        <v>0</v>
      </c>
      <c r="AF152" s="35"/>
      <c r="AG152" s="35">
        <v>0</v>
      </c>
      <c r="AH152" s="35"/>
      <c r="AI152" s="37">
        <v>0</v>
      </c>
    </row>
    <row r="153" spans="1:35" x14ac:dyDescent="0.25">
      <c r="A153" s="38" t="s">
        <v>110</v>
      </c>
      <c r="B153" s="39" t="s">
        <v>1174</v>
      </c>
      <c r="C153" s="39" t="s">
        <v>1204</v>
      </c>
      <c r="D153" s="39">
        <v>32529</v>
      </c>
      <c r="E153" s="39" t="s">
        <v>1979</v>
      </c>
      <c r="F153" s="39" t="s">
        <v>1980</v>
      </c>
      <c r="G153" s="39" t="s">
        <v>174</v>
      </c>
      <c r="H153" s="39" t="s">
        <v>160</v>
      </c>
      <c r="I153" s="39" t="s">
        <v>217</v>
      </c>
      <c r="J153" s="39" t="s">
        <v>141</v>
      </c>
      <c r="K153" s="40">
        <v>46033</v>
      </c>
      <c r="L153" s="40">
        <v>46030</v>
      </c>
      <c r="M153" s="40"/>
      <c r="N153" s="40"/>
      <c r="O153" s="40"/>
      <c r="P153" s="40"/>
      <c r="Q153" s="40"/>
      <c r="R153" s="39" t="s">
        <v>218</v>
      </c>
      <c r="S153" s="39" t="s">
        <v>1018</v>
      </c>
      <c r="T153" s="39" t="s">
        <v>1018</v>
      </c>
      <c r="U153" s="35" t="s">
        <v>82</v>
      </c>
      <c r="V153" s="39" t="s">
        <v>226</v>
      </c>
      <c r="W153" s="39" t="s">
        <v>123</v>
      </c>
      <c r="X153" s="39">
        <v>23617.48</v>
      </c>
      <c r="Y153" s="39">
        <v>4294.09</v>
      </c>
      <c r="Z153" s="39">
        <v>4294.09</v>
      </c>
      <c r="AA153" s="39">
        <v>0</v>
      </c>
      <c r="AB153" s="39"/>
      <c r="AC153" s="39">
        <v>0</v>
      </c>
      <c r="AD153" s="39"/>
      <c r="AE153" s="39">
        <v>0</v>
      </c>
      <c r="AF153" s="39"/>
      <c r="AG153" s="39">
        <v>0</v>
      </c>
      <c r="AH153" s="39"/>
      <c r="AI153" s="41">
        <v>0</v>
      </c>
    </row>
    <row r="154" spans="1:35" x14ac:dyDescent="0.25">
      <c r="A154" s="34" t="s">
        <v>110</v>
      </c>
      <c r="B154" s="35" t="s">
        <v>1724</v>
      </c>
      <c r="C154" s="35" t="s">
        <v>1725</v>
      </c>
      <c r="D154" s="35">
        <v>16911</v>
      </c>
      <c r="E154" s="35" t="s">
        <v>1726</v>
      </c>
      <c r="F154" s="35" t="s">
        <v>1727</v>
      </c>
      <c r="G154" s="35" t="s">
        <v>115</v>
      </c>
      <c r="H154" s="35" t="s">
        <v>160</v>
      </c>
      <c r="I154" s="35" t="s">
        <v>117</v>
      </c>
      <c r="J154" s="35" t="s">
        <v>118</v>
      </c>
      <c r="K154" s="36">
        <v>46033</v>
      </c>
      <c r="L154" s="36">
        <v>46077</v>
      </c>
      <c r="M154" s="36">
        <v>46077</v>
      </c>
      <c r="N154" s="36"/>
      <c r="O154" s="36"/>
      <c r="P154" s="36"/>
      <c r="Q154" s="36">
        <v>46082</v>
      </c>
      <c r="R154" s="35" t="s">
        <v>142</v>
      </c>
      <c r="S154" s="35" t="s">
        <v>855</v>
      </c>
      <c r="T154" s="35" t="s">
        <v>83</v>
      </c>
      <c r="U154" s="35" t="s">
        <v>83</v>
      </c>
      <c r="V154" s="35" t="s">
        <v>845</v>
      </c>
      <c r="W154" s="35" t="s">
        <v>123</v>
      </c>
      <c r="X154" s="35">
        <v>237.03</v>
      </c>
      <c r="Y154" s="35">
        <v>56.41</v>
      </c>
      <c r="Z154" s="35">
        <v>56.41</v>
      </c>
      <c r="AA154" s="35">
        <v>0</v>
      </c>
      <c r="AB154" s="35"/>
      <c r="AC154" s="35">
        <v>0</v>
      </c>
      <c r="AD154" s="35"/>
      <c r="AE154" s="35">
        <v>0</v>
      </c>
      <c r="AF154" s="35"/>
      <c r="AG154" s="35">
        <v>0</v>
      </c>
      <c r="AH154" s="35"/>
      <c r="AI154" s="37">
        <v>0</v>
      </c>
    </row>
    <row r="155" spans="1:35" x14ac:dyDescent="0.25">
      <c r="A155" s="38" t="s">
        <v>110</v>
      </c>
      <c r="B155" s="39" t="s">
        <v>846</v>
      </c>
      <c r="C155" s="39" t="s">
        <v>847</v>
      </c>
      <c r="D155" s="39">
        <v>30323</v>
      </c>
      <c r="E155" s="39" t="s">
        <v>848</v>
      </c>
      <c r="F155" s="39" t="s">
        <v>849</v>
      </c>
      <c r="G155" s="39" t="s">
        <v>192</v>
      </c>
      <c r="H155" s="39" t="s">
        <v>160</v>
      </c>
      <c r="I155" s="39" t="s">
        <v>117</v>
      </c>
      <c r="J155" s="39" t="s">
        <v>118</v>
      </c>
      <c r="K155" s="40">
        <v>46033</v>
      </c>
      <c r="L155" s="40">
        <v>45657</v>
      </c>
      <c r="M155" s="40">
        <v>46034</v>
      </c>
      <c r="N155" s="40"/>
      <c r="O155" s="40"/>
      <c r="P155" s="40"/>
      <c r="Q155" s="40">
        <v>46082</v>
      </c>
      <c r="R155" s="39" t="s">
        <v>142</v>
      </c>
      <c r="S155" s="39" t="s">
        <v>850</v>
      </c>
      <c r="T155" s="39" t="s">
        <v>730</v>
      </c>
      <c r="U155" s="35" t="s">
        <v>84</v>
      </c>
      <c r="V155" s="39" t="s">
        <v>845</v>
      </c>
      <c r="W155" s="39" t="s">
        <v>123</v>
      </c>
      <c r="X155" s="39">
        <v>511.48</v>
      </c>
      <c r="Y155" s="39">
        <v>76.73</v>
      </c>
      <c r="Z155" s="39">
        <v>76.73</v>
      </c>
      <c r="AA155" s="39">
        <v>0</v>
      </c>
      <c r="AB155" s="39"/>
      <c r="AC155" s="39">
        <v>0</v>
      </c>
      <c r="AD155" s="39"/>
      <c r="AE155" s="39">
        <v>0</v>
      </c>
      <c r="AF155" s="39"/>
      <c r="AG155" s="39">
        <v>0</v>
      </c>
      <c r="AH155" s="39"/>
      <c r="AI155" s="41">
        <v>0</v>
      </c>
    </row>
    <row r="156" spans="1:35" x14ac:dyDescent="0.25">
      <c r="A156" s="34" t="s">
        <v>110</v>
      </c>
      <c r="B156" s="35" t="s">
        <v>447</v>
      </c>
      <c r="C156" s="35" t="s">
        <v>460</v>
      </c>
      <c r="D156" s="35">
        <v>26304</v>
      </c>
      <c r="E156" s="35" t="s">
        <v>461</v>
      </c>
      <c r="F156" s="35" t="s">
        <v>462</v>
      </c>
      <c r="G156" s="35" t="s">
        <v>440</v>
      </c>
      <c r="H156" s="35" t="s">
        <v>160</v>
      </c>
      <c r="I156" s="35" t="s">
        <v>117</v>
      </c>
      <c r="J156" s="35" t="s">
        <v>118</v>
      </c>
      <c r="K156" s="36">
        <v>46033</v>
      </c>
      <c r="L156" s="36">
        <v>45928</v>
      </c>
      <c r="M156" s="36">
        <v>46033</v>
      </c>
      <c r="N156" s="36"/>
      <c r="O156" s="36"/>
      <c r="P156" s="36"/>
      <c r="Q156" s="36">
        <v>46054</v>
      </c>
      <c r="R156" s="35" t="s">
        <v>142</v>
      </c>
      <c r="S156" s="35" t="s">
        <v>463</v>
      </c>
      <c r="T156" s="35" t="s">
        <v>177</v>
      </c>
      <c r="U156" s="35" t="s">
        <v>81</v>
      </c>
      <c r="V156" s="35" t="s">
        <v>163</v>
      </c>
      <c r="W156" s="35" t="s">
        <v>123</v>
      </c>
      <c r="X156" s="35">
        <v>-1823.23</v>
      </c>
      <c r="Y156" s="35">
        <v>-145.86000000000001</v>
      </c>
      <c r="Z156" s="35">
        <v>-145.86000000000001</v>
      </c>
      <c r="AA156" s="35">
        <v>0</v>
      </c>
      <c r="AB156" s="35"/>
      <c r="AC156" s="35">
        <v>0</v>
      </c>
      <c r="AD156" s="35"/>
      <c r="AE156" s="35">
        <v>0</v>
      </c>
      <c r="AF156" s="35"/>
      <c r="AG156" s="35">
        <v>0</v>
      </c>
      <c r="AH156" s="35"/>
      <c r="AI156" s="37">
        <v>0</v>
      </c>
    </row>
    <row r="157" spans="1:35" x14ac:dyDescent="0.25">
      <c r="A157" s="38" t="s">
        <v>110</v>
      </c>
      <c r="B157" s="39" t="s">
        <v>193</v>
      </c>
      <c r="C157" s="39" t="s">
        <v>194</v>
      </c>
      <c r="D157" s="39">
        <v>16731</v>
      </c>
      <c r="E157" s="39" t="s">
        <v>195</v>
      </c>
      <c r="F157" s="39" t="s">
        <v>196</v>
      </c>
      <c r="G157" s="39" t="s">
        <v>115</v>
      </c>
      <c r="H157" s="39" t="s">
        <v>116</v>
      </c>
      <c r="I157" s="39" t="s">
        <v>117</v>
      </c>
      <c r="J157" s="39" t="s">
        <v>141</v>
      </c>
      <c r="K157" s="40">
        <v>46033</v>
      </c>
      <c r="L157" s="40">
        <v>46104</v>
      </c>
      <c r="M157" s="40"/>
      <c r="N157" s="40"/>
      <c r="O157" s="40"/>
      <c r="P157" s="40"/>
      <c r="Q157" s="40"/>
      <c r="R157" s="39" t="s">
        <v>119</v>
      </c>
      <c r="S157" s="39" t="s">
        <v>197</v>
      </c>
      <c r="T157" s="39" t="s">
        <v>198</v>
      </c>
      <c r="U157" s="35" t="s">
        <v>94</v>
      </c>
      <c r="V157" s="39" t="s">
        <v>163</v>
      </c>
      <c r="W157" s="39" t="s">
        <v>123</v>
      </c>
      <c r="X157" s="39">
        <v>103.21</v>
      </c>
      <c r="Y157" s="39">
        <v>21.05</v>
      </c>
      <c r="Z157" s="39">
        <v>21.05</v>
      </c>
      <c r="AA157" s="39">
        <v>0</v>
      </c>
      <c r="AB157" s="39"/>
      <c r="AC157" s="39">
        <v>0</v>
      </c>
      <c r="AD157" s="39"/>
      <c r="AE157" s="39">
        <v>0</v>
      </c>
      <c r="AF157" s="39"/>
      <c r="AG157" s="39">
        <v>0</v>
      </c>
      <c r="AH157" s="39"/>
      <c r="AI157" s="41">
        <v>0</v>
      </c>
    </row>
    <row r="158" spans="1:35" x14ac:dyDescent="0.25">
      <c r="A158" s="34" t="s">
        <v>110</v>
      </c>
      <c r="B158" s="35" t="s">
        <v>786</v>
      </c>
      <c r="C158" s="35" t="s">
        <v>787</v>
      </c>
      <c r="D158" s="35">
        <v>19865</v>
      </c>
      <c r="E158" s="35" t="s">
        <v>788</v>
      </c>
      <c r="F158" s="35" t="s">
        <v>789</v>
      </c>
      <c r="G158" s="35" t="s">
        <v>192</v>
      </c>
      <c r="H158" s="35" t="s">
        <v>160</v>
      </c>
      <c r="I158" s="35" t="s">
        <v>117</v>
      </c>
      <c r="J158" s="35" t="s">
        <v>118</v>
      </c>
      <c r="K158" s="36">
        <v>46033</v>
      </c>
      <c r="L158" s="36">
        <v>46030</v>
      </c>
      <c r="M158" s="36">
        <v>46048</v>
      </c>
      <c r="N158" s="36"/>
      <c r="O158" s="36"/>
      <c r="P158" s="36">
        <v>46082</v>
      </c>
      <c r="Q158" s="36">
        <v>46113</v>
      </c>
      <c r="R158" s="35" t="s">
        <v>142</v>
      </c>
      <c r="S158" s="35" t="s">
        <v>785</v>
      </c>
      <c r="T158" s="35" t="s">
        <v>83</v>
      </c>
      <c r="U158" s="35" t="s">
        <v>83</v>
      </c>
      <c r="V158" s="35" t="s">
        <v>509</v>
      </c>
      <c r="W158" s="35" t="s">
        <v>123</v>
      </c>
      <c r="X158" s="35">
        <v>185.7</v>
      </c>
      <c r="Y158" s="35">
        <v>46.43</v>
      </c>
      <c r="Z158" s="35">
        <v>46.43</v>
      </c>
      <c r="AA158" s="35">
        <v>0</v>
      </c>
      <c r="AB158" s="35"/>
      <c r="AC158" s="35">
        <v>0</v>
      </c>
      <c r="AD158" s="35" t="s">
        <v>790</v>
      </c>
      <c r="AE158" s="35">
        <v>23.22</v>
      </c>
      <c r="AF158" s="35"/>
      <c r="AG158" s="35">
        <v>0</v>
      </c>
      <c r="AH158" s="35"/>
      <c r="AI158" s="37">
        <v>0</v>
      </c>
    </row>
    <row r="159" spans="1:35" x14ac:dyDescent="0.25">
      <c r="A159" s="38" t="s">
        <v>110</v>
      </c>
      <c r="B159" s="39" t="s">
        <v>1479</v>
      </c>
      <c r="C159" s="39" t="s">
        <v>1480</v>
      </c>
      <c r="D159" s="39">
        <v>32527</v>
      </c>
      <c r="E159" s="39" t="s">
        <v>1481</v>
      </c>
      <c r="F159" s="39" t="s">
        <v>1482</v>
      </c>
      <c r="G159" s="39" t="s">
        <v>174</v>
      </c>
      <c r="H159" s="39" t="s">
        <v>160</v>
      </c>
      <c r="I159" s="39" t="s">
        <v>117</v>
      </c>
      <c r="J159" s="39" t="s">
        <v>118</v>
      </c>
      <c r="K159" s="40">
        <v>46033</v>
      </c>
      <c r="L159" s="40">
        <v>46063</v>
      </c>
      <c r="M159" s="40">
        <v>46073</v>
      </c>
      <c r="N159" s="40"/>
      <c r="O159" s="40"/>
      <c r="P159" s="40"/>
      <c r="Q159" s="40">
        <v>46113</v>
      </c>
      <c r="R159" s="39" t="s">
        <v>142</v>
      </c>
      <c r="S159" s="39" t="s">
        <v>1469</v>
      </c>
      <c r="T159" s="39" t="s">
        <v>177</v>
      </c>
      <c r="U159" s="35" t="s">
        <v>81</v>
      </c>
      <c r="V159" s="39" t="s">
        <v>509</v>
      </c>
      <c r="W159" s="39" t="s">
        <v>123</v>
      </c>
      <c r="X159" s="39">
        <v>629.78</v>
      </c>
      <c r="Y159" s="39">
        <v>50.38</v>
      </c>
      <c r="Z159" s="39">
        <v>50.38</v>
      </c>
      <c r="AA159" s="39">
        <v>0</v>
      </c>
      <c r="AB159" s="39"/>
      <c r="AC159" s="39">
        <v>0</v>
      </c>
      <c r="AD159" s="39"/>
      <c r="AE159" s="39">
        <v>0</v>
      </c>
      <c r="AF159" s="39"/>
      <c r="AG159" s="39">
        <v>0</v>
      </c>
      <c r="AH159" s="39"/>
      <c r="AI159" s="41">
        <v>0</v>
      </c>
    </row>
    <row r="160" spans="1:35" x14ac:dyDescent="0.25">
      <c r="A160" s="34" t="s">
        <v>110</v>
      </c>
      <c r="B160" s="35" t="s">
        <v>1019</v>
      </c>
      <c r="C160" s="35" t="s">
        <v>1207</v>
      </c>
      <c r="D160" s="35">
        <v>32440</v>
      </c>
      <c r="E160" s="35" t="s">
        <v>1208</v>
      </c>
      <c r="F160" s="35" t="s">
        <v>1209</v>
      </c>
      <c r="G160" s="35" t="s">
        <v>174</v>
      </c>
      <c r="H160" s="35" t="s">
        <v>160</v>
      </c>
      <c r="I160" s="35" t="s">
        <v>217</v>
      </c>
      <c r="J160" s="35" t="s">
        <v>118</v>
      </c>
      <c r="K160" s="36">
        <v>46033</v>
      </c>
      <c r="L160" s="36">
        <v>46013</v>
      </c>
      <c r="M160" s="36">
        <v>46050</v>
      </c>
      <c r="N160" s="36"/>
      <c r="O160" s="36"/>
      <c r="P160" s="36"/>
      <c r="Q160" s="36"/>
      <c r="R160" s="35" t="s">
        <v>218</v>
      </c>
      <c r="S160" s="35" t="s">
        <v>1018</v>
      </c>
      <c r="T160" s="35" t="s">
        <v>1018</v>
      </c>
      <c r="U160" s="35" t="s">
        <v>82</v>
      </c>
      <c r="V160" s="35" t="s">
        <v>226</v>
      </c>
      <c r="W160" s="35" t="s">
        <v>123</v>
      </c>
      <c r="X160" s="35">
        <v>93379.41</v>
      </c>
      <c r="Y160" s="35">
        <v>16078.07</v>
      </c>
      <c r="Z160" s="35">
        <v>16078.07</v>
      </c>
      <c r="AA160" s="35">
        <v>0</v>
      </c>
      <c r="AB160" s="35"/>
      <c r="AC160" s="35">
        <v>0</v>
      </c>
      <c r="AD160" s="35"/>
      <c r="AE160" s="35">
        <v>0</v>
      </c>
      <c r="AF160" s="35"/>
      <c r="AG160" s="35">
        <v>0</v>
      </c>
      <c r="AH160" s="35"/>
      <c r="AI160" s="37">
        <v>0</v>
      </c>
    </row>
    <row r="161" spans="1:35" x14ac:dyDescent="0.25">
      <c r="A161" s="38" t="s">
        <v>110</v>
      </c>
      <c r="B161" s="39" t="s">
        <v>1019</v>
      </c>
      <c r="C161" s="39" t="s">
        <v>1207</v>
      </c>
      <c r="D161" s="39">
        <v>32440</v>
      </c>
      <c r="E161" s="39" t="s">
        <v>1983</v>
      </c>
      <c r="F161" s="39" t="s">
        <v>1984</v>
      </c>
      <c r="G161" s="39" t="s">
        <v>174</v>
      </c>
      <c r="H161" s="39" t="s">
        <v>160</v>
      </c>
      <c r="I161" s="39" t="s">
        <v>217</v>
      </c>
      <c r="J161" s="39" t="s">
        <v>141</v>
      </c>
      <c r="K161" s="40">
        <v>46033</v>
      </c>
      <c r="L161" s="40">
        <v>46013</v>
      </c>
      <c r="M161" s="40"/>
      <c r="N161" s="40"/>
      <c r="O161" s="40"/>
      <c r="P161" s="40"/>
      <c r="Q161" s="40"/>
      <c r="R161" s="39" t="s">
        <v>218</v>
      </c>
      <c r="S161" s="39" t="s">
        <v>1018</v>
      </c>
      <c r="T161" s="39" t="s">
        <v>1018</v>
      </c>
      <c r="U161" s="35" t="s">
        <v>82</v>
      </c>
      <c r="V161" s="39" t="s">
        <v>226</v>
      </c>
      <c r="W161" s="39" t="s">
        <v>123</v>
      </c>
      <c r="X161" s="39">
        <v>-18675.88</v>
      </c>
      <c r="Y161" s="39">
        <v>-3395.62</v>
      </c>
      <c r="Z161" s="39">
        <v>-3395.62</v>
      </c>
      <c r="AA161" s="39">
        <v>0</v>
      </c>
      <c r="AB161" s="39"/>
      <c r="AC161" s="39">
        <v>0</v>
      </c>
      <c r="AD161" s="39"/>
      <c r="AE161" s="39">
        <v>0</v>
      </c>
      <c r="AF161" s="39"/>
      <c r="AG161" s="39">
        <v>0</v>
      </c>
      <c r="AH161" s="39"/>
      <c r="AI161" s="41">
        <v>0</v>
      </c>
    </row>
    <row r="162" spans="1:35" x14ac:dyDescent="0.25">
      <c r="A162" s="34" t="s">
        <v>110</v>
      </c>
      <c r="B162" s="35" t="s">
        <v>424</v>
      </c>
      <c r="C162" s="35" t="s">
        <v>425</v>
      </c>
      <c r="D162" s="35">
        <v>20390</v>
      </c>
      <c r="E162" s="35" t="s">
        <v>426</v>
      </c>
      <c r="F162" s="35" t="s">
        <v>427</v>
      </c>
      <c r="G162" s="35" t="s">
        <v>174</v>
      </c>
      <c r="H162" s="35" t="s">
        <v>160</v>
      </c>
      <c r="I162" s="35" t="s">
        <v>217</v>
      </c>
      <c r="J162" s="35" t="s">
        <v>118</v>
      </c>
      <c r="K162" s="36">
        <v>46033</v>
      </c>
      <c r="L162" s="36">
        <v>46023</v>
      </c>
      <c r="M162" s="36">
        <v>46048</v>
      </c>
      <c r="N162" s="36"/>
      <c r="O162" s="36"/>
      <c r="P162" s="36"/>
      <c r="Q162" s="36">
        <v>46056</v>
      </c>
      <c r="R162" s="35" t="s">
        <v>218</v>
      </c>
      <c r="S162" s="35" t="s">
        <v>225</v>
      </c>
      <c r="T162" s="35" t="s">
        <v>225</v>
      </c>
      <c r="U162" s="35" t="s">
        <v>88</v>
      </c>
      <c r="V162" s="35" t="s">
        <v>226</v>
      </c>
      <c r="W162" s="35" t="s">
        <v>123</v>
      </c>
      <c r="X162" s="35">
        <v>31656.27</v>
      </c>
      <c r="Y162" s="35">
        <v>5755.69</v>
      </c>
      <c r="Z162" s="35">
        <v>5755.69</v>
      </c>
      <c r="AA162" s="35">
        <v>0</v>
      </c>
      <c r="AB162" s="35"/>
      <c r="AC162" s="35">
        <v>0</v>
      </c>
      <c r="AD162" s="35"/>
      <c r="AE162" s="35">
        <v>0</v>
      </c>
      <c r="AF162" s="35"/>
      <c r="AG162" s="35">
        <v>0</v>
      </c>
      <c r="AH162" s="35"/>
      <c r="AI162" s="37">
        <v>0</v>
      </c>
    </row>
    <row r="163" spans="1:35" x14ac:dyDescent="0.25">
      <c r="A163" s="38" t="s">
        <v>110</v>
      </c>
      <c r="B163" s="39" t="s">
        <v>239</v>
      </c>
      <c r="C163" s="39" t="s">
        <v>240</v>
      </c>
      <c r="D163" s="39">
        <v>30372</v>
      </c>
      <c r="E163" s="39" t="s">
        <v>241</v>
      </c>
      <c r="F163" s="39" t="s">
        <v>242</v>
      </c>
      <c r="G163" s="39" t="s">
        <v>174</v>
      </c>
      <c r="H163" s="39" t="s">
        <v>160</v>
      </c>
      <c r="I163" s="39" t="s">
        <v>217</v>
      </c>
      <c r="J163" s="39" t="s">
        <v>118</v>
      </c>
      <c r="K163" s="40">
        <v>46033</v>
      </c>
      <c r="L163" s="40">
        <v>46022</v>
      </c>
      <c r="M163" s="40">
        <v>46034</v>
      </c>
      <c r="N163" s="40"/>
      <c r="O163" s="40"/>
      <c r="P163" s="40"/>
      <c r="Q163" s="40">
        <v>46056</v>
      </c>
      <c r="R163" s="39" t="s">
        <v>218</v>
      </c>
      <c r="S163" s="39" t="s">
        <v>225</v>
      </c>
      <c r="T163" s="39" t="s">
        <v>225</v>
      </c>
      <c r="U163" s="35" t="s">
        <v>88</v>
      </c>
      <c r="V163" s="39" t="s">
        <v>226</v>
      </c>
      <c r="W163" s="39" t="s">
        <v>123</v>
      </c>
      <c r="X163" s="39">
        <v>878.41</v>
      </c>
      <c r="Y163" s="39">
        <v>159.71</v>
      </c>
      <c r="Z163" s="39">
        <v>159.71</v>
      </c>
      <c r="AA163" s="39">
        <v>0</v>
      </c>
      <c r="AB163" s="39"/>
      <c r="AC163" s="39">
        <v>0</v>
      </c>
      <c r="AD163" s="39"/>
      <c r="AE163" s="39">
        <v>0</v>
      </c>
      <c r="AF163" s="39"/>
      <c r="AG163" s="39">
        <v>0</v>
      </c>
      <c r="AH163" s="39"/>
      <c r="AI163" s="41">
        <v>0</v>
      </c>
    </row>
    <row r="164" spans="1:35" x14ac:dyDescent="0.25">
      <c r="A164" s="34" t="s">
        <v>110</v>
      </c>
      <c r="B164" s="35" t="s">
        <v>1216</v>
      </c>
      <c r="C164" s="35" t="s">
        <v>1217</v>
      </c>
      <c r="D164" s="35">
        <v>32530</v>
      </c>
      <c r="E164" s="35" t="s">
        <v>1218</v>
      </c>
      <c r="F164" s="35" t="s">
        <v>1219</v>
      </c>
      <c r="G164" s="35" t="s">
        <v>174</v>
      </c>
      <c r="H164" s="35" t="s">
        <v>160</v>
      </c>
      <c r="I164" s="35" t="s">
        <v>217</v>
      </c>
      <c r="J164" s="35" t="s">
        <v>118</v>
      </c>
      <c r="K164" s="36">
        <v>46033</v>
      </c>
      <c r="L164" s="36">
        <v>46013</v>
      </c>
      <c r="M164" s="36">
        <v>46055</v>
      </c>
      <c r="N164" s="36"/>
      <c r="O164" s="36"/>
      <c r="P164" s="36"/>
      <c r="Q164" s="36"/>
      <c r="R164" s="35" t="s">
        <v>218</v>
      </c>
      <c r="S164" s="35" t="s">
        <v>1018</v>
      </c>
      <c r="T164" s="35" t="s">
        <v>1018</v>
      </c>
      <c r="U164" s="35" t="s">
        <v>82</v>
      </c>
      <c r="V164" s="35" t="s">
        <v>226</v>
      </c>
      <c r="W164" s="35" t="s">
        <v>123</v>
      </c>
      <c r="X164" s="35">
        <v>40305.21</v>
      </c>
      <c r="Y164" s="35">
        <v>7328.22</v>
      </c>
      <c r="Z164" s="35">
        <v>7328.22</v>
      </c>
      <c r="AA164" s="35">
        <v>0</v>
      </c>
      <c r="AB164" s="35"/>
      <c r="AC164" s="35">
        <v>0</v>
      </c>
      <c r="AD164" s="35"/>
      <c r="AE164" s="35">
        <v>0</v>
      </c>
      <c r="AF164" s="35"/>
      <c r="AG164" s="35">
        <v>0</v>
      </c>
      <c r="AH164" s="35"/>
      <c r="AI164" s="37">
        <v>0</v>
      </c>
    </row>
    <row r="165" spans="1:35" x14ac:dyDescent="0.25">
      <c r="A165" s="38" t="s">
        <v>110</v>
      </c>
      <c r="B165" s="39" t="s">
        <v>1216</v>
      </c>
      <c r="C165" s="39" t="s">
        <v>1217</v>
      </c>
      <c r="D165" s="39">
        <v>32530</v>
      </c>
      <c r="E165" s="39" t="s">
        <v>1985</v>
      </c>
      <c r="F165" s="39" t="s">
        <v>1986</v>
      </c>
      <c r="G165" s="39" t="s">
        <v>174</v>
      </c>
      <c r="H165" s="39" t="s">
        <v>160</v>
      </c>
      <c r="I165" s="39" t="s">
        <v>217</v>
      </c>
      <c r="J165" s="39" t="s">
        <v>141</v>
      </c>
      <c r="K165" s="40">
        <v>46033</v>
      </c>
      <c r="L165" s="40">
        <v>46013</v>
      </c>
      <c r="M165" s="40"/>
      <c r="N165" s="40"/>
      <c r="O165" s="40"/>
      <c r="P165" s="40"/>
      <c r="Q165" s="40"/>
      <c r="R165" s="39" t="s">
        <v>218</v>
      </c>
      <c r="S165" s="39" t="s">
        <v>1018</v>
      </c>
      <c r="T165" s="39" t="s">
        <v>1018</v>
      </c>
      <c r="U165" s="35" t="s">
        <v>82</v>
      </c>
      <c r="V165" s="39" t="s">
        <v>226</v>
      </c>
      <c r="W165" s="39" t="s">
        <v>123</v>
      </c>
      <c r="X165" s="39">
        <v>-8061.07</v>
      </c>
      <c r="Y165" s="39">
        <v>-1465.64</v>
      </c>
      <c r="Z165" s="39">
        <v>-1465.64</v>
      </c>
      <c r="AA165" s="39">
        <v>0</v>
      </c>
      <c r="AB165" s="39"/>
      <c r="AC165" s="39">
        <v>0</v>
      </c>
      <c r="AD165" s="39"/>
      <c r="AE165" s="39">
        <v>0</v>
      </c>
      <c r="AF165" s="39"/>
      <c r="AG165" s="39">
        <v>0</v>
      </c>
      <c r="AH165" s="39"/>
      <c r="AI165" s="41">
        <v>0</v>
      </c>
    </row>
    <row r="166" spans="1:35" x14ac:dyDescent="0.25">
      <c r="A166" s="34" t="s">
        <v>110</v>
      </c>
      <c r="B166" s="35" t="s">
        <v>1026</v>
      </c>
      <c r="C166" s="35" t="s">
        <v>1027</v>
      </c>
      <c r="D166" s="35">
        <v>32187</v>
      </c>
      <c r="E166" s="35" t="s">
        <v>1028</v>
      </c>
      <c r="F166" s="35" t="s">
        <v>1029</v>
      </c>
      <c r="G166" s="35" t="s">
        <v>174</v>
      </c>
      <c r="H166" s="35" t="s">
        <v>160</v>
      </c>
      <c r="I166" s="35" t="s">
        <v>217</v>
      </c>
      <c r="J166" s="35" t="s">
        <v>118</v>
      </c>
      <c r="K166" s="36">
        <v>46033</v>
      </c>
      <c r="L166" s="36">
        <v>45957</v>
      </c>
      <c r="M166" s="36">
        <v>46055</v>
      </c>
      <c r="N166" s="36"/>
      <c r="O166" s="36"/>
      <c r="P166" s="36"/>
      <c r="Q166" s="36">
        <v>46068</v>
      </c>
      <c r="R166" s="35" t="s">
        <v>218</v>
      </c>
      <c r="S166" s="35" t="s">
        <v>1018</v>
      </c>
      <c r="T166" s="35" t="s">
        <v>1018</v>
      </c>
      <c r="U166" s="35" t="s">
        <v>82</v>
      </c>
      <c r="V166" s="35" t="s">
        <v>226</v>
      </c>
      <c r="W166" s="35" t="s">
        <v>123</v>
      </c>
      <c r="X166" s="35">
        <v>859.33</v>
      </c>
      <c r="Y166" s="35">
        <v>156.24</v>
      </c>
      <c r="Z166" s="35">
        <v>156.24</v>
      </c>
      <c r="AA166" s="35">
        <v>0</v>
      </c>
      <c r="AB166" s="35"/>
      <c r="AC166" s="35">
        <v>0</v>
      </c>
      <c r="AD166" s="35"/>
      <c r="AE166" s="35">
        <v>0</v>
      </c>
      <c r="AF166" s="35"/>
      <c r="AG166" s="35">
        <v>0</v>
      </c>
      <c r="AH166" s="35"/>
      <c r="AI166" s="37">
        <v>0</v>
      </c>
    </row>
    <row r="167" spans="1:35" x14ac:dyDescent="0.25">
      <c r="A167" s="38" t="s">
        <v>110</v>
      </c>
      <c r="B167" s="39" t="s">
        <v>1026</v>
      </c>
      <c r="C167" s="39" t="s">
        <v>1027</v>
      </c>
      <c r="D167" s="39">
        <v>32187</v>
      </c>
      <c r="E167" s="39" t="s">
        <v>1826</v>
      </c>
      <c r="F167" s="39" t="s">
        <v>1827</v>
      </c>
      <c r="G167" s="39" t="s">
        <v>174</v>
      </c>
      <c r="H167" s="39" t="s">
        <v>160</v>
      </c>
      <c r="I167" s="39" t="s">
        <v>217</v>
      </c>
      <c r="J167" s="39" t="s">
        <v>141</v>
      </c>
      <c r="K167" s="40">
        <v>46033</v>
      </c>
      <c r="L167" s="40">
        <v>45957</v>
      </c>
      <c r="M167" s="40"/>
      <c r="N167" s="40"/>
      <c r="O167" s="40"/>
      <c r="P167" s="40"/>
      <c r="Q167" s="40">
        <v>46068</v>
      </c>
      <c r="R167" s="39" t="s">
        <v>218</v>
      </c>
      <c r="S167" s="39" t="s">
        <v>1018</v>
      </c>
      <c r="T167" s="39" t="s">
        <v>1018</v>
      </c>
      <c r="U167" s="35" t="s">
        <v>82</v>
      </c>
      <c r="V167" s="39" t="s">
        <v>226</v>
      </c>
      <c r="W167" s="39" t="s">
        <v>123</v>
      </c>
      <c r="X167" s="39">
        <v>-171.87</v>
      </c>
      <c r="Y167" s="39">
        <v>-31.25</v>
      </c>
      <c r="Z167" s="39">
        <v>-31.25</v>
      </c>
      <c r="AA167" s="39">
        <v>0</v>
      </c>
      <c r="AB167" s="39"/>
      <c r="AC167" s="39">
        <v>0</v>
      </c>
      <c r="AD167" s="39"/>
      <c r="AE167" s="39">
        <v>0</v>
      </c>
      <c r="AF167" s="39"/>
      <c r="AG167" s="39">
        <v>0</v>
      </c>
      <c r="AH167" s="39"/>
      <c r="AI167" s="41">
        <v>0</v>
      </c>
    </row>
    <row r="168" spans="1:35" x14ac:dyDescent="0.25">
      <c r="A168" s="34" t="s">
        <v>110</v>
      </c>
      <c r="B168" s="35" t="s">
        <v>886</v>
      </c>
      <c r="C168" s="35" t="s">
        <v>887</v>
      </c>
      <c r="D168" s="35">
        <v>14580</v>
      </c>
      <c r="E168" s="35" t="s">
        <v>888</v>
      </c>
      <c r="F168" s="35" t="s">
        <v>889</v>
      </c>
      <c r="G168" s="35" t="s">
        <v>115</v>
      </c>
      <c r="H168" s="35" t="s">
        <v>116</v>
      </c>
      <c r="I168" s="35" t="s">
        <v>117</v>
      </c>
      <c r="J168" s="35" t="s">
        <v>118</v>
      </c>
      <c r="K168" s="36">
        <v>46034</v>
      </c>
      <c r="L168" s="36">
        <v>46023</v>
      </c>
      <c r="M168" s="36">
        <v>46023</v>
      </c>
      <c r="N168" s="36"/>
      <c r="O168" s="36"/>
      <c r="P168" s="36"/>
      <c r="Q168" s="36">
        <v>46051</v>
      </c>
      <c r="R168" s="35" t="s">
        <v>119</v>
      </c>
      <c r="S168" s="35" t="s">
        <v>574</v>
      </c>
      <c r="T168" s="35" t="s">
        <v>129</v>
      </c>
      <c r="U168" s="35" t="s">
        <v>90</v>
      </c>
      <c r="V168" s="35" t="s">
        <v>569</v>
      </c>
      <c r="W168" s="35" t="s">
        <v>123</v>
      </c>
      <c r="X168" s="35">
        <v>304.58</v>
      </c>
      <c r="Y168" s="35">
        <v>27.41</v>
      </c>
      <c r="Z168" s="35">
        <v>27.41</v>
      </c>
      <c r="AA168" s="35">
        <v>0</v>
      </c>
      <c r="AB168" s="35"/>
      <c r="AC168" s="35">
        <v>0</v>
      </c>
      <c r="AD168" s="35"/>
      <c r="AE168" s="35">
        <v>0</v>
      </c>
      <c r="AF168" s="35"/>
      <c r="AG168" s="35">
        <v>0</v>
      </c>
      <c r="AH168" s="35"/>
      <c r="AI168" s="37">
        <v>0</v>
      </c>
    </row>
    <row r="169" spans="1:35" x14ac:dyDescent="0.25">
      <c r="A169" s="38" t="s">
        <v>110</v>
      </c>
      <c r="B169" s="39" t="s">
        <v>828</v>
      </c>
      <c r="C169" s="39" t="s">
        <v>829</v>
      </c>
      <c r="D169" s="39">
        <v>5137</v>
      </c>
      <c r="E169" s="39" t="s">
        <v>830</v>
      </c>
      <c r="F169" s="39" t="s">
        <v>831</v>
      </c>
      <c r="G169" s="39" t="s">
        <v>115</v>
      </c>
      <c r="H169" s="39" t="s">
        <v>116</v>
      </c>
      <c r="I169" s="39" t="s">
        <v>117</v>
      </c>
      <c r="J169" s="39" t="s">
        <v>118</v>
      </c>
      <c r="K169" s="40">
        <v>46034</v>
      </c>
      <c r="L169" s="40">
        <v>46023</v>
      </c>
      <c r="M169" s="40">
        <v>46023</v>
      </c>
      <c r="N169" s="40"/>
      <c r="O169" s="40"/>
      <c r="P169" s="40">
        <v>46044</v>
      </c>
      <c r="Q169" s="40">
        <v>46051</v>
      </c>
      <c r="R169" s="39" t="s">
        <v>119</v>
      </c>
      <c r="S169" s="39" t="s">
        <v>817</v>
      </c>
      <c r="T169" s="39" t="s">
        <v>607</v>
      </c>
      <c r="U169" s="35" t="s">
        <v>89</v>
      </c>
      <c r="V169" s="39" t="s">
        <v>569</v>
      </c>
      <c r="W169" s="39" t="s">
        <v>123</v>
      </c>
      <c r="X169" s="39">
        <v>201.38</v>
      </c>
      <c r="Y169" s="39">
        <v>16.11</v>
      </c>
      <c r="Z169" s="39">
        <v>16.11</v>
      </c>
      <c r="AA169" s="39">
        <v>0</v>
      </c>
      <c r="AB169" s="39"/>
      <c r="AC169" s="39">
        <v>0</v>
      </c>
      <c r="AD169" s="39" t="s">
        <v>130</v>
      </c>
      <c r="AE169" s="39">
        <v>0</v>
      </c>
      <c r="AF169" s="39"/>
      <c r="AG169" s="39">
        <v>0</v>
      </c>
      <c r="AH169" s="39"/>
      <c r="AI169" s="41">
        <v>0</v>
      </c>
    </row>
    <row r="170" spans="1:35" x14ac:dyDescent="0.25">
      <c r="A170" s="34" t="s">
        <v>110</v>
      </c>
      <c r="B170" s="35" t="s">
        <v>818</v>
      </c>
      <c r="C170" s="35" t="s">
        <v>819</v>
      </c>
      <c r="D170" s="35">
        <v>5117</v>
      </c>
      <c r="E170" s="35" t="s">
        <v>820</v>
      </c>
      <c r="F170" s="35" t="s">
        <v>821</v>
      </c>
      <c r="G170" s="35" t="s">
        <v>115</v>
      </c>
      <c r="H170" s="35" t="s">
        <v>116</v>
      </c>
      <c r="I170" s="35" t="s">
        <v>117</v>
      </c>
      <c r="J170" s="35" t="s">
        <v>118</v>
      </c>
      <c r="K170" s="36">
        <v>46034</v>
      </c>
      <c r="L170" s="36">
        <v>46023</v>
      </c>
      <c r="M170" s="36">
        <v>46023</v>
      </c>
      <c r="N170" s="36"/>
      <c r="O170" s="36"/>
      <c r="P170" s="36">
        <v>46044</v>
      </c>
      <c r="Q170" s="36">
        <v>46051</v>
      </c>
      <c r="R170" s="35" t="s">
        <v>119</v>
      </c>
      <c r="S170" s="35" t="s">
        <v>817</v>
      </c>
      <c r="T170" s="35" t="s">
        <v>607</v>
      </c>
      <c r="U170" s="35" t="s">
        <v>89</v>
      </c>
      <c r="V170" s="35" t="s">
        <v>569</v>
      </c>
      <c r="W170" s="35" t="s">
        <v>123</v>
      </c>
      <c r="X170" s="35">
        <v>552.38</v>
      </c>
      <c r="Y170" s="35">
        <v>44.19</v>
      </c>
      <c r="Z170" s="35">
        <v>44.19</v>
      </c>
      <c r="AA170" s="35">
        <v>0</v>
      </c>
      <c r="AB170" s="35"/>
      <c r="AC170" s="35">
        <v>0</v>
      </c>
      <c r="AD170" s="35" t="s">
        <v>130</v>
      </c>
      <c r="AE170" s="35">
        <v>0</v>
      </c>
      <c r="AF170" s="35"/>
      <c r="AG170" s="35">
        <v>0</v>
      </c>
      <c r="AH170" s="35"/>
      <c r="AI170" s="37">
        <v>0</v>
      </c>
    </row>
    <row r="171" spans="1:35" x14ac:dyDescent="0.25">
      <c r="A171" s="38" t="s">
        <v>110</v>
      </c>
      <c r="B171" s="39" t="s">
        <v>902</v>
      </c>
      <c r="C171" s="39" t="s">
        <v>903</v>
      </c>
      <c r="D171" s="39">
        <v>23198</v>
      </c>
      <c r="E171" s="39" t="s">
        <v>904</v>
      </c>
      <c r="F171" s="39" t="s">
        <v>905</v>
      </c>
      <c r="G171" s="39" t="s">
        <v>115</v>
      </c>
      <c r="H171" s="39" t="s">
        <v>116</v>
      </c>
      <c r="I171" s="39" t="s">
        <v>117</v>
      </c>
      <c r="J171" s="39" t="s">
        <v>118</v>
      </c>
      <c r="K171" s="40">
        <v>46034</v>
      </c>
      <c r="L171" s="40">
        <v>46023</v>
      </c>
      <c r="M171" s="40">
        <v>46023</v>
      </c>
      <c r="N171" s="40"/>
      <c r="O171" s="40"/>
      <c r="P171" s="40"/>
      <c r="Q171" s="40">
        <v>46051</v>
      </c>
      <c r="R171" s="39" t="s">
        <v>119</v>
      </c>
      <c r="S171" s="39" t="s">
        <v>899</v>
      </c>
      <c r="T171" s="39" t="s">
        <v>129</v>
      </c>
      <c r="U171" s="35" t="s">
        <v>90</v>
      </c>
      <c r="V171" s="39" t="s">
        <v>569</v>
      </c>
      <c r="W171" s="39" t="s">
        <v>123</v>
      </c>
      <c r="X171" s="39">
        <v>85.13</v>
      </c>
      <c r="Y171" s="39">
        <v>7.66</v>
      </c>
      <c r="Z171" s="39">
        <v>7.66</v>
      </c>
      <c r="AA171" s="39">
        <v>0</v>
      </c>
      <c r="AB171" s="39"/>
      <c r="AC171" s="39">
        <v>0</v>
      </c>
      <c r="AD171" s="39"/>
      <c r="AE171" s="39">
        <v>0</v>
      </c>
      <c r="AF171" s="39"/>
      <c r="AG171" s="39">
        <v>0</v>
      </c>
      <c r="AH171" s="39"/>
      <c r="AI171" s="41">
        <v>0</v>
      </c>
    </row>
    <row r="172" spans="1:35" x14ac:dyDescent="0.25">
      <c r="A172" s="34" t="s">
        <v>110</v>
      </c>
      <c r="B172" s="35" t="s">
        <v>862</v>
      </c>
      <c r="C172" s="35" t="s">
        <v>863</v>
      </c>
      <c r="D172" s="35">
        <v>12698</v>
      </c>
      <c r="E172" s="35" t="s">
        <v>864</v>
      </c>
      <c r="F172" s="35" t="s">
        <v>865</v>
      </c>
      <c r="G172" s="35" t="s">
        <v>115</v>
      </c>
      <c r="H172" s="35" t="s">
        <v>116</v>
      </c>
      <c r="I172" s="35" t="s">
        <v>117</v>
      </c>
      <c r="J172" s="35" t="s">
        <v>118</v>
      </c>
      <c r="K172" s="36">
        <v>46034</v>
      </c>
      <c r="L172" s="36">
        <v>46023</v>
      </c>
      <c r="M172" s="36">
        <v>46023</v>
      </c>
      <c r="N172" s="36"/>
      <c r="O172" s="36"/>
      <c r="P172" s="36"/>
      <c r="Q172" s="36">
        <v>46051</v>
      </c>
      <c r="R172" s="35" t="s">
        <v>119</v>
      </c>
      <c r="S172" s="35" t="s">
        <v>568</v>
      </c>
      <c r="T172" s="35" t="s">
        <v>568</v>
      </c>
      <c r="U172" s="35" t="s">
        <v>90</v>
      </c>
      <c r="V172" s="35" t="s">
        <v>569</v>
      </c>
      <c r="W172" s="35" t="s">
        <v>123</v>
      </c>
      <c r="X172" s="35">
        <v>33.020000000000003</v>
      </c>
      <c r="Y172" s="35">
        <v>2.97</v>
      </c>
      <c r="Z172" s="35">
        <v>2.97</v>
      </c>
      <c r="AA172" s="35">
        <v>0</v>
      </c>
      <c r="AB172" s="35"/>
      <c r="AC172" s="35">
        <v>0</v>
      </c>
      <c r="AD172" s="35"/>
      <c r="AE172" s="35">
        <v>0</v>
      </c>
      <c r="AF172" s="35"/>
      <c r="AG172" s="35">
        <v>0</v>
      </c>
      <c r="AH172" s="35"/>
      <c r="AI172" s="37">
        <v>0</v>
      </c>
    </row>
    <row r="173" spans="1:35" x14ac:dyDescent="0.25">
      <c r="A173" s="38" t="s">
        <v>110</v>
      </c>
      <c r="B173" s="39" t="s">
        <v>813</v>
      </c>
      <c r="C173" s="39" t="s">
        <v>814</v>
      </c>
      <c r="D173" s="39">
        <v>5084</v>
      </c>
      <c r="E173" s="39" t="s">
        <v>815</v>
      </c>
      <c r="F173" s="39" t="s">
        <v>816</v>
      </c>
      <c r="G173" s="39" t="s">
        <v>115</v>
      </c>
      <c r="H173" s="39" t="s">
        <v>116</v>
      </c>
      <c r="I173" s="39" t="s">
        <v>117</v>
      </c>
      <c r="J173" s="39" t="s">
        <v>118</v>
      </c>
      <c r="K173" s="40">
        <v>46034</v>
      </c>
      <c r="L173" s="40">
        <v>46023</v>
      </c>
      <c r="M173" s="40">
        <v>46023</v>
      </c>
      <c r="N173" s="40"/>
      <c r="O173" s="40"/>
      <c r="P173" s="40">
        <v>46044</v>
      </c>
      <c r="Q173" s="40">
        <v>46051</v>
      </c>
      <c r="R173" s="39" t="s">
        <v>119</v>
      </c>
      <c r="S173" s="39" t="s">
        <v>817</v>
      </c>
      <c r="T173" s="39" t="s">
        <v>607</v>
      </c>
      <c r="U173" s="35" t="s">
        <v>89</v>
      </c>
      <c r="V173" s="39" t="s">
        <v>569</v>
      </c>
      <c r="W173" s="39" t="s">
        <v>123</v>
      </c>
      <c r="X173" s="39">
        <v>414.52</v>
      </c>
      <c r="Y173" s="39">
        <v>33.159999999999997</v>
      </c>
      <c r="Z173" s="39">
        <v>33.159999999999997</v>
      </c>
      <c r="AA173" s="39">
        <v>0</v>
      </c>
      <c r="AB173" s="39"/>
      <c r="AC173" s="39">
        <v>0</v>
      </c>
      <c r="AD173" s="39" t="s">
        <v>130</v>
      </c>
      <c r="AE173" s="39">
        <v>0</v>
      </c>
      <c r="AF173" s="39"/>
      <c r="AG173" s="39">
        <v>0</v>
      </c>
      <c r="AH173" s="39"/>
      <c r="AI173" s="41">
        <v>0</v>
      </c>
    </row>
    <row r="174" spans="1:35" x14ac:dyDescent="0.25">
      <c r="A174" s="34" t="s">
        <v>110</v>
      </c>
      <c r="B174" s="35" t="s">
        <v>890</v>
      </c>
      <c r="C174" s="35" t="s">
        <v>891</v>
      </c>
      <c r="D174" s="35">
        <v>20438</v>
      </c>
      <c r="E174" s="35" t="s">
        <v>892</v>
      </c>
      <c r="F174" s="35" t="s">
        <v>893</v>
      </c>
      <c r="G174" s="35" t="s">
        <v>115</v>
      </c>
      <c r="H174" s="35" t="s">
        <v>116</v>
      </c>
      <c r="I174" s="35" t="s">
        <v>117</v>
      </c>
      <c r="J174" s="35" t="s">
        <v>118</v>
      </c>
      <c r="K174" s="36">
        <v>46034</v>
      </c>
      <c r="L174" s="36">
        <v>46023</v>
      </c>
      <c r="M174" s="36">
        <v>46023</v>
      </c>
      <c r="N174" s="36"/>
      <c r="O174" s="36"/>
      <c r="P174" s="36"/>
      <c r="Q174" s="36">
        <v>46051</v>
      </c>
      <c r="R174" s="35" t="s">
        <v>119</v>
      </c>
      <c r="S174" s="35" t="s">
        <v>894</v>
      </c>
      <c r="T174" s="35" t="s">
        <v>135</v>
      </c>
      <c r="U174" s="35" t="s">
        <v>90</v>
      </c>
      <c r="V174" s="35" t="s">
        <v>569</v>
      </c>
      <c r="W174" s="35" t="s">
        <v>123</v>
      </c>
      <c r="X174" s="35">
        <v>795.03</v>
      </c>
      <c r="Y174" s="35">
        <v>71.56</v>
      </c>
      <c r="Z174" s="35">
        <v>71.56</v>
      </c>
      <c r="AA174" s="35">
        <v>0</v>
      </c>
      <c r="AB174" s="35"/>
      <c r="AC174" s="35">
        <v>0</v>
      </c>
      <c r="AD174" s="35"/>
      <c r="AE174" s="35">
        <v>0</v>
      </c>
      <c r="AF174" s="35"/>
      <c r="AG174" s="35">
        <v>0</v>
      </c>
      <c r="AH174" s="35"/>
      <c r="AI174" s="37">
        <v>0</v>
      </c>
    </row>
    <row r="175" spans="1:35" x14ac:dyDescent="0.25">
      <c r="A175" s="38" t="s">
        <v>110</v>
      </c>
      <c r="B175" s="39" t="s">
        <v>895</v>
      </c>
      <c r="C175" s="39" t="s">
        <v>896</v>
      </c>
      <c r="D175" s="39">
        <v>20804</v>
      </c>
      <c r="E175" s="39" t="s">
        <v>897</v>
      </c>
      <c r="F175" s="39" t="s">
        <v>898</v>
      </c>
      <c r="G175" s="39" t="s">
        <v>115</v>
      </c>
      <c r="H175" s="39" t="s">
        <v>116</v>
      </c>
      <c r="I175" s="39" t="s">
        <v>117</v>
      </c>
      <c r="J175" s="39" t="s">
        <v>118</v>
      </c>
      <c r="K175" s="40">
        <v>46034</v>
      </c>
      <c r="L175" s="40">
        <v>46023</v>
      </c>
      <c r="M175" s="40">
        <v>46023</v>
      </c>
      <c r="N175" s="40"/>
      <c r="O175" s="40"/>
      <c r="P175" s="40"/>
      <c r="Q175" s="40">
        <v>46051</v>
      </c>
      <c r="R175" s="39" t="s">
        <v>119</v>
      </c>
      <c r="S175" s="39" t="s">
        <v>899</v>
      </c>
      <c r="T175" s="39" t="s">
        <v>129</v>
      </c>
      <c r="U175" s="35" t="s">
        <v>90</v>
      </c>
      <c r="V175" s="39" t="s">
        <v>569</v>
      </c>
      <c r="W175" s="39" t="s">
        <v>123</v>
      </c>
      <c r="X175" s="39">
        <v>310.85000000000002</v>
      </c>
      <c r="Y175" s="39">
        <v>27.97</v>
      </c>
      <c r="Z175" s="39">
        <v>27.97</v>
      </c>
      <c r="AA175" s="39">
        <v>0</v>
      </c>
      <c r="AB175" s="39"/>
      <c r="AC175" s="39">
        <v>0</v>
      </c>
      <c r="AD175" s="39"/>
      <c r="AE175" s="39">
        <v>0</v>
      </c>
      <c r="AF175" s="39"/>
      <c r="AG175" s="39">
        <v>0</v>
      </c>
      <c r="AH175" s="39"/>
      <c r="AI175" s="41">
        <v>0</v>
      </c>
    </row>
    <row r="176" spans="1:35" x14ac:dyDescent="0.25">
      <c r="A176" s="34" t="s">
        <v>110</v>
      </c>
      <c r="B176" s="35" t="s">
        <v>874</v>
      </c>
      <c r="C176" s="35" t="s">
        <v>875</v>
      </c>
      <c r="D176" s="35">
        <v>13398</v>
      </c>
      <c r="E176" s="35" t="s">
        <v>876</v>
      </c>
      <c r="F176" s="35" t="s">
        <v>877</v>
      </c>
      <c r="G176" s="35" t="s">
        <v>115</v>
      </c>
      <c r="H176" s="35" t="s">
        <v>116</v>
      </c>
      <c r="I176" s="35" t="s">
        <v>117</v>
      </c>
      <c r="J176" s="35" t="s">
        <v>118</v>
      </c>
      <c r="K176" s="36">
        <v>46034</v>
      </c>
      <c r="L176" s="36">
        <v>46023</v>
      </c>
      <c r="M176" s="36">
        <v>46023</v>
      </c>
      <c r="N176" s="36"/>
      <c r="O176" s="36"/>
      <c r="P176" s="36"/>
      <c r="Q176" s="36">
        <v>46051</v>
      </c>
      <c r="R176" s="35" t="s">
        <v>119</v>
      </c>
      <c r="S176" s="35" t="s">
        <v>574</v>
      </c>
      <c r="T176" s="35" t="s">
        <v>129</v>
      </c>
      <c r="U176" s="35" t="s">
        <v>90</v>
      </c>
      <c r="V176" s="35" t="s">
        <v>569</v>
      </c>
      <c r="W176" s="35" t="s">
        <v>123</v>
      </c>
      <c r="X176" s="35">
        <v>367.7</v>
      </c>
      <c r="Y176" s="35">
        <v>33.090000000000003</v>
      </c>
      <c r="Z176" s="35">
        <v>33.090000000000003</v>
      </c>
      <c r="AA176" s="35">
        <v>0</v>
      </c>
      <c r="AB176" s="35"/>
      <c r="AC176" s="35">
        <v>0</v>
      </c>
      <c r="AD176" s="35"/>
      <c r="AE176" s="35">
        <v>0</v>
      </c>
      <c r="AF176" s="35"/>
      <c r="AG176" s="35">
        <v>0</v>
      </c>
      <c r="AH176" s="35"/>
      <c r="AI176" s="37">
        <v>0</v>
      </c>
    </row>
    <row r="177" spans="1:35" x14ac:dyDescent="0.25">
      <c r="A177" s="38" t="s">
        <v>110</v>
      </c>
      <c r="B177" s="39" t="s">
        <v>868</v>
      </c>
      <c r="C177" s="39" t="s">
        <v>869</v>
      </c>
      <c r="D177" s="39">
        <v>13160</v>
      </c>
      <c r="E177" s="39" t="s">
        <v>870</v>
      </c>
      <c r="F177" s="39" t="s">
        <v>871</v>
      </c>
      <c r="G177" s="39" t="s">
        <v>115</v>
      </c>
      <c r="H177" s="39" t="s">
        <v>116</v>
      </c>
      <c r="I177" s="39" t="s">
        <v>117</v>
      </c>
      <c r="J177" s="39" t="s">
        <v>118</v>
      </c>
      <c r="K177" s="40">
        <v>46034</v>
      </c>
      <c r="L177" s="40">
        <v>46023</v>
      </c>
      <c r="M177" s="40">
        <v>46023</v>
      </c>
      <c r="N177" s="40"/>
      <c r="O177" s="40"/>
      <c r="P177" s="40"/>
      <c r="Q177" s="40">
        <v>46051</v>
      </c>
      <c r="R177" s="39" t="s">
        <v>119</v>
      </c>
      <c r="S177" s="39" t="s">
        <v>574</v>
      </c>
      <c r="T177" s="39" t="s">
        <v>129</v>
      </c>
      <c r="U177" s="35" t="s">
        <v>90</v>
      </c>
      <c r="V177" s="39" t="s">
        <v>569</v>
      </c>
      <c r="W177" s="39" t="s">
        <v>123</v>
      </c>
      <c r="X177" s="39">
        <v>202.27</v>
      </c>
      <c r="Y177" s="39">
        <v>18.2</v>
      </c>
      <c r="Z177" s="39">
        <v>18.2</v>
      </c>
      <c r="AA177" s="39">
        <v>0</v>
      </c>
      <c r="AB177" s="39"/>
      <c r="AC177" s="39">
        <v>0</v>
      </c>
      <c r="AD177" s="39"/>
      <c r="AE177" s="39">
        <v>0</v>
      </c>
      <c r="AF177" s="39"/>
      <c r="AG177" s="39">
        <v>0</v>
      </c>
      <c r="AH177" s="39"/>
      <c r="AI177" s="41">
        <v>0</v>
      </c>
    </row>
    <row r="178" spans="1:35" x14ac:dyDescent="0.25">
      <c r="A178" s="34" t="s">
        <v>110</v>
      </c>
      <c r="B178" s="35" t="s">
        <v>317</v>
      </c>
      <c r="C178" s="35" t="s">
        <v>318</v>
      </c>
      <c r="D178" s="35">
        <v>32531</v>
      </c>
      <c r="E178" s="35" t="s">
        <v>319</v>
      </c>
      <c r="F178" s="35" t="s">
        <v>320</v>
      </c>
      <c r="G178" s="35" t="s">
        <v>174</v>
      </c>
      <c r="H178" s="35" t="s">
        <v>160</v>
      </c>
      <c r="I178" s="35" t="s">
        <v>217</v>
      </c>
      <c r="J178" s="35" t="s">
        <v>118</v>
      </c>
      <c r="K178" s="36">
        <v>46034</v>
      </c>
      <c r="L178" s="36">
        <v>46023</v>
      </c>
      <c r="M178" s="36">
        <v>46035</v>
      </c>
      <c r="N178" s="36"/>
      <c r="O178" s="36"/>
      <c r="P178" s="36"/>
      <c r="Q178" s="36">
        <v>46056</v>
      </c>
      <c r="R178" s="35" t="s">
        <v>218</v>
      </c>
      <c r="S178" s="35" t="s">
        <v>225</v>
      </c>
      <c r="T178" s="35" t="s">
        <v>225</v>
      </c>
      <c r="U178" s="35" t="s">
        <v>88</v>
      </c>
      <c r="V178" s="35" t="s">
        <v>226</v>
      </c>
      <c r="W178" s="35" t="s">
        <v>123</v>
      </c>
      <c r="X178" s="35">
        <v>2364.14</v>
      </c>
      <c r="Y178" s="35">
        <v>429.84</v>
      </c>
      <c r="Z178" s="35">
        <v>429.84</v>
      </c>
      <c r="AA178" s="35">
        <v>0</v>
      </c>
      <c r="AB178" s="35"/>
      <c r="AC178" s="35">
        <v>0</v>
      </c>
      <c r="AD178" s="35"/>
      <c r="AE178" s="35">
        <v>0</v>
      </c>
      <c r="AF178" s="35"/>
      <c r="AG178" s="35">
        <v>0</v>
      </c>
      <c r="AH178" s="35"/>
      <c r="AI178" s="37">
        <v>0</v>
      </c>
    </row>
    <row r="179" spans="1:35" x14ac:dyDescent="0.25">
      <c r="A179" s="38" t="s">
        <v>110</v>
      </c>
      <c r="B179" s="39" t="s">
        <v>329</v>
      </c>
      <c r="C179" s="39" t="s">
        <v>330</v>
      </c>
      <c r="D179" s="39">
        <v>32395</v>
      </c>
      <c r="E179" s="39" t="s">
        <v>331</v>
      </c>
      <c r="F179" s="39" t="s">
        <v>332</v>
      </c>
      <c r="G179" s="39" t="s">
        <v>174</v>
      </c>
      <c r="H179" s="39" t="s">
        <v>160</v>
      </c>
      <c r="I179" s="39" t="s">
        <v>217</v>
      </c>
      <c r="J179" s="39" t="s">
        <v>118</v>
      </c>
      <c r="K179" s="40">
        <v>46034</v>
      </c>
      <c r="L179" s="40">
        <v>46037</v>
      </c>
      <c r="M179" s="40">
        <v>46040</v>
      </c>
      <c r="N179" s="40"/>
      <c r="O179" s="40"/>
      <c r="P179" s="40">
        <v>46044</v>
      </c>
      <c r="Q179" s="40">
        <v>46056</v>
      </c>
      <c r="R179" s="39" t="s">
        <v>218</v>
      </c>
      <c r="S179" s="39" t="s">
        <v>225</v>
      </c>
      <c r="T179" s="39" t="s">
        <v>225</v>
      </c>
      <c r="U179" s="35" t="s">
        <v>88</v>
      </c>
      <c r="V179" s="39" t="s">
        <v>226</v>
      </c>
      <c r="W179" s="39" t="s">
        <v>123</v>
      </c>
      <c r="X179" s="39">
        <v>508.55</v>
      </c>
      <c r="Y179" s="39">
        <v>92.46</v>
      </c>
      <c r="Z179" s="39">
        <v>92.46</v>
      </c>
      <c r="AA179" s="39">
        <v>0</v>
      </c>
      <c r="AB179" s="39"/>
      <c r="AC179" s="39">
        <v>0</v>
      </c>
      <c r="AD179" s="39" t="s">
        <v>333</v>
      </c>
      <c r="AE179" s="39">
        <v>50.86</v>
      </c>
      <c r="AF179" s="39"/>
      <c r="AG179" s="39">
        <v>0</v>
      </c>
      <c r="AH179" s="39"/>
      <c r="AI179" s="41">
        <v>0</v>
      </c>
    </row>
    <row r="180" spans="1:35" x14ac:dyDescent="0.25">
      <c r="A180" s="34" t="s">
        <v>110</v>
      </c>
      <c r="B180" s="35" t="s">
        <v>325</v>
      </c>
      <c r="C180" s="35" t="s">
        <v>326</v>
      </c>
      <c r="D180" s="35">
        <v>32532</v>
      </c>
      <c r="E180" s="35" t="s">
        <v>327</v>
      </c>
      <c r="F180" s="35" t="s">
        <v>328</v>
      </c>
      <c r="G180" s="35" t="s">
        <v>174</v>
      </c>
      <c r="H180" s="35" t="s">
        <v>160</v>
      </c>
      <c r="I180" s="35" t="s">
        <v>217</v>
      </c>
      <c r="J180" s="35" t="s">
        <v>118</v>
      </c>
      <c r="K180" s="36">
        <v>46034</v>
      </c>
      <c r="L180" s="36">
        <v>46007</v>
      </c>
      <c r="M180" s="36">
        <v>46035</v>
      </c>
      <c r="N180" s="36"/>
      <c r="O180" s="36"/>
      <c r="P180" s="36"/>
      <c r="Q180" s="36">
        <v>46056</v>
      </c>
      <c r="R180" s="35" t="s">
        <v>218</v>
      </c>
      <c r="S180" s="35" t="s">
        <v>225</v>
      </c>
      <c r="T180" s="35" t="s">
        <v>225</v>
      </c>
      <c r="U180" s="35" t="s">
        <v>88</v>
      </c>
      <c r="V180" s="35" t="s">
        <v>226</v>
      </c>
      <c r="W180" s="35" t="s">
        <v>123</v>
      </c>
      <c r="X180" s="35">
        <v>878.41</v>
      </c>
      <c r="Y180" s="35">
        <v>159.71</v>
      </c>
      <c r="Z180" s="35">
        <v>159.71</v>
      </c>
      <c r="AA180" s="35">
        <v>0</v>
      </c>
      <c r="AB180" s="35"/>
      <c r="AC180" s="35">
        <v>0</v>
      </c>
      <c r="AD180" s="35"/>
      <c r="AE180" s="35">
        <v>0</v>
      </c>
      <c r="AF180" s="35"/>
      <c r="AG180" s="35">
        <v>0</v>
      </c>
      <c r="AH180" s="35"/>
      <c r="AI180" s="37">
        <v>0</v>
      </c>
    </row>
    <row r="181" spans="1:35" x14ac:dyDescent="0.25">
      <c r="A181" s="38" t="s">
        <v>110</v>
      </c>
      <c r="B181" s="39" t="s">
        <v>664</v>
      </c>
      <c r="C181" s="39" t="s">
        <v>665</v>
      </c>
      <c r="D181" s="39">
        <v>32298</v>
      </c>
      <c r="E181" s="39" t="s">
        <v>666</v>
      </c>
      <c r="F181" s="39" t="s">
        <v>667</v>
      </c>
      <c r="G181" s="39" t="s">
        <v>115</v>
      </c>
      <c r="H181" s="39" t="s">
        <v>116</v>
      </c>
      <c r="I181" s="39" t="s">
        <v>117</v>
      </c>
      <c r="J181" s="39" t="s">
        <v>118</v>
      </c>
      <c r="K181" s="40">
        <v>46035</v>
      </c>
      <c r="L181" s="40">
        <v>46054</v>
      </c>
      <c r="M181" s="40">
        <v>46054</v>
      </c>
      <c r="N181" s="40"/>
      <c r="O181" s="40"/>
      <c r="P181" s="40"/>
      <c r="Q181" s="40"/>
      <c r="R181" s="39" t="s">
        <v>119</v>
      </c>
      <c r="S181" s="39" t="s">
        <v>668</v>
      </c>
      <c r="T181" s="39" t="s">
        <v>607</v>
      </c>
      <c r="U181" s="35" t="s">
        <v>89</v>
      </c>
      <c r="V181" s="39" t="s">
        <v>509</v>
      </c>
      <c r="W181" s="39" t="s">
        <v>123</v>
      </c>
      <c r="X181" s="39">
        <v>53.58</v>
      </c>
      <c r="Y181" s="39">
        <v>4.29</v>
      </c>
      <c r="Z181" s="39">
        <v>4.29</v>
      </c>
      <c r="AA181" s="39">
        <v>0</v>
      </c>
      <c r="AB181" s="39"/>
      <c r="AC181" s="39">
        <v>0</v>
      </c>
      <c r="AD181" s="39"/>
      <c r="AE181" s="39">
        <v>0</v>
      </c>
      <c r="AF181" s="39"/>
      <c r="AG181" s="39">
        <v>0</v>
      </c>
      <c r="AH181" s="39"/>
      <c r="AI181" s="41">
        <v>0</v>
      </c>
    </row>
    <row r="182" spans="1:35" x14ac:dyDescent="0.25">
      <c r="A182" s="34" t="s">
        <v>110</v>
      </c>
      <c r="B182" s="35" t="s">
        <v>2059</v>
      </c>
      <c r="C182" s="35" t="s">
        <v>2344</v>
      </c>
      <c r="D182" s="35">
        <v>26701</v>
      </c>
      <c r="E182" s="35" t="s">
        <v>2345</v>
      </c>
      <c r="F182" s="35" t="s">
        <v>2346</v>
      </c>
      <c r="G182" s="35" t="s">
        <v>192</v>
      </c>
      <c r="H182" s="35" t="s">
        <v>160</v>
      </c>
      <c r="I182" s="35" t="s">
        <v>117</v>
      </c>
      <c r="J182" s="35" t="s">
        <v>2195</v>
      </c>
      <c r="K182" s="36">
        <v>46035</v>
      </c>
      <c r="L182" s="36">
        <v>46053</v>
      </c>
      <c r="M182" s="36"/>
      <c r="N182" s="36">
        <v>46082</v>
      </c>
      <c r="O182" s="36">
        <v>46043</v>
      </c>
      <c r="P182" s="36"/>
      <c r="Q182" s="36"/>
      <c r="R182" s="35" t="s">
        <v>142</v>
      </c>
      <c r="S182" s="35" t="s">
        <v>743</v>
      </c>
      <c r="T182" s="35" t="s">
        <v>744</v>
      </c>
      <c r="U182" s="35" t="s">
        <v>88</v>
      </c>
      <c r="V182" s="35" t="s">
        <v>509</v>
      </c>
      <c r="W182" s="35" t="s">
        <v>123</v>
      </c>
      <c r="X182" s="35">
        <v>91.51</v>
      </c>
      <c r="Y182" s="35">
        <v>18.3</v>
      </c>
      <c r="Z182" s="35">
        <v>18.3</v>
      </c>
      <c r="AA182" s="35">
        <v>0</v>
      </c>
      <c r="AB182" s="35"/>
      <c r="AC182" s="35">
        <v>0</v>
      </c>
      <c r="AD182" s="35"/>
      <c r="AE182" s="35">
        <v>0</v>
      </c>
      <c r="AF182" s="35"/>
      <c r="AG182" s="35">
        <v>0</v>
      </c>
      <c r="AH182" s="35"/>
      <c r="AI182" s="37">
        <v>0</v>
      </c>
    </row>
    <row r="183" spans="1:35" x14ac:dyDescent="0.25">
      <c r="A183" s="38" t="s">
        <v>110</v>
      </c>
      <c r="B183" s="39" t="s">
        <v>1113</v>
      </c>
      <c r="C183" s="39" t="s">
        <v>1114</v>
      </c>
      <c r="D183" s="39">
        <v>32323</v>
      </c>
      <c r="E183" s="39" t="s">
        <v>1115</v>
      </c>
      <c r="F183" s="39" t="s">
        <v>1116</v>
      </c>
      <c r="G183" s="39" t="s">
        <v>174</v>
      </c>
      <c r="H183" s="39" t="s">
        <v>160</v>
      </c>
      <c r="I183" s="39" t="s">
        <v>217</v>
      </c>
      <c r="J183" s="39" t="s">
        <v>118</v>
      </c>
      <c r="K183" s="40">
        <v>46035</v>
      </c>
      <c r="L183" s="40">
        <v>46009</v>
      </c>
      <c r="M183" s="40">
        <v>46038</v>
      </c>
      <c r="N183" s="40"/>
      <c r="O183" s="40"/>
      <c r="P183" s="40"/>
      <c r="Q183" s="40">
        <v>46056</v>
      </c>
      <c r="R183" s="39" t="s">
        <v>218</v>
      </c>
      <c r="S183" s="39" t="s">
        <v>1018</v>
      </c>
      <c r="T183" s="39" t="s">
        <v>1018</v>
      </c>
      <c r="U183" s="35" t="s">
        <v>82</v>
      </c>
      <c r="V183" s="39" t="s">
        <v>226</v>
      </c>
      <c r="W183" s="39" t="s">
        <v>123</v>
      </c>
      <c r="X183" s="39">
        <v>865.14</v>
      </c>
      <c r="Y183" s="39">
        <v>157.30000000000001</v>
      </c>
      <c r="Z183" s="39">
        <v>157.30000000000001</v>
      </c>
      <c r="AA183" s="39">
        <v>0</v>
      </c>
      <c r="AB183" s="39"/>
      <c r="AC183" s="39">
        <v>0</v>
      </c>
      <c r="AD183" s="39"/>
      <c r="AE183" s="39">
        <v>0</v>
      </c>
      <c r="AF183" s="39"/>
      <c r="AG183" s="39">
        <v>0</v>
      </c>
      <c r="AH183" s="39"/>
      <c r="AI183" s="41">
        <v>0</v>
      </c>
    </row>
    <row r="184" spans="1:35" x14ac:dyDescent="0.25">
      <c r="A184" s="34" t="s">
        <v>110</v>
      </c>
      <c r="B184" s="35" t="s">
        <v>342</v>
      </c>
      <c r="C184" s="35" t="s">
        <v>343</v>
      </c>
      <c r="D184" s="35">
        <v>32534</v>
      </c>
      <c r="E184" s="35" t="s">
        <v>344</v>
      </c>
      <c r="F184" s="35" t="s">
        <v>345</v>
      </c>
      <c r="G184" s="35" t="s">
        <v>174</v>
      </c>
      <c r="H184" s="35" t="s">
        <v>160</v>
      </c>
      <c r="I184" s="35" t="s">
        <v>217</v>
      </c>
      <c r="J184" s="35" t="s">
        <v>118</v>
      </c>
      <c r="K184" s="36">
        <v>46035</v>
      </c>
      <c r="L184" s="36">
        <v>46046</v>
      </c>
      <c r="M184" s="36">
        <v>46035</v>
      </c>
      <c r="N184" s="36"/>
      <c r="O184" s="36"/>
      <c r="P184" s="36">
        <v>46044</v>
      </c>
      <c r="Q184" s="36">
        <v>46056</v>
      </c>
      <c r="R184" s="35" t="s">
        <v>218</v>
      </c>
      <c r="S184" s="35" t="s">
        <v>225</v>
      </c>
      <c r="T184" s="35" t="s">
        <v>225</v>
      </c>
      <c r="U184" s="35" t="s">
        <v>88</v>
      </c>
      <c r="V184" s="35" t="s">
        <v>226</v>
      </c>
      <c r="W184" s="35" t="s">
        <v>123</v>
      </c>
      <c r="X184" s="35">
        <v>4000</v>
      </c>
      <c r="Y184" s="35">
        <v>727.27</v>
      </c>
      <c r="Z184" s="35">
        <v>727.27</v>
      </c>
      <c r="AA184" s="35">
        <v>0</v>
      </c>
      <c r="AB184" s="35"/>
      <c r="AC184" s="35">
        <v>0</v>
      </c>
      <c r="AD184" s="35" t="s">
        <v>346</v>
      </c>
      <c r="AE184" s="35">
        <v>400</v>
      </c>
      <c r="AF184" s="35"/>
      <c r="AG184" s="35">
        <v>0</v>
      </c>
      <c r="AH184" s="35"/>
      <c r="AI184" s="37">
        <v>0</v>
      </c>
    </row>
    <row r="185" spans="1:35" x14ac:dyDescent="0.25">
      <c r="A185" s="38" t="s">
        <v>110</v>
      </c>
      <c r="B185" s="39" t="s">
        <v>146</v>
      </c>
      <c r="C185" s="39" t="s">
        <v>147</v>
      </c>
      <c r="D185" s="39">
        <v>921</v>
      </c>
      <c r="E185" s="39" t="s">
        <v>148</v>
      </c>
      <c r="F185" s="39" t="s">
        <v>149</v>
      </c>
      <c r="G185" s="39" t="s">
        <v>115</v>
      </c>
      <c r="H185" s="39" t="s">
        <v>116</v>
      </c>
      <c r="I185" s="39" t="s">
        <v>117</v>
      </c>
      <c r="J185" s="39" t="s">
        <v>118</v>
      </c>
      <c r="K185" s="40">
        <v>46036</v>
      </c>
      <c r="L185" s="40">
        <v>46054</v>
      </c>
      <c r="M185" s="40">
        <v>46055</v>
      </c>
      <c r="N185" s="40"/>
      <c r="O185" s="40"/>
      <c r="P185" s="40"/>
      <c r="Q185" s="40">
        <v>46064</v>
      </c>
      <c r="R185" s="39" t="s">
        <v>142</v>
      </c>
      <c r="S185" s="39" t="s">
        <v>150</v>
      </c>
      <c r="T185" s="39" t="s">
        <v>151</v>
      </c>
      <c r="U185" s="35" t="s">
        <v>90</v>
      </c>
      <c r="V185" s="39" t="s">
        <v>122</v>
      </c>
      <c r="W185" s="39" t="s">
        <v>123</v>
      </c>
      <c r="X185" s="39">
        <v>379.88</v>
      </c>
      <c r="Y185" s="39">
        <v>102.58</v>
      </c>
      <c r="Z185" s="39">
        <v>94.98</v>
      </c>
      <c r="AA185" s="39">
        <v>0</v>
      </c>
      <c r="AB185" s="39"/>
      <c r="AC185" s="39">
        <v>0</v>
      </c>
      <c r="AD185" s="39"/>
      <c r="AE185" s="39">
        <v>0</v>
      </c>
      <c r="AF185" s="39"/>
      <c r="AG185" s="39">
        <v>0</v>
      </c>
      <c r="AH185" s="39"/>
      <c r="AI185" s="41">
        <v>0</v>
      </c>
    </row>
    <row r="186" spans="1:35" x14ac:dyDescent="0.25">
      <c r="A186" s="34" t="s">
        <v>110</v>
      </c>
      <c r="B186" s="35" t="s">
        <v>152</v>
      </c>
      <c r="C186" s="35" t="s">
        <v>153</v>
      </c>
      <c r="D186" s="35">
        <v>870</v>
      </c>
      <c r="E186" s="35" t="s">
        <v>154</v>
      </c>
      <c r="F186" s="35" t="s">
        <v>155</v>
      </c>
      <c r="G186" s="35" t="s">
        <v>115</v>
      </c>
      <c r="H186" s="35" t="s">
        <v>116</v>
      </c>
      <c r="I186" s="35" t="s">
        <v>117</v>
      </c>
      <c r="J186" s="35" t="s">
        <v>118</v>
      </c>
      <c r="K186" s="36">
        <v>46036</v>
      </c>
      <c r="L186" s="36">
        <v>46054</v>
      </c>
      <c r="M186" s="36">
        <v>46055</v>
      </c>
      <c r="N186" s="36"/>
      <c r="O186" s="36"/>
      <c r="P186" s="36"/>
      <c r="Q186" s="36">
        <v>46064</v>
      </c>
      <c r="R186" s="35" t="s">
        <v>142</v>
      </c>
      <c r="S186" s="35" t="s">
        <v>150</v>
      </c>
      <c r="T186" s="35" t="s">
        <v>151</v>
      </c>
      <c r="U186" s="35" t="s">
        <v>90</v>
      </c>
      <c r="V186" s="35" t="s">
        <v>122</v>
      </c>
      <c r="W186" s="35" t="s">
        <v>123</v>
      </c>
      <c r="X186" s="35">
        <v>378.19</v>
      </c>
      <c r="Y186" s="35">
        <v>102.11</v>
      </c>
      <c r="Z186" s="35">
        <v>94.55</v>
      </c>
      <c r="AA186" s="35">
        <v>0</v>
      </c>
      <c r="AB186" s="35"/>
      <c r="AC186" s="35">
        <v>0</v>
      </c>
      <c r="AD186" s="35"/>
      <c r="AE186" s="35">
        <v>0</v>
      </c>
      <c r="AF186" s="35"/>
      <c r="AG186" s="35">
        <v>0</v>
      </c>
      <c r="AH186" s="35"/>
      <c r="AI186" s="37">
        <v>0</v>
      </c>
    </row>
    <row r="187" spans="1:35" x14ac:dyDescent="0.25">
      <c r="A187" s="38" t="s">
        <v>110</v>
      </c>
      <c r="B187" s="39" t="s">
        <v>137</v>
      </c>
      <c r="C187" s="39" t="s">
        <v>138</v>
      </c>
      <c r="D187" s="39">
        <v>1717</v>
      </c>
      <c r="E187" s="39" t="s">
        <v>139</v>
      </c>
      <c r="F187" s="39" t="s">
        <v>140</v>
      </c>
      <c r="G187" s="39" t="s">
        <v>115</v>
      </c>
      <c r="H187" s="39" t="s">
        <v>116</v>
      </c>
      <c r="I187" s="39" t="s">
        <v>117</v>
      </c>
      <c r="J187" s="39" t="s">
        <v>118</v>
      </c>
      <c r="K187" s="40">
        <v>46036</v>
      </c>
      <c r="L187" s="40">
        <v>46068</v>
      </c>
      <c r="M187" s="40">
        <v>46069</v>
      </c>
      <c r="N187" s="40"/>
      <c r="O187" s="40"/>
      <c r="P187" s="40">
        <v>46082</v>
      </c>
      <c r="Q187" s="40">
        <v>46070</v>
      </c>
      <c r="R187" s="39" t="s">
        <v>142</v>
      </c>
      <c r="S187" s="39" t="s">
        <v>143</v>
      </c>
      <c r="T187" s="39" t="s">
        <v>144</v>
      </c>
      <c r="U187" s="35" t="s">
        <v>87</v>
      </c>
      <c r="V187" s="39" t="s">
        <v>122</v>
      </c>
      <c r="W187" s="39" t="s">
        <v>123</v>
      </c>
      <c r="X187" s="39">
        <v>814.44</v>
      </c>
      <c r="Y187" s="39">
        <v>179.18</v>
      </c>
      <c r="Z187" s="39">
        <v>162.88999999999999</v>
      </c>
      <c r="AA187" s="39">
        <v>0</v>
      </c>
      <c r="AB187" s="39"/>
      <c r="AC187" s="39">
        <v>0</v>
      </c>
      <c r="AD187" s="39" t="s">
        <v>145</v>
      </c>
      <c r="AE187" s="39">
        <v>122.17</v>
      </c>
      <c r="AF187" s="39"/>
      <c r="AG187" s="39">
        <v>0</v>
      </c>
      <c r="AH187" s="39"/>
      <c r="AI187" s="41">
        <v>0</v>
      </c>
    </row>
    <row r="188" spans="1:35" x14ac:dyDescent="0.25">
      <c r="A188" s="34" t="s">
        <v>110</v>
      </c>
      <c r="B188" s="35" t="s">
        <v>111</v>
      </c>
      <c r="C188" s="35" t="s">
        <v>112</v>
      </c>
      <c r="D188" s="35">
        <v>16643</v>
      </c>
      <c r="E188" s="35" t="s">
        <v>113</v>
      </c>
      <c r="F188" s="35" t="s">
        <v>114</v>
      </c>
      <c r="G188" s="35" t="s">
        <v>115</v>
      </c>
      <c r="H188" s="35" t="s">
        <v>116</v>
      </c>
      <c r="I188" s="35" t="s">
        <v>117</v>
      </c>
      <c r="J188" s="35" t="s">
        <v>118</v>
      </c>
      <c r="K188" s="36">
        <v>46036</v>
      </c>
      <c r="L188" s="36">
        <v>46054</v>
      </c>
      <c r="M188" s="36">
        <v>46056</v>
      </c>
      <c r="N188" s="36"/>
      <c r="O188" s="36"/>
      <c r="P188" s="36"/>
      <c r="Q188" s="36">
        <v>46064</v>
      </c>
      <c r="R188" s="35" t="s">
        <v>119</v>
      </c>
      <c r="S188" s="35" t="s">
        <v>120</v>
      </c>
      <c r="T188" s="35" t="s">
        <v>121</v>
      </c>
      <c r="U188" s="35" t="s">
        <v>90</v>
      </c>
      <c r="V188" s="35" t="s">
        <v>122</v>
      </c>
      <c r="W188" s="35" t="s">
        <v>123</v>
      </c>
      <c r="X188" s="35">
        <v>1014.28</v>
      </c>
      <c r="Y188" s="35">
        <v>103.51</v>
      </c>
      <c r="Z188" s="35">
        <v>83.22</v>
      </c>
      <c r="AA188" s="35">
        <v>0</v>
      </c>
      <c r="AB188" s="35"/>
      <c r="AC188" s="35">
        <v>0</v>
      </c>
      <c r="AD188" s="35"/>
      <c r="AE188" s="35">
        <v>0</v>
      </c>
      <c r="AF188" s="35"/>
      <c r="AG188" s="35">
        <v>0</v>
      </c>
      <c r="AH188" s="35"/>
      <c r="AI188" s="37">
        <v>0</v>
      </c>
    </row>
    <row r="189" spans="1:35" x14ac:dyDescent="0.25">
      <c r="A189" s="38" t="s">
        <v>110</v>
      </c>
      <c r="B189" s="39" t="s">
        <v>124</v>
      </c>
      <c r="C189" s="39" t="s">
        <v>125</v>
      </c>
      <c r="D189" s="39">
        <v>5050</v>
      </c>
      <c r="E189" s="39" t="s">
        <v>126</v>
      </c>
      <c r="F189" s="39" t="s">
        <v>127</v>
      </c>
      <c r="G189" s="39" t="s">
        <v>115</v>
      </c>
      <c r="H189" s="39" t="s">
        <v>116</v>
      </c>
      <c r="I189" s="39" t="s">
        <v>117</v>
      </c>
      <c r="J189" s="39" t="s">
        <v>118</v>
      </c>
      <c r="K189" s="40">
        <v>46036</v>
      </c>
      <c r="L189" s="40">
        <v>46054</v>
      </c>
      <c r="M189" s="40">
        <v>46056</v>
      </c>
      <c r="N189" s="40"/>
      <c r="O189" s="40"/>
      <c r="P189" s="40">
        <v>46082</v>
      </c>
      <c r="Q189" s="40">
        <v>46064</v>
      </c>
      <c r="R189" s="39" t="s">
        <v>119</v>
      </c>
      <c r="S189" s="39" t="s">
        <v>128</v>
      </c>
      <c r="T189" s="39" t="s">
        <v>129</v>
      </c>
      <c r="U189" s="35" t="s">
        <v>90</v>
      </c>
      <c r="V189" s="39" t="s">
        <v>122</v>
      </c>
      <c r="W189" s="39" t="s">
        <v>123</v>
      </c>
      <c r="X189" s="39">
        <v>91.91</v>
      </c>
      <c r="Y189" s="39">
        <v>10.51</v>
      </c>
      <c r="Z189" s="39">
        <v>8.67</v>
      </c>
      <c r="AA189" s="39">
        <v>0</v>
      </c>
      <c r="AB189" s="39"/>
      <c r="AC189" s="39">
        <v>0</v>
      </c>
      <c r="AD189" s="39" t="s">
        <v>130</v>
      </c>
      <c r="AE189" s="39">
        <v>0</v>
      </c>
      <c r="AF189" s="39"/>
      <c r="AG189" s="39">
        <v>0</v>
      </c>
      <c r="AH189" s="39"/>
      <c r="AI189" s="41">
        <v>0</v>
      </c>
    </row>
    <row r="190" spans="1:35" x14ac:dyDescent="0.25">
      <c r="A190" s="34" t="s">
        <v>110</v>
      </c>
      <c r="B190" s="35" t="s">
        <v>946</v>
      </c>
      <c r="C190" s="35" t="s">
        <v>947</v>
      </c>
      <c r="D190" s="35">
        <v>11223</v>
      </c>
      <c r="E190" s="35" t="s">
        <v>948</v>
      </c>
      <c r="F190" s="35" t="s">
        <v>949</v>
      </c>
      <c r="G190" s="35" t="s">
        <v>115</v>
      </c>
      <c r="H190" s="35" t="s">
        <v>116</v>
      </c>
      <c r="I190" s="35" t="s">
        <v>117</v>
      </c>
      <c r="J190" s="35" t="s">
        <v>118</v>
      </c>
      <c r="K190" s="36">
        <v>46036</v>
      </c>
      <c r="L190" s="36">
        <v>46054</v>
      </c>
      <c r="M190" s="36">
        <v>46056</v>
      </c>
      <c r="N190" s="36"/>
      <c r="O190" s="36"/>
      <c r="P190" s="36"/>
      <c r="Q190" s="36">
        <v>46064</v>
      </c>
      <c r="R190" s="35" t="s">
        <v>119</v>
      </c>
      <c r="S190" s="35" t="s">
        <v>950</v>
      </c>
      <c r="T190" s="35" t="s">
        <v>129</v>
      </c>
      <c r="U190" s="35" t="s">
        <v>90</v>
      </c>
      <c r="V190" s="35" t="s">
        <v>122</v>
      </c>
      <c r="W190" s="35" t="s">
        <v>123</v>
      </c>
      <c r="X190" s="35">
        <v>292.45999999999998</v>
      </c>
      <c r="Y190" s="35">
        <v>27.93</v>
      </c>
      <c r="Z190" s="35">
        <v>22.08</v>
      </c>
      <c r="AA190" s="35">
        <v>0</v>
      </c>
      <c r="AB190" s="35"/>
      <c r="AC190" s="35">
        <v>0</v>
      </c>
      <c r="AD190" s="35"/>
      <c r="AE190" s="35">
        <v>0</v>
      </c>
      <c r="AF190" s="35"/>
      <c r="AG190" s="35">
        <v>0</v>
      </c>
      <c r="AH190" s="35"/>
      <c r="AI190" s="37">
        <v>0</v>
      </c>
    </row>
    <row r="191" spans="1:35" x14ac:dyDescent="0.25">
      <c r="A191" s="38" t="s">
        <v>110</v>
      </c>
      <c r="B191" s="39" t="s">
        <v>958</v>
      </c>
      <c r="C191" s="39" t="s">
        <v>959</v>
      </c>
      <c r="D191" s="39">
        <v>17370</v>
      </c>
      <c r="E191" s="39" t="s">
        <v>960</v>
      </c>
      <c r="F191" s="39" t="s">
        <v>961</v>
      </c>
      <c r="G191" s="39" t="s">
        <v>115</v>
      </c>
      <c r="H191" s="39" t="s">
        <v>116</v>
      </c>
      <c r="I191" s="39" t="s">
        <v>117</v>
      </c>
      <c r="J191" s="39" t="s">
        <v>118</v>
      </c>
      <c r="K191" s="40">
        <v>46036</v>
      </c>
      <c r="L191" s="40">
        <v>46054</v>
      </c>
      <c r="M191" s="40">
        <v>46056</v>
      </c>
      <c r="N191" s="40"/>
      <c r="O191" s="40"/>
      <c r="P191" s="40"/>
      <c r="Q191" s="40">
        <v>46064</v>
      </c>
      <c r="R191" s="39" t="s">
        <v>119</v>
      </c>
      <c r="S191" s="39" t="s">
        <v>950</v>
      </c>
      <c r="T191" s="39" t="s">
        <v>129</v>
      </c>
      <c r="U191" s="35" t="s">
        <v>90</v>
      </c>
      <c r="V191" s="39" t="s">
        <v>122</v>
      </c>
      <c r="W191" s="39" t="s">
        <v>123</v>
      </c>
      <c r="X191" s="39">
        <v>121.62</v>
      </c>
      <c r="Y191" s="39">
        <v>11.61</v>
      </c>
      <c r="Z191" s="39">
        <v>9.18</v>
      </c>
      <c r="AA191" s="39">
        <v>0</v>
      </c>
      <c r="AB191" s="39"/>
      <c r="AC191" s="39">
        <v>0</v>
      </c>
      <c r="AD191" s="39"/>
      <c r="AE191" s="39">
        <v>0</v>
      </c>
      <c r="AF191" s="39"/>
      <c r="AG191" s="39">
        <v>0</v>
      </c>
      <c r="AH191" s="39"/>
      <c r="AI191" s="41">
        <v>0</v>
      </c>
    </row>
    <row r="192" spans="1:35" x14ac:dyDescent="0.25">
      <c r="A192" s="34" t="s">
        <v>110</v>
      </c>
      <c r="B192" s="35" t="s">
        <v>962</v>
      </c>
      <c r="C192" s="35" t="s">
        <v>963</v>
      </c>
      <c r="D192" s="35">
        <v>18507</v>
      </c>
      <c r="E192" s="35" t="s">
        <v>964</v>
      </c>
      <c r="F192" s="35" t="s">
        <v>965</v>
      </c>
      <c r="G192" s="35" t="s">
        <v>115</v>
      </c>
      <c r="H192" s="35" t="s">
        <v>116</v>
      </c>
      <c r="I192" s="35" t="s">
        <v>117</v>
      </c>
      <c r="J192" s="35" t="s">
        <v>118</v>
      </c>
      <c r="K192" s="36">
        <v>46036</v>
      </c>
      <c r="L192" s="36">
        <v>46054</v>
      </c>
      <c r="M192" s="36">
        <v>46056</v>
      </c>
      <c r="N192" s="36"/>
      <c r="O192" s="36"/>
      <c r="P192" s="36"/>
      <c r="Q192" s="36">
        <v>46064</v>
      </c>
      <c r="R192" s="35" t="s">
        <v>119</v>
      </c>
      <c r="S192" s="35" t="s">
        <v>950</v>
      </c>
      <c r="T192" s="35" t="s">
        <v>129</v>
      </c>
      <c r="U192" s="35" t="s">
        <v>90</v>
      </c>
      <c r="V192" s="35" t="s">
        <v>122</v>
      </c>
      <c r="W192" s="35" t="s">
        <v>123</v>
      </c>
      <c r="X192" s="35">
        <v>270.01</v>
      </c>
      <c r="Y192" s="35">
        <v>25.78</v>
      </c>
      <c r="Z192" s="35">
        <v>20.38</v>
      </c>
      <c r="AA192" s="35">
        <v>0</v>
      </c>
      <c r="AB192" s="35"/>
      <c r="AC192" s="35">
        <v>0</v>
      </c>
      <c r="AD192" s="35"/>
      <c r="AE192" s="35">
        <v>0</v>
      </c>
      <c r="AF192" s="35"/>
      <c r="AG192" s="35">
        <v>0</v>
      </c>
      <c r="AH192" s="35"/>
      <c r="AI192" s="37">
        <v>0</v>
      </c>
    </row>
    <row r="193" spans="1:35" x14ac:dyDescent="0.25">
      <c r="A193" s="38" t="s">
        <v>110</v>
      </c>
      <c r="B193" s="39" t="s">
        <v>954</v>
      </c>
      <c r="C193" s="39" t="s">
        <v>955</v>
      </c>
      <c r="D193" s="39">
        <v>16581</v>
      </c>
      <c r="E193" s="39" t="s">
        <v>956</v>
      </c>
      <c r="F193" s="39" t="s">
        <v>957</v>
      </c>
      <c r="G193" s="39" t="s">
        <v>115</v>
      </c>
      <c r="H193" s="39" t="s">
        <v>116</v>
      </c>
      <c r="I193" s="39" t="s">
        <v>117</v>
      </c>
      <c r="J193" s="39" t="s">
        <v>118</v>
      </c>
      <c r="K193" s="40">
        <v>46036</v>
      </c>
      <c r="L193" s="40">
        <v>46054</v>
      </c>
      <c r="M193" s="40">
        <v>46056</v>
      </c>
      <c r="N193" s="40"/>
      <c r="O193" s="40"/>
      <c r="P193" s="40"/>
      <c r="Q193" s="40">
        <v>46064</v>
      </c>
      <c r="R193" s="39" t="s">
        <v>119</v>
      </c>
      <c r="S193" s="39" t="s">
        <v>120</v>
      </c>
      <c r="T193" s="39" t="s">
        <v>121</v>
      </c>
      <c r="U193" s="35" t="s">
        <v>90</v>
      </c>
      <c r="V193" s="39" t="s">
        <v>122</v>
      </c>
      <c r="W193" s="39" t="s">
        <v>123</v>
      </c>
      <c r="X193" s="39">
        <v>1204.3599999999999</v>
      </c>
      <c r="Y193" s="39">
        <v>110.88</v>
      </c>
      <c r="Z193" s="39">
        <v>86.79</v>
      </c>
      <c r="AA193" s="39">
        <v>0</v>
      </c>
      <c r="AB193" s="39"/>
      <c r="AC193" s="39">
        <v>0</v>
      </c>
      <c r="AD193" s="39"/>
      <c r="AE193" s="39">
        <v>0</v>
      </c>
      <c r="AF193" s="39"/>
      <c r="AG193" s="39">
        <v>0</v>
      </c>
      <c r="AH193" s="39"/>
      <c r="AI193" s="41">
        <v>0</v>
      </c>
    </row>
    <row r="194" spans="1:35" x14ac:dyDescent="0.25">
      <c r="A194" s="34" t="s">
        <v>110</v>
      </c>
      <c r="B194" s="35" t="s">
        <v>966</v>
      </c>
      <c r="C194" s="35" t="s">
        <v>967</v>
      </c>
      <c r="D194" s="35">
        <v>23206</v>
      </c>
      <c r="E194" s="35" t="s">
        <v>968</v>
      </c>
      <c r="F194" s="35" t="s">
        <v>969</v>
      </c>
      <c r="G194" s="35" t="s">
        <v>115</v>
      </c>
      <c r="H194" s="35" t="s">
        <v>116</v>
      </c>
      <c r="I194" s="35" t="s">
        <v>117</v>
      </c>
      <c r="J194" s="35" t="s">
        <v>118</v>
      </c>
      <c r="K194" s="36">
        <v>46036</v>
      </c>
      <c r="L194" s="36">
        <v>46054</v>
      </c>
      <c r="M194" s="36">
        <v>46056</v>
      </c>
      <c r="N194" s="36"/>
      <c r="O194" s="36"/>
      <c r="P194" s="36"/>
      <c r="Q194" s="36">
        <v>46064</v>
      </c>
      <c r="R194" s="35" t="s">
        <v>119</v>
      </c>
      <c r="S194" s="35" t="s">
        <v>120</v>
      </c>
      <c r="T194" s="35" t="s">
        <v>121</v>
      </c>
      <c r="U194" s="35" t="s">
        <v>90</v>
      </c>
      <c r="V194" s="35" t="s">
        <v>122</v>
      </c>
      <c r="W194" s="35" t="s">
        <v>123</v>
      </c>
      <c r="X194" s="35">
        <v>338.32</v>
      </c>
      <c r="Y194" s="35">
        <v>32.299999999999997</v>
      </c>
      <c r="Z194" s="35">
        <v>25.53</v>
      </c>
      <c r="AA194" s="35">
        <v>0</v>
      </c>
      <c r="AB194" s="35"/>
      <c r="AC194" s="35">
        <v>0</v>
      </c>
      <c r="AD194" s="35"/>
      <c r="AE194" s="35">
        <v>0</v>
      </c>
      <c r="AF194" s="35"/>
      <c r="AG194" s="35">
        <v>0</v>
      </c>
      <c r="AH194" s="35"/>
      <c r="AI194" s="37">
        <v>0</v>
      </c>
    </row>
    <row r="195" spans="1:35" x14ac:dyDescent="0.25">
      <c r="A195" s="38" t="s">
        <v>110</v>
      </c>
      <c r="B195" s="39" t="s">
        <v>1553</v>
      </c>
      <c r="C195" s="39" t="s">
        <v>1554</v>
      </c>
      <c r="D195" s="39">
        <v>19019</v>
      </c>
      <c r="E195" s="39" t="s">
        <v>1555</v>
      </c>
      <c r="F195" s="39" t="s">
        <v>1556</v>
      </c>
      <c r="G195" s="39" t="s">
        <v>115</v>
      </c>
      <c r="H195" s="39" t="s">
        <v>116</v>
      </c>
      <c r="I195" s="39" t="s">
        <v>117</v>
      </c>
      <c r="J195" s="39" t="s">
        <v>118</v>
      </c>
      <c r="K195" s="40">
        <v>46036</v>
      </c>
      <c r="L195" s="40">
        <v>46069</v>
      </c>
      <c r="M195" s="40">
        <v>46069</v>
      </c>
      <c r="N195" s="40"/>
      <c r="O195" s="40"/>
      <c r="P195" s="40"/>
      <c r="Q195" s="40">
        <v>46070</v>
      </c>
      <c r="R195" s="39" t="s">
        <v>142</v>
      </c>
      <c r="S195" s="39" t="s">
        <v>1557</v>
      </c>
      <c r="T195" s="39" t="s">
        <v>923</v>
      </c>
      <c r="U195" s="35" t="s">
        <v>81</v>
      </c>
      <c r="V195" s="39" t="s">
        <v>122</v>
      </c>
      <c r="W195" s="39" t="s">
        <v>123</v>
      </c>
      <c r="X195" s="39">
        <v>421.12</v>
      </c>
      <c r="Y195" s="39">
        <v>46.32</v>
      </c>
      <c r="Z195" s="39">
        <v>37.9</v>
      </c>
      <c r="AA195" s="39">
        <v>0</v>
      </c>
      <c r="AB195" s="39"/>
      <c r="AC195" s="39">
        <v>0</v>
      </c>
      <c r="AD195" s="39"/>
      <c r="AE195" s="39">
        <v>0</v>
      </c>
      <c r="AF195" s="39"/>
      <c r="AG195" s="39">
        <v>0</v>
      </c>
      <c r="AH195" s="39"/>
      <c r="AI195" s="41">
        <v>0</v>
      </c>
    </row>
    <row r="196" spans="1:35" x14ac:dyDescent="0.25">
      <c r="A196" s="34" t="s">
        <v>110</v>
      </c>
      <c r="B196" s="35" t="s">
        <v>164</v>
      </c>
      <c r="C196" s="35" t="s">
        <v>2349</v>
      </c>
      <c r="D196" s="35">
        <v>23870</v>
      </c>
      <c r="E196" s="35" t="s">
        <v>2350</v>
      </c>
      <c r="F196" s="35" t="s">
        <v>2351</v>
      </c>
      <c r="G196" s="35" t="s">
        <v>115</v>
      </c>
      <c r="H196" s="35" t="s">
        <v>116</v>
      </c>
      <c r="I196" s="35" t="s">
        <v>117</v>
      </c>
      <c r="J196" s="35" t="s">
        <v>2195</v>
      </c>
      <c r="K196" s="36">
        <v>46036</v>
      </c>
      <c r="L196" s="36">
        <v>46064</v>
      </c>
      <c r="M196" s="36"/>
      <c r="N196" s="36"/>
      <c r="O196" s="36">
        <v>46050</v>
      </c>
      <c r="P196" s="36"/>
      <c r="Q196" s="36"/>
      <c r="R196" s="35" t="s">
        <v>142</v>
      </c>
      <c r="S196" s="35" t="s">
        <v>2352</v>
      </c>
      <c r="T196" s="35" t="s">
        <v>177</v>
      </c>
      <c r="U196" s="35" t="s">
        <v>81</v>
      </c>
      <c r="V196" s="35" t="s">
        <v>122</v>
      </c>
      <c r="W196" s="35" t="s">
        <v>123</v>
      </c>
      <c r="X196" s="35">
        <v>110.58</v>
      </c>
      <c r="Y196" s="35">
        <v>11.06</v>
      </c>
      <c r="Z196" s="35">
        <v>8.85</v>
      </c>
      <c r="AA196" s="35">
        <v>0</v>
      </c>
      <c r="AB196" s="35"/>
      <c r="AC196" s="35">
        <v>0</v>
      </c>
      <c r="AD196" s="35"/>
      <c r="AE196" s="35">
        <v>0</v>
      </c>
      <c r="AF196" s="35"/>
      <c r="AG196" s="35">
        <v>0</v>
      </c>
      <c r="AH196" s="35"/>
      <c r="AI196" s="37">
        <v>0</v>
      </c>
    </row>
    <row r="197" spans="1:35" x14ac:dyDescent="0.25">
      <c r="A197" s="38" t="s">
        <v>110</v>
      </c>
      <c r="B197" s="39" t="s">
        <v>1558</v>
      </c>
      <c r="C197" s="39" t="s">
        <v>1559</v>
      </c>
      <c r="D197" s="39">
        <v>27665</v>
      </c>
      <c r="E197" s="39" t="s">
        <v>1560</v>
      </c>
      <c r="F197" s="39" t="s">
        <v>1561</v>
      </c>
      <c r="G197" s="39" t="s">
        <v>115</v>
      </c>
      <c r="H197" s="39" t="s">
        <v>116</v>
      </c>
      <c r="I197" s="39" t="s">
        <v>117</v>
      </c>
      <c r="J197" s="39" t="s">
        <v>118</v>
      </c>
      <c r="K197" s="40">
        <v>46036</v>
      </c>
      <c r="L197" s="40">
        <v>46063</v>
      </c>
      <c r="M197" s="40">
        <v>46063</v>
      </c>
      <c r="N197" s="40"/>
      <c r="O197" s="40"/>
      <c r="P197" s="40"/>
      <c r="Q197" s="40">
        <v>46070</v>
      </c>
      <c r="R197" s="39" t="s">
        <v>142</v>
      </c>
      <c r="S197" s="39" t="s">
        <v>1562</v>
      </c>
      <c r="T197" s="39" t="s">
        <v>169</v>
      </c>
      <c r="U197" s="35" t="s">
        <v>81</v>
      </c>
      <c r="V197" s="39" t="s">
        <v>122</v>
      </c>
      <c r="W197" s="39" t="s">
        <v>123</v>
      </c>
      <c r="X197" s="39">
        <v>129.61000000000001</v>
      </c>
      <c r="Y197" s="39">
        <v>12.96</v>
      </c>
      <c r="Z197" s="39">
        <v>10.37</v>
      </c>
      <c r="AA197" s="39">
        <v>0</v>
      </c>
      <c r="AB197" s="39"/>
      <c r="AC197" s="39">
        <v>0</v>
      </c>
      <c r="AD197" s="39"/>
      <c r="AE197" s="39">
        <v>0</v>
      </c>
      <c r="AF197" s="39"/>
      <c r="AG197" s="39">
        <v>0</v>
      </c>
      <c r="AH197" s="39"/>
      <c r="AI197" s="41">
        <v>0</v>
      </c>
    </row>
    <row r="198" spans="1:35" x14ac:dyDescent="0.25">
      <c r="A198" s="34" t="s">
        <v>110</v>
      </c>
      <c r="B198" s="35" t="s">
        <v>493</v>
      </c>
      <c r="C198" s="35" t="s">
        <v>494</v>
      </c>
      <c r="D198" s="35">
        <v>5092</v>
      </c>
      <c r="E198" s="35" t="s">
        <v>2347</v>
      </c>
      <c r="F198" s="35" t="s">
        <v>2348</v>
      </c>
      <c r="G198" s="35" t="s">
        <v>115</v>
      </c>
      <c r="H198" s="35" t="s">
        <v>116</v>
      </c>
      <c r="I198" s="35" t="s">
        <v>117</v>
      </c>
      <c r="J198" s="35" t="s">
        <v>2195</v>
      </c>
      <c r="K198" s="36">
        <v>46036</v>
      </c>
      <c r="L198" s="36">
        <v>46054</v>
      </c>
      <c r="M198" s="36"/>
      <c r="N198" s="36"/>
      <c r="O198" s="36">
        <v>46054</v>
      </c>
      <c r="P198" s="36">
        <v>46082</v>
      </c>
      <c r="Q198" s="36"/>
      <c r="R198" s="35" t="s">
        <v>119</v>
      </c>
      <c r="S198" s="35" t="s">
        <v>497</v>
      </c>
      <c r="T198" s="35" t="s">
        <v>129</v>
      </c>
      <c r="U198" s="35" t="s">
        <v>90</v>
      </c>
      <c r="V198" s="35" t="s">
        <v>122</v>
      </c>
      <c r="W198" s="35" t="s">
        <v>123</v>
      </c>
      <c r="X198" s="35">
        <v>287.10000000000002</v>
      </c>
      <c r="Y198" s="35">
        <v>28.71</v>
      </c>
      <c r="Z198" s="35">
        <v>28.71</v>
      </c>
      <c r="AA198" s="35">
        <v>0</v>
      </c>
      <c r="AB198" s="35"/>
      <c r="AC198" s="35">
        <v>0</v>
      </c>
      <c r="AD198" s="35" t="s">
        <v>130</v>
      </c>
      <c r="AE198" s="35">
        <v>0</v>
      </c>
      <c r="AF198" s="35"/>
      <c r="AG198" s="35">
        <v>0</v>
      </c>
      <c r="AH198" s="35"/>
      <c r="AI198" s="37">
        <v>0</v>
      </c>
    </row>
    <row r="199" spans="1:35" x14ac:dyDescent="0.25">
      <c r="A199" s="38" t="s">
        <v>110</v>
      </c>
      <c r="B199" s="39" t="s">
        <v>1087</v>
      </c>
      <c r="C199" s="39" t="s">
        <v>1088</v>
      </c>
      <c r="D199" s="39">
        <v>32498</v>
      </c>
      <c r="E199" s="39" t="s">
        <v>2353</v>
      </c>
      <c r="F199" s="39" t="s">
        <v>2354</v>
      </c>
      <c r="G199" s="39" t="s">
        <v>174</v>
      </c>
      <c r="H199" s="39" t="s">
        <v>160</v>
      </c>
      <c r="I199" s="39" t="s">
        <v>217</v>
      </c>
      <c r="J199" s="39" t="s">
        <v>2195</v>
      </c>
      <c r="K199" s="40">
        <v>46036</v>
      </c>
      <c r="L199" s="40">
        <v>46027</v>
      </c>
      <c r="M199" s="40"/>
      <c r="N199" s="40">
        <v>46056</v>
      </c>
      <c r="O199" s="40">
        <v>46049</v>
      </c>
      <c r="P199" s="40"/>
      <c r="Q199" s="40"/>
      <c r="R199" s="39" t="s">
        <v>218</v>
      </c>
      <c r="S199" s="39" t="s">
        <v>1018</v>
      </c>
      <c r="T199" s="39" t="s">
        <v>1018</v>
      </c>
      <c r="U199" s="35" t="s">
        <v>82</v>
      </c>
      <c r="V199" s="39" t="s">
        <v>226</v>
      </c>
      <c r="W199" s="39" t="s">
        <v>123</v>
      </c>
      <c r="X199" s="39">
        <v>2980.77</v>
      </c>
      <c r="Y199" s="39">
        <v>541.96</v>
      </c>
      <c r="Z199" s="39">
        <v>541.96</v>
      </c>
      <c r="AA199" s="39">
        <v>0</v>
      </c>
      <c r="AB199" s="39"/>
      <c r="AC199" s="39">
        <v>0</v>
      </c>
      <c r="AD199" s="39" t="s">
        <v>1091</v>
      </c>
      <c r="AE199" s="39">
        <v>298.08</v>
      </c>
      <c r="AF199" s="39"/>
      <c r="AG199" s="39">
        <v>0</v>
      </c>
      <c r="AH199" s="39"/>
      <c r="AI199" s="41">
        <v>0</v>
      </c>
    </row>
    <row r="200" spans="1:35" x14ac:dyDescent="0.25">
      <c r="A200" s="34" t="s">
        <v>110</v>
      </c>
      <c r="B200" s="35" t="s">
        <v>1102</v>
      </c>
      <c r="C200" s="35" t="s">
        <v>1103</v>
      </c>
      <c r="D200" s="35">
        <v>32535</v>
      </c>
      <c r="E200" s="35" t="s">
        <v>1104</v>
      </c>
      <c r="F200" s="35" t="s">
        <v>1105</v>
      </c>
      <c r="G200" s="35" t="s">
        <v>174</v>
      </c>
      <c r="H200" s="35" t="s">
        <v>160</v>
      </c>
      <c r="I200" s="35" t="s">
        <v>217</v>
      </c>
      <c r="J200" s="35" t="s">
        <v>118</v>
      </c>
      <c r="K200" s="36">
        <v>46036</v>
      </c>
      <c r="L200" s="36">
        <v>46035</v>
      </c>
      <c r="M200" s="36">
        <v>46048</v>
      </c>
      <c r="N200" s="36"/>
      <c r="O200" s="36"/>
      <c r="P200" s="36"/>
      <c r="Q200" s="36"/>
      <c r="R200" s="35" t="s">
        <v>218</v>
      </c>
      <c r="S200" s="35" t="s">
        <v>1018</v>
      </c>
      <c r="T200" s="35" t="s">
        <v>1018</v>
      </c>
      <c r="U200" s="35" t="s">
        <v>82</v>
      </c>
      <c r="V200" s="35" t="s">
        <v>226</v>
      </c>
      <c r="W200" s="35" t="s">
        <v>123</v>
      </c>
      <c r="X200" s="35">
        <v>23671.38</v>
      </c>
      <c r="Y200" s="35">
        <v>4303.8900000000003</v>
      </c>
      <c r="Z200" s="35">
        <v>4303.8900000000003</v>
      </c>
      <c r="AA200" s="35">
        <v>0</v>
      </c>
      <c r="AB200" s="35"/>
      <c r="AC200" s="35">
        <v>0</v>
      </c>
      <c r="AD200" s="35"/>
      <c r="AE200" s="35">
        <v>0</v>
      </c>
      <c r="AF200" s="35"/>
      <c r="AG200" s="35">
        <v>0</v>
      </c>
      <c r="AH200" s="35"/>
      <c r="AI200" s="37">
        <v>0</v>
      </c>
    </row>
    <row r="201" spans="1:35" x14ac:dyDescent="0.25">
      <c r="A201" s="38" t="s">
        <v>110</v>
      </c>
      <c r="B201" s="39" t="s">
        <v>1102</v>
      </c>
      <c r="C201" s="39" t="s">
        <v>1103</v>
      </c>
      <c r="D201" s="39">
        <v>32535</v>
      </c>
      <c r="E201" s="39" t="s">
        <v>1903</v>
      </c>
      <c r="F201" s="39" t="s">
        <v>1904</v>
      </c>
      <c r="G201" s="39" t="s">
        <v>174</v>
      </c>
      <c r="H201" s="39" t="s">
        <v>160</v>
      </c>
      <c r="I201" s="39" t="s">
        <v>217</v>
      </c>
      <c r="J201" s="39" t="s">
        <v>141</v>
      </c>
      <c r="K201" s="40">
        <v>46036</v>
      </c>
      <c r="L201" s="40">
        <v>46035</v>
      </c>
      <c r="M201" s="40"/>
      <c r="N201" s="40"/>
      <c r="O201" s="40"/>
      <c r="P201" s="40"/>
      <c r="Q201" s="40"/>
      <c r="R201" s="39" t="s">
        <v>218</v>
      </c>
      <c r="S201" s="39" t="s">
        <v>1018</v>
      </c>
      <c r="T201" s="39" t="s">
        <v>1018</v>
      </c>
      <c r="U201" s="35" t="s">
        <v>82</v>
      </c>
      <c r="V201" s="39" t="s">
        <v>226</v>
      </c>
      <c r="W201" s="39" t="s">
        <v>123</v>
      </c>
      <c r="X201" s="39">
        <v>47342.75</v>
      </c>
      <c r="Y201" s="39">
        <v>8607.77</v>
      </c>
      <c r="Z201" s="39">
        <v>8607.77</v>
      </c>
      <c r="AA201" s="39">
        <v>0</v>
      </c>
      <c r="AB201" s="39"/>
      <c r="AC201" s="39">
        <v>0</v>
      </c>
      <c r="AD201" s="39"/>
      <c r="AE201" s="39">
        <v>0</v>
      </c>
      <c r="AF201" s="39"/>
      <c r="AG201" s="39">
        <v>0</v>
      </c>
      <c r="AH201" s="39"/>
      <c r="AI201" s="41">
        <v>0</v>
      </c>
    </row>
    <row r="202" spans="1:35" x14ac:dyDescent="0.25">
      <c r="A202" s="34" t="s">
        <v>110</v>
      </c>
      <c r="B202" s="35" t="s">
        <v>1102</v>
      </c>
      <c r="C202" s="35" t="s">
        <v>1103</v>
      </c>
      <c r="D202" s="35">
        <v>32535</v>
      </c>
      <c r="E202" s="35" t="s">
        <v>1905</v>
      </c>
      <c r="F202" s="35" t="s">
        <v>1906</v>
      </c>
      <c r="G202" s="35" t="s">
        <v>174</v>
      </c>
      <c r="H202" s="35" t="s">
        <v>160</v>
      </c>
      <c r="I202" s="35" t="s">
        <v>217</v>
      </c>
      <c r="J202" s="35" t="s">
        <v>141</v>
      </c>
      <c r="K202" s="36">
        <v>46036</v>
      </c>
      <c r="L202" s="36">
        <v>46035</v>
      </c>
      <c r="M202" s="36"/>
      <c r="N202" s="36"/>
      <c r="O202" s="36"/>
      <c r="P202" s="36"/>
      <c r="Q202" s="36"/>
      <c r="R202" s="35" t="s">
        <v>218</v>
      </c>
      <c r="S202" s="35" t="s">
        <v>1018</v>
      </c>
      <c r="T202" s="35" t="s">
        <v>1018</v>
      </c>
      <c r="U202" s="35" t="s">
        <v>82</v>
      </c>
      <c r="V202" s="35" t="s">
        <v>226</v>
      </c>
      <c r="W202" s="35" t="s">
        <v>123</v>
      </c>
      <c r="X202" s="35">
        <v>47342.75</v>
      </c>
      <c r="Y202" s="35">
        <v>8607.77</v>
      </c>
      <c r="Z202" s="35">
        <v>8607.77</v>
      </c>
      <c r="AA202" s="35">
        <v>0</v>
      </c>
      <c r="AB202" s="35"/>
      <c r="AC202" s="35">
        <v>0</v>
      </c>
      <c r="AD202" s="35"/>
      <c r="AE202" s="35">
        <v>0</v>
      </c>
      <c r="AF202" s="35"/>
      <c r="AG202" s="35">
        <v>0</v>
      </c>
      <c r="AH202" s="35"/>
      <c r="AI202" s="37">
        <v>0</v>
      </c>
    </row>
    <row r="203" spans="1:35" x14ac:dyDescent="0.25">
      <c r="A203" s="38" t="s">
        <v>110</v>
      </c>
      <c r="B203" s="39" t="s">
        <v>1146</v>
      </c>
      <c r="C203" s="39" t="s">
        <v>1147</v>
      </c>
      <c r="D203" s="39">
        <v>32536</v>
      </c>
      <c r="E203" s="39" t="s">
        <v>1148</v>
      </c>
      <c r="F203" s="39" t="s">
        <v>1149</v>
      </c>
      <c r="G203" s="39" t="s">
        <v>174</v>
      </c>
      <c r="H203" s="39" t="s">
        <v>160</v>
      </c>
      <c r="I203" s="39" t="s">
        <v>217</v>
      </c>
      <c r="J203" s="39" t="s">
        <v>118</v>
      </c>
      <c r="K203" s="40">
        <v>46036</v>
      </c>
      <c r="L203" s="40">
        <v>46034</v>
      </c>
      <c r="M203" s="40">
        <v>46042</v>
      </c>
      <c r="N203" s="40"/>
      <c r="O203" s="40"/>
      <c r="P203" s="40"/>
      <c r="Q203" s="40"/>
      <c r="R203" s="39" t="s">
        <v>218</v>
      </c>
      <c r="S203" s="39" t="s">
        <v>1018</v>
      </c>
      <c r="T203" s="39" t="s">
        <v>1018</v>
      </c>
      <c r="U203" s="35" t="s">
        <v>82</v>
      </c>
      <c r="V203" s="39" t="s">
        <v>226</v>
      </c>
      <c r="W203" s="39" t="s">
        <v>123</v>
      </c>
      <c r="X203" s="39">
        <v>4726.78</v>
      </c>
      <c r="Y203" s="39">
        <v>859.42</v>
      </c>
      <c r="Z203" s="39">
        <v>859.42</v>
      </c>
      <c r="AA203" s="39">
        <v>0</v>
      </c>
      <c r="AB203" s="39"/>
      <c r="AC203" s="39">
        <v>0</v>
      </c>
      <c r="AD203" s="39"/>
      <c r="AE203" s="39">
        <v>0</v>
      </c>
      <c r="AF203" s="39"/>
      <c r="AG203" s="39">
        <v>0</v>
      </c>
      <c r="AH203" s="39"/>
      <c r="AI203" s="41">
        <v>0</v>
      </c>
    </row>
    <row r="204" spans="1:35" x14ac:dyDescent="0.25">
      <c r="A204" s="34" t="s">
        <v>110</v>
      </c>
      <c r="B204" s="35" t="s">
        <v>1146</v>
      </c>
      <c r="C204" s="35" t="s">
        <v>1147</v>
      </c>
      <c r="D204" s="35">
        <v>32536</v>
      </c>
      <c r="E204" s="35" t="s">
        <v>1150</v>
      </c>
      <c r="F204" s="35" t="s">
        <v>1151</v>
      </c>
      <c r="G204" s="35" t="s">
        <v>174</v>
      </c>
      <c r="H204" s="35" t="s">
        <v>160</v>
      </c>
      <c r="I204" s="35" t="s">
        <v>217</v>
      </c>
      <c r="J204" s="35" t="s">
        <v>118</v>
      </c>
      <c r="K204" s="36">
        <v>46036</v>
      </c>
      <c r="L204" s="36">
        <v>46034</v>
      </c>
      <c r="M204" s="36">
        <v>46042</v>
      </c>
      <c r="N204" s="36"/>
      <c r="O204" s="36"/>
      <c r="P204" s="36"/>
      <c r="Q204" s="36"/>
      <c r="R204" s="35" t="s">
        <v>218</v>
      </c>
      <c r="S204" s="35" t="s">
        <v>1018</v>
      </c>
      <c r="T204" s="35" t="s">
        <v>1018</v>
      </c>
      <c r="U204" s="35" t="s">
        <v>82</v>
      </c>
      <c r="V204" s="35" t="s">
        <v>226</v>
      </c>
      <c r="W204" s="35" t="s">
        <v>123</v>
      </c>
      <c r="X204" s="35">
        <v>4726.78</v>
      </c>
      <c r="Y204" s="35">
        <v>859.42</v>
      </c>
      <c r="Z204" s="35">
        <v>859.42</v>
      </c>
      <c r="AA204" s="35">
        <v>0</v>
      </c>
      <c r="AB204" s="35"/>
      <c r="AC204" s="35">
        <v>0</v>
      </c>
      <c r="AD204" s="35"/>
      <c r="AE204" s="35">
        <v>0</v>
      </c>
      <c r="AF204" s="35"/>
      <c r="AG204" s="35">
        <v>0</v>
      </c>
      <c r="AH204" s="35"/>
      <c r="AI204" s="37">
        <v>0</v>
      </c>
    </row>
    <row r="205" spans="1:35" x14ac:dyDescent="0.25">
      <c r="A205" s="38" t="s">
        <v>110</v>
      </c>
      <c r="B205" s="39" t="s">
        <v>1255</v>
      </c>
      <c r="C205" s="39" t="s">
        <v>1256</v>
      </c>
      <c r="D205" s="39">
        <v>32537</v>
      </c>
      <c r="E205" s="39" t="s">
        <v>1257</v>
      </c>
      <c r="F205" s="39" t="s">
        <v>1258</v>
      </c>
      <c r="G205" s="39" t="s">
        <v>174</v>
      </c>
      <c r="H205" s="39" t="s">
        <v>160</v>
      </c>
      <c r="I205" s="39" t="s">
        <v>217</v>
      </c>
      <c r="J205" s="39" t="s">
        <v>118</v>
      </c>
      <c r="K205" s="40">
        <v>46036</v>
      </c>
      <c r="L205" s="40">
        <v>46035</v>
      </c>
      <c r="M205" s="40">
        <v>46052</v>
      </c>
      <c r="N205" s="40"/>
      <c r="O205" s="40"/>
      <c r="P205" s="40"/>
      <c r="Q205" s="40"/>
      <c r="R205" s="39" t="s">
        <v>218</v>
      </c>
      <c r="S205" s="39" t="s">
        <v>1018</v>
      </c>
      <c r="T205" s="39" t="s">
        <v>1018</v>
      </c>
      <c r="U205" s="35" t="s">
        <v>82</v>
      </c>
      <c r="V205" s="39" t="s">
        <v>226</v>
      </c>
      <c r="W205" s="39" t="s">
        <v>123</v>
      </c>
      <c r="X205" s="39">
        <v>25984.240000000002</v>
      </c>
      <c r="Y205" s="39">
        <v>4724.3999999999996</v>
      </c>
      <c r="Z205" s="39">
        <v>4724.3999999999996</v>
      </c>
      <c r="AA205" s="39">
        <v>0</v>
      </c>
      <c r="AB205" s="39"/>
      <c r="AC205" s="39">
        <v>0</v>
      </c>
      <c r="AD205" s="39"/>
      <c r="AE205" s="39">
        <v>0</v>
      </c>
      <c r="AF205" s="39"/>
      <c r="AG205" s="39">
        <v>0</v>
      </c>
      <c r="AH205" s="39"/>
      <c r="AI205" s="41">
        <v>0</v>
      </c>
    </row>
    <row r="206" spans="1:35" x14ac:dyDescent="0.25">
      <c r="A206" s="34" t="s">
        <v>110</v>
      </c>
      <c r="B206" s="35" t="s">
        <v>1255</v>
      </c>
      <c r="C206" s="35" t="s">
        <v>1256</v>
      </c>
      <c r="D206" s="35">
        <v>32537</v>
      </c>
      <c r="E206" s="35" t="s">
        <v>1987</v>
      </c>
      <c r="F206" s="35" t="s">
        <v>1988</v>
      </c>
      <c r="G206" s="35" t="s">
        <v>174</v>
      </c>
      <c r="H206" s="35" t="s">
        <v>160</v>
      </c>
      <c r="I206" s="35" t="s">
        <v>217</v>
      </c>
      <c r="J206" s="35" t="s">
        <v>141</v>
      </c>
      <c r="K206" s="36">
        <v>46036</v>
      </c>
      <c r="L206" s="36">
        <v>46035</v>
      </c>
      <c r="M206" s="36"/>
      <c r="N206" s="36"/>
      <c r="O206" s="36"/>
      <c r="P206" s="36"/>
      <c r="Q206" s="36"/>
      <c r="R206" s="35" t="s">
        <v>218</v>
      </c>
      <c r="S206" s="35" t="s">
        <v>1018</v>
      </c>
      <c r="T206" s="35" t="s">
        <v>1018</v>
      </c>
      <c r="U206" s="35" t="s">
        <v>82</v>
      </c>
      <c r="V206" s="35" t="s">
        <v>226</v>
      </c>
      <c r="W206" s="35" t="s">
        <v>123</v>
      </c>
      <c r="X206" s="35">
        <v>51968.49</v>
      </c>
      <c r="Y206" s="35">
        <v>9448.82</v>
      </c>
      <c r="Z206" s="35">
        <v>9448.82</v>
      </c>
      <c r="AA206" s="35">
        <v>0</v>
      </c>
      <c r="AB206" s="35"/>
      <c r="AC206" s="35">
        <v>0</v>
      </c>
      <c r="AD206" s="35"/>
      <c r="AE206" s="35">
        <v>0</v>
      </c>
      <c r="AF206" s="35"/>
      <c r="AG206" s="35">
        <v>0</v>
      </c>
      <c r="AH206" s="35"/>
      <c r="AI206" s="37">
        <v>0</v>
      </c>
    </row>
    <row r="207" spans="1:35" x14ac:dyDescent="0.25">
      <c r="A207" s="38" t="s">
        <v>110</v>
      </c>
      <c r="B207" s="39" t="s">
        <v>1255</v>
      </c>
      <c r="C207" s="39" t="s">
        <v>1256</v>
      </c>
      <c r="D207" s="39">
        <v>32537</v>
      </c>
      <c r="E207" s="39" t="s">
        <v>1989</v>
      </c>
      <c r="F207" s="39" t="s">
        <v>1990</v>
      </c>
      <c r="G207" s="39" t="s">
        <v>174</v>
      </c>
      <c r="H207" s="39" t="s">
        <v>160</v>
      </c>
      <c r="I207" s="39" t="s">
        <v>217</v>
      </c>
      <c r="J207" s="39" t="s">
        <v>141</v>
      </c>
      <c r="K207" s="40">
        <v>46036</v>
      </c>
      <c r="L207" s="40">
        <v>46035</v>
      </c>
      <c r="M207" s="40"/>
      <c r="N207" s="40"/>
      <c r="O207" s="40"/>
      <c r="P207" s="40"/>
      <c r="Q207" s="40"/>
      <c r="R207" s="39" t="s">
        <v>218</v>
      </c>
      <c r="S207" s="39" t="s">
        <v>1018</v>
      </c>
      <c r="T207" s="39" t="s">
        <v>1018</v>
      </c>
      <c r="U207" s="35" t="s">
        <v>82</v>
      </c>
      <c r="V207" s="39" t="s">
        <v>226</v>
      </c>
      <c r="W207" s="39" t="s">
        <v>123</v>
      </c>
      <c r="X207" s="39">
        <v>51968.49</v>
      </c>
      <c r="Y207" s="39">
        <v>9448.82</v>
      </c>
      <c r="Z207" s="39">
        <v>9448.82</v>
      </c>
      <c r="AA207" s="39">
        <v>0</v>
      </c>
      <c r="AB207" s="39"/>
      <c r="AC207" s="39">
        <v>0</v>
      </c>
      <c r="AD207" s="39"/>
      <c r="AE207" s="39">
        <v>0</v>
      </c>
      <c r="AF207" s="39"/>
      <c r="AG207" s="39">
        <v>0</v>
      </c>
      <c r="AH207" s="39"/>
      <c r="AI207" s="41">
        <v>0</v>
      </c>
    </row>
    <row r="208" spans="1:35" x14ac:dyDescent="0.25">
      <c r="A208" s="34" t="s">
        <v>110</v>
      </c>
      <c r="B208" s="35" t="s">
        <v>188</v>
      </c>
      <c r="C208" s="35" t="s">
        <v>189</v>
      </c>
      <c r="D208" s="35">
        <v>15778</v>
      </c>
      <c r="E208" s="35" t="s">
        <v>190</v>
      </c>
      <c r="F208" s="35" t="s">
        <v>191</v>
      </c>
      <c r="G208" s="35" t="s">
        <v>192</v>
      </c>
      <c r="H208" s="35" t="s">
        <v>160</v>
      </c>
      <c r="I208" s="35" t="s">
        <v>117</v>
      </c>
      <c r="J208" s="35" t="s">
        <v>118</v>
      </c>
      <c r="K208" s="36">
        <v>46036</v>
      </c>
      <c r="L208" s="36">
        <v>46023</v>
      </c>
      <c r="M208" s="36">
        <v>46050</v>
      </c>
      <c r="N208" s="36"/>
      <c r="O208" s="36"/>
      <c r="P208" s="36"/>
      <c r="Q208" s="36">
        <v>46113</v>
      </c>
      <c r="R208" s="35" t="s">
        <v>142</v>
      </c>
      <c r="S208" s="35" t="s">
        <v>182</v>
      </c>
      <c r="T208" s="35" t="s">
        <v>183</v>
      </c>
      <c r="U208" s="35" t="s">
        <v>90</v>
      </c>
      <c r="V208" s="35" t="s">
        <v>163</v>
      </c>
      <c r="W208" s="35" t="s">
        <v>123</v>
      </c>
      <c r="X208" s="35">
        <v>7.17</v>
      </c>
      <c r="Y208" s="35">
        <v>1.43</v>
      </c>
      <c r="Z208" s="35">
        <v>1.43</v>
      </c>
      <c r="AA208" s="35">
        <v>0</v>
      </c>
      <c r="AB208" s="35"/>
      <c r="AC208" s="35">
        <v>0</v>
      </c>
      <c r="AD208" s="35"/>
      <c r="AE208" s="35">
        <v>0</v>
      </c>
      <c r="AF208" s="35"/>
      <c r="AG208" s="35">
        <v>0</v>
      </c>
      <c r="AH208" s="35"/>
      <c r="AI208" s="37">
        <v>0</v>
      </c>
    </row>
    <row r="209" spans="1:35" x14ac:dyDescent="0.25">
      <c r="A209" s="38" t="s">
        <v>110</v>
      </c>
      <c r="B209" s="39" t="s">
        <v>1049</v>
      </c>
      <c r="C209" s="39" t="s">
        <v>1050</v>
      </c>
      <c r="D209" s="39">
        <v>32538</v>
      </c>
      <c r="E209" s="39" t="s">
        <v>1051</v>
      </c>
      <c r="F209" s="39" t="s">
        <v>1052</v>
      </c>
      <c r="G209" s="39" t="s">
        <v>174</v>
      </c>
      <c r="H209" s="39" t="s">
        <v>160</v>
      </c>
      <c r="I209" s="39" t="s">
        <v>217</v>
      </c>
      <c r="J209" s="39" t="s">
        <v>118</v>
      </c>
      <c r="K209" s="40">
        <v>46038</v>
      </c>
      <c r="L209" s="40">
        <v>46035</v>
      </c>
      <c r="M209" s="40">
        <v>46044</v>
      </c>
      <c r="N209" s="40"/>
      <c r="O209" s="40"/>
      <c r="P209" s="40">
        <v>46047</v>
      </c>
      <c r="Q209" s="40"/>
      <c r="R209" s="39" t="s">
        <v>218</v>
      </c>
      <c r="S209" s="39" t="s">
        <v>1018</v>
      </c>
      <c r="T209" s="39" t="s">
        <v>1018</v>
      </c>
      <c r="U209" s="35" t="s">
        <v>82</v>
      </c>
      <c r="V209" s="39" t="s">
        <v>226</v>
      </c>
      <c r="W209" s="39" t="s">
        <v>123</v>
      </c>
      <c r="X209" s="39">
        <v>43835.24</v>
      </c>
      <c r="Y209" s="39">
        <v>7970.05</v>
      </c>
      <c r="Z209" s="39">
        <v>7970.05</v>
      </c>
      <c r="AA209" s="39">
        <v>0</v>
      </c>
      <c r="AB209" s="39"/>
      <c r="AC209" s="39">
        <v>0</v>
      </c>
      <c r="AD209" s="39" t="s">
        <v>1053</v>
      </c>
      <c r="AE209" s="39">
        <v>4383.5200000000004</v>
      </c>
      <c r="AF209" s="39"/>
      <c r="AG209" s="39">
        <v>0</v>
      </c>
      <c r="AH209" s="39"/>
      <c r="AI209" s="41">
        <v>0</v>
      </c>
    </row>
    <row r="210" spans="1:35" x14ac:dyDescent="0.25">
      <c r="A210" s="34" t="s">
        <v>110</v>
      </c>
      <c r="B210" s="35" t="s">
        <v>1049</v>
      </c>
      <c r="C210" s="35" t="s">
        <v>1050</v>
      </c>
      <c r="D210" s="35">
        <v>32538</v>
      </c>
      <c r="E210" s="35" t="s">
        <v>1054</v>
      </c>
      <c r="F210" s="35" t="s">
        <v>1055</v>
      </c>
      <c r="G210" s="35" t="s">
        <v>174</v>
      </c>
      <c r="H210" s="35" t="s">
        <v>160</v>
      </c>
      <c r="I210" s="35" t="s">
        <v>217</v>
      </c>
      <c r="J210" s="35" t="s">
        <v>118</v>
      </c>
      <c r="K210" s="36">
        <v>46038</v>
      </c>
      <c r="L210" s="36">
        <v>46035</v>
      </c>
      <c r="M210" s="36">
        <v>46044</v>
      </c>
      <c r="N210" s="36"/>
      <c r="O210" s="36"/>
      <c r="P210" s="36">
        <v>46047</v>
      </c>
      <c r="Q210" s="36"/>
      <c r="R210" s="35" t="s">
        <v>218</v>
      </c>
      <c r="S210" s="35" t="s">
        <v>1018</v>
      </c>
      <c r="T210" s="35" t="s">
        <v>1018</v>
      </c>
      <c r="U210" s="35" t="s">
        <v>82</v>
      </c>
      <c r="V210" s="35" t="s">
        <v>226</v>
      </c>
      <c r="W210" s="35" t="s">
        <v>123</v>
      </c>
      <c r="X210" s="35">
        <v>604.12</v>
      </c>
      <c r="Y210" s="35">
        <v>109.84</v>
      </c>
      <c r="Z210" s="35">
        <v>109.84</v>
      </c>
      <c r="AA210" s="35">
        <v>0</v>
      </c>
      <c r="AB210" s="35"/>
      <c r="AC210" s="35">
        <v>0</v>
      </c>
      <c r="AD210" s="35" t="s">
        <v>1053</v>
      </c>
      <c r="AE210" s="35">
        <v>60.41</v>
      </c>
      <c r="AF210" s="35"/>
      <c r="AG210" s="35">
        <v>0</v>
      </c>
      <c r="AH210" s="35"/>
      <c r="AI210" s="37">
        <v>0</v>
      </c>
    </row>
    <row r="211" spans="1:35" x14ac:dyDescent="0.25">
      <c r="A211" s="38" t="s">
        <v>110</v>
      </c>
      <c r="B211" s="39" t="s">
        <v>1135</v>
      </c>
      <c r="C211" s="39" t="s">
        <v>1139</v>
      </c>
      <c r="D211" s="39">
        <v>32539</v>
      </c>
      <c r="E211" s="39" t="s">
        <v>1140</v>
      </c>
      <c r="F211" s="39" t="s">
        <v>1141</v>
      </c>
      <c r="G211" s="39" t="s">
        <v>174</v>
      </c>
      <c r="H211" s="39" t="s">
        <v>160</v>
      </c>
      <c r="I211" s="39" t="s">
        <v>217</v>
      </c>
      <c r="J211" s="39" t="s">
        <v>118</v>
      </c>
      <c r="K211" s="40">
        <v>46038</v>
      </c>
      <c r="L211" s="40">
        <v>46037</v>
      </c>
      <c r="M211" s="40">
        <v>46055</v>
      </c>
      <c r="N211" s="40"/>
      <c r="O211" s="40"/>
      <c r="P211" s="40"/>
      <c r="Q211" s="40"/>
      <c r="R211" s="39" t="s">
        <v>218</v>
      </c>
      <c r="S211" s="39" t="s">
        <v>1018</v>
      </c>
      <c r="T211" s="39" t="s">
        <v>1018</v>
      </c>
      <c r="U211" s="35" t="s">
        <v>82</v>
      </c>
      <c r="V211" s="39" t="s">
        <v>226</v>
      </c>
      <c r="W211" s="39" t="s">
        <v>123</v>
      </c>
      <c r="X211" s="39">
        <v>661.12</v>
      </c>
      <c r="Y211" s="39">
        <v>120.2</v>
      </c>
      <c r="Z211" s="39">
        <v>120.2</v>
      </c>
      <c r="AA211" s="39">
        <v>0</v>
      </c>
      <c r="AB211" s="39"/>
      <c r="AC211" s="39">
        <v>0</v>
      </c>
      <c r="AD211" s="39"/>
      <c r="AE211" s="39">
        <v>0</v>
      </c>
      <c r="AF211" s="39"/>
      <c r="AG211" s="39">
        <v>0</v>
      </c>
      <c r="AH211" s="39"/>
      <c r="AI211" s="41">
        <v>0</v>
      </c>
    </row>
    <row r="212" spans="1:35" x14ac:dyDescent="0.25">
      <c r="A212" s="34" t="s">
        <v>110</v>
      </c>
      <c r="B212" s="35" t="s">
        <v>1880</v>
      </c>
      <c r="C212" s="35" t="s">
        <v>1946</v>
      </c>
      <c r="D212" s="35">
        <v>32540</v>
      </c>
      <c r="E212" s="35" t="s">
        <v>1947</v>
      </c>
      <c r="F212" s="35" t="s">
        <v>1948</v>
      </c>
      <c r="G212" s="35" t="s">
        <v>174</v>
      </c>
      <c r="H212" s="35" t="s">
        <v>160</v>
      </c>
      <c r="I212" s="35" t="s">
        <v>217</v>
      </c>
      <c r="J212" s="35" t="s">
        <v>141</v>
      </c>
      <c r="K212" s="36">
        <v>46038</v>
      </c>
      <c r="L212" s="36">
        <v>46037</v>
      </c>
      <c r="M212" s="36"/>
      <c r="N212" s="36"/>
      <c r="O212" s="36"/>
      <c r="P212" s="36"/>
      <c r="Q212" s="36"/>
      <c r="R212" s="35" t="s">
        <v>218</v>
      </c>
      <c r="S212" s="35" t="s">
        <v>1018</v>
      </c>
      <c r="T212" s="35" t="s">
        <v>1018</v>
      </c>
      <c r="U212" s="35" t="s">
        <v>82</v>
      </c>
      <c r="V212" s="35" t="s">
        <v>226</v>
      </c>
      <c r="W212" s="35" t="s">
        <v>123</v>
      </c>
      <c r="X212" s="35">
        <v>772.08</v>
      </c>
      <c r="Y212" s="35">
        <v>140.38</v>
      </c>
      <c r="Z212" s="35">
        <v>140.38</v>
      </c>
      <c r="AA212" s="35">
        <v>0</v>
      </c>
      <c r="AB212" s="35"/>
      <c r="AC212" s="35">
        <v>0</v>
      </c>
      <c r="AD212" s="35"/>
      <c r="AE212" s="35">
        <v>0</v>
      </c>
      <c r="AF212" s="35"/>
      <c r="AG212" s="35">
        <v>0</v>
      </c>
      <c r="AH212" s="35"/>
      <c r="AI212" s="37">
        <v>0</v>
      </c>
    </row>
    <row r="213" spans="1:35" x14ac:dyDescent="0.25">
      <c r="A213" s="38" t="s">
        <v>110</v>
      </c>
      <c r="B213" s="39" t="s">
        <v>334</v>
      </c>
      <c r="C213" s="39" t="s">
        <v>335</v>
      </c>
      <c r="D213" s="39">
        <v>32541</v>
      </c>
      <c r="E213" s="39" t="s">
        <v>336</v>
      </c>
      <c r="F213" s="39" t="s">
        <v>337</v>
      </c>
      <c r="G213" s="39" t="s">
        <v>174</v>
      </c>
      <c r="H213" s="39" t="s">
        <v>160</v>
      </c>
      <c r="I213" s="39" t="s">
        <v>217</v>
      </c>
      <c r="J213" s="39" t="s">
        <v>118</v>
      </c>
      <c r="K213" s="40">
        <v>46038</v>
      </c>
      <c r="L213" s="40">
        <v>46041</v>
      </c>
      <c r="M213" s="40">
        <v>46050</v>
      </c>
      <c r="N213" s="40"/>
      <c r="O213" s="40"/>
      <c r="P213" s="40"/>
      <c r="Q213" s="40">
        <v>46056</v>
      </c>
      <c r="R213" s="39" t="s">
        <v>218</v>
      </c>
      <c r="S213" s="39" t="s">
        <v>225</v>
      </c>
      <c r="T213" s="39" t="s">
        <v>225</v>
      </c>
      <c r="U213" s="35" t="s">
        <v>88</v>
      </c>
      <c r="V213" s="39" t="s">
        <v>226</v>
      </c>
      <c r="W213" s="39" t="s">
        <v>123</v>
      </c>
      <c r="X213" s="39">
        <v>508.55</v>
      </c>
      <c r="Y213" s="39">
        <v>92.46</v>
      </c>
      <c r="Z213" s="39">
        <v>92.46</v>
      </c>
      <c r="AA213" s="39">
        <v>0</v>
      </c>
      <c r="AB213" s="39"/>
      <c r="AC213" s="39">
        <v>0</v>
      </c>
      <c r="AD213" s="39"/>
      <c r="AE213" s="39">
        <v>0</v>
      </c>
      <c r="AF213" s="39"/>
      <c r="AG213" s="39">
        <v>0</v>
      </c>
      <c r="AH213" s="39"/>
      <c r="AI213" s="41">
        <v>0</v>
      </c>
    </row>
    <row r="214" spans="1:35" x14ac:dyDescent="0.25">
      <c r="A214" s="34" t="s">
        <v>110</v>
      </c>
      <c r="B214" s="35" t="s">
        <v>1251</v>
      </c>
      <c r="C214" s="35" t="s">
        <v>1252</v>
      </c>
      <c r="D214" s="35">
        <v>32542</v>
      </c>
      <c r="E214" s="35" t="s">
        <v>1253</v>
      </c>
      <c r="F214" s="35" t="s">
        <v>1254</v>
      </c>
      <c r="G214" s="35" t="s">
        <v>174</v>
      </c>
      <c r="H214" s="35" t="s">
        <v>160</v>
      </c>
      <c r="I214" s="35" t="s">
        <v>217</v>
      </c>
      <c r="J214" s="35" t="s">
        <v>118</v>
      </c>
      <c r="K214" s="36">
        <v>46038</v>
      </c>
      <c r="L214" s="36">
        <v>46036</v>
      </c>
      <c r="M214" s="36">
        <v>46037</v>
      </c>
      <c r="N214" s="36"/>
      <c r="O214" s="36"/>
      <c r="P214" s="36"/>
      <c r="Q214" s="36">
        <v>46056</v>
      </c>
      <c r="R214" s="35" t="s">
        <v>218</v>
      </c>
      <c r="S214" s="35" t="s">
        <v>1018</v>
      </c>
      <c r="T214" s="35" t="s">
        <v>1018</v>
      </c>
      <c r="U214" s="35" t="s">
        <v>82</v>
      </c>
      <c r="V214" s="35" t="s">
        <v>226</v>
      </c>
      <c r="W214" s="35" t="s">
        <v>123</v>
      </c>
      <c r="X214" s="35">
        <v>1077.6600000000001</v>
      </c>
      <c r="Y214" s="35">
        <v>195.94</v>
      </c>
      <c r="Z214" s="35">
        <v>195.94</v>
      </c>
      <c r="AA214" s="35">
        <v>0</v>
      </c>
      <c r="AB214" s="35"/>
      <c r="AC214" s="35">
        <v>0</v>
      </c>
      <c r="AD214" s="35"/>
      <c r="AE214" s="35">
        <v>0</v>
      </c>
      <c r="AF214" s="35"/>
      <c r="AG214" s="35">
        <v>0</v>
      </c>
      <c r="AH214" s="35"/>
      <c r="AI214" s="37">
        <v>0</v>
      </c>
    </row>
    <row r="215" spans="1:35" x14ac:dyDescent="0.25">
      <c r="A215" s="38" t="s">
        <v>110</v>
      </c>
      <c r="B215" s="39" t="s">
        <v>355</v>
      </c>
      <c r="C215" s="39" t="s">
        <v>356</v>
      </c>
      <c r="D215" s="39">
        <v>32543</v>
      </c>
      <c r="E215" s="39" t="s">
        <v>357</v>
      </c>
      <c r="F215" s="39" t="s">
        <v>358</v>
      </c>
      <c r="G215" s="39" t="s">
        <v>174</v>
      </c>
      <c r="H215" s="39" t="s">
        <v>160</v>
      </c>
      <c r="I215" s="39" t="s">
        <v>217</v>
      </c>
      <c r="J215" s="39" t="s">
        <v>118</v>
      </c>
      <c r="K215" s="40">
        <v>46038</v>
      </c>
      <c r="L215" s="40">
        <v>46067</v>
      </c>
      <c r="M215" s="40">
        <v>46069</v>
      </c>
      <c r="N215" s="40"/>
      <c r="O215" s="40"/>
      <c r="P215" s="40"/>
      <c r="Q215" s="40"/>
      <c r="R215" s="39" t="s">
        <v>218</v>
      </c>
      <c r="S215" s="39" t="s">
        <v>225</v>
      </c>
      <c r="T215" s="39" t="s">
        <v>225</v>
      </c>
      <c r="U215" s="35" t="s">
        <v>88</v>
      </c>
      <c r="V215" s="39" t="s">
        <v>226</v>
      </c>
      <c r="W215" s="39" t="s">
        <v>123</v>
      </c>
      <c r="X215" s="39">
        <v>1840</v>
      </c>
      <c r="Y215" s="39">
        <v>334.55</v>
      </c>
      <c r="Z215" s="39">
        <v>334.55</v>
      </c>
      <c r="AA215" s="39">
        <v>0</v>
      </c>
      <c r="AB215" s="39"/>
      <c r="AC215" s="39">
        <v>0</v>
      </c>
      <c r="AD215" s="39"/>
      <c r="AE215" s="39">
        <v>0</v>
      </c>
      <c r="AF215" s="39"/>
      <c r="AG215" s="39">
        <v>0</v>
      </c>
      <c r="AH215" s="39"/>
      <c r="AI215" s="41">
        <v>0</v>
      </c>
    </row>
    <row r="216" spans="1:35" x14ac:dyDescent="0.25">
      <c r="A216" s="34" t="s">
        <v>110</v>
      </c>
      <c r="B216" s="35" t="s">
        <v>420</v>
      </c>
      <c r="C216" s="35" t="s">
        <v>1269</v>
      </c>
      <c r="D216" s="35">
        <v>32544</v>
      </c>
      <c r="E216" s="35" t="s">
        <v>1270</v>
      </c>
      <c r="F216" s="35" t="s">
        <v>1271</v>
      </c>
      <c r="G216" s="35" t="s">
        <v>174</v>
      </c>
      <c r="H216" s="35" t="s">
        <v>160</v>
      </c>
      <c r="I216" s="35" t="s">
        <v>217</v>
      </c>
      <c r="J216" s="35" t="s">
        <v>118</v>
      </c>
      <c r="K216" s="36">
        <v>46038</v>
      </c>
      <c r="L216" s="36">
        <v>46037</v>
      </c>
      <c r="M216" s="36">
        <v>46042</v>
      </c>
      <c r="N216" s="36"/>
      <c r="O216" s="36"/>
      <c r="P216" s="36"/>
      <c r="Q216" s="36"/>
      <c r="R216" s="35" t="s">
        <v>218</v>
      </c>
      <c r="S216" s="35" t="s">
        <v>1018</v>
      </c>
      <c r="T216" s="35" t="s">
        <v>1018</v>
      </c>
      <c r="U216" s="35" t="s">
        <v>82</v>
      </c>
      <c r="V216" s="35" t="s">
        <v>226</v>
      </c>
      <c r="W216" s="35" t="s">
        <v>123</v>
      </c>
      <c r="X216" s="35">
        <v>4689.32</v>
      </c>
      <c r="Y216" s="35">
        <v>852.61</v>
      </c>
      <c r="Z216" s="35">
        <v>852.61</v>
      </c>
      <c r="AA216" s="35">
        <v>0</v>
      </c>
      <c r="AB216" s="35"/>
      <c r="AC216" s="35">
        <v>0</v>
      </c>
      <c r="AD216" s="35"/>
      <c r="AE216" s="35">
        <v>0</v>
      </c>
      <c r="AF216" s="35"/>
      <c r="AG216" s="35">
        <v>0</v>
      </c>
      <c r="AH216" s="35"/>
      <c r="AI216" s="37">
        <v>0</v>
      </c>
    </row>
    <row r="217" spans="1:35" x14ac:dyDescent="0.25">
      <c r="A217" s="38" t="s">
        <v>110</v>
      </c>
      <c r="B217" s="39" t="s">
        <v>420</v>
      </c>
      <c r="C217" s="39" t="s">
        <v>1274</v>
      </c>
      <c r="D217" s="39">
        <v>32545</v>
      </c>
      <c r="E217" s="39" t="s">
        <v>1275</v>
      </c>
      <c r="F217" s="39" t="s">
        <v>1276</v>
      </c>
      <c r="G217" s="39" t="s">
        <v>174</v>
      </c>
      <c r="H217" s="39" t="s">
        <v>160</v>
      </c>
      <c r="I217" s="39" t="s">
        <v>217</v>
      </c>
      <c r="J217" s="39" t="s">
        <v>118</v>
      </c>
      <c r="K217" s="40">
        <v>46038</v>
      </c>
      <c r="L217" s="40">
        <v>46037</v>
      </c>
      <c r="M217" s="40">
        <v>46042</v>
      </c>
      <c r="N217" s="40"/>
      <c r="O217" s="40"/>
      <c r="P217" s="40"/>
      <c r="Q217" s="40"/>
      <c r="R217" s="39" t="s">
        <v>218</v>
      </c>
      <c r="S217" s="39" t="s">
        <v>1018</v>
      </c>
      <c r="T217" s="39" t="s">
        <v>1018</v>
      </c>
      <c r="U217" s="35" t="s">
        <v>82</v>
      </c>
      <c r="V217" s="39" t="s">
        <v>226</v>
      </c>
      <c r="W217" s="39" t="s">
        <v>123</v>
      </c>
      <c r="X217" s="39">
        <v>3342.62</v>
      </c>
      <c r="Y217" s="39">
        <v>607.74</v>
      </c>
      <c r="Z217" s="39">
        <v>607.74</v>
      </c>
      <c r="AA217" s="39">
        <v>0</v>
      </c>
      <c r="AB217" s="39"/>
      <c r="AC217" s="39">
        <v>0</v>
      </c>
      <c r="AD217" s="39"/>
      <c r="AE217" s="39">
        <v>0</v>
      </c>
      <c r="AF217" s="39"/>
      <c r="AG217" s="39">
        <v>0</v>
      </c>
      <c r="AH217" s="39"/>
      <c r="AI217" s="41">
        <v>0</v>
      </c>
    </row>
    <row r="218" spans="1:35" x14ac:dyDescent="0.25">
      <c r="A218" s="34" t="s">
        <v>110</v>
      </c>
      <c r="B218" s="35" t="s">
        <v>428</v>
      </c>
      <c r="C218" s="35" t="s">
        <v>429</v>
      </c>
      <c r="D218" s="35">
        <v>22587</v>
      </c>
      <c r="E218" s="35" t="s">
        <v>430</v>
      </c>
      <c r="F218" s="35" t="s">
        <v>431</v>
      </c>
      <c r="G218" s="35" t="s">
        <v>174</v>
      </c>
      <c r="H218" s="35" t="s">
        <v>160</v>
      </c>
      <c r="I218" s="35" t="s">
        <v>217</v>
      </c>
      <c r="J218" s="35" t="s">
        <v>118</v>
      </c>
      <c r="K218" s="36">
        <v>46039</v>
      </c>
      <c r="L218" s="36">
        <v>45341</v>
      </c>
      <c r="M218" s="36">
        <v>46057</v>
      </c>
      <c r="N218" s="36"/>
      <c r="O218" s="36"/>
      <c r="P218" s="36"/>
      <c r="Q218" s="36">
        <v>46068</v>
      </c>
      <c r="R218" s="35" t="s">
        <v>218</v>
      </c>
      <c r="S218" s="35" t="s">
        <v>225</v>
      </c>
      <c r="T218" s="35" t="s">
        <v>225</v>
      </c>
      <c r="U218" s="35" t="s">
        <v>88</v>
      </c>
      <c r="V218" s="35" t="s">
        <v>226</v>
      </c>
      <c r="W218" s="35" t="s">
        <v>123</v>
      </c>
      <c r="X218" s="35">
        <v>11078.52</v>
      </c>
      <c r="Y218" s="35">
        <v>2014.28</v>
      </c>
      <c r="Z218" s="35">
        <v>2014.28</v>
      </c>
      <c r="AA218" s="35">
        <v>0</v>
      </c>
      <c r="AB218" s="35"/>
      <c r="AC218" s="35">
        <v>0</v>
      </c>
      <c r="AD218" s="35"/>
      <c r="AE218" s="35">
        <v>0</v>
      </c>
      <c r="AF218" s="35"/>
      <c r="AG218" s="35">
        <v>0</v>
      </c>
      <c r="AH218" s="35"/>
      <c r="AI218" s="37">
        <v>0</v>
      </c>
    </row>
    <row r="219" spans="1:35" x14ac:dyDescent="0.25">
      <c r="A219" s="38" t="s">
        <v>110</v>
      </c>
      <c r="B219" s="39" t="s">
        <v>1014</v>
      </c>
      <c r="C219" s="39" t="s">
        <v>1015</v>
      </c>
      <c r="D219" s="39">
        <v>30399</v>
      </c>
      <c r="E219" s="39" t="s">
        <v>1016</v>
      </c>
      <c r="F219" s="39" t="s">
        <v>1017</v>
      </c>
      <c r="G219" s="39" t="s">
        <v>174</v>
      </c>
      <c r="H219" s="39" t="s">
        <v>160</v>
      </c>
      <c r="I219" s="39" t="s">
        <v>217</v>
      </c>
      <c r="J219" s="39" t="s">
        <v>118</v>
      </c>
      <c r="K219" s="40">
        <v>46039</v>
      </c>
      <c r="L219" s="40">
        <v>45665</v>
      </c>
      <c r="M219" s="40">
        <v>46035</v>
      </c>
      <c r="N219" s="40"/>
      <c r="O219" s="40"/>
      <c r="P219" s="40"/>
      <c r="Q219" s="40">
        <v>46054</v>
      </c>
      <c r="R219" s="39" t="s">
        <v>218</v>
      </c>
      <c r="S219" s="39" t="s">
        <v>1018</v>
      </c>
      <c r="T219" s="39" t="s">
        <v>1018</v>
      </c>
      <c r="U219" s="35" t="s">
        <v>82</v>
      </c>
      <c r="V219" s="39" t="s">
        <v>226</v>
      </c>
      <c r="W219" s="39" t="s">
        <v>123</v>
      </c>
      <c r="X219" s="39">
        <v>-100</v>
      </c>
      <c r="Y219" s="39">
        <v>-10</v>
      </c>
      <c r="Z219" s="39">
        <v>-10</v>
      </c>
      <c r="AA219" s="39">
        <v>0</v>
      </c>
      <c r="AB219" s="39"/>
      <c r="AC219" s="39">
        <v>0</v>
      </c>
      <c r="AD219" s="39"/>
      <c r="AE219" s="39">
        <v>0</v>
      </c>
      <c r="AF219" s="39"/>
      <c r="AG219" s="39">
        <v>0</v>
      </c>
      <c r="AH219" s="39"/>
      <c r="AI219" s="41">
        <v>0</v>
      </c>
    </row>
    <row r="220" spans="1:35" x14ac:dyDescent="0.25">
      <c r="A220" s="34" t="s">
        <v>110</v>
      </c>
      <c r="B220" s="35" t="s">
        <v>351</v>
      </c>
      <c r="C220" s="35" t="s">
        <v>352</v>
      </c>
      <c r="D220" s="35">
        <v>32546</v>
      </c>
      <c r="E220" s="35" t="s">
        <v>353</v>
      </c>
      <c r="F220" s="35" t="s">
        <v>354</v>
      </c>
      <c r="G220" s="35" t="s">
        <v>174</v>
      </c>
      <c r="H220" s="35" t="s">
        <v>160</v>
      </c>
      <c r="I220" s="35" t="s">
        <v>217</v>
      </c>
      <c r="J220" s="35" t="s">
        <v>118</v>
      </c>
      <c r="K220" s="36">
        <v>46039</v>
      </c>
      <c r="L220" s="36">
        <v>46054</v>
      </c>
      <c r="M220" s="36">
        <v>46071</v>
      </c>
      <c r="N220" s="36"/>
      <c r="O220" s="36"/>
      <c r="P220" s="36"/>
      <c r="Q220" s="36"/>
      <c r="R220" s="35" t="s">
        <v>218</v>
      </c>
      <c r="S220" s="35" t="s">
        <v>225</v>
      </c>
      <c r="T220" s="35" t="s">
        <v>225</v>
      </c>
      <c r="U220" s="35" t="s">
        <v>88</v>
      </c>
      <c r="V220" s="35" t="s">
        <v>226</v>
      </c>
      <c r="W220" s="35" t="s">
        <v>123</v>
      </c>
      <c r="X220" s="35">
        <v>508.55</v>
      </c>
      <c r="Y220" s="35">
        <v>92.46</v>
      </c>
      <c r="Z220" s="35">
        <v>92.46</v>
      </c>
      <c r="AA220" s="35">
        <v>0</v>
      </c>
      <c r="AB220" s="35"/>
      <c r="AC220" s="35">
        <v>0</v>
      </c>
      <c r="AD220" s="35"/>
      <c r="AE220" s="35">
        <v>0</v>
      </c>
      <c r="AF220" s="35"/>
      <c r="AG220" s="35">
        <v>0</v>
      </c>
      <c r="AH220" s="35"/>
      <c r="AI220" s="37">
        <v>0</v>
      </c>
    </row>
    <row r="221" spans="1:35" x14ac:dyDescent="0.25">
      <c r="A221" s="38" t="s">
        <v>110</v>
      </c>
      <c r="B221" s="39" t="s">
        <v>1058</v>
      </c>
      <c r="C221" s="39" t="s">
        <v>1059</v>
      </c>
      <c r="D221" s="39">
        <v>32547</v>
      </c>
      <c r="E221" s="39" t="s">
        <v>1060</v>
      </c>
      <c r="F221" s="39" t="s">
        <v>1061</v>
      </c>
      <c r="G221" s="39" t="s">
        <v>174</v>
      </c>
      <c r="H221" s="39" t="s">
        <v>160</v>
      </c>
      <c r="I221" s="39" t="s">
        <v>217</v>
      </c>
      <c r="J221" s="39" t="s">
        <v>118</v>
      </c>
      <c r="K221" s="40">
        <v>46039</v>
      </c>
      <c r="L221" s="40">
        <v>46037</v>
      </c>
      <c r="M221" s="40">
        <v>46038</v>
      </c>
      <c r="N221" s="40"/>
      <c r="O221" s="40"/>
      <c r="P221" s="40"/>
      <c r="Q221" s="40"/>
      <c r="R221" s="39" t="s">
        <v>218</v>
      </c>
      <c r="S221" s="39" t="s">
        <v>1018</v>
      </c>
      <c r="T221" s="39" t="s">
        <v>1018</v>
      </c>
      <c r="U221" s="35" t="s">
        <v>82</v>
      </c>
      <c r="V221" s="39" t="s">
        <v>226</v>
      </c>
      <c r="W221" s="39" t="s">
        <v>123</v>
      </c>
      <c r="X221" s="39">
        <v>6740.18</v>
      </c>
      <c r="Y221" s="39">
        <v>1225.48</v>
      </c>
      <c r="Z221" s="39">
        <v>1225.48</v>
      </c>
      <c r="AA221" s="39">
        <v>0</v>
      </c>
      <c r="AB221" s="39"/>
      <c r="AC221" s="39">
        <v>0</v>
      </c>
      <c r="AD221" s="39"/>
      <c r="AE221" s="39">
        <v>0</v>
      </c>
      <c r="AF221" s="39"/>
      <c r="AG221" s="39">
        <v>0</v>
      </c>
      <c r="AH221" s="39"/>
      <c r="AI221" s="41">
        <v>0</v>
      </c>
    </row>
    <row r="222" spans="1:35" x14ac:dyDescent="0.25">
      <c r="A222" s="34" t="s">
        <v>110</v>
      </c>
      <c r="B222" s="35" t="s">
        <v>1058</v>
      </c>
      <c r="C222" s="35" t="s">
        <v>1059</v>
      </c>
      <c r="D222" s="35">
        <v>32547</v>
      </c>
      <c r="E222" s="35" t="s">
        <v>1842</v>
      </c>
      <c r="F222" s="35" t="s">
        <v>1843</v>
      </c>
      <c r="G222" s="35" t="s">
        <v>174</v>
      </c>
      <c r="H222" s="35" t="s">
        <v>160</v>
      </c>
      <c r="I222" s="35" t="s">
        <v>217</v>
      </c>
      <c r="J222" s="35" t="s">
        <v>141</v>
      </c>
      <c r="K222" s="36">
        <v>46039</v>
      </c>
      <c r="L222" s="36">
        <v>46037</v>
      </c>
      <c r="M222" s="36"/>
      <c r="N222" s="36"/>
      <c r="O222" s="36"/>
      <c r="P222" s="36"/>
      <c r="Q222" s="36"/>
      <c r="R222" s="35" t="s">
        <v>218</v>
      </c>
      <c r="S222" s="35" t="s">
        <v>1018</v>
      </c>
      <c r="T222" s="35" t="s">
        <v>1018</v>
      </c>
      <c r="U222" s="35" t="s">
        <v>82</v>
      </c>
      <c r="V222" s="35" t="s">
        <v>226</v>
      </c>
      <c r="W222" s="35" t="s">
        <v>123</v>
      </c>
      <c r="X222" s="35">
        <v>6740.18</v>
      </c>
      <c r="Y222" s="35">
        <v>1225.48</v>
      </c>
      <c r="Z222" s="35">
        <v>1225.48</v>
      </c>
      <c r="AA222" s="35">
        <v>0</v>
      </c>
      <c r="AB222" s="35"/>
      <c r="AC222" s="35">
        <v>0</v>
      </c>
      <c r="AD222" s="35"/>
      <c r="AE222" s="35">
        <v>0</v>
      </c>
      <c r="AF222" s="35"/>
      <c r="AG222" s="35">
        <v>0</v>
      </c>
      <c r="AH222" s="35"/>
      <c r="AI222" s="37">
        <v>0</v>
      </c>
    </row>
    <row r="223" spans="1:35" x14ac:dyDescent="0.25">
      <c r="A223" s="38" t="s">
        <v>110</v>
      </c>
      <c r="B223" s="39" t="s">
        <v>1991</v>
      </c>
      <c r="C223" s="39" t="s">
        <v>1992</v>
      </c>
      <c r="D223" s="39">
        <v>32548</v>
      </c>
      <c r="E223" s="39" t="s">
        <v>1993</v>
      </c>
      <c r="F223" s="39" t="s">
        <v>1994</v>
      </c>
      <c r="G223" s="39" t="s">
        <v>174</v>
      </c>
      <c r="H223" s="39" t="s">
        <v>160</v>
      </c>
      <c r="I223" s="39" t="s">
        <v>217</v>
      </c>
      <c r="J223" s="39" t="s">
        <v>141</v>
      </c>
      <c r="K223" s="40">
        <v>46039</v>
      </c>
      <c r="L223" s="40">
        <v>46037</v>
      </c>
      <c r="M223" s="40"/>
      <c r="N223" s="40"/>
      <c r="O223" s="40"/>
      <c r="P223" s="40"/>
      <c r="Q223" s="40"/>
      <c r="R223" s="39" t="s">
        <v>218</v>
      </c>
      <c r="S223" s="39" t="s">
        <v>1018</v>
      </c>
      <c r="T223" s="39" t="s">
        <v>1018</v>
      </c>
      <c r="U223" s="35" t="s">
        <v>82</v>
      </c>
      <c r="V223" s="39" t="s">
        <v>226</v>
      </c>
      <c r="W223" s="39" t="s">
        <v>123</v>
      </c>
      <c r="X223" s="39">
        <v>52147.94</v>
      </c>
      <c r="Y223" s="39">
        <v>9481.44</v>
      </c>
      <c r="Z223" s="39">
        <v>9481.44</v>
      </c>
      <c r="AA223" s="39">
        <v>0</v>
      </c>
      <c r="AB223" s="39"/>
      <c r="AC223" s="39">
        <v>0</v>
      </c>
      <c r="AD223" s="39"/>
      <c r="AE223" s="39">
        <v>0</v>
      </c>
      <c r="AF223" s="39"/>
      <c r="AG223" s="39">
        <v>0</v>
      </c>
      <c r="AH223" s="39"/>
      <c r="AI223" s="41">
        <v>0</v>
      </c>
    </row>
    <row r="224" spans="1:35" x14ac:dyDescent="0.25">
      <c r="A224" s="34" t="s">
        <v>110</v>
      </c>
      <c r="B224" s="35" t="s">
        <v>1995</v>
      </c>
      <c r="C224" s="35" t="s">
        <v>1996</v>
      </c>
      <c r="D224" s="35">
        <v>32549</v>
      </c>
      <c r="E224" s="35" t="s">
        <v>1997</v>
      </c>
      <c r="F224" s="35" t="s">
        <v>1998</v>
      </c>
      <c r="G224" s="35" t="s">
        <v>174</v>
      </c>
      <c r="H224" s="35" t="s">
        <v>160</v>
      </c>
      <c r="I224" s="35" t="s">
        <v>217</v>
      </c>
      <c r="J224" s="35" t="s">
        <v>141</v>
      </c>
      <c r="K224" s="36">
        <v>46039</v>
      </c>
      <c r="L224" s="36">
        <v>46037</v>
      </c>
      <c r="M224" s="36"/>
      <c r="N224" s="36"/>
      <c r="O224" s="36"/>
      <c r="P224" s="36"/>
      <c r="Q224" s="36"/>
      <c r="R224" s="35" t="s">
        <v>218</v>
      </c>
      <c r="S224" s="35" t="s">
        <v>1018</v>
      </c>
      <c r="T224" s="35" t="s">
        <v>1018</v>
      </c>
      <c r="U224" s="35" t="s">
        <v>82</v>
      </c>
      <c r="V224" s="35" t="s">
        <v>226</v>
      </c>
      <c r="W224" s="35" t="s">
        <v>123</v>
      </c>
      <c r="X224" s="35">
        <v>35991.68</v>
      </c>
      <c r="Y224" s="35">
        <v>6543.94</v>
      </c>
      <c r="Z224" s="35">
        <v>6543.94</v>
      </c>
      <c r="AA224" s="35">
        <v>0</v>
      </c>
      <c r="AB224" s="35"/>
      <c r="AC224" s="35">
        <v>0</v>
      </c>
      <c r="AD224" s="35"/>
      <c r="AE224" s="35">
        <v>0</v>
      </c>
      <c r="AF224" s="35"/>
      <c r="AG224" s="35">
        <v>0</v>
      </c>
      <c r="AH224" s="35"/>
      <c r="AI224" s="37">
        <v>0</v>
      </c>
    </row>
    <row r="225" spans="1:35" x14ac:dyDescent="0.25">
      <c r="A225" s="38" t="s">
        <v>110</v>
      </c>
      <c r="B225" s="39" t="s">
        <v>1263</v>
      </c>
      <c r="C225" s="39" t="s">
        <v>1264</v>
      </c>
      <c r="D225" s="39">
        <v>32550</v>
      </c>
      <c r="E225" s="39" t="s">
        <v>1265</v>
      </c>
      <c r="F225" s="39" t="s">
        <v>1266</v>
      </c>
      <c r="G225" s="39" t="s">
        <v>174</v>
      </c>
      <c r="H225" s="39" t="s">
        <v>160</v>
      </c>
      <c r="I225" s="39" t="s">
        <v>217</v>
      </c>
      <c r="J225" s="39" t="s">
        <v>118</v>
      </c>
      <c r="K225" s="40">
        <v>46039</v>
      </c>
      <c r="L225" s="40">
        <v>46035</v>
      </c>
      <c r="M225" s="40">
        <v>46051</v>
      </c>
      <c r="N225" s="40"/>
      <c r="O225" s="40"/>
      <c r="P225" s="40"/>
      <c r="Q225" s="40">
        <v>46068</v>
      </c>
      <c r="R225" s="39" t="s">
        <v>218</v>
      </c>
      <c r="S225" s="39" t="s">
        <v>1018</v>
      </c>
      <c r="T225" s="39" t="s">
        <v>1018</v>
      </c>
      <c r="U225" s="35" t="s">
        <v>82</v>
      </c>
      <c r="V225" s="39" t="s">
        <v>226</v>
      </c>
      <c r="W225" s="39" t="s">
        <v>123</v>
      </c>
      <c r="X225" s="39">
        <v>28793.34</v>
      </c>
      <c r="Y225" s="39">
        <v>5235.16</v>
      </c>
      <c r="Z225" s="39">
        <v>5235.16</v>
      </c>
      <c r="AA225" s="39">
        <v>0</v>
      </c>
      <c r="AB225" s="39"/>
      <c r="AC225" s="39">
        <v>0</v>
      </c>
      <c r="AD225" s="39"/>
      <c r="AE225" s="39">
        <v>0</v>
      </c>
      <c r="AF225" s="39"/>
      <c r="AG225" s="39">
        <v>0</v>
      </c>
      <c r="AH225" s="39"/>
      <c r="AI225" s="41">
        <v>0</v>
      </c>
    </row>
    <row r="226" spans="1:35" x14ac:dyDescent="0.25">
      <c r="A226" s="34" t="s">
        <v>110</v>
      </c>
      <c r="B226" s="35" t="s">
        <v>1999</v>
      </c>
      <c r="C226" s="35" t="s">
        <v>2000</v>
      </c>
      <c r="D226" s="35">
        <v>32551</v>
      </c>
      <c r="E226" s="35" t="s">
        <v>2001</v>
      </c>
      <c r="F226" s="35" t="s">
        <v>2002</v>
      </c>
      <c r="G226" s="35" t="s">
        <v>174</v>
      </c>
      <c r="H226" s="35" t="s">
        <v>160</v>
      </c>
      <c r="I226" s="35" t="s">
        <v>217</v>
      </c>
      <c r="J226" s="35" t="s">
        <v>141</v>
      </c>
      <c r="K226" s="36">
        <v>46039</v>
      </c>
      <c r="L226" s="36">
        <v>46037</v>
      </c>
      <c r="M226" s="36"/>
      <c r="N226" s="36"/>
      <c r="O226" s="36"/>
      <c r="P226" s="36"/>
      <c r="Q226" s="36"/>
      <c r="R226" s="35" t="s">
        <v>218</v>
      </c>
      <c r="S226" s="35" t="s">
        <v>1018</v>
      </c>
      <c r="T226" s="35" t="s">
        <v>1018</v>
      </c>
      <c r="U226" s="35" t="s">
        <v>82</v>
      </c>
      <c r="V226" s="35" t="s">
        <v>226</v>
      </c>
      <c r="W226" s="35" t="s">
        <v>123</v>
      </c>
      <c r="X226" s="35">
        <v>76782.25</v>
      </c>
      <c r="Y226" s="35">
        <v>13960.4</v>
      </c>
      <c r="Z226" s="35">
        <v>13960.4</v>
      </c>
      <c r="AA226" s="35">
        <v>0</v>
      </c>
      <c r="AB226" s="35"/>
      <c r="AC226" s="35">
        <v>0</v>
      </c>
      <c r="AD226" s="35"/>
      <c r="AE226" s="35">
        <v>0</v>
      </c>
      <c r="AF226" s="35"/>
      <c r="AG226" s="35">
        <v>0</v>
      </c>
      <c r="AH226" s="35"/>
      <c r="AI226" s="37">
        <v>0</v>
      </c>
    </row>
    <row r="227" spans="1:35" x14ac:dyDescent="0.25">
      <c r="A227" s="38" t="s">
        <v>110</v>
      </c>
      <c r="B227" s="39" t="s">
        <v>420</v>
      </c>
      <c r="C227" s="39" t="s">
        <v>1099</v>
      </c>
      <c r="D227" s="39">
        <v>32247</v>
      </c>
      <c r="E227" s="39" t="s">
        <v>1100</v>
      </c>
      <c r="F227" s="39" t="s">
        <v>1101</v>
      </c>
      <c r="G227" s="39" t="s">
        <v>174</v>
      </c>
      <c r="H227" s="39" t="s">
        <v>160</v>
      </c>
      <c r="I227" s="39" t="s">
        <v>217</v>
      </c>
      <c r="J227" s="39" t="s">
        <v>118</v>
      </c>
      <c r="K227" s="40">
        <v>46039</v>
      </c>
      <c r="L227" s="40">
        <v>45985</v>
      </c>
      <c r="M227" s="40">
        <v>46042</v>
      </c>
      <c r="N227" s="40"/>
      <c r="O227" s="40"/>
      <c r="P227" s="40"/>
      <c r="Q227" s="40"/>
      <c r="R227" s="39" t="s">
        <v>218</v>
      </c>
      <c r="S227" s="39" t="s">
        <v>1018</v>
      </c>
      <c r="T227" s="39" t="s">
        <v>1018</v>
      </c>
      <c r="U227" s="35" t="s">
        <v>82</v>
      </c>
      <c r="V227" s="39" t="s">
        <v>226</v>
      </c>
      <c r="W227" s="39" t="s">
        <v>123</v>
      </c>
      <c r="X227" s="39">
        <v>3873.75</v>
      </c>
      <c r="Y227" s="39">
        <v>704.32</v>
      </c>
      <c r="Z227" s="39">
        <v>704.32</v>
      </c>
      <c r="AA227" s="39">
        <v>0</v>
      </c>
      <c r="AB227" s="39"/>
      <c r="AC227" s="39">
        <v>0</v>
      </c>
      <c r="AD227" s="39"/>
      <c r="AE227" s="39">
        <v>0</v>
      </c>
      <c r="AF227" s="39"/>
      <c r="AG227" s="39">
        <v>0</v>
      </c>
      <c r="AH227" s="39"/>
      <c r="AI227" s="41">
        <v>0</v>
      </c>
    </row>
    <row r="228" spans="1:35" x14ac:dyDescent="0.25">
      <c r="A228" s="34" t="s">
        <v>110</v>
      </c>
      <c r="B228" s="35" t="s">
        <v>1930</v>
      </c>
      <c r="C228" s="35" t="s">
        <v>1931</v>
      </c>
      <c r="D228" s="35">
        <v>32552</v>
      </c>
      <c r="E228" s="35" t="s">
        <v>1932</v>
      </c>
      <c r="F228" s="35" t="s">
        <v>1933</v>
      </c>
      <c r="G228" s="35" t="s">
        <v>174</v>
      </c>
      <c r="H228" s="35" t="s">
        <v>160</v>
      </c>
      <c r="I228" s="35" t="s">
        <v>217</v>
      </c>
      <c r="J228" s="35" t="s">
        <v>118</v>
      </c>
      <c r="K228" s="36">
        <v>46039</v>
      </c>
      <c r="L228" s="36">
        <v>46035</v>
      </c>
      <c r="M228" s="36">
        <v>46080</v>
      </c>
      <c r="N228" s="36"/>
      <c r="O228" s="36"/>
      <c r="P228" s="36">
        <v>46080</v>
      </c>
      <c r="Q228" s="36"/>
      <c r="R228" s="35" t="s">
        <v>218</v>
      </c>
      <c r="S228" s="35" t="s">
        <v>1018</v>
      </c>
      <c r="T228" s="35" t="s">
        <v>1018</v>
      </c>
      <c r="U228" s="35" t="s">
        <v>82</v>
      </c>
      <c r="V228" s="35" t="s">
        <v>226</v>
      </c>
      <c r="W228" s="35" t="s">
        <v>123</v>
      </c>
      <c r="X228" s="35">
        <v>1102.1500000000001</v>
      </c>
      <c r="Y228" s="35">
        <v>200.39</v>
      </c>
      <c r="Z228" s="35">
        <v>200.39</v>
      </c>
      <c r="AA228" s="35">
        <v>0</v>
      </c>
      <c r="AB228" s="35"/>
      <c r="AC228" s="35">
        <v>0</v>
      </c>
      <c r="AD228" s="35" t="s">
        <v>387</v>
      </c>
      <c r="AE228" s="35">
        <v>110.22</v>
      </c>
      <c r="AF228" s="35"/>
      <c r="AG228" s="35">
        <v>0</v>
      </c>
      <c r="AH228" s="35"/>
      <c r="AI228" s="37">
        <v>0</v>
      </c>
    </row>
    <row r="229" spans="1:35" x14ac:dyDescent="0.25">
      <c r="A229" s="38" t="s">
        <v>110</v>
      </c>
      <c r="B229" s="39" t="s">
        <v>355</v>
      </c>
      <c r="C229" s="39" t="s">
        <v>1243</v>
      </c>
      <c r="D229" s="39">
        <v>32553</v>
      </c>
      <c r="E229" s="39" t="s">
        <v>1244</v>
      </c>
      <c r="F229" s="39" t="s">
        <v>1245</v>
      </c>
      <c r="G229" s="39" t="s">
        <v>174</v>
      </c>
      <c r="H229" s="39" t="s">
        <v>160</v>
      </c>
      <c r="I229" s="39" t="s">
        <v>217</v>
      </c>
      <c r="J229" s="39" t="s">
        <v>118</v>
      </c>
      <c r="K229" s="40">
        <v>46039</v>
      </c>
      <c r="L229" s="40">
        <v>46035</v>
      </c>
      <c r="M229" s="40">
        <v>46037</v>
      </c>
      <c r="N229" s="40"/>
      <c r="O229" s="40"/>
      <c r="P229" s="40"/>
      <c r="Q229" s="40">
        <v>46056</v>
      </c>
      <c r="R229" s="39" t="s">
        <v>218</v>
      </c>
      <c r="S229" s="39" t="s">
        <v>1018</v>
      </c>
      <c r="T229" s="39" t="s">
        <v>1018</v>
      </c>
      <c r="U229" s="35" t="s">
        <v>82</v>
      </c>
      <c r="V229" s="39" t="s">
        <v>226</v>
      </c>
      <c r="W229" s="39" t="s">
        <v>123</v>
      </c>
      <c r="X229" s="39">
        <v>1234.49</v>
      </c>
      <c r="Y229" s="39">
        <v>224.45</v>
      </c>
      <c r="Z229" s="39">
        <v>224.45</v>
      </c>
      <c r="AA229" s="39">
        <v>0</v>
      </c>
      <c r="AB229" s="39"/>
      <c r="AC229" s="39">
        <v>0</v>
      </c>
      <c r="AD229" s="39"/>
      <c r="AE229" s="39">
        <v>0</v>
      </c>
      <c r="AF229" s="39"/>
      <c r="AG229" s="39">
        <v>0</v>
      </c>
      <c r="AH229" s="39"/>
      <c r="AI229" s="41">
        <v>0</v>
      </c>
    </row>
    <row r="230" spans="1:35" x14ac:dyDescent="0.25">
      <c r="A230" s="34" t="s">
        <v>110</v>
      </c>
      <c r="B230" s="35" t="s">
        <v>1259</v>
      </c>
      <c r="C230" s="35" t="s">
        <v>1260</v>
      </c>
      <c r="D230" s="35">
        <v>32554</v>
      </c>
      <c r="E230" s="35" t="s">
        <v>1261</v>
      </c>
      <c r="F230" s="35" t="s">
        <v>1262</v>
      </c>
      <c r="G230" s="35" t="s">
        <v>174</v>
      </c>
      <c r="H230" s="35" t="s">
        <v>160</v>
      </c>
      <c r="I230" s="35" t="s">
        <v>217</v>
      </c>
      <c r="J230" s="35" t="s">
        <v>118</v>
      </c>
      <c r="K230" s="36">
        <v>46039</v>
      </c>
      <c r="L230" s="36">
        <v>46035</v>
      </c>
      <c r="M230" s="36">
        <v>46044</v>
      </c>
      <c r="N230" s="36"/>
      <c r="O230" s="36"/>
      <c r="P230" s="36"/>
      <c r="Q230" s="36">
        <v>46056</v>
      </c>
      <c r="R230" s="35" t="s">
        <v>218</v>
      </c>
      <c r="S230" s="35" t="s">
        <v>1018</v>
      </c>
      <c r="T230" s="35" t="s">
        <v>1018</v>
      </c>
      <c r="U230" s="35" t="s">
        <v>82</v>
      </c>
      <c r="V230" s="35" t="s">
        <v>226</v>
      </c>
      <c r="W230" s="35" t="s">
        <v>123</v>
      </c>
      <c r="X230" s="35">
        <v>18395.75</v>
      </c>
      <c r="Y230" s="35">
        <v>3344.68</v>
      </c>
      <c r="Z230" s="35">
        <v>3344.68</v>
      </c>
      <c r="AA230" s="35">
        <v>0</v>
      </c>
      <c r="AB230" s="35"/>
      <c r="AC230" s="35">
        <v>0</v>
      </c>
      <c r="AD230" s="35"/>
      <c r="AE230" s="35">
        <v>0</v>
      </c>
      <c r="AF230" s="35"/>
      <c r="AG230" s="35">
        <v>0</v>
      </c>
      <c r="AH230" s="35"/>
      <c r="AI230" s="37">
        <v>0</v>
      </c>
    </row>
    <row r="231" spans="1:35" x14ac:dyDescent="0.25">
      <c r="A231" s="38" t="s">
        <v>110</v>
      </c>
      <c r="B231" s="39" t="s">
        <v>347</v>
      </c>
      <c r="C231" s="39" t="s">
        <v>348</v>
      </c>
      <c r="D231" s="39">
        <v>32555</v>
      </c>
      <c r="E231" s="39" t="s">
        <v>349</v>
      </c>
      <c r="F231" s="39" t="s">
        <v>350</v>
      </c>
      <c r="G231" s="39" t="s">
        <v>174</v>
      </c>
      <c r="H231" s="39" t="s">
        <v>160</v>
      </c>
      <c r="I231" s="39" t="s">
        <v>217</v>
      </c>
      <c r="J231" s="39" t="s">
        <v>118</v>
      </c>
      <c r="K231" s="40">
        <v>46039</v>
      </c>
      <c r="L231" s="40">
        <v>46035</v>
      </c>
      <c r="M231" s="40">
        <v>46051</v>
      </c>
      <c r="N231" s="40"/>
      <c r="O231" s="40"/>
      <c r="P231" s="40"/>
      <c r="Q231" s="40">
        <v>46056</v>
      </c>
      <c r="R231" s="39" t="s">
        <v>218</v>
      </c>
      <c r="S231" s="39" t="s">
        <v>225</v>
      </c>
      <c r="T231" s="39" t="s">
        <v>225</v>
      </c>
      <c r="U231" s="35" t="s">
        <v>88</v>
      </c>
      <c r="V231" s="39" t="s">
        <v>226</v>
      </c>
      <c r="W231" s="39" t="s">
        <v>123</v>
      </c>
      <c r="X231" s="39">
        <v>693.48</v>
      </c>
      <c r="Y231" s="39">
        <v>126.08</v>
      </c>
      <c r="Z231" s="39">
        <v>126.08</v>
      </c>
      <c r="AA231" s="39">
        <v>0</v>
      </c>
      <c r="AB231" s="39"/>
      <c r="AC231" s="39">
        <v>0</v>
      </c>
      <c r="AD231" s="39"/>
      <c r="AE231" s="39">
        <v>0</v>
      </c>
      <c r="AF231" s="39"/>
      <c r="AG231" s="39">
        <v>0</v>
      </c>
      <c r="AH231" s="39"/>
      <c r="AI231" s="41">
        <v>0</v>
      </c>
    </row>
    <row r="232" spans="1:35" x14ac:dyDescent="0.25">
      <c r="A232" s="34" t="s">
        <v>110</v>
      </c>
      <c r="B232" s="35" t="s">
        <v>1277</v>
      </c>
      <c r="C232" s="35" t="s">
        <v>1278</v>
      </c>
      <c r="D232" s="35">
        <v>32556</v>
      </c>
      <c r="E232" s="35" t="s">
        <v>1279</v>
      </c>
      <c r="F232" s="35" t="s">
        <v>1280</v>
      </c>
      <c r="G232" s="35" t="s">
        <v>174</v>
      </c>
      <c r="H232" s="35" t="s">
        <v>160</v>
      </c>
      <c r="I232" s="35" t="s">
        <v>217</v>
      </c>
      <c r="J232" s="35" t="s">
        <v>118</v>
      </c>
      <c r="K232" s="36">
        <v>46039</v>
      </c>
      <c r="L232" s="36">
        <v>46037</v>
      </c>
      <c r="M232" s="36">
        <v>46040</v>
      </c>
      <c r="N232" s="36"/>
      <c r="O232" s="36"/>
      <c r="P232" s="36"/>
      <c r="Q232" s="36">
        <v>46056</v>
      </c>
      <c r="R232" s="35" t="s">
        <v>218</v>
      </c>
      <c r="S232" s="35" t="s">
        <v>1018</v>
      </c>
      <c r="T232" s="35" t="s">
        <v>1018</v>
      </c>
      <c r="U232" s="35" t="s">
        <v>82</v>
      </c>
      <c r="V232" s="35" t="s">
        <v>226</v>
      </c>
      <c r="W232" s="35" t="s">
        <v>123</v>
      </c>
      <c r="X232" s="35">
        <v>661.12</v>
      </c>
      <c r="Y232" s="35">
        <v>120.2</v>
      </c>
      <c r="Z232" s="35">
        <v>120.2</v>
      </c>
      <c r="AA232" s="35">
        <v>0</v>
      </c>
      <c r="AB232" s="35"/>
      <c r="AC232" s="35">
        <v>0</v>
      </c>
      <c r="AD232" s="35"/>
      <c r="AE232" s="35">
        <v>0</v>
      </c>
      <c r="AF232" s="35"/>
      <c r="AG232" s="35">
        <v>0</v>
      </c>
      <c r="AH232" s="35"/>
      <c r="AI232" s="37">
        <v>0</v>
      </c>
    </row>
    <row r="233" spans="1:35" x14ac:dyDescent="0.25">
      <c r="A233" s="38" t="s">
        <v>110</v>
      </c>
      <c r="B233" s="39" t="s">
        <v>170</v>
      </c>
      <c r="C233" s="39" t="s">
        <v>451</v>
      </c>
      <c r="D233" s="39">
        <v>19920</v>
      </c>
      <c r="E233" s="39" t="s">
        <v>456</v>
      </c>
      <c r="F233" s="39" t="s">
        <v>457</v>
      </c>
      <c r="G233" s="39" t="s">
        <v>115</v>
      </c>
      <c r="H233" s="39" t="s">
        <v>116</v>
      </c>
      <c r="I233" s="39" t="s">
        <v>117</v>
      </c>
      <c r="J233" s="39" t="s">
        <v>118</v>
      </c>
      <c r="K233" s="40">
        <v>46039</v>
      </c>
      <c r="L233" s="40">
        <v>46001</v>
      </c>
      <c r="M233" s="40">
        <v>46036</v>
      </c>
      <c r="N233" s="40"/>
      <c r="O233" s="40"/>
      <c r="P233" s="40"/>
      <c r="Q233" s="40">
        <v>46054</v>
      </c>
      <c r="R233" s="39" t="s">
        <v>142</v>
      </c>
      <c r="S233" s="39" t="s">
        <v>454</v>
      </c>
      <c r="T233" s="39" t="s">
        <v>455</v>
      </c>
      <c r="U233" s="35" t="s">
        <v>93</v>
      </c>
      <c r="V233" s="39" t="s">
        <v>163</v>
      </c>
      <c r="W233" s="39" t="s">
        <v>123</v>
      </c>
      <c r="X233" s="39">
        <v>5.47</v>
      </c>
      <c r="Y233" s="39">
        <v>0.82</v>
      </c>
      <c r="Z233" s="39">
        <v>0.82</v>
      </c>
      <c r="AA233" s="39">
        <v>0</v>
      </c>
      <c r="AB233" s="39"/>
      <c r="AC233" s="39">
        <v>0</v>
      </c>
      <c r="AD233" s="39"/>
      <c r="AE233" s="39">
        <v>0</v>
      </c>
      <c r="AF233" s="39"/>
      <c r="AG233" s="39">
        <v>0</v>
      </c>
      <c r="AH233" s="39"/>
      <c r="AI233" s="41">
        <v>0</v>
      </c>
    </row>
    <row r="234" spans="1:35" x14ac:dyDescent="0.25">
      <c r="A234" s="34" t="s">
        <v>110</v>
      </c>
      <c r="B234" s="35" t="s">
        <v>447</v>
      </c>
      <c r="C234" s="35" t="s">
        <v>464</v>
      </c>
      <c r="D234" s="35">
        <v>26575</v>
      </c>
      <c r="E234" s="35" t="s">
        <v>465</v>
      </c>
      <c r="F234" s="35" t="s">
        <v>466</v>
      </c>
      <c r="G234" s="35" t="s">
        <v>440</v>
      </c>
      <c r="H234" s="35" t="s">
        <v>160</v>
      </c>
      <c r="I234" s="35" t="s">
        <v>117</v>
      </c>
      <c r="J234" s="35" t="s">
        <v>118</v>
      </c>
      <c r="K234" s="36">
        <v>46039</v>
      </c>
      <c r="L234" s="36">
        <v>46005</v>
      </c>
      <c r="M234" s="36">
        <v>46041</v>
      </c>
      <c r="N234" s="36"/>
      <c r="O234" s="36"/>
      <c r="P234" s="36"/>
      <c r="Q234" s="36">
        <v>46054</v>
      </c>
      <c r="R234" s="35" t="s">
        <v>142</v>
      </c>
      <c r="S234" s="35" t="s">
        <v>176</v>
      </c>
      <c r="T234" s="35" t="s">
        <v>177</v>
      </c>
      <c r="U234" s="35" t="s">
        <v>81</v>
      </c>
      <c r="V234" s="35" t="s">
        <v>163</v>
      </c>
      <c r="W234" s="35" t="s">
        <v>123</v>
      </c>
      <c r="X234" s="35">
        <v>-725.62</v>
      </c>
      <c r="Y234" s="35">
        <v>-58.05</v>
      </c>
      <c r="Z234" s="35">
        <v>-58.05</v>
      </c>
      <c r="AA234" s="35">
        <v>0</v>
      </c>
      <c r="AB234" s="35"/>
      <c r="AC234" s="35">
        <v>0</v>
      </c>
      <c r="AD234" s="35"/>
      <c r="AE234" s="35">
        <v>0</v>
      </c>
      <c r="AF234" s="35"/>
      <c r="AG234" s="35">
        <v>0</v>
      </c>
      <c r="AH234" s="35"/>
      <c r="AI234" s="37">
        <v>0</v>
      </c>
    </row>
    <row r="235" spans="1:35" x14ac:dyDescent="0.25">
      <c r="A235" s="38" t="s">
        <v>110</v>
      </c>
      <c r="B235" s="39" t="s">
        <v>170</v>
      </c>
      <c r="C235" s="39" t="s">
        <v>451</v>
      </c>
      <c r="D235" s="39">
        <v>19920</v>
      </c>
      <c r="E235" s="39" t="s">
        <v>452</v>
      </c>
      <c r="F235" s="39" t="s">
        <v>453</v>
      </c>
      <c r="G235" s="39" t="s">
        <v>115</v>
      </c>
      <c r="H235" s="39" t="s">
        <v>116</v>
      </c>
      <c r="I235" s="39" t="s">
        <v>117</v>
      </c>
      <c r="J235" s="39" t="s">
        <v>118</v>
      </c>
      <c r="K235" s="40">
        <v>46039</v>
      </c>
      <c r="L235" s="40">
        <v>46039</v>
      </c>
      <c r="M235" s="40">
        <v>46039</v>
      </c>
      <c r="N235" s="40"/>
      <c r="O235" s="40"/>
      <c r="P235" s="40"/>
      <c r="Q235" s="40">
        <v>46054</v>
      </c>
      <c r="R235" s="39" t="s">
        <v>142</v>
      </c>
      <c r="S235" s="39" t="s">
        <v>454</v>
      </c>
      <c r="T235" s="39" t="s">
        <v>455</v>
      </c>
      <c r="U235" s="35" t="s">
        <v>93</v>
      </c>
      <c r="V235" s="39" t="s">
        <v>163</v>
      </c>
      <c r="W235" s="39" t="s">
        <v>123</v>
      </c>
      <c r="X235" s="39">
        <v>391.54</v>
      </c>
      <c r="Y235" s="39">
        <v>57.05</v>
      </c>
      <c r="Z235" s="39">
        <v>57.05</v>
      </c>
      <c r="AA235" s="39">
        <v>0</v>
      </c>
      <c r="AB235" s="39"/>
      <c r="AC235" s="39">
        <v>0</v>
      </c>
      <c r="AD235" s="39"/>
      <c r="AE235" s="39">
        <v>0</v>
      </c>
      <c r="AF235" s="39"/>
      <c r="AG235" s="39">
        <v>0</v>
      </c>
      <c r="AH235" s="39"/>
      <c r="AI235" s="41">
        <v>0</v>
      </c>
    </row>
    <row r="236" spans="1:35" x14ac:dyDescent="0.25">
      <c r="A236" s="34" t="s">
        <v>110</v>
      </c>
      <c r="B236" s="35" t="s">
        <v>493</v>
      </c>
      <c r="C236" s="35" t="s">
        <v>494</v>
      </c>
      <c r="D236" s="35">
        <v>5092</v>
      </c>
      <c r="E236" s="35" t="s">
        <v>498</v>
      </c>
      <c r="F236" s="35" t="s">
        <v>499</v>
      </c>
      <c r="G236" s="35" t="s">
        <v>192</v>
      </c>
      <c r="H236" s="35" t="s">
        <v>116</v>
      </c>
      <c r="I236" s="35" t="s">
        <v>117</v>
      </c>
      <c r="J236" s="35" t="s">
        <v>118</v>
      </c>
      <c r="K236" s="36">
        <v>46039</v>
      </c>
      <c r="L236" s="36">
        <v>46023</v>
      </c>
      <c r="M236" s="36">
        <v>46037</v>
      </c>
      <c r="N236" s="36"/>
      <c r="O236" s="36"/>
      <c r="P236" s="36">
        <v>46044</v>
      </c>
      <c r="Q236" s="36">
        <v>46055</v>
      </c>
      <c r="R236" s="35" t="s">
        <v>119</v>
      </c>
      <c r="S236" s="35" t="s">
        <v>497</v>
      </c>
      <c r="T236" s="35" t="s">
        <v>129</v>
      </c>
      <c r="U236" s="35" t="s">
        <v>90</v>
      </c>
      <c r="V236" s="35" t="s">
        <v>122</v>
      </c>
      <c r="W236" s="35" t="s">
        <v>123</v>
      </c>
      <c r="X236" s="35">
        <v>287.11</v>
      </c>
      <c r="Y236" s="35">
        <v>28.71</v>
      </c>
      <c r="Z236" s="35">
        <v>28.71</v>
      </c>
      <c r="AA236" s="35">
        <v>0</v>
      </c>
      <c r="AB236" s="35"/>
      <c r="AC236" s="35">
        <v>0</v>
      </c>
      <c r="AD236" s="35" t="s">
        <v>130</v>
      </c>
      <c r="AE236" s="35">
        <v>0</v>
      </c>
      <c r="AF236" s="35"/>
      <c r="AG236" s="35">
        <v>0</v>
      </c>
      <c r="AH236" s="35"/>
      <c r="AI236" s="37">
        <v>0</v>
      </c>
    </row>
    <row r="237" spans="1:35" x14ac:dyDescent="0.25">
      <c r="A237" s="38" t="s">
        <v>110</v>
      </c>
      <c r="B237" s="39" t="s">
        <v>493</v>
      </c>
      <c r="C237" s="39" t="s">
        <v>494</v>
      </c>
      <c r="D237" s="39">
        <v>5092</v>
      </c>
      <c r="E237" s="39" t="s">
        <v>495</v>
      </c>
      <c r="F237" s="39" t="s">
        <v>496</v>
      </c>
      <c r="G237" s="39" t="s">
        <v>440</v>
      </c>
      <c r="H237" s="39" t="s">
        <v>116</v>
      </c>
      <c r="I237" s="39" t="s">
        <v>117</v>
      </c>
      <c r="J237" s="39" t="s">
        <v>118</v>
      </c>
      <c r="K237" s="40">
        <v>46039</v>
      </c>
      <c r="L237" s="40">
        <v>46023</v>
      </c>
      <c r="M237" s="40">
        <v>46050</v>
      </c>
      <c r="N237" s="40"/>
      <c r="O237" s="40"/>
      <c r="P237" s="40">
        <v>46082</v>
      </c>
      <c r="Q237" s="40">
        <v>46055</v>
      </c>
      <c r="R237" s="39" t="s">
        <v>119</v>
      </c>
      <c r="S237" s="39" t="s">
        <v>497</v>
      </c>
      <c r="T237" s="39" t="s">
        <v>129</v>
      </c>
      <c r="U237" s="35" t="s">
        <v>90</v>
      </c>
      <c r="V237" s="39" t="s">
        <v>122</v>
      </c>
      <c r="W237" s="39" t="s">
        <v>123</v>
      </c>
      <c r="X237" s="39">
        <v>-287.17</v>
      </c>
      <c r="Y237" s="39">
        <v>-28.71</v>
      </c>
      <c r="Z237" s="39">
        <v>-28.71</v>
      </c>
      <c r="AA237" s="39">
        <v>0</v>
      </c>
      <c r="AB237" s="39"/>
      <c r="AC237" s="39">
        <v>0</v>
      </c>
      <c r="AD237" s="39" t="s">
        <v>130</v>
      </c>
      <c r="AE237" s="39">
        <v>0</v>
      </c>
      <c r="AF237" s="39"/>
      <c r="AG237" s="39">
        <v>0</v>
      </c>
      <c r="AH237" s="39"/>
      <c r="AI237" s="41">
        <v>0</v>
      </c>
    </row>
    <row r="238" spans="1:35" x14ac:dyDescent="0.25">
      <c r="A238" s="34" t="s">
        <v>110</v>
      </c>
      <c r="B238" s="35" t="s">
        <v>840</v>
      </c>
      <c r="C238" s="35" t="s">
        <v>841</v>
      </c>
      <c r="D238" s="35">
        <v>27636</v>
      </c>
      <c r="E238" s="35" t="s">
        <v>842</v>
      </c>
      <c r="F238" s="35" t="s">
        <v>843</v>
      </c>
      <c r="G238" s="35" t="s">
        <v>115</v>
      </c>
      <c r="H238" s="35" t="s">
        <v>160</v>
      </c>
      <c r="I238" s="35" t="s">
        <v>117</v>
      </c>
      <c r="J238" s="35" t="s">
        <v>118</v>
      </c>
      <c r="K238" s="36">
        <v>46039</v>
      </c>
      <c r="L238" s="36">
        <v>46056</v>
      </c>
      <c r="M238" s="36">
        <v>46056</v>
      </c>
      <c r="N238" s="36"/>
      <c r="O238" s="36"/>
      <c r="P238" s="36"/>
      <c r="Q238" s="36">
        <v>46082</v>
      </c>
      <c r="R238" s="35" t="s">
        <v>142</v>
      </c>
      <c r="S238" s="35" t="s">
        <v>844</v>
      </c>
      <c r="T238" s="35" t="s">
        <v>744</v>
      </c>
      <c r="U238" s="35" t="s">
        <v>88</v>
      </c>
      <c r="V238" s="35" t="s">
        <v>845</v>
      </c>
      <c r="W238" s="35" t="s">
        <v>123</v>
      </c>
      <c r="X238" s="35">
        <v>8904</v>
      </c>
      <c r="Y238" s="35">
        <v>1335.6</v>
      </c>
      <c r="Z238" s="35">
        <v>1335.6</v>
      </c>
      <c r="AA238" s="35">
        <v>0</v>
      </c>
      <c r="AB238" s="35"/>
      <c r="AC238" s="35">
        <v>0</v>
      </c>
      <c r="AD238" s="35"/>
      <c r="AE238" s="35">
        <v>0</v>
      </c>
      <c r="AF238" s="35"/>
      <c r="AG238" s="35">
        <v>0</v>
      </c>
      <c r="AH238" s="35"/>
      <c r="AI238" s="37">
        <v>0</v>
      </c>
    </row>
    <row r="239" spans="1:35" x14ac:dyDescent="0.25">
      <c r="A239" s="38" t="s">
        <v>110</v>
      </c>
      <c r="B239" s="39" t="s">
        <v>1712</v>
      </c>
      <c r="C239" s="39" t="s">
        <v>1713</v>
      </c>
      <c r="D239" s="39">
        <v>14150</v>
      </c>
      <c r="E239" s="39" t="s">
        <v>1714</v>
      </c>
      <c r="F239" s="39" t="s">
        <v>1715</v>
      </c>
      <c r="G239" s="39" t="s">
        <v>115</v>
      </c>
      <c r="H239" s="39" t="s">
        <v>160</v>
      </c>
      <c r="I239" s="39" t="s">
        <v>117</v>
      </c>
      <c r="J239" s="39" t="s">
        <v>118</v>
      </c>
      <c r="K239" s="40">
        <v>46039</v>
      </c>
      <c r="L239" s="40">
        <v>46084</v>
      </c>
      <c r="M239" s="40">
        <v>46084</v>
      </c>
      <c r="N239" s="40"/>
      <c r="O239" s="40"/>
      <c r="P239" s="40"/>
      <c r="Q239" s="40"/>
      <c r="R239" s="39" t="s">
        <v>142</v>
      </c>
      <c r="S239" s="39" t="s">
        <v>1644</v>
      </c>
      <c r="T239" s="39" t="s">
        <v>162</v>
      </c>
      <c r="U239" s="35" t="s">
        <v>87</v>
      </c>
      <c r="V239" s="39" t="s">
        <v>845</v>
      </c>
      <c r="W239" s="39" t="s">
        <v>123</v>
      </c>
      <c r="X239" s="39">
        <v>1473.6</v>
      </c>
      <c r="Y239" s="39">
        <v>350.72</v>
      </c>
      <c r="Z239" s="39">
        <v>350.72</v>
      </c>
      <c r="AA239" s="39">
        <v>0</v>
      </c>
      <c r="AB239" s="39"/>
      <c r="AC239" s="39">
        <v>0</v>
      </c>
      <c r="AD239" s="39"/>
      <c r="AE239" s="39">
        <v>0</v>
      </c>
      <c r="AF239" s="39"/>
      <c r="AG239" s="39">
        <v>0</v>
      </c>
      <c r="AH239" s="39"/>
      <c r="AI239" s="41">
        <v>0</v>
      </c>
    </row>
    <row r="240" spans="1:35" x14ac:dyDescent="0.25">
      <c r="A240" s="34" t="s">
        <v>110</v>
      </c>
      <c r="B240" s="35" t="s">
        <v>1626</v>
      </c>
      <c r="C240" s="35" t="s">
        <v>1627</v>
      </c>
      <c r="D240" s="35">
        <v>24875</v>
      </c>
      <c r="E240" s="35" t="s">
        <v>1628</v>
      </c>
      <c r="F240" s="35" t="s">
        <v>1629</v>
      </c>
      <c r="G240" s="35" t="s">
        <v>115</v>
      </c>
      <c r="H240" s="35" t="s">
        <v>160</v>
      </c>
      <c r="I240" s="35" t="s">
        <v>117</v>
      </c>
      <c r="J240" s="35" t="s">
        <v>141</v>
      </c>
      <c r="K240" s="36">
        <v>46039</v>
      </c>
      <c r="L240" s="36">
        <v>46104</v>
      </c>
      <c r="M240" s="36"/>
      <c r="N240" s="36"/>
      <c r="O240" s="36"/>
      <c r="P240" s="36"/>
      <c r="Q240" s="36"/>
      <c r="R240" s="35" t="s">
        <v>142</v>
      </c>
      <c r="S240" s="35" t="s">
        <v>1630</v>
      </c>
      <c r="T240" s="35" t="s">
        <v>1631</v>
      </c>
      <c r="U240" s="35" t="s">
        <v>85</v>
      </c>
      <c r="V240" s="35" t="s">
        <v>845</v>
      </c>
      <c r="W240" s="35" t="s">
        <v>123</v>
      </c>
      <c r="X240" s="35">
        <v>143.41999999999999</v>
      </c>
      <c r="Y240" s="35">
        <v>29.4</v>
      </c>
      <c r="Z240" s="35">
        <v>29.4</v>
      </c>
      <c r="AA240" s="35">
        <v>0</v>
      </c>
      <c r="AB240" s="35"/>
      <c r="AC240" s="35">
        <v>0</v>
      </c>
      <c r="AD240" s="35"/>
      <c r="AE240" s="35">
        <v>0</v>
      </c>
      <c r="AF240" s="35"/>
      <c r="AG240" s="35">
        <v>0</v>
      </c>
      <c r="AH240" s="35"/>
      <c r="AI240" s="37">
        <v>0</v>
      </c>
    </row>
    <row r="241" spans="1:35" x14ac:dyDescent="0.25">
      <c r="A241" s="38" t="s">
        <v>110</v>
      </c>
      <c r="B241" s="39" t="s">
        <v>510</v>
      </c>
      <c r="C241" s="39" t="s">
        <v>511</v>
      </c>
      <c r="D241" s="39">
        <v>2414</v>
      </c>
      <c r="E241" s="39" t="s">
        <v>512</v>
      </c>
      <c r="F241" s="39" t="s">
        <v>513</v>
      </c>
      <c r="G241" s="39" t="s">
        <v>115</v>
      </c>
      <c r="H241" s="39" t="s">
        <v>116</v>
      </c>
      <c r="I241" s="39" t="s">
        <v>117</v>
      </c>
      <c r="J241" s="39" t="s">
        <v>118</v>
      </c>
      <c r="K241" s="40">
        <v>46040</v>
      </c>
      <c r="L241" s="40">
        <v>46054</v>
      </c>
      <c r="M241" s="40">
        <v>46054</v>
      </c>
      <c r="N241" s="40"/>
      <c r="O241" s="40"/>
      <c r="P241" s="40"/>
      <c r="Q241" s="40"/>
      <c r="R241" s="39" t="s">
        <v>119</v>
      </c>
      <c r="S241" s="39" t="s">
        <v>508</v>
      </c>
      <c r="T241" s="39" t="s">
        <v>198</v>
      </c>
      <c r="U241" s="35" t="s">
        <v>94</v>
      </c>
      <c r="V241" s="39" t="s">
        <v>509</v>
      </c>
      <c r="W241" s="39" t="s">
        <v>123</v>
      </c>
      <c r="X241" s="39">
        <v>870.58</v>
      </c>
      <c r="Y241" s="39">
        <v>104.47</v>
      </c>
      <c r="Z241" s="39">
        <v>104.47</v>
      </c>
      <c r="AA241" s="39">
        <v>0</v>
      </c>
      <c r="AB241" s="39"/>
      <c r="AC241" s="39">
        <v>0</v>
      </c>
      <c r="AD241" s="39"/>
      <c r="AE241" s="39">
        <v>0</v>
      </c>
      <c r="AF241" s="39"/>
      <c r="AG241" s="39">
        <v>0</v>
      </c>
      <c r="AH241" s="39"/>
      <c r="AI241" s="41">
        <v>0</v>
      </c>
    </row>
    <row r="242" spans="1:35" x14ac:dyDescent="0.25">
      <c r="A242" s="34" t="s">
        <v>110</v>
      </c>
      <c r="B242" s="35" t="s">
        <v>1437</v>
      </c>
      <c r="C242" s="35" t="s">
        <v>1438</v>
      </c>
      <c r="D242" s="35">
        <v>4427</v>
      </c>
      <c r="E242" s="35" t="s">
        <v>1439</v>
      </c>
      <c r="F242" s="35" t="s">
        <v>1440</v>
      </c>
      <c r="G242" s="35" t="s">
        <v>115</v>
      </c>
      <c r="H242" s="35" t="s">
        <v>116</v>
      </c>
      <c r="I242" s="35" t="s">
        <v>117</v>
      </c>
      <c r="J242" s="35" t="s">
        <v>118</v>
      </c>
      <c r="K242" s="36">
        <v>46040</v>
      </c>
      <c r="L242" s="36">
        <v>46079</v>
      </c>
      <c r="M242" s="36">
        <v>46079</v>
      </c>
      <c r="N242" s="36"/>
      <c r="O242" s="36"/>
      <c r="P242" s="36"/>
      <c r="Q242" s="36"/>
      <c r="R242" s="35" t="s">
        <v>119</v>
      </c>
      <c r="S242" s="35" t="s">
        <v>508</v>
      </c>
      <c r="T242" s="35" t="s">
        <v>198</v>
      </c>
      <c r="U242" s="35" t="s">
        <v>94</v>
      </c>
      <c r="V242" s="35" t="s">
        <v>509</v>
      </c>
      <c r="W242" s="35" t="s">
        <v>123</v>
      </c>
      <c r="X242" s="35">
        <v>257.64999999999998</v>
      </c>
      <c r="Y242" s="35">
        <v>30.92</v>
      </c>
      <c r="Z242" s="35">
        <v>30.92</v>
      </c>
      <c r="AA242" s="35">
        <v>0</v>
      </c>
      <c r="AB242" s="35"/>
      <c r="AC242" s="35">
        <v>0</v>
      </c>
      <c r="AD242" s="35"/>
      <c r="AE242" s="35">
        <v>0</v>
      </c>
      <c r="AF242" s="35"/>
      <c r="AG242" s="35">
        <v>0</v>
      </c>
      <c r="AH242" s="35"/>
      <c r="AI242" s="37">
        <v>0</v>
      </c>
    </row>
    <row r="243" spans="1:35" x14ac:dyDescent="0.25">
      <c r="A243" s="38" t="s">
        <v>110</v>
      </c>
      <c r="B243" s="39" t="s">
        <v>504</v>
      </c>
      <c r="C243" s="39" t="s">
        <v>505</v>
      </c>
      <c r="D243" s="39">
        <v>8153</v>
      </c>
      <c r="E243" s="39" t="s">
        <v>506</v>
      </c>
      <c r="F243" s="39" t="s">
        <v>507</v>
      </c>
      <c r="G243" s="39" t="s">
        <v>115</v>
      </c>
      <c r="H243" s="39" t="s">
        <v>116</v>
      </c>
      <c r="I243" s="39" t="s">
        <v>117</v>
      </c>
      <c r="J243" s="39" t="s">
        <v>118</v>
      </c>
      <c r="K243" s="40">
        <v>46040</v>
      </c>
      <c r="L243" s="40">
        <v>46054</v>
      </c>
      <c r="M243" s="40">
        <v>46054</v>
      </c>
      <c r="N243" s="40"/>
      <c r="O243" s="40"/>
      <c r="P243" s="40"/>
      <c r="Q243" s="40"/>
      <c r="R243" s="39" t="s">
        <v>119</v>
      </c>
      <c r="S243" s="39" t="s">
        <v>508</v>
      </c>
      <c r="T243" s="39" t="s">
        <v>198</v>
      </c>
      <c r="U243" s="35" t="s">
        <v>94</v>
      </c>
      <c r="V243" s="39" t="s">
        <v>509</v>
      </c>
      <c r="W243" s="39" t="s">
        <v>123</v>
      </c>
      <c r="X243" s="39">
        <v>120.12</v>
      </c>
      <c r="Y243" s="39">
        <v>14.41</v>
      </c>
      <c r="Z243" s="39">
        <v>14.41</v>
      </c>
      <c r="AA243" s="39">
        <v>0</v>
      </c>
      <c r="AB243" s="39"/>
      <c r="AC243" s="39">
        <v>0</v>
      </c>
      <c r="AD243" s="39"/>
      <c r="AE243" s="39">
        <v>0</v>
      </c>
      <c r="AF243" s="39"/>
      <c r="AG243" s="39">
        <v>0</v>
      </c>
      <c r="AH243" s="39"/>
      <c r="AI243" s="41">
        <v>0</v>
      </c>
    </row>
    <row r="244" spans="1:35" x14ac:dyDescent="0.25">
      <c r="A244" s="34" t="s">
        <v>110</v>
      </c>
      <c r="B244" s="35" t="s">
        <v>193</v>
      </c>
      <c r="C244" s="35" t="s">
        <v>1441</v>
      </c>
      <c r="D244" s="35">
        <v>16730</v>
      </c>
      <c r="E244" s="35" t="s">
        <v>1442</v>
      </c>
      <c r="F244" s="35" t="s">
        <v>1443</v>
      </c>
      <c r="G244" s="35" t="s">
        <v>115</v>
      </c>
      <c r="H244" s="35" t="s">
        <v>116</v>
      </c>
      <c r="I244" s="35" t="s">
        <v>117</v>
      </c>
      <c r="J244" s="35" t="s">
        <v>118</v>
      </c>
      <c r="K244" s="36">
        <v>46040</v>
      </c>
      <c r="L244" s="36">
        <v>46076</v>
      </c>
      <c r="M244" s="36">
        <v>46077</v>
      </c>
      <c r="N244" s="36"/>
      <c r="O244" s="36"/>
      <c r="P244" s="36"/>
      <c r="Q244" s="36"/>
      <c r="R244" s="35" t="s">
        <v>119</v>
      </c>
      <c r="S244" s="35" t="s">
        <v>508</v>
      </c>
      <c r="T244" s="35" t="s">
        <v>198</v>
      </c>
      <c r="U244" s="35" t="s">
        <v>94</v>
      </c>
      <c r="V244" s="35" t="s">
        <v>509</v>
      </c>
      <c r="W244" s="35" t="s">
        <v>123</v>
      </c>
      <c r="X244" s="35">
        <v>82.13</v>
      </c>
      <c r="Y244" s="35">
        <v>9.85</v>
      </c>
      <c r="Z244" s="35">
        <v>9.85</v>
      </c>
      <c r="AA244" s="35">
        <v>0</v>
      </c>
      <c r="AB244" s="35"/>
      <c r="AC244" s="35">
        <v>0</v>
      </c>
      <c r="AD244" s="35"/>
      <c r="AE244" s="35">
        <v>0</v>
      </c>
      <c r="AF244" s="35"/>
      <c r="AG244" s="35">
        <v>0</v>
      </c>
      <c r="AH244" s="35"/>
      <c r="AI244" s="37">
        <v>0</v>
      </c>
    </row>
    <row r="245" spans="1:35" x14ac:dyDescent="0.25">
      <c r="A245" s="38" t="s">
        <v>110</v>
      </c>
      <c r="B245" s="39" t="s">
        <v>1444</v>
      </c>
      <c r="C245" s="39" t="s">
        <v>1445</v>
      </c>
      <c r="D245" s="39">
        <v>16897</v>
      </c>
      <c r="E245" s="39" t="s">
        <v>1446</v>
      </c>
      <c r="F245" s="39" t="s">
        <v>1447</v>
      </c>
      <c r="G245" s="39" t="s">
        <v>115</v>
      </c>
      <c r="H245" s="39" t="s">
        <v>160</v>
      </c>
      <c r="I245" s="39" t="s">
        <v>117</v>
      </c>
      <c r="J245" s="39" t="s">
        <v>118</v>
      </c>
      <c r="K245" s="40">
        <v>46040</v>
      </c>
      <c r="L245" s="40">
        <v>46072</v>
      </c>
      <c r="M245" s="40">
        <v>46072</v>
      </c>
      <c r="N245" s="40"/>
      <c r="O245" s="40"/>
      <c r="P245" s="40"/>
      <c r="Q245" s="40">
        <v>46113</v>
      </c>
      <c r="R245" s="39" t="s">
        <v>142</v>
      </c>
      <c r="S245" s="39" t="s">
        <v>508</v>
      </c>
      <c r="T245" s="39" t="s">
        <v>198</v>
      </c>
      <c r="U245" s="35" t="s">
        <v>94</v>
      </c>
      <c r="V245" s="39" t="s">
        <v>509</v>
      </c>
      <c r="W245" s="39" t="s">
        <v>123</v>
      </c>
      <c r="X245" s="39">
        <v>1538.53</v>
      </c>
      <c r="Y245" s="39">
        <v>184.63</v>
      </c>
      <c r="Z245" s="39">
        <v>184.63</v>
      </c>
      <c r="AA245" s="39">
        <v>0</v>
      </c>
      <c r="AB245" s="39"/>
      <c r="AC245" s="39">
        <v>0</v>
      </c>
      <c r="AD245" s="39"/>
      <c r="AE245" s="39">
        <v>0</v>
      </c>
      <c r="AF245" s="39"/>
      <c r="AG245" s="39">
        <v>0</v>
      </c>
      <c r="AH245" s="39"/>
      <c r="AI245" s="41">
        <v>0</v>
      </c>
    </row>
    <row r="246" spans="1:35" x14ac:dyDescent="0.25">
      <c r="A246" s="34" t="s">
        <v>110</v>
      </c>
      <c r="B246" s="35" t="s">
        <v>170</v>
      </c>
      <c r="C246" s="35" t="s">
        <v>525</v>
      </c>
      <c r="D246" s="35">
        <v>23596</v>
      </c>
      <c r="E246" s="35" t="s">
        <v>526</v>
      </c>
      <c r="F246" s="35" t="s">
        <v>527</v>
      </c>
      <c r="G246" s="35" t="s">
        <v>174</v>
      </c>
      <c r="H246" s="35" t="s">
        <v>116</v>
      </c>
      <c r="I246" s="35" t="s">
        <v>117</v>
      </c>
      <c r="J246" s="35" t="s">
        <v>118</v>
      </c>
      <c r="K246" s="36">
        <v>46040</v>
      </c>
      <c r="L246" s="36">
        <v>46058</v>
      </c>
      <c r="M246" s="36">
        <v>46058</v>
      </c>
      <c r="N246" s="36"/>
      <c r="O246" s="36"/>
      <c r="P246" s="36"/>
      <c r="Q246" s="36"/>
      <c r="R246" s="35" t="s">
        <v>119</v>
      </c>
      <c r="S246" s="35" t="s">
        <v>528</v>
      </c>
      <c r="T246" s="35" t="s">
        <v>529</v>
      </c>
      <c r="U246" s="35" t="s">
        <v>92</v>
      </c>
      <c r="V246" s="35" t="s">
        <v>509</v>
      </c>
      <c r="W246" s="35" t="s">
        <v>123</v>
      </c>
      <c r="X246" s="35">
        <v>1875</v>
      </c>
      <c r="Y246" s="35">
        <v>3.75</v>
      </c>
      <c r="Z246" s="35">
        <v>3.75</v>
      </c>
      <c r="AA246" s="35">
        <v>0</v>
      </c>
      <c r="AB246" s="35"/>
      <c r="AC246" s="35">
        <v>0</v>
      </c>
      <c r="AD246" s="35"/>
      <c r="AE246" s="35">
        <v>0</v>
      </c>
      <c r="AF246" s="35"/>
      <c r="AG246" s="35">
        <v>0</v>
      </c>
      <c r="AH246" s="35"/>
      <c r="AI246" s="37">
        <v>0</v>
      </c>
    </row>
    <row r="247" spans="1:35" x14ac:dyDescent="0.25">
      <c r="A247" s="38" t="s">
        <v>110</v>
      </c>
      <c r="B247" s="39" t="s">
        <v>170</v>
      </c>
      <c r="C247" s="39" t="s">
        <v>530</v>
      </c>
      <c r="D247" s="39">
        <v>23597</v>
      </c>
      <c r="E247" s="39" t="s">
        <v>531</v>
      </c>
      <c r="F247" s="39" t="s">
        <v>532</v>
      </c>
      <c r="G247" s="39" t="s">
        <v>174</v>
      </c>
      <c r="H247" s="39" t="s">
        <v>116</v>
      </c>
      <c r="I247" s="39" t="s">
        <v>117</v>
      </c>
      <c r="J247" s="39" t="s">
        <v>118</v>
      </c>
      <c r="K247" s="40">
        <v>46040</v>
      </c>
      <c r="L247" s="40">
        <v>46058</v>
      </c>
      <c r="M247" s="40">
        <v>46058</v>
      </c>
      <c r="N247" s="40"/>
      <c r="O247" s="40"/>
      <c r="P247" s="40"/>
      <c r="Q247" s="40"/>
      <c r="R247" s="39" t="s">
        <v>119</v>
      </c>
      <c r="S247" s="39" t="s">
        <v>528</v>
      </c>
      <c r="T247" s="39" t="s">
        <v>529</v>
      </c>
      <c r="U247" s="35" t="s">
        <v>92</v>
      </c>
      <c r="V247" s="39" t="s">
        <v>509</v>
      </c>
      <c r="W247" s="39" t="s">
        <v>123</v>
      </c>
      <c r="X247" s="39">
        <v>2175</v>
      </c>
      <c r="Y247" s="39">
        <v>4.3499999999999996</v>
      </c>
      <c r="Z247" s="39">
        <v>4.3499999999999996</v>
      </c>
      <c r="AA247" s="39">
        <v>0</v>
      </c>
      <c r="AB247" s="39"/>
      <c r="AC247" s="39">
        <v>0</v>
      </c>
      <c r="AD247" s="39"/>
      <c r="AE247" s="39">
        <v>0</v>
      </c>
      <c r="AF247" s="39"/>
      <c r="AG247" s="39">
        <v>0</v>
      </c>
      <c r="AH247" s="39"/>
      <c r="AI247" s="41">
        <v>0</v>
      </c>
    </row>
    <row r="248" spans="1:35" x14ac:dyDescent="0.25">
      <c r="A248" s="34" t="s">
        <v>110</v>
      </c>
      <c r="B248" s="35" t="s">
        <v>170</v>
      </c>
      <c r="C248" s="35" t="s">
        <v>533</v>
      </c>
      <c r="D248" s="35">
        <v>23598</v>
      </c>
      <c r="E248" s="35" t="s">
        <v>534</v>
      </c>
      <c r="F248" s="35" t="s">
        <v>535</v>
      </c>
      <c r="G248" s="35" t="s">
        <v>174</v>
      </c>
      <c r="H248" s="35" t="s">
        <v>116</v>
      </c>
      <c r="I248" s="35" t="s">
        <v>117</v>
      </c>
      <c r="J248" s="35" t="s">
        <v>118</v>
      </c>
      <c r="K248" s="36">
        <v>46040</v>
      </c>
      <c r="L248" s="36">
        <v>46058</v>
      </c>
      <c r="M248" s="36">
        <v>46058</v>
      </c>
      <c r="N248" s="36"/>
      <c r="O248" s="36"/>
      <c r="P248" s="36"/>
      <c r="Q248" s="36"/>
      <c r="R248" s="35" t="s">
        <v>119</v>
      </c>
      <c r="S248" s="35" t="s">
        <v>528</v>
      </c>
      <c r="T248" s="35" t="s">
        <v>529</v>
      </c>
      <c r="U248" s="35" t="s">
        <v>92</v>
      </c>
      <c r="V248" s="35" t="s">
        <v>509</v>
      </c>
      <c r="W248" s="35" t="s">
        <v>123</v>
      </c>
      <c r="X248" s="35">
        <v>1320</v>
      </c>
      <c r="Y248" s="35">
        <v>2.64</v>
      </c>
      <c r="Z248" s="35">
        <v>2.64</v>
      </c>
      <c r="AA248" s="35">
        <v>0</v>
      </c>
      <c r="AB248" s="35"/>
      <c r="AC248" s="35">
        <v>0</v>
      </c>
      <c r="AD248" s="35"/>
      <c r="AE248" s="35">
        <v>0</v>
      </c>
      <c r="AF248" s="35"/>
      <c r="AG248" s="35">
        <v>0</v>
      </c>
      <c r="AH248" s="35"/>
      <c r="AI248" s="37">
        <v>0</v>
      </c>
    </row>
    <row r="249" spans="1:35" x14ac:dyDescent="0.25">
      <c r="A249" s="38" t="s">
        <v>110</v>
      </c>
      <c r="B249" s="39" t="s">
        <v>170</v>
      </c>
      <c r="C249" s="39" t="s">
        <v>536</v>
      </c>
      <c r="D249" s="39">
        <v>23599</v>
      </c>
      <c r="E249" s="39" t="s">
        <v>537</v>
      </c>
      <c r="F249" s="39" t="s">
        <v>538</v>
      </c>
      <c r="G249" s="39" t="s">
        <v>174</v>
      </c>
      <c r="H249" s="39" t="s">
        <v>116</v>
      </c>
      <c r="I249" s="39" t="s">
        <v>117</v>
      </c>
      <c r="J249" s="39" t="s">
        <v>118</v>
      </c>
      <c r="K249" s="40">
        <v>46040</v>
      </c>
      <c r="L249" s="40">
        <v>46058</v>
      </c>
      <c r="M249" s="40">
        <v>46058</v>
      </c>
      <c r="N249" s="40"/>
      <c r="O249" s="40"/>
      <c r="P249" s="40"/>
      <c r="Q249" s="40"/>
      <c r="R249" s="39" t="s">
        <v>119</v>
      </c>
      <c r="S249" s="39" t="s">
        <v>528</v>
      </c>
      <c r="T249" s="39" t="s">
        <v>529</v>
      </c>
      <c r="U249" s="35" t="s">
        <v>92</v>
      </c>
      <c r="V249" s="39" t="s">
        <v>509</v>
      </c>
      <c r="W249" s="39" t="s">
        <v>123</v>
      </c>
      <c r="X249" s="39">
        <v>590</v>
      </c>
      <c r="Y249" s="39">
        <v>1.18</v>
      </c>
      <c r="Z249" s="39">
        <v>1.18</v>
      </c>
      <c r="AA249" s="39">
        <v>0</v>
      </c>
      <c r="AB249" s="39"/>
      <c r="AC249" s="39">
        <v>0</v>
      </c>
      <c r="AD249" s="39"/>
      <c r="AE249" s="39">
        <v>0</v>
      </c>
      <c r="AF249" s="39"/>
      <c r="AG249" s="39">
        <v>0</v>
      </c>
      <c r="AH249" s="39"/>
      <c r="AI249" s="41">
        <v>0</v>
      </c>
    </row>
    <row r="250" spans="1:35" x14ac:dyDescent="0.25">
      <c r="A250" s="34" t="s">
        <v>110</v>
      </c>
      <c r="B250" s="35" t="s">
        <v>170</v>
      </c>
      <c r="C250" s="35" t="s">
        <v>2355</v>
      </c>
      <c r="D250" s="35">
        <v>23600</v>
      </c>
      <c r="E250" s="35" t="s">
        <v>2356</v>
      </c>
      <c r="F250" s="35" t="s">
        <v>2357</v>
      </c>
      <c r="G250" s="35" t="s">
        <v>174</v>
      </c>
      <c r="H250" s="35" t="s">
        <v>116</v>
      </c>
      <c r="I250" s="35" t="s">
        <v>117</v>
      </c>
      <c r="J250" s="35" t="s">
        <v>2195</v>
      </c>
      <c r="K250" s="36">
        <v>46040</v>
      </c>
      <c r="L250" s="36">
        <v>46058</v>
      </c>
      <c r="M250" s="36"/>
      <c r="N250" s="36"/>
      <c r="O250" s="36">
        <v>46054</v>
      </c>
      <c r="P250" s="36"/>
      <c r="Q250" s="36"/>
      <c r="R250" s="35" t="s">
        <v>119</v>
      </c>
      <c r="S250" s="35" t="s">
        <v>528</v>
      </c>
      <c r="T250" s="35" t="s">
        <v>529</v>
      </c>
      <c r="U250" s="35" t="s">
        <v>92</v>
      </c>
      <c r="V250" s="35" t="s">
        <v>509</v>
      </c>
      <c r="W250" s="35" t="s">
        <v>123</v>
      </c>
      <c r="X250" s="35">
        <v>900</v>
      </c>
      <c r="Y250" s="35">
        <v>1.8</v>
      </c>
      <c r="Z250" s="35">
        <v>1.8</v>
      </c>
      <c r="AA250" s="35">
        <v>0</v>
      </c>
      <c r="AB250" s="35"/>
      <c r="AC250" s="35">
        <v>0</v>
      </c>
      <c r="AD250" s="35"/>
      <c r="AE250" s="35">
        <v>0</v>
      </c>
      <c r="AF250" s="35"/>
      <c r="AG250" s="35">
        <v>0</v>
      </c>
      <c r="AH250" s="35"/>
      <c r="AI250" s="37">
        <v>0</v>
      </c>
    </row>
    <row r="251" spans="1:35" x14ac:dyDescent="0.25">
      <c r="A251" s="38" t="s">
        <v>110</v>
      </c>
      <c r="B251" s="39" t="s">
        <v>1456</v>
      </c>
      <c r="C251" s="39" t="s">
        <v>1457</v>
      </c>
      <c r="D251" s="39">
        <v>4869</v>
      </c>
      <c r="E251" s="39" t="s">
        <v>1458</v>
      </c>
      <c r="F251" s="39" t="s">
        <v>1459</v>
      </c>
      <c r="G251" s="39" t="s">
        <v>115</v>
      </c>
      <c r="H251" s="39" t="s">
        <v>160</v>
      </c>
      <c r="I251" s="39" t="s">
        <v>117</v>
      </c>
      <c r="J251" s="39" t="s">
        <v>141</v>
      </c>
      <c r="K251" s="40">
        <v>46040</v>
      </c>
      <c r="L251" s="40">
        <v>46071</v>
      </c>
      <c r="M251" s="40"/>
      <c r="N251" s="40"/>
      <c r="O251" s="40"/>
      <c r="P251" s="40"/>
      <c r="Q251" s="40"/>
      <c r="R251" s="39" t="s">
        <v>142</v>
      </c>
      <c r="S251" s="39" t="s">
        <v>1460</v>
      </c>
      <c r="T251" s="39" t="s">
        <v>923</v>
      </c>
      <c r="U251" s="35" t="s">
        <v>81</v>
      </c>
      <c r="V251" s="39" t="s">
        <v>509</v>
      </c>
      <c r="W251" s="39" t="s">
        <v>123</v>
      </c>
      <c r="X251" s="39">
        <v>1505.78</v>
      </c>
      <c r="Y251" s="39">
        <v>213.42</v>
      </c>
      <c r="Z251" s="39">
        <v>213.42</v>
      </c>
      <c r="AA251" s="39">
        <v>0</v>
      </c>
      <c r="AB251" s="39"/>
      <c r="AC251" s="39">
        <v>0</v>
      </c>
      <c r="AD251" s="39"/>
      <c r="AE251" s="39">
        <v>0</v>
      </c>
      <c r="AF251" s="39"/>
      <c r="AG251" s="39">
        <v>0</v>
      </c>
      <c r="AH251" s="39"/>
      <c r="AI251" s="41">
        <v>0</v>
      </c>
    </row>
    <row r="252" spans="1:35" x14ac:dyDescent="0.25">
      <c r="A252" s="34" t="s">
        <v>110</v>
      </c>
      <c r="B252" s="35" t="s">
        <v>1780</v>
      </c>
      <c r="C252" s="35" t="s">
        <v>2358</v>
      </c>
      <c r="D252" s="35">
        <v>19016</v>
      </c>
      <c r="E252" s="35" t="s">
        <v>2359</v>
      </c>
      <c r="F252" s="35" t="s">
        <v>2360</v>
      </c>
      <c r="G252" s="35" t="s">
        <v>115</v>
      </c>
      <c r="H252" s="35" t="s">
        <v>160</v>
      </c>
      <c r="I252" s="35" t="s">
        <v>117</v>
      </c>
      <c r="J252" s="35" t="s">
        <v>2195</v>
      </c>
      <c r="K252" s="36">
        <v>46040</v>
      </c>
      <c r="L252" s="36">
        <v>46068</v>
      </c>
      <c r="M252" s="36"/>
      <c r="N252" s="36">
        <v>46082</v>
      </c>
      <c r="O252" s="36">
        <v>46054</v>
      </c>
      <c r="P252" s="36"/>
      <c r="Q252" s="36"/>
      <c r="R252" s="35" t="s">
        <v>142</v>
      </c>
      <c r="S252" s="35" t="s">
        <v>923</v>
      </c>
      <c r="T252" s="35" t="s">
        <v>923</v>
      </c>
      <c r="U252" s="35" t="s">
        <v>81</v>
      </c>
      <c r="V252" s="35" t="s">
        <v>509</v>
      </c>
      <c r="W252" s="35" t="s">
        <v>123</v>
      </c>
      <c r="X252" s="35">
        <v>689.64</v>
      </c>
      <c r="Y252" s="35">
        <v>98.37</v>
      </c>
      <c r="Z252" s="35">
        <v>98.37</v>
      </c>
      <c r="AA252" s="35">
        <v>0</v>
      </c>
      <c r="AB252" s="35"/>
      <c r="AC252" s="35">
        <v>0</v>
      </c>
      <c r="AD252" s="35"/>
      <c r="AE252" s="35">
        <v>0</v>
      </c>
      <c r="AF252" s="35"/>
      <c r="AG252" s="35">
        <v>0</v>
      </c>
      <c r="AH252" s="35"/>
      <c r="AI252" s="37">
        <v>0</v>
      </c>
    </row>
    <row r="253" spans="1:35" x14ac:dyDescent="0.25">
      <c r="A253" s="38" t="s">
        <v>110</v>
      </c>
      <c r="B253" s="39" t="s">
        <v>1461</v>
      </c>
      <c r="C253" s="39" t="s">
        <v>1462</v>
      </c>
      <c r="D253" s="39">
        <v>22978</v>
      </c>
      <c r="E253" s="39" t="s">
        <v>1463</v>
      </c>
      <c r="F253" s="39" t="s">
        <v>1464</v>
      </c>
      <c r="G253" s="39" t="s">
        <v>115</v>
      </c>
      <c r="H253" s="39" t="s">
        <v>116</v>
      </c>
      <c r="I253" s="39" t="s">
        <v>117</v>
      </c>
      <c r="J253" s="39" t="s">
        <v>118</v>
      </c>
      <c r="K253" s="40">
        <v>46040</v>
      </c>
      <c r="L253" s="40">
        <v>46060</v>
      </c>
      <c r="M253" s="40">
        <v>46060</v>
      </c>
      <c r="N253" s="40"/>
      <c r="O253" s="40"/>
      <c r="P253" s="40"/>
      <c r="Q253" s="40"/>
      <c r="R253" s="39" t="s">
        <v>175</v>
      </c>
      <c r="S253" s="39" t="s">
        <v>543</v>
      </c>
      <c r="T253" s="39" t="s">
        <v>177</v>
      </c>
      <c r="U253" s="35" t="s">
        <v>81</v>
      </c>
      <c r="V253" s="39" t="s">
        <v>509</v>
      </c>
      <c r="W253" s="39" t="s">
        <v>123</v>
      </c>
      <c r="X253" s="39">
        <v>330.97</v>
      </c>
      <c r="Y253" s="39">
        <v>47.58</v>
      </c>
      <c r="Z253" s="39">
        <v>47.58</v>
      </c>
      <c r="AA253" s="39">
        <v>0</v>
      </c>
      <c r="AB253" s="39"/>
      <c r="AC253" s="39">
        <v>0</v>
      </c>
      <c r="AD253" s="39"/>
      <c r="AE253" s="39">
        <v>0</v>
      </c>
      <c r="AF253" s="39"/>
      <c r="AG253" s="39">
        <v>0</v>
      </c>
      <c r="AH253" s="39"/>
      <c r="AI253" s="41">
        <v>0</v>
      </c>
    </row>
    <row r="254" spans="1:35" x14ac:dyDescent="0.25">
      <c r="A254" s="34" t="s">
        <v>110</v>
      </c>
      <c r="B254" s="35" t="s">
        <v>1465</v>
      </c>
      <c r="C254" s="35" t="s">
        <v>1466</v>
      </c>
      <c r="D254" s="35">
        <v>26097</v>
      </c>
      <c r="E254" s="35" t="s">
        <v>1467</v>
      </c>
      <c r="F254" s="35" t="s">
        <v>1468</v>
      </c>
      <c r="G254" s="35" t="s">
        <v>115</v>
      </c>
      <c r="H254" s="35" t="s">
        <v>160</v>
      </c>
      <c r="I254" s="35" t="s">
        <v>117</v>
      </c>
      <c r="J254" s="35" t="s">
        <v>118</v>
      </c>
      <c r="K254" s="36">
        <v>46040</v>
      </c>
      <c r="L254" s="36">
        <v>46074</v>
      </c>
      <c r="M254" s="36">
        <v>46076</v>
      </c>
      <c r="N254" s="36"/>
      <c r="O254" s="36"/>
      <c r="P254" s="36"/>
      <c r="Q254" s="36">
        <v>46113</v>
      </c>
      <c r="R254" s="35" t="s">
        <v>142</v>
      </c>
      <c r="S254" s="35" t="s">
        <v>1469</v>
      </c>
      <c r="T254" s="35" t="s">
        <v>177</v>
      </c>
      <c r="U254" s="35" t="s">
        <v>81</v>
      </c>
      <c r="V254" s="35" t="s">
        <v>509</v>
      </c>
      <c r="W254" s="35" t="s">
        <v>123</v>
      </c>
      <c r="X254" s="35">
        <v>169.88</v>
      </c>
      <c r="Y254" s="35">
        <v>23.06</v>
      </c>
      <c r="Z254" s="35">
        <v>23.06</v>
      </c>
      <c r="AA254" s="35">
        <v>0</v>
      </c>
      <c r="AB254" s="35"/>
      <c r="AC254" s="35">
        <v>0</v>
      </c>
      <c r="AD254" s="35"/>
      <c r="AE254" s="35">
        <v>0</v>
      </c>
      <c r="AF254" s="35"/>
      <c r="AG254" s="35">
        <v>0</v>
      </c>
      <c r="AH254" s="35"/>
      <c r="AI254" s="37">
        <v>0</v>
      </c>
    </row>
    <row r="255" spans="1:35" x14ac:dyDescent="0.25">
      <c r="A255" s="38" t="s">
        <v>110</v>
      </c>
      <c r="B255" s="39" t="s">
        <v>1470</v>
      </c>
      <c r="C255" s="39" t="s">
        <v>1471</v>
      </c>
      <c r="D255" s="39">
        <v>26109</v>
      </c>
      <c r="E255" s="39" t="s">
        <v>1472</v>
      </c>
      <c r="F255" s="39" t="s">
        <v>1473</v>
      </c>
      <c r="G255" s="39" t="s">
        <v>115</v>
      </c>
      <c r="H255" s="39" t="s">
        <v>160</v>
      </c>
      <c r="I255" s="39" t="s">
        <v>117</v>
      </c>
      <c r="J255" s="39" t="s">
        <v>118</v>
      </c>
      <c r="K255" s="40">
        <v>46040</v>
      </c>
      <c r="L255" s="40">
        <v>46075</v>
      </c>
      <c r="M255" s="40">
        <v>46076</v>
      </c>
      <c r="N255" s="40"/>
      <c r="O255" s="40"/>
      <c r="P255" s="40"/>
      <c r="Q255" s="40">
        <v>46113</v>
      </c>
      <c r="R255" s="39" t="s">
        <v>142</v>
      </c>
      <c r="S255" s="39" t="s">
        <v>543</v>
      </c>
      <c r="T255" s="39" t="s">
        <v>177</v>
      </c>
      <c r="U255" s="35" t="s">
        <v>81</v>
      </c>
      <c r="V255" s="39" t="s">
        <v>509</v>
      </c>
      <c r="W255" s="39" t="s">
        <v>123</v>
      </c>
      <c r="X255" s="39">
        <v>1068.42</v>
      </c>
      <c r="Y255" s="39">
        <v>151.91999999999999</v>
      </c>
      <c r="Z255" s="39">
        <v>151.91999999999999</v>
      </c>
      <c r="AA255" s="39">
        <v>0</v>
      </c>
      <c r="AB255" s="39"/>
      <c r="AC255" s="39">
        <v>0</v>
      </c>
      <c r="AD255" s="39"/>
      <c r="AE255" s="39">
        <v>0</v>
      </c>
      <c r="AF255" s="39"/>
      <c r="AG255" s="39">
        <v>0</v>
      </c>
      <c r="AH255" s="39"/>
      <c r="AI255" s="41">
        <v>0</v>
      </c>
    </row>
    <row r="256" spans="1:35" x14ac:dyDescent="0.25">
      <c r="A256" s="34" t="s">
        <v>110</v>
      </c>
      <c r="B256" s="35" t="s">
        <v>1474</v>
      </c>
      <c r="C256" s="35" t="s">
        <v>1475</v>
      </c>
      <c r="D256" s="35">
        <v>27640</v>
      </c>
      <c r="E256" s="35" t="s">
        <v>1476</v>
      </c>
      <c r="F256" s="35" t="s">
        <v>1477</v>
      </c>
      <c r="G256" s="35" t="s">
        <v>115</v>
      </c>
      <c r="H256" s="35" t="s">
        <v>160</v>
      </c>
      <c r="I256" s="35" t="s">
        <v>117</v>
      </c>
      <c r="J256" s="35" t="s">
        <v>2195</v>
      </c>
      <c r="K256" s="36">
        <v>46040</v>
      </c>
      <c r="L256" s="36">
        <v>46054</v>
      </c>
      <c r="M256" s="36"/>
      <c r="N256" s="36">
        <v>46113</v>
      </c>
      <c r="O256" s="36">
        <v>46063</v>
      </c>
      <c r="P256" s="36"/>
      <c r="Q256" s="36"/>
      <c r="R256" s="35" t="s">
        <v>142</v>
      </c>
      <c r="S256" s="35" t="s">
        <v>1469</v>
      </c>
      <c r="T256" s="35" t="s">
        <v>177</v>
      </c>
      <c r="U256" s="35" t="s">
        <v>81</v>
      </c>
      <c r="V256" s="35" t="s">
        <v>509</v>
      </c>
      <c r="W256" s="35" t="s">
        <v>123</v>
      </c>
      <c r="X256" s="35">
        <v>878.22</v>
      </c>
      <c r="Y256" s="35">
        <v>125.57</v>
      </c>
      <c r="Z256" s="35">
        <v>125.57</v>
      </c>
      <c r="AA256" s="35">
        <v>0</v>
      </c>
      <c r="AB256" s="35"/>
      <c r="AC256" s="35">
        <v>0</v>
      </c>
      <c r="AD256" s="35" t="s">
        <v>1478</v>
      </c>
      <c r="AE256" s="35">
        <v>62.79</v>
      </c>
      <c r="AF256" s="35"/>
      <c r="AG256" s="35">
        <v>0</v>
      </c>
      <c r="AH256" s="35"/>
      <c r="AI256" s="37">
        <v>0</v>
      </c>
    </row>
    <row r="257" spans="1:35" x14ac:dyDescent="0.25">
      <c r="A257" s="38" t="s">
        <v>110</v>
      </c>
      <c r="B257" s="39" t="s">
        <v>594</v>
      </c>
      <c r="C257" s="39" t="s">
        <v>595</v>
      </c>
      <c r="D257" s="39">
        <v>11613</v>
      </c>
      <c r="E257" s="39" t="s">
        <v>596</v>
      </c>
      <c r="F257" s="39" t="s">
        <v>597</v>
      </c>
      <c r="G257" s="39" t="s">
        <v>115</v>
      </c>
      <c r="H257" s="39" t="s">
        <v>116</v>
      </c>
      <c r="I257" s="39" t="s">
        <v>117</v>
      </c>
      <c r="J257" s="39" t="s">
        <v>118</v>
      </c>
      <c r="K257" s="40">
        <v>46040</v>
      </c>
      <c r="L257" s="40">
        <v>46054</v>
      </c>
      <c r="M257" s="40">
        <v>46054</v>
      </c>
      <c r="N257" s="40"/>
      <c r="O257" s="40"/>
      <c r="P257" s="40"/>
      <c r="Q257" s="40"/>
      <c r="R257" s="39" t="s">
        <v>187</v>
      </c>
      <c r="S257" s="39" t="s">
        <v>598</v>
      </c>
      <c r="T257" s="39" t="s">
        <v>129</v>
      </c>
      <c r="U257" s="35" t="s">
        <v>90</v>
      </c>
      <c r="V257" s="39" t="s">
        <v>509</v>
      </c>
      <c r="W257" s="39" t="s">
        <v>123</v>
      </c>
      <c r="X257" s="39">
        <v>378.4</v>
      </c>
      <c r="Y257" s="39">
        <v>30.27</v>
      </c>
      <c r="Z257" s="39">
        <v>30.27</v>
      </c>
      <c r="AA257" s="39">
        <v>0</v>
      </c>
      <c r="AB257" s="39"/>
      <c r="AC257" s="39">
        <v>0</v>
      </c>
      <c r="AD257" s="39"/>
      <c r="AE257" s="39">
        <v>0</v>
      </c>
      <c r="AF257" s="39"/>
      <c r="AG257" s="39">
        <v>0</v>
      </c>
      <c r="AH257" s="39"/>
      <c r="AI257" s="41">
        <v>0</v>
      </c>
    </row>
    <row r="258" spans="1:35" x14ac:dyDescent="0.25">
      <c r="A258" s="34" t="s">
        <v>110</v>
      </c>
      <c r="B258" s="35" t="s">
        <v>594</v>
      </c>
      <c r="C258" s="35" t="s">
        <v>599</v>
      </c>
      <c r="D258" s="35">
        <v>11595</v>
      </c>
      <c r="E258" s="35" t="s">
        <v>600</v>
      </c>
      <c r="F258" s="35" t="s">
        <v>601</v>
      </c>
      <c r="G258" s="35" t="s">
        <v>115</v>
      </c>
      <c r="H258" s="35" t="s">
        <v>116</v>
      </c>
      <c r="I258" s="35" t="s">
        <v>117</v>
      </c>
      <c r="J258" s="35" t="s">
        <v>118</v>
      </c>
      <c r="K258" s="36">
        <v>46040</v>
      </c>
      <c r="L258" s="36">
        <v>46054</v>
      </c>
      <c r="M258" s="36">
        <v>46054</v>
      </c>
      <c r="N258" s="36"/>
      <c r="O258" s="36"/>
      <c r="P258" s="36"/>
      <c r="Q258" s="36"/>
      <c r="R258" s="35" t="s">
        <v>119</v>
      </c>
      <c r="S258" s="35" t="s">
        <v>598</v>
      </c>
      <c r="T258" s="35" t="s">
        <v>129</v>
      </c>
      <c r="U258" s="35" t="s">
        <v>90</v>
      </c>
      <c r="V258" s="35" t="s">
        <v>509</v>
      </c>
      <c r="W258" s="35" t="s">
        <v>123</v>
      </c>
      <c r="X258" s="35">
        <v>301.64999999999998</v>
      </c>
      <c r="Y258" s="35">
        <v>24.13</v>
      </c>
      <c r="Z258" s="35">
        <v>24.13</v>
      </c>
      <c r="AA258" s="35">
        <v>0</v>
      </c>
      <c r="AB258" s="35"/>
      <c r="AC258" s="35">
        <v>0</v>
      </c>
      <c r="AD258" s="35"/>
      <c r="AE258" s="35">
        <v>0</v>
      </c>
      <c r="AF258" s="35"/>
      <c r="AG258" s="35">
        <v>0</v>
      </c>
      <c r="AH258" s="35"/>
      <c r="AI258" s="37">
        <v>0</v>
      </c>
    </row>
    <row r="259" spans="1:35" x14ac:dyDescent="0.25">
      <c r="A259" s="38" t="s">
        <v>110</v>
      </c>
      <c r="B259" s="39" t="s">
        <v>602</v>
      </c>
      <c r="C259" s="39" t="s">
        <v>603</v>
      </c>
      <c r="D259" s="39">
        <v>12891</v>
      </c>
      <c r="E259" s="39" t="s">
        <v>604</v>
      </c>
      <c r="F259" s="39" t="s">
        <v>605</v>
      </c>
      <c r="G259" s="39" t="s">
        <v>115</v>
      </c>
      <c r="H259" s="39" t="s">
        <v>116</v>
      </c>
      <c r="I259" s="39" t="s">
        <v>117</v>
      </c>
      <c r="J259" s="39" t="s">
        <v>118</v>
      </c>
      <c r="K259" s="40">
        <v>46040</v>
      </c>
      <c r="L259" s="40">
        <v>46054</v>
      </c>
      <c r="M259" s="40">
        <v>46054</v>
      </c>
      <c r="N259" s="40"/>
      <c r="O259" s="40"/>
      <c r="P259" s="40"/>
      <c r="Q259" s="40"/>
      <c r="R259" s="39" t="s">
        <v>119</v>
      </c>
      <c r="S259" s="39" t="s">
        <v>606</v>
      </c>
      <c r="T259" s="39" t="s">
        <v>607</v>
      </c>
      <c r="U259" s="35" t="s">
        <v>89</v>
      </c>
      <c r="V259" s="39" t="s">
        <v>509</v>
      </c>
      <c r="W259" s="39" t="s">
        <v>123</v>
      </c>
      <c r="X259" s="39">
        <v>137.49</v>
      </c>
      <c r="Y259" s="39">
        <v>11</v>
      </c>
      <c r="Z259" s="39">
        <v>11</v>
      </c>
      <c r="AA259" s="39">
        <v>0</v>
      </c>
      <c r="AB259" s="39"/>
      <c r="AC259" s="39">
        <v>0</v>
      </c>
      <c r="AD259" s="39"/>
      <c r="AE259" s="39">
        <v>0</v>
      </c>
      <c r="AF259" s="39"/>
      <c r="AG259" s="39">
        <v>0</v>
      </c>
      <c r="AH259" s="39"/>
      <c r="AI259" s="41">
        <v>0</v>
      </c>
    </row>
    <row r="260" spans="1:35" x14ac:dyDescent="0.25">
      <c r="A260" s="34" t="s">
        <v>110</v>
      </c>
      <c r="B260" s="35" t="s">
        <v>608</v>
      </c>
      <c r="C260" s="35" t="s">
        <v>609</v>
      </c>
      <c r="D260" s="35">
        <v>12895</v>
      </c>
      <c r="E260" s="35" t="s">
        <v>610</v>
      </c>
      <c r="F260" s="35" t="s">
        <v>611</v>
      </c>
      <c r="G260" s="35" t="s">
        <v>115</v>
      </c>
      <c r="H260" s="35" t="s">
        <v>116</v>
      </c>
      <c r="I260" s="35" t="s">
        <v>117</v>
      </c>
      <c r="J260" s="35" t="s">
        <v>118</v>
      </c>
      <c r="K260" s="36">
        <v>46040</v>
      </c>
      <c r="L260" s="36">
        <v>46054</v>
      </c>
      <c r="M260" s="36">
        <v>46054</v>
      </c>
      <c r="N260" s="36"/>
      <c r="O260" s="36"/>
      <c r="P260" s="36"/>
      <c r="Q260" s="36"/>
      <c r="R260" s="35" t="s">
        <v>119</v>
      </c>
      <c r="S260" s="35" t="s">
        <v>606</v>
      </c>
      <c r="T260" s="35" t="s">
        <v>607</v>
      </c>
      <c r="U260" s="35" t="s">
        <v>89</v>
      </c>
      <c r="V260" s="35" t="s">
        <v>509</v>
      </c>
      <c r="W260" s="35" t="s">
        <v>123</v>
      </c>
      <c r="X260" s="35">
        <v>252.12</v>
      </c>
      <c r="Y260" s="35">
        <v>20.170000000000002</v>
      </c>
      <c r="Z260" s="35">
        <v>20.170000000000002</v>
      </c>
      <c r="AA260" s="35">
        <v>0</v>
      </c>
      <c r="AB260" s="35"/>
      <c r="AC260" s="35">
        <v>0</v>
      </c>
      <c r="AD260" s="35"/>
      <c r="AE260" s="35">
        <v>0</v>
      </c>
      <c r="AF260" s="35"/>
      <c r="AG260" s="35">
        <v>0</v>
      </c>
      <c r="AH260" s="35"/>
      <c r="AI260" s="37">
        <v>0</v>
      </c>
    </row>
    <row r="261" spans="1:35" x14ac:dyDescent="0.25">
      <c r="A261" s="38" t="s">
        <v>110</v>
      </c>
      <c r="B261" s="39" t="s">
        <v>612</v>
      </c>
      <c r="C261" s="39" t="s">
        <v>613</v>
      </c>
      <c r="D261" s="39">
        <v>13082</v>
      </c>
      <c r="E261" s="39" t="s">
        <v>614</v>
      </c>
      <c r="F261" s="39" t="s">
        <v>615</v>
      </c>
      <c r="G261" s="39" t="s">
        <v>115</v>
      </c>
      <c r="H261" s="39" t="s">
        <v>116</v>
      </c>
      <c r="I261" s="39" t="s">
        <v>117</v>
      </c>
      <c r="J261" s="39" t="s">
        <v>118</v>
      </c>
      <c r="K261" s="40">
        <v>46040</v>
      </c>
      <c r="L261" s="40">
        <v>46054</v>
      </c>
      <c r="M261" s="40">
        <v>46054</v>
      </c>
      <c r="N261" s="40"/>
      <c r="O261" s="40"/>
      <c r="P261" s="40"/>
      <c r="Q261" s="40"/>
      <c r="R261" s="39" t="s">
        <v>119</v>
      </c>
      <c r="S261" s="39" t="s">
        <v>606</v>
      </c>
      <c r="T261" s="39" t="s">
        <v>607</v>
      </c>
      <c r="U261" s="35" t="s">
        <v>89</v>
      </c>
      <c r="V261" s="39" t="s">
        <v>509</v>
      </c>
      <c r="W261" s="39" t="s">
        <v>123</v>
      </c>
      <c r="X261" s="39">
        <v>119.69</v>
      </c>
      <c r="Y261" s="39">
        <v>4.79</v>
      </c>
      <c r="Z261" s="39">
        <v>4.79</v>
      </c>
      <c r="AA261" s="39">
        <v>0</v>
      </c>
      <c r="AB261" s="39"/>
      <c r="AC261" s="39">
        <v>0</v>
      </c>
      <c r="AD261" s="39"/>
      <c r="AE261" s="39">
        <v>0</v>
      </c>
      <c r="AF261" s="39"/>
      <c r="AG261" s="39">
        <v>0</v>
      </c>
      <c r="AH261" s="39"/>
      <c r="AI261" s="41">
        <v>0</v>
      </c>
    </row>
    <row r="262" spans="1:35" x14ac:dyDescent="0.25">
      <c r="A262" s="34" t="s">
        <v>110</v>
      </c>
      <c r="B262" s="35" t="s">
        <v>616</v>
      </c>
      <c r="C262" s="35" t="s">
        <v>617</v>
      </c>
      <c r="D262" s="35">
        <v>13177</v>
      </c>
      <c r="E262" s="35" t="s">
        <v>618</v>
      </c>
      <c r="F262" s="35" t="s">
        <v>619</v>
      </c>
      <c r="G262" s="35" t="s">
        <v>115</v>
      </c>
      <c r="H262" s="35" t="s">
        <v>116</v>
      </c>
      <c r="I262" s="35" t="s">
        <v>117</v>
      </c>
      <c r="J262" s="35" t="s">
        <v>118</v>
      </c>
      <c r="K262" s="36">
        <v>46040</v>
      </c>
      <c r="L262" s="36">
        <v>46054</v>
      </c>
      <c r="M262" s="36">
        <v>46054</v>
      </c>
      <c r="N262" s="36"/>
      <c r="O262" s="36"/>
      <c r="P262" s="36"/>
      <c r="Q262" s="36"/>
      <c r="R262" s="35" t="s">
        <v>119</v>
      </c>
      <c r="S262" s="35" t="s">
        <v>606</v>
      </c>
      <c r="T262" s="35" t="s">
        <v>607</v>
      </c>
      <c r="U262" s="35" t="s">
        <v>89</v>
      </c>
      <c r="V262" s="35" t="s">
        <v>509</v>
      </c>
      <c r="W262" s="35" t="s">
        <v>123</v>
      </c>
      <c r="X262" s="35">
        <v>164.45</v>
      </c>
      <c r="Y262" s="35">
        <v>13.16</v>
      </c>
      <c r="Z262" s="35">
        <v>13.16</v>
      </c>
      <c r="AA262" s="35">
        <v>0</v>
      </c>
      <c r="AB262" s="35"/>
      <c r="AC262" s="35">
        <v>0</v>
      </c>
      <c r="AD262" s="35"/>
      <c r="AE262" s="35">
        <v>0</v>
      </c>
      <c r="AF262" s="35"/>
      <c r="AG262" s="35">
        <v>0</v>
      </c>
      <c r="AH262" s="35"/>
      <c r="AI262" s="37">
        <v>0</v>
      </c>
    </row>
    <row r="263" spans="1:35" x14ac:dyDescent="0.25">
      <c r="A263" s="38" t="s">
        <v>110</v>
      </c>
      <c r="B263" s="39" t="s">
        <v>620</v>
      </c>
      <c r="C263" s="39" t="s">
        <v>621</v>
      </c>
      <c r="D263" s="39">
        <v>13423</v>
      </c>
      <c r="E263" s="39" t="s">
        <v>622</v>
      </c>
      <c r="F263" s="39" t="s">
        <v>623</v>
      </c>
      <c r="G263" s="39" t="s">
        <v>115</v>
      </c>
      <c r="H263" s="39" t="s">
        <v>116</v>
      </c>
      <c r="I263" s="39" t="s">
        <v>117</v>
      </c>
      <c r="J263" s="39" t="s">
        <v>118</v>
      </c>
      <c r="K263" s="40">
        <v>46040</v>
      </c>
      <c r="L263" s="40">
        <v>46054</v>
      </c>
      <c r="M263" s="40">
        <v>46054</v>
      </c>
      <c r="N263" s="40"/>
      <c r="O263" s="40"/>
      <c r="P263" s="40"/>
      <c r="Q263" s="40"/>
      <c r="R263" s="39" t="s">
        <v>119</v>
      </c>
      <c r="S263" s="39" t="s">
        <v>606</v>
      </c>
      <c r="T263" s="39" t="s">
        <v>607</v>
      </c>
      <c r="U263" s="35" t="s">
        <v>89</v>
      </c>
      <c r="V263" s="39" t="s">
        <v>509</v>
      </c>
      <c r="W263" s="39" t="s">
        <v>123</v>
      </c>
      <c r="X263" s="39">
        <v>181.52</v>
      </c>
      <c r="Y263" s="39">
        <v>14.52</v>
      </c>
      <c r="Z263" s="39">
        <v>14.52</v>
      </c>
      <c r="AA263" s="39">
        <v>0</v>
      </c>
      <c r="AB263" s="39"/>
      <c r="AC263" s="39">
        <v>0</v>
      </c>
      <c r="AD263" s="39"/>
      <c r="AE263" s="39">
        <v>0</v>
      </c>
      <c r="AF263" s="39"/>
      <c r="AG263" s="39">
        <v>0</v>
      </c>
      <c r="AH263" s="39"/>
      <c r="AI263" s="41">
        <v>0</v>
      </c>
    </row>
    <row r="264" spans="1:35" x14ac:dyDescent="0.25">
      <c r="A264" s="34" t="s">
        <v>110</v>
      </c>
      <c r="B264" s="35" t="s">
        <v>624</v>
      </c>
      <c r="C264" s="35" t="s">
        <v>625</v>
      </c>
      <c r="D264" s="35">
        <v>13485</v>
      </c>
      <c r="E264" s="35" t="s">
        <v>626</v>
      </c>
      <c r="F264" s="35" t="s">
        <v>627</v>
      </c>
      <c r="G264" s="35" t="s">
        <v>115</v>
      </c>
      <c r="H264" s="35" t="s">
        <v>116</v>
      </c>
      <c r="I264" s="35" t="s">
        <v>117</v>
      </c>
      <c r="J264" s="35" t="s">
        <v>118</v>
      </c>
      <c r="K264" s="36">
        <v>46040</v>
      </c>
      <c r="L264" s="36">
        <v>46054</v>
      </c>
      <c r="M264" s="36">
        <v>46054</v>
      </c>
      <c r="N264" s="36"/>
      <c r="O264" s="36"/>
      <c r="P264" s="36"/>
      <c r="Q264" s="36"/>
      <c r="R264" s="35" t="s">
        <v>119</v>
      </c>
      <c r="S264" s="35" t="s">
        <v>606</v>
      </c>
      <c r="T264" s="35" t="s">
        <v>607</v>
      </c>
      <c r="U264" s="35" t="s">
        <v>89</v>
      </c>
      <c r="V264" s="35" t="s">
        <v>509</v>
      </c>
      <c r="W264" s="35" t="s">
        <v>123</v>
      </c>
      <c r="X264" s="35">
        <v>100.66</v>
      </c>
      <c r="Y264" s="35">
        <v>8.0500000000000007</v>
      </c>
      <c r="Z264" s="35">
        <v>8.0500000000000007</v>
      </c>
      <c r="AA264" s="35">
        <v>0</v>
      </c>
      <c r="AB264" s="35"/>
      <c r="AC264" s="35">
        <v>0</v>
      </c>
      <c r="AD264" s="35"/>
      <c r="AE264" s="35">
        <v>0</v>
      </c>
      <c r="AF264" s="35"/>
      <c r="AG264" s="35">
        <v>0</v>
      </c>
      <c r="AH264" s="35"/>
      <c r="AI264" s="37">
        <v>0</v>
      </c>
    </row>
    <row r="265" spans="1:35" x14ac:dyDescent="0.25">
      <c r="A265" s="38" t="s">
        <v>110</v>
      </c>
      <c r="B265" s="39" t="s">
        <v>628</v>
      </c>
      <c r="C265" s="39" t="s">
        <v>629</v>
      </c>
      <c r="D265" s="39">
        <v>13555</v>
      </c>
      <c r="E265" s="39" t="s">
        <v>630</v>
      </c>
      <c r="F265" s="39" t="s">
        <v>631</v>
      </c>
      <c r="G265" s="39" t="s">
        <v>115</v>
      </c>
      <c r="H265" s="39" t="s">
        <v>116</v>
      </c>
      <c r="I265" s="39" t="s">
        <v>117</v>
      </c>
      <c r="J265" s="39" t="s">
        <v>118</v>
      </c>
      <c r="K265" s="40">
        <v>46040</v>
      </c>
      <c r="L265" s="40">
        <v>46054</v>
      </c>
      <c r="M265" s="40">
        <v>46054</v>
      </c>
      <c r="N265" s="40"/>
      <c r="O265" s="40"/>
      <c r="P265" s="40"/>
      <c r="Q265" s="40"/>
      <c r="R265" s="39" t="s">
        <v>119</v>
      </c>
      <c r="S265" s="39" t="s">
        <v>598</v>
      </c>
      <c r="T265" s="39" t="s">
        <v>129</v>
      </c>
      <c r="U265" s="35" t="s">
        <v>90</v>
      </c>
      <c r="V265" s="39" t="s">
        <v>509</v>
      </c>
      <c r="W265" s="39" t="s">
        <v>123</v>
      </c>
      <c r="X265" s="39">
        <v>58.77</v>
      </c>
      <c r="Y265" s="39">
        <v>4.7</v>
      </c>
      <c r="Z265" s="39">
        <v>4.7</v>
      </c>
      <c r="AA265" s="39">
        <v>0</v>
      </c>
      <c r="AB265" s="39"/>
      <c r="AC265" s="39">
        <v>0</v>
      </c>
      <c r="AD265" s="39"/>
      <c r="AE265" s="39">
        <v>0</v>
      </c>
      <c r="AF265" s="39"/>
      <c r="AG265" s="39">
        <v>0</v>
      </c>
      <c r="AH265" s="39"/>
      <c r="AI265" s="41">
        <v>0</v>
      </c>
    </row>
    <row r="266" spans="1:35" x14ac:dyDescent="0.25">
      <c r="A266" s="34" t="s">
        <v>110</v>
      </c>
      <c r="B266" s="35" t="s">
        <v>632</v>
      </c>
      <c r="C266" s="35" t="s">
        <v>633</v>
      </c>
      <c r="D266" s="35">
        <v>14121</v>
      </c>
      <c r="E266" s="35" t="s">
        <v>634</v>
      </c>
      <c r="F266" s="35" t="s">
        <v>635</v>
      </c>
      <c r="G266" s="35" t="s">
        <v>115</v>
      </c>
      <c r="H266" s="35" t="s">
        <v>116</v>
      </c>
      <c r="I266" s="35" t="s">
        <v>117</v>
      </c>
      <c r="J266" s="35" t="s">
        <v>118</v>
      </c>
      <c r="K266" s="36">
        <v>46040</v>
      </c>
      <c r="L266" s="36">
        <v>46054</v>
      </c>
      <c r="M266" s="36">
        <v>46054</v>
      </c>
      <c r="N266" s="36"/>
      <c r="O266" s="36"/>
      <c r="P266" s="36"/>
      <c r="Q266" s="36"/>
      <c r="R266" s="35" t="s">
        <v>119</v>
      </c>
      <c r="S266" s="35" t="s">
        <v>598</v>
      </c>
      <c r="T266" s="35" t="s">
        <v>129</v>
      </c>
      <c r="U266" s="35" t="s">
        <v>90</v>
      </c>
      <c r="V266" s="35" t="s">
        <v>509</v>
      </c>
      <c r="W266" s="35" t="s">
        <v>123</v>
      </c>
      <c r="X266" s="35">
        <v>191.65</v>
      </c>
      <c r="Y266" s="35">
        <v>15.33</v>
      </c>
      <c r="Z266" s="35">
        <v>15.33</v>
      </c>
      <c r="AA266" s="35">
        <v>0</v>
      </c>
      <c r="AB266" s="35"/>
      <c r="AC266" s="35">
        <v>0</v>
      </c>
      <c r="AD266" s="35"/>
      <c r="AE266" s="35">
        <v>0</v>
      </c>
      <c r="AF266" s="35"/>
      <c r="AG266" s="35">
        <v>0</v>
      </c>
      <c r="AH266" s="35"/>
      <c r="AI266" s="37">
        <v>0</v>
      </c>
    </row>
    <row r="267" spans="1:35" x14ac:dyDescent="0.25">
      <c r="A267" s="38" t="s">
        <v>110</v>
      </c>
      <c r="B267" s="39" t="s">
        <v>636</v>
      </c>
      <c r="C267" s="39" t="s">
        <v>637</v>
      </c>
      <c r="D267" s="39">
        <v>14287</v>
      </c>
      <c r="E267" s="39" t="s">
        <v>638</v>
      </c>
      <c r="F267" s="39" t="s">
        <v>639</v>
      </c>
      <c r="G267" s="39" t="s">
        <v>115</v>
      </c>
      <c r="H267" s="39" t="s">
        <v>116</v>
      </c>
      <c r="I267" s="39" t="s">
        <v>117</v>
      </c>
      <c r="J267" s="39" t="s">
        <v>118</v>
      </c>
      <c r="K267" s="40">
        <v>46040</v>
      </c>
      <c r="L267" s="40">
        <v>46054</v>
      </c>
      <c r="M267" s="40">
        <v>46054</v>
      </c>
      <c r="N267" s="40"/>
      <c r="O267" s="40"/>
      <c r="P267" s="40"/>
      <c r="Q267" s="40"/>
      <c r="R267" s="39" t="s">
        <v>119</v>
      </c>
      <c r="S267" s="39" t="s">
        <v>598</v>
      </c>
      <c r="T267" s="39" t="s">
        <v>129</v>
      </c>
      <c r="U267" s="35" t="s">
        <v>90</v>
      </c>
      <c r="V267" s="39" t="s">
        <v>509</v>
      </c>
      <c r="W267" s="39" t="s">
        <v>123</v>
      </c>
      <c r="X267" s="39">
        <v>251.68</v>
      </c>
      <c r="Y267" s="39">
        <v>20.13</v>
      </c>
      <c r="Z267" s="39">
        <v>20.13</v>
      </c>
      <c r="AA267" s="39">
        <v>0</v>
      </c>
      <c r="AB267" s="39"/>
      <c r="AC267" s="39">
        <v>0</v>
      </c>
      <c r="AD267" s="39"/>
      <c r="AE267" s="39">
        <v>0</v>
      </c>
      <c r="AF267" s="39"/>
      <c r="AG267" s="39">
        <v>0</v>
      </c>
      <c r="AH267" s="39"/>
      <c r="AI267" s="41">
        <v>0</v>
      </c>
    </row>
    <row r="268" spans="1:35" x14ac:dyDescent="0.25">
      <c r="A268" s="34" t="s">
        <v>110</v>
      </c>
      <c r="B268" s="35" t="s">
        <v>640</v>
      </c>
      <c r="C268" s="35" t="s">
        <v>641</v>
      </c>
      <c r="D268" s="35">
        <v>14584</v>
      </c>
      <c r="E268" s="35" t="s">
        <v>642</v>
      </c>
      <c r="F268" s="35" t="s">
        <v>643</v>
      </c>
      <c r="G268" s="35" t="s">
        <v>115</v>
      </c>
      <c r="H268" s="35" t="s">
        <v>116</v>
      </c>
      <c r="I268" s="35" t="s">
        <v>117</v>
      </c>
      <c r="J268" s="35" t="s">
        <v>118</v>
      </c>
      <c r="K268" s="36">
        <v>46040</v>
      </c>
      <c r="L268" s="36">
        <v>46054</v>
      </c>
      <c r="M268" s="36">
        <v>46054</v>
      </c>
      <c r="N268" s="36"/>
      <c r="O268" s="36"/>
      <c r="P268" s="36"/>
      <c r="Q268" s="36"/>
      <c r="R268" s="35" t="s">
        <v>119</v>
      </c>
      <c r="S268" s="35" t="s">
        <v>598</v>
      </c>
      <c r="T268" s="35" t="s">
        <v>129</v>
      </c>
      <c r="U268" s="35" t="s">
        <v>90</v>
      </c>
      <c r="V268" s="35" t="s">
        <v>509</v>
      </c>
      <c r="W268" s="35" t="s">
        <v>123</v>
      </c>
      <c r="X268" s="35">
        <v>439.45</v>
      </c>
      <c r="Y268" s="35">
        <v>35.159999999999997</v>
      </c>
      <c r="Z268" s="35">
        <v>35.159999999999997</v>
      </c>
      <c r="AA268" s="35">
        <v>0</v>
      </c>
      <c r="AB268" s="35"/>
      <c r="AC268" s="35">
        <v>0</v>
      </c>
      <c r="AD268" s="35"/>
      <c r="AE268" s="35">
        <v>0</v>
      </c>
      <c r="AF268" s="35"/>
      <c r="AG268" s="35">
        <v>0</v>
      </c>
      <c r="AH268" s="35"/>
      <c r="AI268" s="37">
        <v>0</v>
      </c>
    </row>
    <row r="269" spans="1:35" x14ac:dyDescent="0.25">
      <c r="A269" s="38" t="s">
        <v>110</v>
      </c>
      <c r="B269" s="39" t="s">
        <v>644</v>
      </c>
      <c r="C269" s="39" t="s">
        <v>645</v>
      </c>
      <c r="D269" s="39">
        <v>15342</v>
      </c>
      <c r="E269" s="39" t="s">
        <v>646</v>
      </c>
      <c r="F269" s="39" t="s">
        <v>647</v>
      </c>
      <c r="G269" s="39" t="s">
        <v>115</v>
      </c>
      <c r="H269" s="39" t="s">
        <v>116</v>
      </c>
      <c r="I269" s="39" t="s">
        <v>117</v>
      </c>
      <c r="J269" s="39" t="s">
        <v>118</v>
      </c>
      <c r="K269" s="40">
        <v>46040</v>
      </c>
      <c r="L269" s="40">
        <v>46054</v>
      </c>
      <c r="M269" s="40">
        <v>46054</v>
      </c>
      <c r="N269" s="40"/>
      <c r="O269" s="40"/>
      <c r="P269" s="40"/>
      <c r="Q269" s="40"/>
      <c r="R269" s="39" t="s">
        <v>119</v>
      </c>
      <c r="S269" s="39" t="s">
        <v>598</v>
      </c>
      <c r="T269" s="39" t="s">
        <v>129</v>
      </c>
      <c r="U269" s="35" t="s">
        <v>90</v>
      </c>
      <c r="V269" s="39" t="s">
        <v>509</v>
      </c>
      <c r="W269" s="39" t="s">
        <v>123</v>
      </c>
      <c r="X269" s="39">
        <v>152.37</v>
      </c>
      <c r="Y269" s="39">
        <v>12.19</v>
      </c>
      <c r="Z269" s="39">
        <v>12.19</v>
      </c>
      <c r="AA269" s="39">
        <v>0</v>
      </c>
      <c r="AB269" s="39"/>
      <c r="AC269" s="39">
        <v>0</v>
      </c>
      <c r="AD269" s="39"/>
      <c r="AE269" s="39">
        <v>0</v>
      </c>
      <c r="AF269" s="39"/>
      <c r="AG269" s="39">
        <v>0</v>
      </c>
      <c r="AH269" s="39"/>
      <c r="AI269" s="41">
        <v>0</v>
      </c>
    </row>
    <row r="270" spans="1:35" x14ac:dyDescent="0.25">
      <c r="A270" s="34" t="s">
        <v>110</v>
      </c>
      <c r="B270" s="35" t="s">
        <v>648</v>
      </c>
      <c r="C270" s="35" t="s">
        <v>649</v>
      </c>
      <c r="D270" s="35">
        <v>17453</v>
      </c>
      <c r="E270" s="35" t="s">
        <v>650</v>
      </c>
      <c r="F270" s="35" t="s">
        <v>651</v>
      </c>
      <c r="G270" s="35" t="s">
        <v>115</v>
      </c>
      <c r="H270" s="35" t="s">
        <v>116</v>
      </c>
      <c r="I270" s="35" t="s">
        <v>117</v>
      </c>
      <c r="J270" s="35" t="s">
        <v>118</v>
      </c>
      <c r="K270" s="36">
        <v>46040</v>
      </c>
      <c r="L270" s="36">
        <v>46054</v>
      </c>
      <c r="M270" s="36">
        <v>46054</v>
      </c>
      <c r="N270" s="36"/>
      <c r="O270" s="36"/>
      <c r="P270" s="36"/>
      <c r="Q270" s="36"/>
      <c r="R270" s="35" t="s">
        <v>119</v>
      </c>
      <c r="S270" s="35" t="s">
        <v>598</v>
      </c>
      <c r="T270" s="35" t="s">
        <v>129</v>
      </c>
      <c r="U270" s="35" t="s">
        <v>90</v>
      </c>
      <c r="V270" s="35" t="s">
        <v>509</v>
      </c>
      <c r="W270" s="35" t="s">
        <v>123</v>
      </c>
      <c r="X270" s="35">
        <v>139.96</v>
      </c>
      <c r="Y270" s="35">
        <v>11.2</v>
      </c>
      <c r="Z270" s="35">
        <v>11.2</v>
      </c>
      <c r="AA270" s="35">
        <v>0</v>
      </c>
      <c r="AB270" s="35"/>
      <c r="AC270" s="35">
        <v>0</v>
      </c>
      <c r="AD270" s="35"/>
      <c r="AE270" s="35">
        <v>0</v>
      </c>
      <c r="AF270" s="35"/>
      <c r="AG270" s="35">
        <v>0</v>
      </c>
      <c r="AH270" s="35"/>
      <c r="AI270" s="37">
        <v>0</v>
      </c>
    </row>
    <row r="271" spans="1:35" x14ac:dyDescent="0.25">
      <c r="A271" s="38" t="s">
        <v>110</v>
      </c>
      <c r="B271" s="39" t="s">
        <v>652</v>
      </c>
      <c r="C271" s="39" t="s">
        <v>653</v>
      </c>
      <c r="D271" s="39">
        <v>17703</v>
      </c>
      <c r="E271" s="39" t="s">
        <v>654</v>
      </c>
      <c r="F271" s="39" t="s">
        <v>655</v>
      </c>
      <c r="G271" s="39" t="s">
        <v>115</v>
      </c>
      <c r="H271" s="39" t="s">
        <v>116</v>
      </c>
      <c r="I271" s="39" t="s">
        <v>117</v>
      </c>
      <c r="J271" s="39" t="s">
        <v>118</v>
      </c>
      <c r="K271" s="40">
        <v>46040</v>
      </c>
      <c r="L271" s="40">
        <v>46054</v>
      </c>
      <c r="M271" s="40">
        <v>46054</v>
      </c>
      <c r="N271" s="40"/>
      <c r="O271" s="40"/>
      <c r="P271" s="40"/>
      <c r="Q271" s="40"/>
      <c r="R271" s="39" t="s">
        <v>119</v>
      </c>
      <c r="S271" s="39" t="s">
        <v>598</v>
      </c>
      <c r="T271" s="39" t="s">
        <v>129</v>
      </c>
      <c r="U271" s="35" t="s">
        <v>90</v>
      </c>
      <c r="V271" s="39" t="s">
        <v>509</v>
      </c>
      <c r="W271" s="39" t="s">
        <v>123</v>
      </c>
      <c r="X271" s="39">
        <v>153.18</v>
      </c>
      <c r="Y271" s="39">
        <v>12.25</v>
      </c>
      <c r="Z271" s="39">
        <v>12.25</v>
      </c>
      <c r="AA271" s="39">
        <v>0</v>
      </c>
      <c r="AB271" s="39"/>
      <c r="AC271" s="39">
        <v>0</v>
      </c>
      <c r="AD271" s="39"/>
      <c r="AE271" s="39">
        <v>0</v>
      </c>
      <c r="AF271" s="39"/>
      <c r="AG271" s="39">
        <v>0</v>
      </c>
      <c r="AH271" s="39"/>
      <c r="AI271" s="41">
        <v>0</v>
      </c>
    </row>
    <row r="272" spans="1:35" x14ac:dyDescent="0.25">
      <c r="A272" s="34" t="s">
        <v>110</v>
      </c>
      <c r="B272" s="35" t="s">
        <v>656</v>
      </c>
      <c r="C272" s="35" t="s">
        <v>657</v>
      </c>
      <c r="D272" s="35">
        <v>23580</v>
      </c>
      <c r="E272" s="35" t="s">
        <v>658</v>
      </c>
      <c r="F272" s="35" t="s">
        <v>659</v>
      </c>
      <c r="G272" s="35" t="s">
        <v>115</v>
      </c>
      <c r="H272" s="35" t="s">
        <v>116</v>
      </c>
      <c r="I272" s="35" t="s">
        <v>117</v>
      </c>
      <c r="J272" s="35" t="s">
        <v>118</v>
      </c>
      <c r="K272" s="36">
        <v>46040</v>
      </c>
      <c r="L272" s="36">
        <v>46054</v>
      </c>
      <c r="M272" s="36">
        <v>46054</v>
      </c>
      <c r="N272" s="36"/>
      <c r="O272" s="36"/>
      <c r="P272" s="36"/>
      <c r="Q272" s="36"/>
      <c r="R272" s="35" t="s">
        <v>119</v>
      </c>
      <c r="S272" s="35" t="s">
        <v>598</v>
      </c>
      <c r="T272" s="35" t="s">
        <v>129</v>
      </c>
      <c r="U272" s="35" t="s">
        <v>90</v>
      </c>
      <c r="V272" s="35" t="s">
        <v>509</v>
      </c>
      <c r="W272" s="35" t="s">
        <v>123</v>
      </c>
      <c r="X272" s="35">
        <v>85.29</v>
      </c>
      <c r="Y272" s="35">
        <v>6.82</v>
      </c>
      <c r="Z272" s="35">
        <v>6.82</v>
      </c>
      <c r="AA272" s="35">
        <v>0</v>
      </c>
      <c r="AB272" s="35"/>
      <c r="AC272" s="35">
        <v>0</v>
      </c>
      <c r="AD272" s="35"/>
      <c r="AE272" s="35">
        <v>0</v>
      </c>
      <c r="AF272" s="35"/>
      <c r="AG272" s="35">
        <v>0</v>
      </c>
      <c r="AH272" s="35"/>
      <c r="AI272" s="37">
        <v>0</v>
      </c>
    </row>
    <row r="273" spans="1:35" x14ac:dyDescent="0.25">
      <c r="A273" s="38" t="s">
        <v>110</v>
      </c>
      <c r="B273" s="39" t="s">
        <v>660</v>
      </c>
      <c r="C273" s="39" t="s">
        <v>661</v>
      </c>
      <c r="D273" s="39">
        <v>23974</v>
      </c>
      <c r="E273" s="39" t="s">
        <v>662</v>
      </c>
      <c r="F273" s="39" t="s">
        <v>663</v>
      </c>
      <c r="G273" s="39" t="s">
        <v>115</v>
      </c>
      <c r="H273" s="39" t="s">
        <v>116</v>
      </c>
      <c r="I273" s="39" t="s">
        <v>117</v>
      </c>
      <c r="J273" s="39" t="s">
        <v>118</v>
      </c>
      <c r="K273" s="40">
        <v>46040</v>
      </c>
      <c r="L273" s="40">
        <v>46054</v>
      </c>
      <c r="M273" s="40">
        <v>46054</v>
      </c>
      <c r="N273" s="40"/>
      <c r="O273" s="40"/>
      <c r="P273" s="40"/>
      <c r="Q273" s="40"/>
      <c r="R273" s="39" t="s">
        <v>119</v>
      </c>
      <c r="S273" s="39" t="s">
        <v>598</v>
      </c>
      <c r="T273" s="39" t="s">
        <v>129</v>
      </c>
      <c r="U273" s="35" t="s">
        <v>90</v>
      </c>
      <c r="V273" s="39" t="s">
        <v>509</v>
      </c>
      <c r="W273" s="39" t="s">
        <v>123</v>
      </c>
      <c r="X273" s="39">
        <v>138.86000000000001</v>
      </c>
      <c r="Y273" s="39">
        <v>11.11</v>
      </c>
      <c r="Z273" s="39">
        <v>11.11</v>
      </c>
      <c r="AA273" s="39">
        <v>0</v>
      </c>
      <c r="AB273" s="39"/>
      <c r="AC273" s="39">
        <v>0</v>
      </c>
      <c r="AD273" s="39"/>
      <c r="AE273" s="39">
        <v>0</v>
      </c>
      <c r="AF273" s="39"/>
      <c r="AG273" s="39">
        <v>0</v>
      </c>
      <c r="AH273" s="39"/>
      <c r="AI273" s="41">
        <v>0</v>
      </c>
    </row>
    <row r="274" spans="1:35" x14ac:dyDescent="0.25">
      <c r="A274" s="34" t="s">
        <v>110</v>
      </c>
      <c r="B274" s="35" t="s">
        <v>685</v>
      </c>
      <c r="C274" s="35" t="s">
        <v>686</v>
      </c>
      <c r="D274" s="35">
        <v>441</v>
      </c>
      <c r="E274" s="35" t="s">
        <v>687</v>
      </c>
      <c r="F274" s="35" t="s">
        <v>688</v>
      </c>
      <c r="G274" s="35" t="s">
        <v>115</v>
      </c>
      <c r="H274" s="35" t="s">
        <v>160</v>
      </c>
      <c r="I274" s="35" t="s">
        <v>117</v>
      </c>
      <c r="J274" s="35" t="s">
        <v>118</v>
      </c>
      <c r="K274" s="36">
        <v>46040</v>
      </c>
      <c r="L274" s="36">
        <v>46059</v>
      </c>
      <c r="M274" s="36">
        <v>46059</v>
      </c>
      <c r="N274" s="36"/>
      <c r="O274" s="36"/>
      <c r="P274" s="36"/>
      <c r="Q274" s="36">
        <v>46113</v>
      </c>
      <c r="R274" s="35" t="s">
        <v>142</v>
      </c>
      <c r="S274" s="35" t="s">
        <v>679</v>
      </c>
      <c r="T274" s="35" t="s">
        <v>151</v>
      </c>
      <c r="U274" s="35" t="s">
        <v>90</v>
      </c>
      <c r="V274" s="35" t="s">
        <v>509</v>
      </c>
      <c r="W274" s="35" t="s">
        <v>123</v>
      </c>
      <c r="X274" s="35">
        <v>298.32</v>
      </c>
      <c r="Y274" s="35">
        <v>89.5</v>
      </c>
      <c r="Z274" s="35">
        <v>89.5</v>
      </c>
      <c r="AA274" s="35">
        <v>0</v>
      </c>
      <c r="AB274" s="35"/>
      <c r="AC274" s="35">
        <v>0</v>
      </c>
      <c r="AD274" s="35"/>
      <c r="AE274" s="35">
        <v>0</v>
      </c>
      <c r="AF274" s="35"/>
      <c r="AG274" s="35">
        <v>0</v>
      </c>
      <c r="AH274" s="35"/>
      <c r="AI274" s="37">
        <v>0</v>
      </c>
    </row>
    <row r="275" spans="1:35" x14ac:dyDescent="0.25">
      <c r="A275" s="38" t="s">
        <v>110</v>
      </c>
      <c r="B275" s="39" t="s">
        <v>689</v>
      </c>
      <c r="C275" s="39" t="s">
        <v>690</v>
      </c>
      <c r="D275" s="39">
        <v>8701</v>
      </c>
      <c r="E275" s="39" t="s">
        <v>691</v>
      </c>
      <c r="F275" s="39" t="s">
        <v>692</v>
      </c>
      <c r="G275" s="39" t="s">
        <v>115</v>
      </c>
      <c r="H275" s="39" t="s">
        <v>160</v>
      </c>
      <c r="I275" s="39" t="s">
        <v>117</v>
      </c>
      <c r="J275" s="39" t="s">
        <v>118</v>
      </c>
      <c r="K275" s="40">
        <v>46040</v>
      </c>
      <c r="L275" s="40">
        <v>46059</v>
      </c>
      <c r="M275" s="40">
        <v>46059</v>
      </c>
      <c r="N275" s="40"/>
      <c r="O275" s="40"/>
      <c r="P275" s="40"/>
      <c r="Q275" s="40">
        <v>46113</v>
      </c>
      <c r="R275" s="39" t="s">
        <v>142</v>
      </c>
      <c r="S275" s="39" t="s">
        <v>679</v>
      </c>
      <c r="T275" s="39" t="s">
        <v>151</v>
      </c>
      <c r="U275" s="35" t="s">
        <v>90</v>
      </c>
      <c r="V275" s="39" t="s">
        <v>509</v>
      </c>
      <c r="W275" s="39" t="s">
        <v>123</v>
      </c>
      <c r="X275" s="39">
        <v>387.61</v>
      </c>
      <c r="Y275" s="39">
        <v>116.28</v>
      </c>
      <c r="Z275" s="39">
        <v>116.28</v>
      </c>
      <c r="AA275" s="39">
        <v>0</v>
      </c>
      <c r="AB275" s="39"/>
      <c r="AC275" s="39">
        <v>0</v>
      </c>
      <c r="AD275" s="39"/>
      <c r="AE275" s="39">
        <v>0</v>
      </c>
      <c r="AF275" s="39"/>
      <c r="AG275" s="39">
        <v>0</v>
      </c>
      <c r="AH275" s="39"/>
      <c r="AI275" s="41">
        <v>0</v>
      </c>
    </row>
    <row r="276" spans="1:35" x14ac:dyDescent="0.25">
      <c r="A276" s="34" t="s">
        <v>110</v>
      </c>
      <c r="B276" s="35" t="s">
        <v>1501</v>
      </c>
      <c r="C276" s="35" t="s">
        <v>1502</v>
      </c>
      <c r="D276" s="35">
        <v>1637</v>
      </c>
      <c r="E276" s="35" t="s">
        <v>1503</v>
      </c>
      <c r="F276" s="35" t="s">
        <v>1504</v>
      </c>
      <c r="G276" s="35" t="s">
        <v>115</v>
      </c>
      <c r="H276" s="35" t="s">
        <v>160</v>
      </c>
      <c r="I276" s="35" t="s">
        <v>117</v>
      </c>
      <c r="J276" s="35" t="s">
        <v>118</v>
      </c>
      <c r="K276" s="36">
        <v>46040</v>
      </c>
      <c r="L276" s="36">
        <v>46077</v>
      </c>
      <c r="M276" s="36">
        <v>46077</v>
      </c>
      <c r="N276" s="36"/>
      <c r="O276" s="36"/>
      <c r="P276" s="36"/>
      <c r="Q276" s="36">
        <v>46113</v>
      </c>
      <c r="R276" s="35" t="s">
        <v>142</v>
      </c>
      <c r="S276" s="35" t="s">
        <v>679</v>
      </c>
      <c r="T276" s="35" t="s">
        <v>151</v>
      </c>
      <c r="U276" s="35" t="s">
        <v>90</v>
      </c>
      <c r="V276" s="35" t="s">
        <v>509</v>
      </c>
      <c r="W276" s="35" t="s">
        <v>123</v>
      </c>
      <c r="X276" s="35">
        <v>93.88</v>
      </c>
      <c r="Y276" s="35">
        <v>28.17</v>
      </c>
      <c r="Z276" s="35">
        <v>28.17</v>
      </c>
      <c r="AA276" s="35">
        <v>0</v>
      </c>
      <c r="AB276" s="35"/>
      <c r="AC276" s="35">
        <v>0</v>
      </c>
      <c r="AD276" s="35"/>
      <c r="AE276" s="35">
        <v>0</v>
      </c>
      <c r="AF276" s="35"/>
      <c r="AG276" s="35">
        <v>0</v>
      </c>
      <c r="AH276" s="35"/>
      <c r="AI276" s="37">
        <v>0</v>
      </c>
    </row>
    <row r="277" spans="1:35" x14ac:dyDescent="0.25">
      <c r="A277" s="38" t="s">
        <v>110</v>
      </c>
      <c r="B277" s="39" t="s">
        <v>504</v>
      </c>
      <c r="C277" s="39" t="s">
        <v>676</v>
      </c>
      <c r="D277" s="39">
        <v>8170</v>
      </c>
      <c r="E277" s="39" t="s">
        <v>677</v>
      </c>
      <c r="F277" s="39" t="s">
        <v>678</v>
      </c>
      <c r="G277" s="39" t="s">
        <v>115</v>
      </c>
      <c r="H277" s="39" t="s">
        <v>160</v>
      </c>
      <c r="I277" s="39" t="s">
        <v>117</v>
      </c>
      <c r="J277" s="39" t="s">
        <v>118</v>
      </c>
      <c r="K277" s="40">
        <v>46040</v>
      </c>
      <c r="L277" s="40">
        <v>46062</v>
      </c>
      <c r="M277" s="40">
        <v>46062</v>
      </c>
      <c r="N277" s="40"/>
      <c r="O277" s="40"/>
      <c r="P277" s="40"/>
      <c r="Q277" s="40">
        <v>46113</v>
      </c>
      <c r="R277" s="39" t="s">
        <v>119</v>
      </c>
      <c r="S277" s="39" t="s">
        <v>679</v>
      </c>
      <c r="T277" s="39" t="s">
        <v>151</v>
      </c>
      <c r="U277" s="35" t="s">
        <v>90</v>
      </c>
      <c r="V277" s="39" t="s">
        <v>509</v>
      </c>
      <c r="W277" s="39" t="s">
        <v>123</v>
      </c>
      <c r="X277" s="39">
        <v>28.82</v>
      </c>
      <c r="Y277" s="39">
        <v>8.64</v>
      </c>
      <c r="Z277" s="39">
        <v>8.64</v>
      </c>
      <c r="AA277" s="39">
        <v>0</v>
      </c>
      <c r="AB277" s="39"/>
      <c r="AC277" s="39">
        <v>0</v>
      </c>
      <c r="AD277" s="39"/>
      <c r="AE277" s="39">
        <v>0</v>
      </c>
      <c r="AF277" s="39"/>
      <c r="AG277" s="39">
        <v>0</v>
      </c>
      <c r="AH277" s="39"/>
      <c r="AI277" s="41">
        <v>0</v>
      </c>
    </row>
    <row r="278" spans="1:35" x14ac:dyDescent="0.25">
      <c r="A278" s="34" t="s">
        <v>110</v>
      </c>
      <c r="B278" s="35" t="s">
        <v>1492</v>
      </c>
      <c r="C278" s="35" t="s">
        <v>1493</v>
      </c>
      <c r="D278" s="35">
        <v>24813</v>
      </c>
      <c r="E278" s="35" t="s">
        <v>1494</v>
      </c>
      <c r="F278" s="35" t="s">
        <v>1495</v>
      </c>
      <c r="G278" s="35" t="s">
        <v>115</v>
      </c>
      <c r="H278" s="35" t="s">
        <v>160</v>
      </c>
      <c r="I278" s="35" t="s">
        <v>117</v>
      </c>
      <c r="J278" s="35" t="s">
        <v>118</v>
      </c>
      <c r="K278" s="36">
        <v>46040</v>
      </c>
      <c r="L278" s="36">
        <v>46069</v>
      </c>
      <c r="M278" s="36">
        <v>46069</v>
      </c>
      <c r="N278" s="36"/>
      <c r="O278" s="36"/>
      <c r="P278" s="36"/>
      <c r="Q278" s="36">
        <v>46113</v>
      </c>
      <c r="R278" s="35" t="s">
        <v>142</v>
      </c>
      <c r="S278" s="35" t="s">
        <v>1496</v>
      </c>
      <c r="T278" s="35" t="s">
        <v>183</v>
      </c>
      <c r="U278" s="35" t="s">
        <v>90</v>
      </c>
      <c r="V278" s="35" t="s">
        <v>509</v>
      </c>
      <c r="W278" s="35" t="s">
        <v>123</v>
      </c>
      <c r="X278" s="35">
        <v>45.03</v>
      </c>
      <c r="Y278" s="35">
        <v>13.52</v>
      </c>
      <c r="Z278" s="35">
        <v>13.52</v>
      </c>
      <c r="AA278" s="35">
        <v>0</v>
      </c>
      <c r="AB278" s="35"/>
      <c r="AC278" s="35">
        <v>0</v>
      </c>
      <c r="AD278" s="35"/>
      <c r="AE278" s="35">
        <v>0</v>
      </c>
      <c r="AF278" s="35"/>
      <c r="AG278" s="35">
        <v>0</v>
      </c>
      <c r="AH278" s="35"/>
      <c r="AI278" s="37">
        <v>0</v>
      </c>
    </row>
    <row r="279" spans="1:35" x14ac:dyDescent="0.25">
      <c r="A279" s="38" t="s">
        <v>110</v>
      </c>
      <c r="B279" s="39" t="s">
        <v>725</v>
      </c>
      <c r="C279" s="39" t="s">
        <v>726</v>
      </c>
      <c r="D279" s="39">
        <v>10062</v>
      </c>
      <c r="E279" s="39" t="s">
        <v>727</v>
      </c>
      <c r="F279" s="39" t="s">
        <v>728</v>
      </c>
      <c r="G279" s="39" t="s">
        <v>115</v>
      </c>
      <c r="H279" s="39" t="s">
        <v>160</v>
      </c>
      <c r="I279" s="39" t="s">
        <v>117</v>
      </c>
      <c r="J279" s="39" t="s">
        <v>118</v>
      </c>
      <c r="K279" s="40">
        <v>46040</v>
      </c>
      <c r="L279" s="40">
        <v>46063</v>
      </c>
      <c r="M279" s="40">
        <v>46063</v>
      </c>
      <c r="N279" s="40"/>
      <c r="O279" s="40"/>
      <c r="P279" s="40"/>
      <c r="Q279" s="40">
        <v>46113</v>
      </c>
      <c r="R279" s="39" t="s">
        <v>175</v>
      </c>
      <c r="S279" s="39" t="s">
        <v>729</v>
      </c>
      <c r="T279" s="39" t="s">
        <v>730</v>
      </c>
      <c r="U279" s="35" t="s">
        <v>84</v>
      </c>
      <c r="V279" s="39" t="s">
        <v>509</v>
      </c>
      <c r="W279" s="39" t="s">
        <v>123</v>
      </c>
      <c r="X279" s="39">
        <v>169.73</v>
      </c>
      <c r="Y279" s="39">
        <v>33.950000000000003</v>
      </c>
      <c r="Z279" s="39">
        <v>33.950000000000003</v>
      </c>
      <c r="AA279" s="39">
        <v>0</v>
      </c>
      <c r="AB279" s="39"/>
      <c r="AC279" s="39">
        <v>0</v>
      </c>
      <c r="AD279" s="39"/>
      <c r="AE279" s="39">
        <v>0</v>
      </c>
      <c r="AF279" s="39"/>
      <c r="AG279" s="39">
        <v>0</v>
      </c>
      <c r="AH279" s="39"/>
      <c r="AI279" s="41">
        <v>0</v>
      </c>
    </row>
    <row r="280" spans="1:35" x14ac:dyDescent="0.25">
      <c r="A280" s="34" t="s">
        <v>110</v>
      </c>
      <c r="B280" s="35" t="s">
        <v>1516</v>
      </c>
      <c r="C280" s="35" t="s">
        <v>1517</v>
      </c>
      <c r="D280" s="35">
        <v>10056</v>
      </c>
      <c r="E280" s="35" t="s">
        <v>1518</v>
      </c>
      <c r="F280" s="35" t="s">
        <v>1519</v>
      </c>
      <c r="G280" s="35" t="s">
        <v>115</v>
      </c>
      <c r="H280" s="35" t="s">
        <v>160</v>
      </c>
      <c r="I280" s="35" t="s">
        <v>117</v>
      </c>
      <c r="J280" s="35" t="s">
        <v>118</v>
      </c>
      <c r="K280" s="36">
        <v>46040</v>
      </c>
      <c r="L280" s="36">
        <v>46068</v>
      </c>
      <c r="M280" s="36">
        <v>46069</v>
      </c>
      <c r="N280" s="36"/>
      <c r="O280" s="36"/>
      <c r="P280" s="36"/>
      <c r="Q280" s="36">
        <v>46113</v>
      </c>
      <c r="R280" s="35" t="s">
        <v>175</v>
      </c>
      <c r="S280" s="35" t="s">
        <v>743</v>
      </c>
      <c r="T280" s="35" t="s">
        <v>744</v>
      </c>
      <c r="U280" s="35" t="s">
        <v>88</v>
      </c>
      <c r="V280" s="35" t="s">
        <v>509</v>
      </c>
      <c r="W280" s="35" t="s">
        <v>123</v>
      </c>
      <c r="X280" s="35">
        <v>806.08</v>
      </c>
      <c r="Y280" s="35">
        <v>161.22999999999999</v>
      </c>
      <c r="Z280" s="35">
        <v>161.22999999999999</v>
      </c>
      <c r="AA280" s="35">
        <v>0</v>
      </c>
      <c r="AB280" s="35"/>
      <c r="AC280" s="35">
        <v>0</v>
      </c>
      <c r="AD280" s="35"/>
      <c r="AE280" s="35">
        <v>0</v>
      </c>
      <c r="AF280" s="35"/>
      <c r="AG280" s="35">
        <v>0</v>
      </c>
      <c r="AH280" s="35"/>
      <c r="AI280" s="37">
        <v>0</v>
      </c>
    </row>
    <row r="281" spans="1:35" x14ac:dyDescent="0.25">
      <c r="A281" s="38" t="s">
        <v>110</v>
      </c>
      <c r="B281" s="39" t="s">
        <v>355</v>
      </c>
      <c r="C281" s="39" t="s">
        <v>2363</v>
      </c>
      <c r="D281" s="39">
        <v>11676</v>
      </c>
      <c r="E281" s="39" t="s">
        <v>2364</v>
      </c>
      <c r="F281" s="39" t="s">
        <v>2365</v>
      </c>
      <c r="G281" s="39" t="s">
        <v>115</v>
      </c>
      <c r="H281" s="39" t="s">
        <v>160</v>
      </c>
      <c r="I281" s="39" t="s">
        <v>117</v>
      </c>
      <c r="J281" s="39" t="s">
        <v>2195</v>
      </c>
      <c r="K281" s="40">
        <v>46040</v>
      </c>
      <c r="L281" s="40">
        <v>46067</v>
      </c>
      <c r="M281" s="40"/>
      <c r="N281" s="40">
        <v>46082</v>
      </c>
      <c r="O281" s="40">
        <v>46054</v>
      </c>
      <c r="P281" s="40"/>
      <c r="Q281" s="40"/>
      <c r="R281" s="39" t="s">
        <v>187</v>
      </c>
      <c r="S281" s="39" t="s">
        <v>698</v>
      </c>
      <c r="T281" s="39" t="s">
        <v>698</v>
      </c>
      <c r="U281" s="35" t="s">
        <v>88</v>
      </c>
      <c r="V281" s="39" t="s">
        <v>509</v>
      </c>
      <c r="W281" s="39" t="s">
        <v>123</v>
      </c>
      <c r="X281" s="39">
        <v>333.87</v>
      </c>
      <c r="Y281" s="39">
        <v>66.77</v>
      </c>
      <c r="Z281" s="39">
        <v>66.77</v>
      </c>
      <c r="AA281" s="39">
        <v>0</v>
      </c>
      <c r="AB281" s="39"/>
      <c r="AC281" s="39">
        <v>0</v>
      </c>
      <c r="AD281" s="39"/>
      <c r="AE281" s="39">
        <v>0</v>
      </c>
      <c r="AF281" s="39"/>
      <c r="AG281" s="39">
        <v>0</v>
      </c>
      <c r="AH281" s="39"/>
      <c r="AI281" s="41">
        <v>0</v>
      </c>
    </row>
    <row r="282" spans="1:35" x14ac:dyDescent="0.25">
      <c r="A282" s="34" t="s">
        <v>110</v>
      </c>
      <c r="B282" s="35" t="s">
        <v>188</v>
      </c>
      <c r="C282" s="35" t="s">
        <v>1520</v>
      </c>
      <c r="D282" s="35">
        <v>12501</v>
      </c>
      <c r="E282" s="35" t="s">
        <v>1521</v>
      </c>
      <c r="F282" s="35" t="s">
        <v>1522</v>
      </c>
      <c r="G282" s="35" t="s">
        <v>115</v>
      </c>
      <c r="H282" s="35" t="s">
        <v>160</v>
      </c>
      <c r="I282" s="35" t="s">
        <v>117</v>
      </c>
      <c r="J282" s="35" t="s">
        <v>118</v>
      </c>
      <c r="K282" s="36">
        <v>46040</v>
      </c>
      <c r="L282" s="36">
        <v>46081</v>
      </c>
      <c r="M282" s="36">
        <v>46081</v>
      </c>
      <c r="N282" s="36"/>
      <c r="O282" s="36"/>
      <c r="P282" s="36"/>
      <c r="Q282" s="36">
        <v>46113</v>
      </c>
      <c r="R282" s="35" t="s">
        <v>175</v>
      </c>
      <c r="S282" s="35" t="s">
        <v>743</v>
      </c>
      <c r="T282" s="35" t="s">
        <v>744</v>
      </c>
      <c r="U282" s="35" t="s">
        <v>88</v>
      </c>
      <c r="V282" s="35" t="s">
        <v>509</v>
      </c>
      <c r="W282" s="35" t="s">
        <v>123</v>
      </c>
      <c r="X282" s="35">
        <v>5953.87</v>
      </c>
      <c r="Y282" s="35">
        <v>1190.78</v>
      </c>
      <c r="Z282" s="35">
        <v>1190.78</v>
      </c>
      <c r="AA282" s="35">
        <v>0</v>
      </c>
      <c r="AB282" s="35"/>
      <c r="AC282" s="35">
        <v>0</v>
      </c>
      <c r="AD282" s="35"/>
      <c r="AE282" s="35">
        <v>0</v>
      </c>
      <c r="AF282" s="35"/>
      <c r="AG282" s="35">
        <v>0</v>
      </c>
      <c r="AH282" s="35"/>
      <c r="AI282" s="37">
        <v>0</v>
      </c>
    </row>
    <row r="283" spans="1:35" x14ac:dyDescent="0.25">
      <c r="A283" s="38" t="s">
        <v>110</v>
      </c>
      <c r="B283" s="39" t="s">
        <v>1523</v>
      </c>
      <c r="C283" s="39" t="s">
        <v>1524</v>
      </c>
      <c r="D283" s="39">
        <v>12774</v>
      </c>
      <c r="E283" s="39" t="s">
        <v>1525</v>
      </c>
      <c r="F283" s="39" t="s">
        <v>1526</v>
      </c>
      <c r="G283" s="39" t="s">
        <v>115</v>
      </c>
      <c r="H283" s="39" t="s">
        <v>160</v>
      </c>
      <c r="I283" s="39" t="s">
        <v>117</v>
      </c>
      <c r="J283" s="39" t="s">
        <v>118</v>
      </c>
      <c r="K283" s="40">
        <v>46040</v>
      </c>
      <c r="L283" s="40">
        <v>46068</v>
      </c>
      <c r="M283" s="40">
        <v>46069</v>
      </c>
      <c r="N283" s="40"/>
      <c r="O283" s="40"/>
      <c r="P283" s="40"/>
      <c r="Q283" s="40">
        <v>46113</v>
      </c>
      <c r="R283" s="39" t="s">
        <v>142</v>
      </c>
      <c r="S283" s="39" t="s">
        <v>698</v>
      </c>
      <c r="T283" s="39" t="s">
        <v>698</v>
      </c>
      <c r="U283" s="35" t="s">
        <v>88</v>
      </c>
      <c r="V283" s="39" t="s">
        <v>509</v>
      </c>
      <c r="W283" s="39" t="s">
        <v>123</v>
      </c>
      <c r="X283" s="39">
        <v>1391.52</v>
      </c>
      <c r="Y283" s="39">
        <v>278.31</v>
      </c>
      <c r="Z283" s="39">
        <v>278.31</v>
      </c>
      <c r="AA283" s="39">
        <v>0</v>
      </c>
      <c r="AB283" s="39"/>
      <c r="AC283" s="39">
        <v>0</v>
      </c>
      <c r="AD283" s="39"/>
      <c r="AE283" s="39">
        <v>0</v>
      </c>
      <c r="AF283" s="39"/>
      <c r="AG283" s="39">
        <v>0</v>
      </c>
      <c r="AH283" s="39"/>
      <c r="AI283" s="41">
        <v>0</v>
      </c>
    </row>
    <row r="284" spans="1:35" x14ac:dyDescent="0.25">
      <c r="A284" s="34" t="s">
        <v>110</v>
      </c>
      <c r="B284" s="35" t="s">
        <v>392</v>
      </c>
      <c r="C284" s="35" t="s">
        <v>2366</v>
      </c>
      <c r="D284" s="35">
        <v>12775</v>
      </c>
      <c r="E284" s="35" t="s">
        <v>2367</v>
      </c>
      <c r="F284" s="35" t="s">
        <v>2368</v>
      </c>
      <c r="G284" s="35" t="s">
        <v>115</v>
      </c>
      <c r="H284" s="35" t="s">
        <v>160</v>
      </c>
      <c r="I284" s="35" t="s">
        <v>117</v>
      </c>
      <c r="J284" s="35" t="s">
        <v>2195</v>
      </c>
      <c r="K284" s="36">
        <v>46040</v>
      </c>
      <c r="L284" s="36">
        <v>46077</v>
      </c>
      <c r="M284" s="36"/>
      <c r="N284" s="36">
        <v>46082</v>
      </c>
      <c r="O284" s="36">
        <v>46054</v>
      </c>
      <c r="P284" s="36"/>
      <c r="Q284" s="36"/>
      <c r="R284" s="35" t="s">
        <v>142</v>
      </c>
      <c r="S284" s="35" t="s">
        <v>698</v>
      </c>
      <c r="T284" s="35" t="s">
        <v>698</v>
      </c>
      <c r="U284" s="35" t="s">
        <v>88</v>
      </c>
      <c r="V284" s="35" t="s">
        <v>509</v>
      </c>
      <c r="W284" s="35" t="s">
        <v>123</v>
      </c>
      <c r="X284" s="35">
        <v>834.38</v>
      </c>
      <c r="Y284" s="35">
        <v>166.87</v>
      </c>
      <c r="Z284" s="35">
        <v>166.87</v>
      </c>
      <c r="AA284" s="35">
        <v>0</v>
      </c>
      <c r="AB284" s="35"/>
      <c r="AC284" s="35">
        <v>0</v>
      </c>
      <c r="AD284" s="35"/>
      <c r="AE284" s="35">
        <v>0</v>
      </c>
      <c r="AF284" s="35"/>
      <c r="AG284" s="35">
        <v>0</v>
      </c>
      <c r="AH284" s="35"/>
      <c r="AI284" s="37">
        <v>0</v>
      </c>
    </row>
    <row r="285" spans="1:35" x14ac:dyDescent="0.25">
      <c r="A285" s="38" t="s">
        <v>110</v>
      </c>
      <c r="B285" s="39" t="s">
        <v>731</v>
      </c>
      <c r="C285" s="39" t="s">
        <v>732</v>
      </c>
      <c r="D285" s="39">
        <v>12738</v>
      </c>
      <c r="E285" s="39" t="s">
        <v>733</v>
      </c>
      <c r="F285" s="39" t="s">
        <v>734</v>
      </c>
      <c r="G285" s="39" t="s">
        <v>115</v>
      </c>
      <c r="H285" s="39" t="s">
        <v>160</v>
      </c>
      <c r="I285" s="39" t="s">
        <v>117</v>
      </c>
      <c r="J285" s="39" t="s">
        <v>118</v>
      </c>
      <c r="K285" s="40">
        <v>46040</v>
      </c>
      <c r="L285" s="40">
        <v>46056</v>
      </c>
      <c r="M285" s="40">
        <v>46056</v>
      </c>
      <c r="N285" s="40"/>
      <c r="O285" s="40"/>
      <c r="P285" s="40"/>
      <c r="Q285" s="40">
        <v>46113</v>
      </c>
      <c r="R285" s="39" t="s">
        <v>142</v>
      </c>
      <c r="S285" s="39" t="s">
        <v>698</v>
      </c>
      <c r="T285" s="39" t="s">
        <v>698</v>
      </c>
      <c r="U285" s="35" t="s">
        <v>88</v>
      </c>
      <c r="V285" s="39" t="s">
        <v>509</v>
      </c>
      <c r="W285" s="39" t="s">
        <v>123</v>
      </c>
      <c r="X285" s="39">
        <v>1334.99</v>
      </c>
      <c r="Y285" s="39">
        <v>266.99</v>
      </c>
      <c r="Z285" s="39">
        <v>266.99</v>
      </c>
      <c r="AA285" s="39">
        <v>0</v>
      </c>
      <c r="AB285" s="39"/>
      <c r="AC285" s="39">
        <v>0</v>
      </c>
      <c r="AD285" s="39"/>
      <c r="AE285" s="39">
        <v>0</v>
      </c>
      <c r="AF285" s="39"/>
      <c r="AG285" s="39">
        <v>0</v>
      </c>
      <c r="AH285" s="39"/>
      <c r="AI285" s="41">
        <v>0</v>
      </c>
    </row>
    <row r="286" spans="1:35" x14ac:dyDescent="0.25">
      <c r="A286" s="34" t="s">
        <v>110</v>
      </c>
      <c r="B286" s="35" t="s">
        <v>1527</v>
      </c>
      <c r="C286" s="35" t="s">
        <v>1528</v>
      </c>
      <c r="D286" s="35">
        <v>14189</v>
      </c>
      <c r="E286" s="35" t="s">
        <v>1529</v>
      </c>
      <c r="F286" s="35" t="s">
        <v>1530</v>
      </c>
      <c r="G286" s="35" t="s">
        <v>115</v>
      </c>
      <c r="H286" s="35" t="s">
        <v>160</v>
      </c>
      <c r="I286" s="35" t="s">
        <v>117</v>
      </c>
      <c r="J286" s="35" t="s">
        <v>118</v>
      </c>
      <c r="K286" s="36">
        <v>46040</v>
      </c>
      <c r="L286" s="36">
        <v>46068</v>
      </c>
      <c r="M286" s="36">
        <v>46069</v>
      </c>
      <c r="N286" s="36"/>
      <c r="O286" s="36"/>
      <c r="P286" s="36"/>
      <c r="Q286" s="36">
        <v>46113</v>
      </c>
      <c r="R286" s="35" t="s">
        <v>187</v>
      </c>
      <c r="S286" s="35" t="s">
        <v>698</v>
      </c>
      <c r="T286" s="35" t="s">
        <v>698</v>
      </c>
      <c r="U286" s="35" t="s">
        <v>88</v>
      </c>
      <c r="V286" s="35" t="s">
        <v>509</v>
      </c>
      <c r="W286" s="35" t="s">
        <v>123</v>
      </c>
      <c r="X286" s="35">
        <v>312.04000000000002</v>
      </c>
      <c r="Y286" s="35">
        <v>62.41</v>
      </c>
      <c r="Z286" s="35">
        <v>62.41</v>
      </c>
      <c r="AA286" s="35">
        <v>0</v>
      </c>
      <c r="AB286" s="35"/>
      <c r="AC286" s="35">
        <v>0</v>
      </c>
      <c r="AD286" s="35"/>
      <c r="AE286" s="35">
        <v>0</v>
      </c>
      <c r="AF286" s="35"/>
      <c r="AG286" s="35">
        <v>0</v>
      </c>
      <c r="AH286" s="35"/>
      <c r="AI286" s="37">
        <v>0</v>
      </c>
    </row>
    <row r="287" spans="1:35" x14ac:dyDescent="0.25">
      <c r="A287" s="38" t="s">
        <v>110</v>
      </c>
      <c r="B287" s="39" t="s">
        <v>735</v>
      </c>
      <c r="C287" s="39" t="s">
        <v>736</v>
      </c>
      <c r="D287" s="39">
        <v>16837</v>
      </c>
      <c r="E287" s="39" t="s">
        <v>737</v>
      </c>
      <c r="F287" s="39" t="s">
        <v>738</v>
      </c>
      <c r="G287" s="39" t="s">
        <v>115</v>
      </c>
      <c r="H287" s="39" t="s">
        <v>160</v>
      </c>
      <c r="I287" s="39" t="s">
        <v>117</v>
      </c>
      <c r="J287" s="39" t="s">
        <v>118</v>
      </c>
      <c r="K287" s="40">
        <v>46040</v>
      </c>
      <c r="L287" s="40">
        <v>46054</v>
      </c>
      <c r="M287" s="40">
        <v>46055</v>
      </c>
      <c r="N287" s="40"/>
      <c r="O287" s="40"/>
      <c r="P287" s="40"/>
      <c r="Q287" s="40">
        <v>46113</v>
      </c>
      <c r="R287" s="39" t="s">
        <v>175</v>
      </c>
      <c r="S287" s="39" t="s">
        <v>698</v>
      </c>
      <c r="T287" s="39" t="s">
        <v>698</v>
      </c>
      <c r="U287" s="35" t="s">
        <v>88</v>
      </c>
      <c r="V287" s="39" t="s">
        <v>509</v>
      </c>
      <c r="W287" s="39" t="s">
        <v>123</v>
      </c>
      <c r="X287" s="39">
        <v>528.64</v>
      </c>
      <c r="Y287" s="39">
        <v>105.73</v>
      </c>
      <c r="Z287" s="39">
        <v>105.73</v>
      </c>
      <c r="AA287" s="39">
        <v>0</v>
      </c>
      <c r="AB287" s="39"/>
      <c r="AC287" s="39">
        <v>0</v>
      </c>
      <c r="AD287" s="39"/>
      <c r="AE287" s="39">
        <v>0</v>
      </c>
      <c r="AF287" s="39"/>
      <c r="AG287" s="39">
        <v>0</v>
      </c>
      <c r="AH287" s="39"/>
      <c r="AI287" s="41">
        <v>0</v>
      </c>
    </row>
    <row r="288" spans="1:35" x14ac:dyDescent="0.25">
      <c r="A288" s="34" t="s">
        <v>110</v>
      </c>
      <c r="B288" s="35" t="s">
        <v>2369</v>
      </c>
      <c r="C288" s="35" t="s">
        <v>2370</v>
      </c>
      <c r="D288" s="35">
        <v>16841</v>
      </c>
      <c r="E288" s="35" t="s">
        <v>2371</v>
      </c>
      <c r="F288" s="35" t="s">
        <v>2372</v>
      </c>
      <c r="G288" s="35" t="s">
        <v>115</v>
      </c>
      <c r="H288" s="35" t="s">
        <v>160</v>
      </c>
      <c r="I288" s="35" t="s">
        <v>117</v>
      </c>
      <c r="J288" s="35" t="s">
        <v>2195</v>
      </c>
      <c r="K288" s="36">
        <v>46040</v>
      </c>
      <c r="L288" s="36">
        <v>46055</v>
      </c>
      <c r="M288" s="36"/>
      <c r="N288" s="36">
        <v>46082</v>
      </c>
      <c r="O288" s="36">
        <v>46054</v>
      </c>
      <c r="P288" s="36"/>
      <c r="Q288" s="36"/>
      <c r="R288" s="35" t="s">
        <v>175</v>
      </c>
      <c r="S288" s="35" t="s">
        <v>698</v>
      </c>
      <c r="T288" s="35" t="s">
        <v>698</v>
      </c>
      <c r="U288" s="35" t="s">
        <v>88</v>
      </c>
      <c r="V288" s="35" t="s">
        <v>509</v>
      </c>
      <c r="W288" s="35" t="s">
        <v>123</v>
      </c>
      <c r="X288" s="35">
        <v>417.16</v>
      </c>
      <c r="Y288" s="35">
        <v>83.43</v>
      </c>
      <c r="Z288" s="35">
        <v>83.43</v>
      </c>
      <c r="AA288" s="35">
        <v>0</v>
      </c>
      <c r="AB288" s="35"/>
      <c r="AC288" s="35">
        <v>0</v>
      </c>
      <c r="AD288" s="35"/>
      <c r="AE288" s="35">
        <v>0</v>
      </c>
      <c r="AF288" s="35"/>
      <c r="AG288" s="35">
        <v>0</v>
      </c>
      <c r="AH288" s="35"/>
      <c r="AI288" s="37">
        <v>0</v>
      </c>
    </row>
    <row r="289" spans="1:35" x14ac:dyDescent="0.25">
      <c r="A289" s="38" t="s">
        <v>110</v>
      </c>
      <c r="B289" s="39" t="s">
        <v>206</v>
      </c>
      <c r="C289" s="39" t="s">
        <v>1531</v>
      </c>
      <c r="D289" s="39">
        <v>17938</v>
      </c>
      <c r="E289" s="39" t="s">
        <v>1532</v>
      </c>
      <c r="F289" s="39" t="s">
        <v>1533</v>
      </c>
      <c r="G289" s="39" t="s">
        <v>115</v>
      </c>
      <c r="H289" s="39" t="s">
        <v>160</v>
      </c>
      <c r="I289" s="39" t="s">
        <v>117</v>
      </c>
      <c r="J289" s="39" t="s">
        <v>118</v>
      </c>
      <c r="K289" s="40">
        <v>46040</v>
      </c>
      <c r="L289" s="40">
        <v>46067</v>
      </c>
      <c r="M289" s="40">
        <v>46069</v>
      </c>
      <c r="N289" s="40"/>
      <c r="O289" s="40"/>
      <c r="P289" s="40"/>
      <c r="Q289" s="40">
        <v>46113</v>
      </c>
      <c r="R289" s="39" t="s">
        <v>142</v>
      </c>
      <c r="S289" s="39" t="s">
        <v>743</v>
      </c>
      <c r="T289" s="39" t="s">
        <v>744</v>
      </c>
      <c r="U289" s="35" t="s">
        <v>88</v>
      </c>
      <c r="V289" s="39" t="s">
        <v>509</v>
      </c>
      <c r="W289" s="39" t="s">
        <v>123</v>
      </c>
      <c r="X289" s="39">
        <v>797.11</v>
      </c>
      <c r="Y289" s="39">
        <v>159.41999999999999</v>
      </c>
      <c r="Z289" s="39">
        <v>159.41999999999999</v>
      </c>
      <c r="AA289" s="39">
        <v>0</v>
      </c>
      <c r="AB289" s="39"/>
      <c r="AC289" s="39">
        <v>0</v>
      </c>
      <c r="AD289" s="39"/>
      <c r="AE289" s="39">
        <v>0</v>
      </c>
      <c r="AF289" s="39"/>
      <c r="AG289" s="39">
        <v>0</v>
      </c>
      <c r="AH289" s="39"/>
      <c r="AI289" s="41">
        <v>0</v>
      </c>
    </row>
    <row r="290" spans="1:35" x14ac:dyDescent="0.25">
      <c r="A290" s="34" t="s">
        <v>110</v>
      </c>
      <c r="B290" s="35" t="s">
        <v>739</v>
      </c>
      <c r="C290" s="35" t="s">
        <v>740</v>
      </c>
      <c r="D290" s="35">
        <v>18987</v>
      </c>
      <c r="E290" s="35" t="s">
        <v>741</v>
      </c>
      <c r="F290" s="35" t="s">
        <v>742</v>
      </c>
      <c r="G290" s="35" t="s">
        <v>115</v>
      </c>
      <c r="H290" s="35" t="s">
        <v>160</v>
      </c>
      <c r="I290" s="35" t="s">
        <v>117</v>
      </c>
      <c r="J290" s="35" t="s">
        <v>118</v>
      </c>
      <c r="K290" s="36">
        <v>46040</v>
      </c>
      <c r="L290" s="36">
        <v>46054</v>
      </c>
      <c r="M290" s="36">
        <v>46055</v>
      </c>
      <c r="N290" s="36"/>
      <c r="O290" s="36"/>
      <c r="P290" s="36"/>
      <c r="Q290" s="36">
        <v>46113</v>
      </c>
      <c r="R290" s="35" t="s">
        <v>142</v>
      </c>
      <c r="S290" s="35" t="s">
        <v>743</v>
      </c>
      <c r="T290" s="35" t="s">
        <v>744</v>
      </c>
      <c r="U290" s="35" t="s">
        <v>88</v>
      </c>
      <c r="V290" s="35" t="s">
        <v>509</v>
      </c>
      <c r="W290" s="35" t="s">
        <v>123</v>
      </c>
      <c r="X290" s="35">
        <v>457.59</v>
      </c>
      <c r="Y290" s="35">
        <v>91.52</v>
      </c>
      <c r="Z290" s="35">
        <v>91.52</v>
      </c>
      <c r="AA290" s="35">
        <v>0</v>
      </c>
      <c r="AB290" s="35"/>
      <c r="AC290" s="35">
        <v>0</v>
      </c>
      <c r="AD290" s="35"/>
      <c r="AE290" s="35">
        <v>0</v>
      </c>
      <c r="AF290" s="35"/>
      <c r="AG290" s="35">
        <v>0</v>
      </c>
      <c r="AH290" s="35"/>
      <c r="AI290" s="37">
        <v>0</v>
      </c>
    </row>
    <row r="291" spans="1:35" x14ac:dyDescent="0.25">
      <c r="A291" s="38" t="s">
        <v>110</v>
      </c>
      <c r="B291" s="39" t="s">
        <v>750</v>
      </c>
      <c r="C291" s="39" t="s">
        <v>751</v>
      </c>
      <c r="D291" s="39">
        <v>22979</v>
      </c>
      <c r="E291" s="39" t="s">
        <v>752</v>
      </c>
      <c r="F291" s="39" t="s">
        <v>753</v>
      </c>
      <c r="G291" s="39" t="s">
        <v>115</v>
      </c>
      <c r="H291" s="39" t="s">
        <v>160</v>
      </c>
      <c r="I291" s="39" t="s">
        <v>117</v>
      </c>
      <c r="J291" s="39" t="s">
        <v>118</v>
      </c>
      <c r="K291" s="40">
        <v>46040</v>
      </c>
      <c r="L291" s="40">
        <v>46063</v>
      </c>
      <c r="M291" s="40">
        <v>46063</v>
      </c>
      <c r="N291" s="40"/>
      <c r="O291" s="40"/>
      <c r="P291" s="40"/>
      <c r="Q291" s="40">
        <v>46113</v>
      </c>
      <c r="R291" s="39" t="s">
        <v>187</v>
      </c>
      <c r="S291" s="39" t="s">
        <v>88</v>
      </c>
      <c r="T291" s="39" t="s">
        <v>744</v>
      </c>
      <c r="U291" s="35" t="s">
        <v>88</v>
      </c>
      <c r="V291" s="39" t="s">
        <v>509</v>
      </c>
      <c r="W291" s="39" t="s">
        <v>123</v>
      </c>
      <c r="X291" s="39">
        <v>539.29</v>
      </c>
      <c r="Y291" s="39">
        <v>107.86</v>
      </c>
      <c r="Z291" s="39">
        <v>107.86</v>
      </c>
      <c r="AA291" s="39">
        <v>0</v>
      </c>
      <c r="AB291" s="39"/>
      <c r="AC291" s="39">
        <v>0</v>
      </c>
      <c r="AD291" s="39"/>
      <c r="AE291" s="39">
        <v>0</v>
      </c>
      <c r="AF291" s="39"/>
      <c r="AG291" s="39">
        <v>0</v>
      </c>
      <c r="AH291" s="39"/>
      <c r="AI291" s="41">
        <v>0</v>
      </c>
    </row>
    <row r="292" spans="1:35" x14ac:dyDescent="0.25">
      <c r="A292" s="34" t="s">
        <v>110</v>
      </c>
      <c r="B292" s="35" t="s">
        <v>1537</v>
      </c>
      <c r="C292" s="35" t="s">
        <v>1538</v>
      </c>
      <c r="D292" s="35">
        <v>26116</v>
      </c>
      <c r="E292" s="35" t="s">
        <v>1539</v>
      </c>
      <c r="F292" s="35" t="s">
        <v>1540</v>
      </c>
      <c r="G292" s="35" t="s">
        <v>115</v>
      </c>
      <c r="H292" s="35" t="s">
        <v>160</v>
      </c>
      <c r="I292" s="35" t="s">
        <v>117</v>
      </c>
      <c r="J292" s="35" t="s">
        <v>118</v>
      </c>
      <c r="K292" s="36">
        <v>46040</v>
      </c>
      <c r="L292" s="36">
        <v>46077</v>
      </c>
      <c r="M292" s="36">
        <v>46077</v>
      </c>
      <c r="N292" s="36"/>
      <c r="O292" s="36"/>
      <c r="P292" s="36"/>
      <c r="Q292" s="36">
        <v>46113</v>
      </c>
      <c r="R292" s="35" t="s">
        <v>187</v>
      </c>
      <c r="S292" s="35" t="s">
        <v>743</v>
      </c>
      <c r="T292" s="35" t="s">
        <v>744</v>
      </c>
      <c r="U292" s="35" t="s">
        <v>88</v>
      </c>
      <c r="V292" s="35" t="s">
        <v>509</v>
      </c>
      <c r="W292" s="35" t="s">
        <v>123</v>
      </c>
      <c r="X292" s="35">
        <v>1159.97</v>
      </c>
      <c r="Y292" s="35">
        <v>232</v>
      </c>
      <c r="Z292" s="35">
        <v>232</v>
      </c>
      <c r="AA292" s="35">
        <v>0</v>
      </c>
      <c r="AB292" s="35"/>
      <c r="AC292" s="35">
        <v>0</v>
      </c>
      <c r="AD292" s="35"/>
      <c r="AE292" s="35">
        <v>0</v>
      </c>
      <c r="AF292" s="35"/>
      <c r="AG292" s="35">
        <v>0</v>
      </c>
      <c r="AH292" s="35"/>
      <c r="AI292" s="37">
        <v>0</v>
      </c>
    </row>
    <row r="293" spans="1:35" x14ac:dyDescent="0.25">
      <c r="A293" s="38" t="s">
        <v>110</v>
      </c>
      <c r="B293" s="39" t="s">
        <v>758</v>
      </c>
      <c r="C293" s="39" t="s">
        <v>759</v>
      </c>
      <c r="D293" s="39">
        <v>14219</v>
      </c>
      <c r="E293" s="39" t="s">
        <v>760</v>
      </c>
      <c r="F293" s="39" t="s">
        <v>761</v>
      </c>
      <c r="G293" s="39" t="s">
        <v>115</v>
      </c>
      <c r="H293" s="39" t="s">
        <v>116</v>
      </c>
      <c r="I293" s="39" t="s">
        <v>117</v>
      </c>
      <c r="J293" s="39" t="s">
        <v>118</v>
      </c>
      <c r="K293" s="40">
        <v>46040</v>
      </c>
      <c r="L293" s="40">
        <v>46054</v>
      </c>
      <c r="M293" s="40">
        <v>46054</v>
      </c>
      <c r="N293" s="40"/>
      <c r="O293" s="40"/>
      <c r="P293" s="40"/>
      <c r="Q293" s="40"/>
      <c r="R293" s="39" t="s">
        <v>119</v>
      </c>
      <c r="S293" s="39" t="s">
        <v>598</v>
      </c>
      <c r="T293" s="39" t="s">
        <v>129</v>
      </c>
      <c r="U293" s="35" t="s">
        <v>90</v>
      </c>
      <c r="V293" s="39" t="s">
        <v>509</v>
      </c>
      <c r="W293" s="39" t="s">
        <v>123</v>
      </c>
      <c r="X293" s="39">
        <v>335.6</v>
      </c>
      <c r="Y293" s="39">
        <v>26.85</v>
      </c>
      <c r="Z293" s="39">
        <v>26.85</v>
      </c>
      <c r="AA293" s="39">
        <v>0</v>
      </c>
      <c r="AB293" s="39"/>
      <c r="AC293" s="39">
        <v>0</v>
      </c>
      <c r="AD293" s="39"/>
      <c r="AE293" s="39">
        <v>0</v>
      </c>
      <c r="AF293" s="39"/>
      <c r="AG293" s="39">
        <v>0</v>
      </c>
      <c r="AH293" s="39"/>
      <c r="AI293" s="41">
        <v>0</v>
      </c>
    </row>
    <row r="294" spans="1:35" x14ac:dyDescent="0.25">
      <c r="A294" s="34" t="s">
        <v>110</v>
      </c>
      <c r="B294" s="35" t="s">
        <v>754</v>
      </c>
      <c r="C294" s="35" t="s">
        <v>755</v>
      </c>
      <c r="D294" s="35">
        <v>3559</v>
      </c>
      <c r="E294" s="35" t="s">
        <v>756</v>
      </c>
      <c r="F294" s="35" t="s">
        <v>757</v>
      </c>
      <c r="G294" s="35" t="s">
        <v>115</v>
      </c>
      <c r="H294" s="35" t="s">
        <v>116</v>
      </c>
      <c r="I294" s="35" t="s">
        <v>117</v>
      </c>
      <c r="J294" s="35" t="s">
        <v>118</v>
      </c>
      <c r="K294" s="36">
        <v>46040</v>
      </c>
      <c r="L294" s="36">
        <v>46054</v>
      </c>
      <c r="M294" s="36">
        <v>46054</v>
      </c>
      <c r="N294" s="36"/>
      <c r="O294" s="36"/>
      <c r="P294" s="36"/>
      <c r="Q294" s="36"/>
      <c r="R294" s="35" t="s">
        <v>119</v>
      </c>
      <c r="S294" s="35" t="s">
        <v>598</v>
      </c>
      <c r="T294" s="35" t="s">
        <v>129</v>
      </c>
      <c r="U294" s="35" t="s">
        <v>90</v>
      </c>
      <c r="V294" s="35" t="s">
        <v>509</v>
      </c>
      <c r="W294" s="35" t="s">
        <v>123</v>
      </c>
      <c r="X294" s="35">
        <v>208.46</v>
      </c>
      <c r="Y294" s="35">
        <v>16.68</v>
      </c>
      <c r="Z294" s="35">
        <v>16.68</v>
      </c>
      <c r="AA294" s="35">
        <v>0</v>
      </c>
      <c r="AB294" s="35"/>
      <c r="AC294" s="35">
        <v>0</v>
      </c>
      <c r="AD294" s="35"/>
      <c r="AE294" s="35">
        <v>0</v>
      </c>
      <c r="AF294" s="35"/>
      <c r="AG294" s="35">
        <v>0</v>
      </c>
      <c r="AH294" s="35"/>
      <c r="AI294" s="37">
        <v>0</v>
      </c>
    </row>
    <row r="295" spans="1:35" x14ac:dyDescent="0.25">
      <c r="A295" s="38" t="s">
        <v>110</v>
      </c>
      <c r="B295" s="39" t="s">
        <v>152</v>
      </c>
      <c r="C295" s="39" t="s">
        <v>762</v>
      </c>
      <c r="D295" s="39">
        <v>4574</v>
      </c>
      <c r="E295" s="39" t="s">
        <v>763</v>
      </c>
      <c r="F295" s="39" t="s">
        <v>764</v>
      </c>
      <c r="G295" s="39" t="s">
        <v>115</v>
      </c>
      <c r="H295" s="39" t="s">
        <v>160</v>
      </c>
      <c r="I295" s="39" t="s">
        <v>117</v>
      </c>
      <c r="J295" s="39" t="s">
        <v>118</v>
      </c>
      <c r="K295" s="40">
        <v>46040</v>
      </c>
      <c r="L295" s="40">
        <v>46055</v>
      </c>
      <c r="M295" s="40">
        <v>46055</v>
      </c>
      <c r="N295" s="40"/>
      <c r="O295" s="40"/>
      <c r="P295" s="40"/>
      <c r="Q295" s="40">
        <v>46113</v>
      </c>
      <c r="R295" s="39" t="s">
        <v>142</v>
      </c>
      <c r="S295" s="39" t="s">
        <v>765</v>
      </c>
      <c r="T295" s="39" t="s">
        <v>83</v>
      </c>
      <c r="U295" s="35" t="s">
        <v>83</v>
      </c>
      <c r="V295" s="39" t="s">
        <v>509</v>
      </c>
      <c r="W295" s="39" t="s">
        <v>123</v>
      </c>
      <c r="X295" s="39">
        <v>649.12</v>
      </c>
      <c r="Y295" s="39">
        <v>162.29</v>
      </c>
      <c r="Z295" s="39">
        <v>162.29</v>
      </c>
      <c r="AA295" s="39">
        <v>0</v>
      </c>
      <c r="AB295" s="39"/>
      <c r="AC295" s="39">
        <v>0</v>
      </c>
      <c r="AD295" s="39"/>
      <c r="AE295" s="39">
        <v>0</v>
      </c>
      <c r="AF295" s="39"/>
      <c r="AG295" s="39">
        <v>0</v>
      </c>
      <c r="AH295" s="39"/>
      <c r="AI295" s="41">
        <v>0</v>
      </c>
    </row>
    <row r="296" spans="1:35" x14ac:dyDescent="0.25">
      <c r="A296" s="34" t="s">
        <v>110</v>
      </c>
      <c r="B296" s="35" t="s">
        <v>766</v>
      </c>
      <c r="C296" s="35" t="s">
        <v>767</v>
      </c>
      <c r="D296" s="35">
        <v>4629</v>
      </c>
      <c r="E296" s="35" t="s">
        <v>768</v>
      </c>
      <c r="F296" s="35" t="s">
        <v>769</v>
      </c>
      <c r="G296" s="35" t="s">
        <v>115</v>
      </c>
      <c r="H296" s="35" t="s">
        <v>160</v>
      </c>
      <c r="I296" s="35" t="s">
        <v>117</v>
      </c>
      <c r="J296" s="35" t="s">
        <v>118</v>
      </c>
      <c r="K296" s="36">
        <v>46040</v>
      </c>
      <c r="L296" s="36">
        <v>46055</v>
      </c>
      <c r="M296" s="36">
        <v>46055</v>
      </c>
      <c r="N296" s="36"/>
      <c r="O296" s="36"/>
      <c r="P296" s="36"/>
      <c r="Q296" s="36">
        <v>46113</v>
      </c>
      <c r="R296" s="35" t="s">
        <v>142</v>
      </c>
      <c r="S296" s="35" t="s">
        <v>765</v>
      </c>
      <c r="T296" s="35" t="s">
        <v>83</v>
      </c>
      <c r="U296" s="35" t="s">
        <v>83</v>
      </c>
      <c r="V296" s="35" t="s">
        <v>509</v>
      </c>
      <c r="W296" s="35" t="s">
        <v>123</v>
      </c>
      <c r="X296" s="35">
        <v>2391.89</v>
      </c>
      <c r="Y296" s="35">
        <v>597.98</v>
      </c>
      <c r="Z296" s="35">
        <v>597.98</v>
      </c>
      <c r="AA296" s="35">
        <v>0</v>
      </c>
      <c r="AB296" s="35"/>
      <c r="AC296" s="35">
        <v>0</v>
      </c>
      <c r="AD296" s="35"/>
      <c r="AE296" s="35">
        <v>0</v>
      </c>
      <c r="AF296" s="35"/>
      <c r="AG296" s="35">
        <v>0</v>
      </c>
      <c r="AH296" s="35"/>
      <c r="AI296" s="37">
        <v>0</v>
      </c>
    </row>
    <row r="297" spans="1:35" x14ac:dyDescent="0.25">
      <c r="A297" s="38" t="s">
        <v>110</v>
      </c>
      <c r="B297" s="39" t="s">
        <v>770</v>
      </c>
      <c r="C297" s="39" t="s">
        <v>771</v>
      </c>
      <c r="D297" s="39">
        <v>4637</v>
      </c>
      <c r="E297" s="39" t="s">
        <v>772</v>
      </c>
      <c r="F297" s="39" t="s">
        <v>773</v>
      </c>
      <c r="G297" s="39" t="s">
        <v>115</v>
      </c>
      <c r="H297" s="39" t="s">
        <v>160</v>
      </c>
      <c r="I297" s="39" t="s">
        <v>117</v>
      </c>
      <c r="J297" s="39" t="s">
        <v>118</v>
      </c>
      <c r="K297" s="40">
        <v>46040</v>
      </c>
      <c r="L297" s="40">
        <v>46057</v>
      </c>
      <c r="M297" s="40">
        <v>46057</v>
      </c>
      <c r="N297" s="40"/>
      <c r="O297" s="40"/>
      <c r="P297" s="40"/>
      <c r="Q297" s="40">
        <v>46113</v>
      </c>
      <c r="R297" s="39" t="s">
        <v>142</v>
      </c>
      <c r="S297" s="39" t="s">
        <v>765</v>
      </c>
      <c r="T297" s="39" t="s">
        <v>83</v>
      </c>
      <c r="U297" s="35" t="s">
        <v>83</v>
      </c>
      <c r="V297" s="39" t="s">
        <v>509</v>
      </c>
      <c r="W297" s="39" t="s">
        <v>123</v>
      </c>
      <c r="X297" s="39">
        <v>271.41000000000003</v>
      </c>
      <c r="Y297" s="39">
        <v>67.849999999999994</v>
      </c>
      <c r="Z297" s="39">
        <v>67.849999999999994</v>
      </c>
      <c r="AA297" s="39">
        <v>0</v>
      </c>
      <c r="AB297" s="39"/>
      <c r="AC297" s="39">
        <v>0</v>
      </c>
      <c r="AD297" s="39"/>
      <c r="AE297" s="39">
        <v>0</v>
      </c>
      <c r="AF297" s="39"/>
      <c r="AG297" s="39">
        <v>0</v>
      </c>
      <c r="AH297" s="39"/>
      <c r="AI297" s="41">
        <v>0</v>
      </c>
    </row>
    <row r="298" spans="1:35" x14ac:dyDescent="0.25">
      <c r="A298" s="34" t="s">
        <v>110</v>
      </c>
      <c r="B298" s="35" t="s">
        <v>1576</v>
      </c>
      <c r="C298" s="35" t="s">
        <v>1577</v>
      </c>
      <c r="D298" s="35">
        <v>4775</v>
      </c>
      <c r="E298" s="35" t="s">
        <v>1578</v>
      </c>
      <c r="F298" s="35" t="s">
        <v>1579</v>
      </c>
      <c r="G298" s="35" t="s">
        <v>115</v>
      </c>
      <c r="H298" s="35" t="s">
        <v>160</v>
      </c>
      <c r="I298" s="35" t="s">
        <v>117</v>
      </c>
      <c r="J298" s="35" t="s">
        <v>118</v>
      </c>
      <c r="K298" s="36">
        <v>46040</v>
      </c>
      <c r="L298" s="36">
        <v>46074</v>
      </c>
      <c r="M298" s="36">
        <v>46076</v>
      </c>
      <c r="N298" s="36"/>
      <c r="O298" s="36"/>
      <c r="P298" s="36"/>
      <c r="Q298" s="36">
        <v>46113</v>
      </c>
      <c r="R298" s="35" t="s">
        <v>142</v>
      </c>
      <c r="S298" s="35" t="s">
        <v>765</v>
      </c>
      <c r="T298" s="35" t="s">
        <v>83</v>
      </c>
      <c r="U298" s="35" t="s">
        <v>83</v>
      </c>
      <c r="V298" s="35" t="s">
        <v>509</v>
      </c>
      <c r="W298" s="35" t="s">
        <v>123</v>
      </c>
      <c r="X298" s="35">
        <v>565.63</v>
      </c>
      <c r="Y298" s="35">
        <v>141.41</v>
      </c>
      <c r="Z298" s="35">
        <v>141.41</v>
      </c>
      <c r="AA298" s="35">
        <v>0</v>
      </c>
      <c r="AB298" s="35"/>
      <c r="AC298" s="35">
        <v>0</v>
      </c>
      <c r="AD298" s="35"/>
      <c r="AE298" s="35">
        <v>0</v>
      </c>
      <c r="AF298" s="35"/>
      <c r="AG298" s="35">
        <v>0</v>
      </c>
      <c r="AH298" s="35"/>
      <c r="AI298" s="37">
        <v>0</v>
      </c>
    </row>
    <row r="299" spans="1:35" x14ac:dyDescent="0.25">
      <c r="A299" s="38" t="s">
        <v>110</v>
      </c>
      <c r="B299" s="39" t="s">
        <v>774</v>
      </c>
      <c r="C299" s="39" t="s">
        <v>775</v>
      </c>
      <c r="D299" s="39">
        <v>4669</v>
      </c>
      <c r="E299" s="39" t="s">
        <v>776</v>
      </c>
      <c r="F299" s="39" t="s">
        <v>777</v>
      </c>
      <c r="G299" s="39" t="s">
        <v>115</v>
      </c>
      <c r="H299" s="39" t="s">
        <v>160</v>
      </c>
      <c r="I299" s="39" t="s">
        <v>117</v>
      </c>
      <c r="J299" s="39" t="s">
        <v>118</v>
      </c>
      <c r="K299" s="40">
        <v>46040</v>
      </c>
      <c r="L299" s="40">
        <v>46062</v>
      </c>
      <c r="M299" s="40">
        <v>46062</v>
      </c>
      <c r="N299" s="40"/>
      <c r="O299" s="40"/>
      <c r="P299" s="40"/>
      <c r="Q299" s="40">
        <v>46113</v>
      </c>
      <c r="R299" s="39" t="s">
        <v>142</v>
      </c>
      <c r="S299" s="39" t="s">
        <v>765</v>
      </c>
      <c r="T299" s="39" t="s">
        <v>83</v>
      </c>
      <c r="U299" s="35" t="s">
        <v>83</v>
      </c>
      <c r="V299" s="39" t="s">
        <v>509</v>
      </c>
      <c r="W299" s="39" t="s">
        <v>123</v>
      </c>
      <c r="X299" s="39">
        <v>257.16000000000003</v>
      </c>
      <c r="Y299" s="39">
        <v>64.3</v>
      </c>
      <c r="Z299" s="39">
        <v>64.3</v>
      </c>
      <c r="AA299" s="39">
        <v>0</v>
      </c>
      <c r="AB299" s="39"/>
      <c r="AC299" s="39">
        <v>0</v>
      </c>
      <c r="AD299" s="39"/>
      <c r="AE299" s="39">
        <v>0</v>
      </c>
      <c r="AF299" s="39"/>
      <c r="AG299" s="39">
        <v>0</v>
      </c>
      <c r="AH299" s="39"/>
      <c r="AI299" s="41">
        <v>0</v>
      </c>
    </row>
    <row r="300" spans="1:35" x14ac:dyDescent="0.25">
      <c r="A300" s="34" t="s">
        <v>110</v>
      </c>
      <c r="B300" s="35" t="s">
        <v>1580</v>
      </c>
      <c r="C300" s="35" t="s">
        <v>1581</v>
      </c>
      <c r="D300" s="35">
        <v>4790</v>
      </c>
      <c r="E300" s="35" t="s">
        <v>1582</v>
      </c>
      <c r="F300" s="35" t="s">
        <v>1583</v>
      </c>
      <c r="G300" s="35" t="s">
        <v>115</v>
      </c>
      <c r="H300" s="35" t="s">
        <v>160</v>
      </c>
      <c r="I300" s="35" t="s">
        <v>117</v>
      </c>
      <c r="J300" s="35" t="s">
        <v>118</v>
      </c>
      <c r="K300" s="36">
        <v>46040</v>
      </c>
      <c r="L300" s="36">
        <v>46075</v>
      </c>
      <c r="M300" s="36">
        <v>46076</v>
      </c>
      <c r="N300" s="36"/>
      <c r="O300" s="36"/>
      <c r="P300" s="36"/>
      <c r="Q300" s="36">
        <v>46113</v>
      </c>
      <c r="R300" s="35" t="s">
        <v>142</v>
      </c>
      <c r="S300" s="35" t="s">
        <v>765</v>
      </c>
      <c r="T300" s="35" t="s">
        <v>83</v>
      </c>
      <c r="U300" s="35" t="s">
        <v>83</v>
      </c>
      <c r="V300" s="35" t="s">
        <v>509</v>
      </c>
      <c r="W300" s="35" t="s">
        <v>123</v>
      </c>
      <c r="X300" s="35">
        <v>271.74</v>
      </c>
      <c r="Y300" s="35">
        <v>67.930000000000007</v>
      </c>
      <c r="Z300" s="35">
        <v>67.930000000000007</v>
      </c>
      <c r="AA300" s="35">
        <v>0</v>
      </c>
      <c r="AB300" s="35"/>
      <c r="AC300" s="35">
        <v>0</v>
      </c>
      <c r="AD300" s="35"/>
      <c r="AE300" s="35">
        <v>0</v>
      </c>
      <c r="AF300" s="35"/>
      <c r="AG300" s="35">
        <v>0</v>
      </c>
      <c r="AH300" s="35"/>
      <c r="AI300" s="37">
        <v>0</v>
      </c>
    </row>
    <row r="301" spans="1:35" x14ac:dyDescent="0.25">
      <c r="A301" s="38" t="s">
        <v>110</v>
      </c>
      <c r="B301" s="39" t="s">
        <v>1444</v>
      </c>
      <c r="C301" s="39" t="s">
        <v>1584</v>
      </c>
      <c r="D301" s="39">
        <v>4802</v>
      </c>
      <c r="E301" s="39" t="s">
        <v>1585</v>
      </c>
      <c r="F301" s="39" t="s">
        <v>1586</v>
      </c>
      <c r="G301" s="39" t="s">
        <v>115</v>
      </c>
      <c r="H301" s="39" t="s">
        <v>160</v>
      </c>
      <c r="I301" s="39" t="s">
        <v>117</v>
      </c>
      <c r="J301" s="39" t="s">
        <v>118</v>
      </c>
      <c r="K301" s="40">
        <v>46040</v>
      </c>
      <c r="L301" s="40">
        <v>46081</v>
      </c>
      <c r="M301" s="40">
        <v>46081</v>
      </c>
      <c r="N301" s="40"/>
      <c r="O301" s="40"/>
      <c r="P301" s="40"/>
      <c r="Q301" s="40">
        <v>46113</v>
      </c>
      <c r="R301" s="39" t="s">
        <v>142</v>
      </c>
      <c r="S301" s="39" t="s">
        <v>765</v>
      </c>
      <c r="T301" s="39" t="s">
        <v>83</v>
      </c>
      <c r="U301" s="35" t="s">
        <v>83</v>
      </c>
      <c r="V301" s="39" t="s">
        <v>509</v>
      </c>
      <c r="W301" s="39" t="s">
        <v>123</v>
      </c>
      <c r="X301" s="39">
        <v>343.43</v>
      </c>
      <c r="Y301" s="39">
        <v>85.87</v>
      </c>
      <c r="Z301" s="39">
        <v>85.87</v>
      </c>
      <c r="AA301" s="39">
        <v>0</v>
      </c>
      <c r="AB301" s="39"/>
      <c r="AC301" s="39">
        <v>0</v>
      </c>
      <c r="AD301" s="39"/>
      <c r="AE301" s="39">
        <v>0</v>
      </c>
      <c r="AF301" s="39"/>
      <c r="AG301" s="39">
        <v>0</v>
      </c>
      <c r="AH301" s="39"/>
      <c r="AI301" s="41">
        <v>0</v>
      </c>
    </row>
    <row r="302" spans="1:35" x14ac:dyDescent="0.25">
      <c r="A302" s="34" t="s">
        <v>110</v>
      </c>
      <c r="B302" s="35" t="s">
        <v>1587</v>
      </c>
      <c r="C302" s="35" t="s">
        <v>1588</v>
      </c>
      <c r="D302" s="35">
        <v>4817</v>
      </c>
      <c r="E302" s="35" t="s">
        <v>1589</v>
      </c>
      <c r="F302" s="35" t="s">
        <v>1590</v>
      </c>
      <c r="G302" s="35" t="s">
        <v>115</v>
      </c>
      <c r="H302" s="35" t="s">
        <v>160</v>
      </c>
      <c r="I302" s="35" t="s">
        <v>117</v>
      </c>
      <c r="J302" s="35" t="s">
        <v>118</v>
      </c>
      <c r="K302" s="36">
        <v>46040</v>
      </c>
      <c r="L302" s="36">
        <v>46067</v>
      </c>
      <c r="M302" s="36">
        <v>46069</v>
      </c>
      <c r="N302" s="36"/>
      <c r="O302" s="36"/>
      <c r="P302" s="36"/>
      <c r="Q302" s="36">
        <v>46113</v>
      </c>
      <c r="R302" s="35" t="s">
        <v>142</v>
      </c>
      <c r="S302" s="35" t="s">
        <v>765</v>
      </c>
      <c r="T302" s="35" t="s">
        <v>83</v>
      </c>
      <c r="U302" s="35" t="s">
        <v>83</v>
      </c>
      <c r="V302" s="35" t="s">
        <v>509</v>
      </c>
      <c r="W302" s="35" t="s">
        <v>123</v>
      </c>
      <c r="X302" s="35">
        <v>520.71</v>
      </c>
      <c r="Y302" s="35">
        <v>130.16999999999999</v>
      </c>
      <c r="Z302" s="35">
        <v>130.16999999999999</v>
      </c>
      <c r="AA302" s="35">
        <v>0</v>
      </c>
      <c r="AB302" s="35"/>
      <c r="AC302" s="35">
        <v>0</v>
      </c>
      <c r="AD302" s="35"/>
      <c r="AE302" s="35">
        <v>0</v>
      </c>
      <c r="AF302" s="35"/>
      <c r="AG302" s="35">
        <v>0</v>
      </c>
      <c r="AH302" s="35"/>
      <c r="AI302" s="37">
        <v>0</v>
      </c>
    </row>
    <row r="303" spans="1:35" x14ac:dyDescent="0.25">
      <c r="A303" s="38" t="s">
        <v>110</v>
      </c>
      <c r="B303" s="39" t="s">
        <v>778</v>
      </c>
      <c r="C303" s="39" t="s">
        <v>779</v>
      </c>
      <c r="D303" s="39">
        <v>7802</v>
      </c>
      <c r="E303" s="39" t="s">
        <v>780</v>
      </c>
      <c r="F303" s="39" t="s">
        <v>781</v>
      </c>
      <c r="G303" s="39" t="s">
        <v>115</v>
      </c>
      <c r="H303" s="39" t="s">
        <v>160</v>
      </c>
      <c r="I303" s="39" t="s">
        <v>117</v>
      </c>
      <c r="J303" s="39" t="s">
        <v>118</v>
      </c>
      <c r="K303" s="40">
        <v>46040</v>
      </c>
      <c r="L303" s="40">
        <v>46061</v>
      </c>
      <c r="M303" s="40">
        <v>46062</v>
      </c>
      <c r="N303" s="40"/>
      <c r="O303" s="40"/>
      <c r="P303" s="40"/>
      <c r="Q303" s="40">
        <v>46113</v>
      </c>
      <c r="R303" s="39" t="s">
        <v>142</v>
      </c>
      <c r="S303" s="39" t="s">
        <v>765</v>
      </c>
      <c r="T303" s="39" t="s">
        <v>83</v>
      </c>
      <c r="U303" s="35" t="s">
        <v>83</v>
      </c>
      <c r="V303" s="39" t="s">
        <v>509</v>
      </c>
      <c r="W303" s="39" t="s">
        <v>123</v>
      </c>
      <c r="X303" s="39">
        <v>158.62</v>
      </c>
      <c r="Y303" s="39">
        <v>39.659999999999997</v>
      </c>
      <c r="Z303" s="39">
        <v>39.659999999999997</v>
      </c>
      <c r="AA303" s="39">
        <v>0</v>
      </c>
      <c r="AB303" s="39"/>
      <c r="AC303" s="39">
        <v>0</v>
      </c>
      <c r="AD303" s="39"/>
      <c r="AE303" s="39">
        <v>0</v>
      </c>
      <c r="AF303" s="39"/>
      <c r="AG303" s="39">
        <v>0</v>
      </c>
      <c r="AH303" s="39"/>
      <c r="AI303" s="41">
        <v>0</v>
      </c>
    </row>
    <row r="304" spans="1:35" x14ac:dyDescent="0.25">
      <c r="A304" s="34" t="s">
        <v>110</v>
      </c>
      <c r="B304" s="35" t="s">
        <v>510</v>
      </c>
      <c r="C304" s="35" t="s">
        <v>782</v>
      </c>
      <c r="D304" s="35">
        <v>10277</v>
      </c>
      <c r="E304" s="35" t="s">
        <v>783</v>
      </c>
      <c r="F304" s="35" t="s">
        <v>784</v>
      </c>
      <c r="G304" s="35" t="s">
        <v>115</v>
      </c>
      <c r="H304" s="35" t="s">
        <v>160</v>
      </c>
      <c r="I304" s="35" t="s">
        <v>117</v>
      </c>
      <c r="J304" s="35" t="s">
        <v>118</v>
      </c>
      <c r="K304" s="36">
        <v>46040</v>
      </c>
      <c r="L304" s="36">
        <v>46054</v>
      </c>
      <c r="M304" s="36">
        <v>46055</v>
      </c>
      <c r="N304" s="36"/>
      <c r="O304" s="36"/>
      <c r="P304" s="36"/>
      <c r="Q304" s="36">
        <v>46113</v>
      </c>
      <c r="R304" s="35" t="s">
        <v>187</v>
      </c>
      <c r="S304" s="35" t="s">
        <v>785</v>
      </c>
      <c r="T304" s="35" t="s">
        <v>83</v>
      </c>
      <c r="U304" s="35" t="s">
        <v>83</v>
      </c>
      <c r="V304" s="35" t="s">
        <v>509</v>
      </c>
      <c r="W304" s="35" t="s">
        <v>123</v>
      </c>
      <c r="X304" s="35">
        <v>235.13</v>
      </c>
      <c r="Y304" s="35">
        <v>58.8</v>
      </c>
      <c r="Z304" s="35">
        <v>58.8</v>
      </c>
      <c r="AA304" s="35">
        <v>0</v>
      </c>
      <c r="AB304" s="35"/>
      <c r="AC304" s="35">
        <v>0</v>
      </c>
      <c r="AD304" s="35"/>
      <c r="AE304" s="35">
        <v>0</v>
      </c>
      <c r="AF304" s="35"/>
      <c r="AG304" s="35">
        <v>0</v>
      </c>
      <c r="AH304" s="35"/>
      <c r="AI304" s="37">
        <v>0</v>
      </c>
    </row>
    <row r="305" spans="1:35" x14ac:dyDescent="0.25">
      <c r="A305" s="38" t="s">
        <v>110</v>
      </c>
      <c r="B305" s="39" t="s">
        <v>1591</v>
      </c>
      <c r="C305" s="39" t="s">
        <v>1592</v>
      </c>
      <c r="D305" s="39">
        <v>24835</v>
      </c>
      <c r="E305" s="39" t="s">
        <v>1593</v>
      </c>
      <c r="F305" s="39" t="s">
        <v>1594</v>
      </c>
      <c r="G305" s="39" t="s">
        <v>115</v>
      </c>
      <c r="H305" s="39" t="s">
        <v>160</v>
      </c>
      <c r="I305" s="39" t="s">
        <v>117</v>
      </c>
      <c r="J305" s="39" t="s">
        <v>118</v>
      </c>
      <c r="K305" s="40">
        <v>46040</v>
      </c>
      <c r="L305" s="40">
        <v>46076</v>
      </c>
      <c r="M305" s="40">
        <v>46076</v>
      </c>
      <c r="N305" s="40"/>
      <c r="O305" s="40"/>
      <c r="P305" s="40"/>
      <c r="Q305" s="40">
        <v>46113</v>
      </c>
      <c r="R305" s="39" t="s">
        <v>142</v>
      </c>
      <c r="S305" s="39" t="s">
        <v>795</v>
      </c>
      <c r="T305" s="39" t="s">
        <v>83</v>
      </c>
      <c r="U305" s="35" t="s">
        <v>83</v>
      </c>
      <c r="V305" s="39" t="s">
        <v>509</v>
      </c>
      <c r="W305" s="39" t="s">
        <v>123</v>
      </c>
      <c r="X305" s="39">
        <v>459.45</v>
      </c>
      <c r="Y305" s="39">
        <v>114.9</v>
      </c>
      <c r="Z305" s="39">
        <v>114.9</v>
      </c>
      <c r="AA305" s="39">
        <v>0</v>
      </c>
      <c r="AB305" s="39"/>
      <c r="AC305" s="39">
        <v>0</v>
      </c>
      <c r="AD305" s="39"/>
      <c r="AE305" s="39">
        <v>0</v>
      </c>
      <c r="AF305" s="39"/>
      <c r="AG305" s="39">
        <v>0</v>
      </c>
      <c r="AH305" s="39"/>
      <c r="AI305" s="41">
        <v>0</v>
      </c>
    </row>
    <row r="306" spans="1:35" x14ac:dyDescent="0.25">
      <c r="A306" s="34" t="s">
        <v>110</v>
      </c>
      <c r="B306" s="35" t="s">
        <v>791</v>
      </c>
      <c r="C306" s="35" t="s">
        <v>792</v>
      </c>
      <c r="D306" s="35">
        <v>26062</v>
      </c>
      <c r="E306" s="35" t="s">
        <v>793</v>
      </c>
      <c r="F306" s="35" t="s">
        <v>794</v>
      </c>
      <c r="G306" s="35" t="s">
        <v>115</v>
      </c>
      <c r="H306" s="35" t="s">
        <v>160</v>
      </c>
      <c r="I306" s="35" t="s">
        <v>117</v>
      </c>
      <c r="J306" s="35" t="s">
        <v>118</v>
      </c>
      <c r="K306" s="36">
        <v>46040</v>
      </c>
      <c r="L306" s="36">
        <v>46064</v>
      </c>
      <c r="M306" s="36">
        <v>46064</v>
      </c>
      <c r="N306" s="36"/>
      <c r="O306" s="36"/>
      <c r="P306" s="36"/>
      <c r="Q306" s="36">
        <v>46113</v>
      </c>
      <c r="R306" s="35" t="s">
        <v>142</v>
      </c>
      <c r="S306" s="35" t="s">
        <v>795</v>
      </c>
      <c r="T306" s="35" t="s">
        <v>83</v>
      </c>
      <c r="U306" s="35" t="s">
        <v>83</v>
      </c>
      <c r="V306" s="35" t="s">
        <v>509</v>
      </c>
      <c r="W306" s="35" t="s">
        <v>123</v>
      </c>
      <c r="X306" s="35">
        <v>265.26</v>
      </c>
      <c r="Y306" s="35">
        <v>66.33</v>
      </c>
      <c r="Z306" s="35">
        <v>66.33</v>
      </c>
      <c r="AA306" s="35">
        <v>0</v>
      </c>
      <c r="AB306" s="35"/>
      <c r="AC306" s="35">
        <v>0</v>
      </c>
      <c r="AD306" s="35"/>
      <c r="AE306" s="35">
        <v>0</v>
      </c>
      <c r="AF306" s="35"/>
      <c r="AG306" s="35">
        <v>0</v>
      </c>
      <c r="AH306" s="35"/>
      <c r="AI306" s="37">
        <v>0</v>
      </c>
    </row>
    <row r="307" spans="1:35" x14ac:dyDescent="0.25">
      <c r="A307" s="38" t="s">
        <v>110</v>
      </c>
      <c r="B307" s="39" t="s">
        <v>786</v>
      </c>
      <c r="C307" s="39" t="s">
        <v>796</v>
      </c>
      <c r="D307" s="39">
        <v>30569</v>
      </c>
      <c r="E307" s="39" t="s">
        <v>797</v>
      </c>
      <c r="F307" s="39" t="s">
        <v>798</v>
      </c>
      <c r="G307" s="39" t="s">
        <v>115</v>
      </c>
      <c r="H307" s="39" t="s">
        <v>160</v>
      </c>
      <c r="I307" s="39" t="s">
        <v>117</v>
      </c>
      <c r="J307" s="39" t="s">
        <v>118</v>
      </c>
      <c r="K307" s="40">
        <v>46040</v>
      </c>
      <c r="L307" s="40">
        <v>46057</v>
      </c>
      <c r="M307" s="40">
        <v>46057</v>
      </c>
      <c r="N307" s="40"/>
      <c r="O307" s="40"/>
      <c r="P307" s="40"/>
      <c r="Q307" s="40">
        <v>46113</v>
      </c>
      <c r="R307" s="39" t="s">
        <v>142</v>
      </c>
      <c r="S307" s="39" t="s">
        <v>795</v>
      </c>
      <c r="T307" s="39" t="s">
        <v>83</v>
      </c>
      <c r="U307" s="35" t="s">
        <v>83</v>
      </c>
      <c r="V307" s="39" t="s">
        <v>509</v>
      </c>
      <c r="W307" s="39" t="s">
        <v>123</v>
      </c>
      <c r="X307" s="39">
        <v>490.92</v>
      </c>
      <c r="Y307" s="39">
        <v>122.75</v>
      </c>
      <c r="Z307" s="39">
        <v>122.75</v>
      </c>
      <c r="AA307" s="39">
        <v>0</v>
      </c>
      <c r="AB307" s="39"/>
      <c r="AC307" s="39">
        <v>0</v>
      </c>
      <c r="AD307" s="39"/>
      <c r="AE307" s="39">
        <v>0</v>
      </c>
      <c r="AF307" s="39"/>
      <c r="AG307" s="39">
        <v>0</v>
      </c>
      <c r="AH307" s="39"/>
      <c r="AI307" s="41">
        <v>0</v>
      </c>
    </row>
    <row r="308" spans="1:35" x14ac:dyDescent="0.25">
      <c r="A308" s="34" t="s">
        <v>110</v>
      </c>
      <c r="B308" s="35" t="s">
        <v>1595</v>
      </c>
      <c r="C308" s="35" t="s">
        <v>1596</v>
      </c>
      <c r="D308" s="35">
        <v>30608</v>
      </c>
      <c r="E308" s="35" t="s">
        <v>1597</v>
      </c>
      <c r="F308" s="35" t="s">
        <v>1598</v>
      </c>
      <c r="G308" s="35" t="s">
        <v>115</v>
      </c>
      <c r="H308" s="35" t="s">
        <v>160</v>
      </c>
      <c r="I308" s="35" t="s">
        <v>117</v>
      </c>
      <c r="J308" s="35" t="s">
        <v>118</v>
      </c>
      <c r="K308" s="36">
        <v>46040</v>
      </c>
      <c r="L308" s="36">
        <v>46081</v>
      </c>
      <c r="M308" s="36">
        <v>46081</v>
      </c>
      <c r="N308" s="36"/>
      <c r="O308" s="36"/>
      <c r="P308" s="36"/>
      <c r="Q308" s="36">
        <v>46113</v>
      </c>
      <c r="R308" s="35" t="s">
        <v>142</v>
      </c>
      <c r="S308" s="35" t="s">
        <v>795</v>
      </c>
      <c r="T308" s="35" t="s">
        <v>83</v>
      </c>
      <c r="U308" s="35" t="s">
        <v>83</v>
      </c>
      <c r="V308" s="35" t="s">
        <v>509</v>
      </c>
      <c r="W308" s="35" t="s">
        <v>123</v>
      </c>
      <c r="X308" s="35">
        <v>351.88</v>
      </c>
      <c r="Y308" s="35">
        <v>87.99</v>
      </c>
      <c r="Z308" s="35">
        <v>87.99</v>
      </c>
      <c r="AA308" s="35">
        <v>0</v>
      </c>
      <c r="AB308" s="35"/>
      <c r="AC308" s="35">
        <v>0</v>
      </c>
      <c r="AD308" s="35"/>
      <c r="AE308" s="35">
        <v>0</v>
      </c>
      <c r="AF308" s="35"/>
      <c r="AG308" s="35">
        <v>0</v>
      </c>
      <c r="AH308" s="35"/>
      <c r="AI308" s="37">
        <v>0</v>
      </c>
    </row>
    <row r="309" spans="1:35" x14ac:dyDescent="0.25">
      <c r="A309" s="38" t="s">
        <v>110</v>
      </c>
      <c r="B309" s="39" t="s">
        <v>1599</v>
      </c>
      <c r="C309" s="39" t="s">
        <v>1600</v>
      </c>
      <c r="D309" s="39">
        <v>18996</v>
      </c>
      <c r="E309" s="39" t="s">
        <v>1601</v>
      </c>
      <c r="F309" s="39" t="s">
        <v>1602</v>
      </c>
      <c r="G309" s="39" t="s">
        <v>115</v>
      </c>
      <c r="H309" s="39" t="s">
        <v>160</v>
      </c>
      <c r="I309" s="39" t="s">
        <v>117</v>
      </c>
      <c r="J309" s="39" t="s">
        <v>118</v>
      </c>
      <c r="K309" s="40">
        <v>46040</v>
      </c>
      <c r="L309" s="40">
        <v>46069</v>
      </c>
      <c r="M309" s="40">
        <v>46069</v>
      </c>
      <c r="N309" s="40"/>
      <c r="O309" s="40"/>
      <c r="P309" s="40"/>
      <c r="Q309" s="40">
        <v>46113</v>
      </c>
      <c r="R309" s="39" t="s">
        <v>142</v>
      </c>
      <c r="S309" s="39" t="s">
        <v>1603</v>
      </c>
      <c r="T309" s="39" t="s">
        <v>804</v>
      </c>
      <c r="U309" s="35" t="s">
        <v>87</v>
      </c>
      <c r="V309" s="39" t="s">
        <v>509</v>
      </c>
      <c r="W309" s="39" t="s">
        <v>123</v>
      </c>
      <c r="X309" s="39">
        <v>1098.8900000000001</v>
      </c>
      <c r="Y309" s="39">
        <v>274.75</v>
      </c>
      <c r="Z309" s="39">
        <v>274.75</v>
      </c>
      <c r="AA309" s="39">
        <v>0</v>
      </c>
      <c r="AB309" s="39"/>
      <c r="AC309" s="39">
        <v>0</v>
      </c>
      <c r="AD309" s="39"/>
      <c r="AE309" s="39">
        <v>0</v>
      </c>
      <c r="AF309" s="39"/>
      <c r="AG309" s="39">
        <v>0</v>
      </c>
      <c r="AH309" s="39"/>
      <c r="AI309" s="41">
        <v>0</v>
      </c>
    </row>
    <row r="310" spans="1:35" x14ac:dyDescent="0.25">
      <c r="A310" s="34" t="s">
        <v>110</v>
      </c>
      <c r="B310" s="35" t="s">
        <v>799</v>
      </c>
      <c r="C310" s="35" t="s">
        <v>800</v>
      </c>
      <c r="D310" s="35">
        <v>23213</v>
      </c>
      <c r="E310" s="35" t="s">
        <v>801</v>
      </c>
      <c r="F310" s="35" t="s">
        <v>802</v>
      </c>
      <c r="G310" s="35" t="s">
        <v>115</v>
      </c>
      <c r="H310" s="35" t="s">
        <v>160</v>
      </c>
      <c r="I310" s="35" t="s">
        <v>117</v>
      </c>
      <c r="J310" s="35" t="s">
        <v>118</v>
      </c>
      <c r="K310" s="36">
        <v>46040</v>
      </c>
      <c r="L310" s="36">
        <v>46057</v>
      </c>
      <c r="M310" s="36">
        <v>46057</v>
      </c>
      <c r="N310" s="36"/>
      <c r="O310" s="36"/>
      <c r="P310" s="36"/>
      <c r="Q310" s="36">
        <v>46113</v>
      </c>
      <c r="R310" s="35" t="s">
        <v>142</v>
      </c>
      <c r="S310" s="35" t="s">
        <v>803</v>
      </c>
      <c r="T310" s="35" t="s">
        <v>804</v>
      </c>
      <c r="U310" s="35" t="s">
        <v>87</v>
      </c>
      <c r="V310" s="35" t="s">
        <v>509</v>
      </c>
      <c r="W310" s="35" t="s">
        <v>123</v>
      </c>
      <c r="X310" s="35">
        <v>530.28</v>
      </c>
      <c r="Y310" s="35">
        <v>132.58000000000001</v>
      </c>
      <c r="Z310" s="35">
        <v>132.58000000000001</v>
      </c>
      <c r="AA310" s="35">
        <v>0</v>
      </c>
      <c r="AB310" s="35"/>
      <c r="AC310" s="35">
        <v>0</v>
      </c>
      <c r="AD310" s="35"/>
      <c r="AE310" s="35">
        <v>0</v>
      </c>
      <c r="AF310" s="35"/>
      <c r="AG310" s="35">
        <v>0</v>
      </c>
      <c r="AH310" s="35"/>
      <c r="AI310" s="37">
        <v>0</v>
      </c>
    </row>
    <row r="311" spans="1:35" x14ac:dyDescent="0.25">
      <c r="A311" s="38" t="s">
        <v>110</v>
      </c>
      <c r="B311" s="39" t="s">
        <v>1604</v>
      </c>
      <c r="C311" s="39" t="s">
        <v>1605</v>
      </c>
      <c r="D311" s="39">
        <v>24846</v>
      </c>
      <c r="E311" s="39" t="s">
        <v>1606</v>
      </c>
      <c r="F311" s="39" t="s">
        <v>1607</v>
      </c>
      <c r="G311" s="39" t="s">
        <v>115</v>
      </c>
      <c r="H311" s="39" t="s">
        <v>116</v>
      </c>
      <c r="I311" s="39" t="s">
        <v>117</v>
      </c>
      <c r="J311" s="39" t="s">
        <v>141</v>
      </c>
      <c r="K311" s="40">
        <v>46040</v>
      </c>
      <c r="L311" s="40">
        <v>46081</v>
      </c>
      <c r="M311" s="40"/>
      <c r="N311" s="40"/>
      <c r="O311" s="40"/>
      <c r="P311" s="40"/>
      <c r="Q311" s="40"/>
      <c r="R311" s="39" t="s">
        <v>142</v>
      </c>
      <c r="S311" s="39" t="s">
        <v>803</v>
      </c>
      <c r="T311" s="39" t="s">
        <v>804</v>
      </c>
      <c r="U311" s="35" t="s">
        <v>87</v>
      </c>
      <c r="V311" s="39" t="s">
        <v>509</v>
      </c>
      <c r="W311" s="39" t="s">
        <v>123</v>
      </c>
      <c r="X311" s="39">
        <v>825.94</v>
      </c>
      <c r="Y311" s="39">
        <v>206.49</v>
      </c>
      <c r="Z311" s="39">
        <v>206.49</v>
      </c>
      <c r="AA311" s="39">
        <v>0</v>
      </c>
      <c r="AB311" s="39"/>
      <c r="AC311" s="39">
        <v>0</v>
      </c>
      <c r="AD311" s="39"/>
      <c r="AE311" s="39">
        <v>0</v>
      </c>
      <c r="AF311" s="39"/>
      <c r="AG311" s="39">
        <v>0</v>
      </c>
      <c r="AH311" s="39"/>
      <c r="AI311" s="41">
        <v>0</v>
      </c>
    </row>
    <row r="312" spans="1:35" x14ac:dyDescent="0.25">
      <c r="A312" s="34" t="s">
        <v>110</v>
      </c>
      <c r="B312" s="35" t="s">
        <v>805</v>
      </c>
      <c r="C312" s="35" t="s">
        <v>806</v>
      </c>
      <c r="D312" s="35">
        <v>27534</v>
      </c>
      <c r="E312" s="35" t="s">
        <v>807</v>
      </c>
      <c r="F312" s="35" t="s">
        <v>808</v>
      </c>
      <c r="G312" s="35" t="s">
        <v>115</v>
      </c>
      <c r="H312" s="35" t="s">
        <v>160</v>
      </c>
      <c r="I312" s="35" t="s">
        <v>117</v>
      </c>
      <c r="J312" s="35" t="s">
        <v>118</v>
      </c>
      <c r="K312" s="36">
        <v>46040</v>
      </c>
      <c r="L312" s="36">
        <v>46059</v>
      </c>
      <c r="M312" s="36">
        <v>46059</v>
      </c>
      <c r="N312" s="36"/>
      <c r="O312" s="36"/>
      <c r="P312" s="36"/>
      <c r="Q312" s="36">
        <v>46113</v>
      </c>
      <c r="R312" s="35" t="s">
        <v>142</v>
      </c>
      <c r="S312" s="35" t="s">
        <v>803</v>
      </c>
      <c r="T312" s="35" t="s">
        <v>804</v>
      </c>
      <c r="U312" s="35" t="s">
        <v>87</v>
      </c>
      <c r="V312" s="35" t="s">
        <v>509</v>
      </c>
      <c r="W312" s="35" t="s">
        <v>123</v>
      </c>
      <c r="X312" s="35">
        <v>716.37</v>
      </c>
      <c r="Y312" s="35">
        <v>179.1</v>
      </c>
      <c r="Z312" s="35">
        <v>179.1</v>
      </c>
      <c r="AA312" s="35">
        <v>0</v>
      </c>
      <c r="AB312" s="35"/>
      <c r="AC312" s="35">
        <v>0</v>
      </c>
      <c r="AD312" s="35"/>
      <c r="AE312" s="35">
        <v>0</v>
      </c>
      <c r="AF312" s="35"/>
      <c r="AG312" s="35">
        <v>0</v>
      </c>
      <c r="AH312" s="35"/>
      <c r="AI312" s="37">
        <v>0</v>
      </c>
    </row>
    <row r="313" spans="1:35" x14ac:dyDescent="0.25">
      <c r="A313" s="38" t="s">
        <v>110</v>
      </c>
      <c r="B313" s="39" t="s">
        <v>906</v>
      </c>
      <c r="C313" s="39" t="s">
        <v>907</v>
      </c>
      <c r="D313" s="39">
        <v>15469</v>
      </c>
      <c r="E313" s="39" t="s">
        <v>908</v>
      </c>
      <c r="F313" s="39" t="s">
        <v>909</v>
      </c>
      <c r="G313" s="39" t="s">
        <v>115</v>
      </c>
      <c r="H313" s="39" t="s">
        <v>116</v>
      </c>
      <c r="I313" s="39" t="s">
        <v>117</v>
      </c>
      <c r="J313" s="39" t="s">
        <v>118</v>
      </c>
      <c r="K313" s="40">
        <v>46040</v>
      </c>
      <c r="L313" s="40">
        <v>46054</v>
      </c>
      <c r="M313" s="40">
        <v>46054</v>
      </c>
      <c r="N313" s="40"/>
      <c r="O313" s="40"/>
      <c r="P313" s="40"/>
      <c r="Q313" s="40"/>
      <c r="R313" s="39" t="s">
        <v>119</v>
      </c>
      <c r="S313" s="39" t="s">
        <v>598</v>
      </c>
      <c r="T313" s="39" t="s">
        <v>129</v>
      </c>
      <c r="U313" s="35" t="s">
        <v>90</v>
      </c>
      <c r="V313" s="39" t="s">
        <v>509</v>
      </c>
      <c r="W313" s="39" t="s">
        <v>123</v>
      </c>
      <c r="X313" s="39">
        <v>237.37</v>
      </c>
      <c r="Y313" s="39">
        <v>18.989999999999998</v>
      </c>
      <c r="Z313" s="39">
        <v>18.989999999999998</v>
      </c>
      <c r="AA313" s="39">
        <v>0</v>
      </c>
      <c r="AB313" s="39"/>
      <c r="AC313" s="39">
        <v>0</v>
      </c>
      <c r="AD313" s="39"/>
      <c r="AE313" s="39">
        <v>0</v>
      </c>
      <c r="AF313" s="39"/>
      <c r="AG313" s="39">
        <v>0</v>
      </c>
      <c r="AH313" s="39"/>
      <c r="AI313" s="41">
        <v>0</v>
      </c>
    </row>
    <row r="314" spans="1:35" x14ac:dyDescent="0.25">
      <c r="A314" s="34" t="s">
        <v>110</v>
      </c>
      <c r="B314" s="35" t="s">
        <v>910</v>
      </c>
      <c r="C314" s="35" t="s">
        <v>911</v>
      </c>
      <c r="D314" s="35">
        <v>17864</v>
      </c>
      <c r="E314" s="35" t="s">
        <v>912</v>
      </c>
      <c r="F314" s="35" t="s">
        <v>913</v>
      </c>
      <c r="G314" s="35" t="s">
        <v>115</v>
      </c>
      <c r="H314" s="35" t="s">
        <v>116</v>
      </c>
      <c r="I314" s="35" t="s">
        <v>117</v>
      </c>
      <c r="J314" s="35" t="s">
        <v>118</v>
      </c>
      <c r="K314" s="36">
        <v>46040</v>
      </c>
      <c r="L314" s="36">
        <v>46054</v>
      </c>
      <c r="M314" s="36">
        <v>46054</v>
      </c>
      <c r="N314" s="36"/>
      <c r="O314" s="36"/>
      <c r="P314" s="36"/>
      <c r="Q314" s="36"/>
      <c r="R314" s="35" t="s">
        <v>119</v>
      </c>
      <c r="S314" s="35" t="s">
        <v>598</v>
      </c>
      <c r="T314" s="35" t="s">
        <v>129</v>
      </c>
      <c r="U314" s="35" t="s">
        <v>90</v>
      </c>
      <c r="V314" s="35" t="s">
        <v>509</v>
      </c>
      <c r="W314" s="35" t="s">
        <v>123</v>
      </c>
      <c r="X314" s="35">
        <v>212.37</v>
      </c>
      <c r="Y314" s="35">
        <v>16.989999999999998</v>
      </c>
      <c r="Z314" s="35">
        <v>16.989999999999998</v>
      </c>
      <c r="AA314" s="35">
        <v>0</v>
      </c>
      <c r="AB314" s="35"/>
      <c r="AC314" s="35">
        <v>0</v>
      </c>
      <c r="AD314" s="35"/>
      <c r="AE314" s="35">
        <v>0</v>
      </c>
      <c r="AF314" s="35"/>
      <c r="AG314" s="35">
        <v>0</v>
      </c>
      <c r="AH314" s="35"/>
      <c r="AI314" s="37">
        <v>0</v>
      </c>
    </row>
    <row r="315" spans="1:35" x14ac:dyDescent="0.25">
      <c r="A315" s="38" t="s">
        <v>110</v>
      </c>
      <c r="B315" s="39" t="s">
        <v>914</v>
      </c>
      <c r="C315" s="39" t="s">
        <v>915</v>
      </c>
      <c r="D315" s="39">
        <v>27416</v>
      </c>
      <c r="E315" s="39" t="s">
        <v>916</v>
      </c>
      <c r="F315" s="39" t="s">
        <v>917</v>
      </c>
      <c r="G315" s="39" t="s">
        <v>115</v>
      </c>
      <c r="H315" s="39" t="s">
        <v>116</v>
      </c>
      <c r="I315" s="39" t="s">
        <v>117</v>
      </c>
      <c r="J315" s="39" t="s">
        <v>118</v>
      </c>
      <c r="K315" s="40">
        <v>46040</v>
      </c>
      <c r="L315" s="40">
        <v>46054</v>
      </c>
      <c r="M315" s="40">
        <v>46054</v>
      </c>
      <c r="N315" s="40"/>
      <c r="O315" s="40"/>
      <c r="P315" s="40"/>
      <c r="Q315" s="40"/>
      <c r="R315" s="39" t="s">
        <v>119</v>
      </c>
      <c r="S315" s="39" t="s">
        <v>598</v>
      </c>
      <c r="T315" s="39" t="s">
        <v>129</v>
      </c>
      <c r="U315" s="35" t="s">
        <v>90</v>
      </c>
      <c r="V315" s="39" t="s">
        <v>509</v>
      </c>
      <c r="W315" s="39" t="s">
        <v>123</v>
      </c>
      <c r="X315" s="39">
        <v>388.36</v>
      </c>
      <c r="Y315" s="39">
        <v>0</v>
      </c>
      <c r="Z315" s="39">
        <v>0</v>
      </c>
      <c r="AA315" s="39">
        <v>0</v>
      </c>
      <c r="AB315" s="39"/>
      <c r="AC315" s="39">
        <v>0</v>
      </c>
      <c r="AD315" s="39"/>
      <c r="AE315" s="39">
        <v>0</v>
      </c>
      <c r="AF315" s="39"/>
      <c r="AG315" s="39">
        <v>0</v>
      </c>
      <c r="AH315" s="39"/>
      <c r="AI315" s="41">
        <v>0</v>
      </c>
    </row>
    <row r="316" spans="1:35" x14ac:dyDescent="0.25">
      <c r="A316" s="34" t="s">
        <v>110</v>
      </c>
      <c r="B316" s="35" t="s">
        <v>924</v>
      </c>
      <c r="C316" s="35" t="s">
        <v>925</v>
      </c>
      <c r="D316" s="35">
        <v>14461</v>
      </c>
      <c r="E316" s="35" t="s">
        <v>926</v>
      </c>
      <c r="F316" s="35" t="s">
        <v>927</v>
      </c>
      <c r="G316" s="35" t="s">
        <v>115</v>
      </c>
      <c r="H316" s="35" t="s">
        <v>160</v>
      </c>
      <c r="I316" s="35" t="s">
        <v>117</v>
      </c>
      <c r="J316" s="35" t="s">
        <v>118</v>
      </c>
      <c r="K316" s="36">
        <v>46040</v>
      </c>
      <c r="L316" s="36">
        <v>46066</v>
      </c>
      <c r="M316" s="36">
        <v>46066</v>
      </c>
      <c r="N316" s="36"/>
      <c r="O316" s="36"/>
      <c r="P316" s="36"/>
      <c r="Q316" s="36">
        <v>46113</v>
      </c>
      <c r="R316" s="35" t="s">
        <v>142</v>
      </c>
      <c r="S316" s="35" t="s">
        <v>928</v>
      </c>
      <c r="T316" s="35" t="s">
        <v>144</v>
      </c>
      <c r="U316" s="35" t="s">
        <v>87</v>
      </c>
      <c r="V316" s="35" t="s">
        <v>509</v>
      </c>
      <c r="W316" s="35" t="s">
        <v>123</v>
      </c>
      <c r="X316" s="35">
        <v>434.95</v>
      </c>
      <c r="Y316" s="35">
        <v>97.87</v>
      </c>
      <c r="Z316" s="35">
        <v>97.87</v>
      </c>
      <c r="AA316" s="35">
        <v>0</v>
      </c>
      <c r="AB316" s="35"/>
      <c r="AC316" s="35">
        <v>0</v>
      </c>
      <c r="AD316" s="35"/>
      <c r="AE316" s="35">
        <v>0</v>
      </c>
      <c r="AF316" s="35"/>
      <c r="AG316" s="35">
        <v>0</v>
      </c>
      <c r="AH316" s="35"/>
      <c r="AI316" s="37">
        <v>0</v>
      </c>
    </row>
    <row r="317" spans="1:35" x14ac:dyDescent="0.25">
      <c r="A317" s="38" t="s">
        <v>110</v>
      </c>
      <c r="B317" s="39" t="s">
        <v>1720</v>
      </c>
      <c r="C317" s="39" t="s">
        <v>1721</v>
      </c>
      <c r="D317" s="39">
        <v>16877</v>
      </c>
      <c r="E317" s="39" t="s">
        <v>1722</v>
      </c>
      <c r="F317" s="39" t="s">
        <v>1723</v>
      </c>
      <c r="G317" s="39" t="s">
        <v>115</v>
      </c>
      <c r="H317" s="39" t="s">
        <v>160</v>
      </c>
      <c r="I317" s="39" t="s">
        <v>117</v>
      </c>
      <c r="J317" s="39" t="s">
        <v>141</v>
      </c>
      <c r="K317" s="40">
        <v>46040</v>
      </c>
      <c r="L317" s="40">
        <v>46054</v>
      </c>
      <c r="M317" s="40"/>
      <c r="N317" s="40"/>
      <c r="O317" s="40"/>
      <c r="P317" s="40"/>
      <c r="Q317" s="40"/>
      <c r="R317" s="39" t="s">
        <v>142</v>
      </c>
      <c r="S317" s="39" t="s">
        <v>928</v>
      </c>
      <c r="T317" s="39" t="s">
        <v>144</v>
      </c>
      <c r="U317" s="35" t="s">
        <v>87</v>
      </c>
      <c r="V317" s="39" t="s">
        <v>509</v>
      </c>
      <c r="W317" s="39" t="s">
        <v>123</v>
      </c>
      <c r="X317" s="39">
        <v>3141.13</v>
      </c>
      <c r="Y317" s="39">
        <v>706.76</v>
      </c>
      <c r="Z317" s="39">
        <v>706.76</v>
      </c>
      <c r="AA317" s="39">
        <v>0</v>
      </c>
      <c r="AB317" s="39"/>
      <c r="AC317" s="39">
        <v>0</v>
      </c>
      <c r="AD317" s="39"/>
      <c r="AE317" s="39">
        <v>0</v>
      </c>
      <c r="AF317" s="39"/>
      <c r="AG317" s="39">
        <v>0</v>
      </c>
      <c r="AH317" s="39"/>
      <c r="AI317" s="41">
        <v>0</v>
      </c>
    </row>
    <row r="318" spans="1:35" x14ac:dyDescent="0.25">
      <c r="A318" s="34" t="s">
        <v>110</v>
      </c>
      <c r="B318" s="35" t="s">
        <v>929</v>
      </c>
      <c r="C318" s="35" t="s">
        <v>930</v>
      </c>
      <c r="D318" s="35">
        <v>7038</v>
      </c>
      <c r="E318" s="35" t="s">
        <v>931</v>
      </c>
      <c r="F318" s="35" t="s">
        <v>932</v>
      </c>
      <c r="G318" s="35" t="s">
        <v>115</v>
      </c>
      <c r="H318" s="35" t="s">
        <v>160</v>
      </c>
      <c r="I318" s="35" t="s">
        <v>117</v>
      </c>
      <c r="J318" s="35" t="s">
        <v>118</v>
      </c>
      <c r="K318" s="36">
        <v>46040</v>
      </c>
      <c r="L318" s="36">
        <v>46063</v>
      </c>
      <c r="M318" s="36">
        <v>46063</v>
      </c>
      <c r="N318" s="36"/>
      <c r="O318" s="36"/>
      <c r="P318" s="36"/>
      <c r="Q318" s="36">
        <v>46113</v>
      </c>
      <c r="R318" s="35" t="s">
        <v>187</v>
      </c>
      <c r="S318" s="35" t="s">
        <v>933</v>
      </c>
      <c r="T318" s="35" t="s">
        <v>162</v>
      </c>
      <c r="U318" s="35" t="s">
        <v>87</v>
      </c>
      <c r="V318" s="35" t="s">
        <v>509</v>
      </c>
      <c r="W318" s="35" t="s">
        <v>123</v>
      </c>
      <c r="X318" s="35">
        <v>1415.95</v>
      </c>
      <c r="Y318" s="35">
        <v>283.19</v>
      </c>
      <c r="Z318" s="35">
        <v>283.19</v>
      </c>
      <c r="AA318" s="35">
        <v>0</v>
      </c>
      <c r="AB318" s="35"/>
      <c r="AC318" s="35">
        <v>0</v>
      </c>
      <c r="AD318" s="35"/>
      <c r="AE318" s="35">
        <v>0</v>
      </c>
      <c r="AF318" s="35"/>
      <c r="AG318" s="35">
        <v>0</v>
      </c>
      <c r="AH318" s="35"/>
      <c r="AI318" s="37">
        <v>0</v>
      </c>
    </row>
    <row r="319" spans="1:35" x14ac:dyDescent="0.25">
      <c r="A319" s="38" t="s">
        <v>110</v>
      </c>
      <c r="B319" s="39" t="s">
        <v>934</v>
      </c>
      <c r="C319" s="39" t="s">
        <v>935</v>
      </c>
      <c r="D319" s="39">
        <v>14541</v>
      </c>
      <c r="E319" s="39" t="s">
        <v>936</v>
      </c>
      <c r="F319" s="39" t="s">
        <v>937</v>
      </c>
      <c r="G319" s="39" t="s">
        <v>115</v>
      </c>
      <c r="H319" s="39" t="s">
        <v>160</v>
      </c>
      <c r="I319" s="39" t="s">
        <v>117</v>
      </c>
      <c r="J319" s="39" t="s">
        <v>118</v>
      </c>
      <c r="K319" s="40">
        <v>46040</v>
      </c>
      <c r="L319" s="40">
        <v>46054</v>
      </c>
      <c r="M319" s="40">
        <v>46055</v>
      </c>
      <c r="N319" s="40"/>
      <c r="O319" s="40"/>
      <c r="P319" s="40"/>
      <c r="Q319" s="40">
        <v>46113</v>
      </c>
      <c r="R319" s="39" t="s">
        <v>142</v>
      </c>
      <c r="S319" s="39" t="s">
        <v>933</v>
      </c>
      <c r="T319" s="39" t="s">
        <v>162</v>
      </c>
      <c r="U319" s="35" t="s">
        <v>87</v>
      </c>
      <c r="V319" s="39" t="s">
        <v>509</v>
      </c>
      <c r="W319" s="39" t="s">
        <v>123</v>
      </c>
      <c r="X319" s="39">
        <v>4203.3999999999996</v>
      </c>
      <c r="Y319" s="39">
        <v>840.67</v>
      </c>
      <c r="Z319" s="39">
        <v>840.67</v>
      </c>
      <c r="AA319" s="39">
        <v>0</v>
      </c>
      <c r="AB319" s="39"/>
      <c r="AC319" s="39">
        <v>0</v>
      </c>
      <c r="AD319" s="39"/>
      <c r="AE319" s="39">
        <v>0</v>
      </c>
      <c r="AF319" s="39"/>
      <c r="AG319" s="39">
        <v>0</v>
      </c>
      <c r="AH319" s="39"/>
      <c r="AI319" s="41">
        <v>0</v>
      </c>
    </row>
    <row r="320" spans="1:35" x14ac:dyDescent="0.25">
      <c r="A320" s="34" t="s">
        <v>110</v>
      </c>
      <c r="B320" s="35" t="s">
        <v>1776</v>
      </c>
      <c r="C320" s="35" t="s">
        <v>1777</v>
      </c>
      <c r="D320" s="35">
        <v>2504</v>
      </c>
      <c r="E320" s="35" t="s">
        <v>1778</v>
      </c>
      <c r="F320" s="35" t="s">
        <v>1779</v>
      </c>
      <c r="G320" s="35" t="s">
        <v>115</v>
      </c>
      <c r="H320" s="35" t="s">
        <v>160</v>
      </c>
      <c r="I320" s="35" t="s">
        <v>117</v>
      </c>
      <c r="J320" s="35" t="s">
        <v>141</v>
      </c>
      <c r="K320" s="36">
        <v>46040</v>
      </c>
      <c r="L320" s="36">
        <v>46060</v>
      </c>
      <c r="M320" s="36"/>
      <c r="N320" s="36"/>
      <c r="O320" s="36"/>
      <c r="P320" s="36"/>
      <c r="Q320" s="36"/>
      <c r="R320" s="35" t="s">
        <v>142</v>
      </c>
      <c r="S320" s="35" t="s">
        <v>519</v>
      </c>
      <c r="T320" s="35" t="s">
        <v>519</v>
      </c>
      <c r="U320" s="35" t="s">
        <v>86</v>
      </c>
      <c r="V320" s="35" t="s">
        <v>509</v>
      </c>
      <c r="W320" s="35" t="s">
        <v>123</v>
      </c>
      <c r="X320" s="35">
        <v>347.4</v>
      </c>
      <c r="Y320" s="35">
        <v>52.11</v>
      </c>
      <c r="Z320" s="35">
        <v>52.11</v>
      </c>
      <c r="AA320" s="35">
        <v>0</v>
      </c>
      <c r="AB320" s="35"/>
      <c r="AC320" s="35">
        <v>0</v>
      </c>
      <c r="AD320" s="35"/>
      <c r="AE320" s="35">
        <v>0</v>
      </c>
      <c r="AF320" s="35"/>
      <c r="AG320" s="35">
        <v>0</v>
      </c>
      <c r="AH320" s="35"/>
      <c r="AI320" s="37">
        <v>0</v>
      </c>
    </row>
    <row r="321" spans="1:35" x14ac:dyDescent="0.25">
      <c r="A321" s="38" t="s">
        <v>110</v>
      </c>
      <c r="B321" s="39" t="s">
        <v>1790</v>
      </c>
      <c r="C321" s="39" t="s">
        <v>1791</v>
      </c>
      <c r="D321" s="39">
        <v>8239</v>
      </c>
      <c r="E321" s="39" t="s">
        <v>1792</v>
      </c>
      <c r="F321" s="39" t="s">
        <v>1793</v>
      </c>
      <c r="G321" s="39" t="s">
        <v>115</v>
      </c>
      <c r="H321" s="39" t="s">
        <v>160</v>
      </c>
      <c r="I321" s="39" t="s">
        <v>117</v>
      </c>
      <c r="J321" s="39" t="s">
        <v>118</v>
      </c>
      <c r="K321" s="40">
        <v>46040</v>
      </c>
      <c r="L321" s="40">
        <v>46072</v>
      </c>
      <c r="M321" s="40">
        <v>46072</v>
      </c>
      <c r="N321" s="40"/>
      <c r="O321" s="40"/>
      <c r="P321" s="40"/>
      <c r="Q321" s="40">
        <v>46113</v>
      </c>
      <c r="R321" s="39" t="s">
        <v>142</v>
      </c>
      <c r="S321" s="39" t="s">
        <v>1794</v>
      </c>
      <c r="T321" s="39" t="s">
        <v>1631</v>
      </c>
      <c r="U321" s="35" t="s">
        <v>85</v>
      </c>
      <c r="V321" s="39" t="s">
        <v>509</v>
      </c>
      <c r="W321" s="39" t="s">
        <v>123</v>
      </c>
      <c r="X321" s="39">
        <v>308.08999999999997</v>
      </c>
      <c r="Y321" s="39">
        <v>46.21</v>
      </c>
      <c r="Z321" s="39">
        <v>46.21</v>
      </c>
      <c r="AA321" s="39">
        <v>0</v>
      </c>
      <c r="AB321" s="39"/>
      <c r="AC321" s="39">
        <v>0</v>
      </c>
      <c r="AD321" s="39"/>
      <c r="AE321" s="39">
        <v>0</v>
      </c>
      <c r="AF321" s="39"/>
      <c r="AG321" s="39">
        <v>0</v>
      </c>
      <c r="AH321" s="39"/>
      <c r="AI321" s="41">
        <v>0</v>
      </c>
    </row>
    <row r="322" spans="1:35" x14ac:dyDescent="0.25">
      <c r="A322" s="34" t="s">
        <v>110</v>
      </c>
      <c r="B322" s="35" t="s">
        <v>2377</v>
      </c>
      <c r="C322" s="35" t="s">
        <v>2378</v>
      </c>
      <c r="D322" s="35">
        <v>10811</v>
      </c>
      <c r="E322" s="35" t="s">
        <v>2379</v>
      </c>
      <c r="F322" s="35" t="s">
        <v>2380</v>
      </c>
      <c r="G322" s="35" t="s">
        <v>115</v>
      </c>
      <c r="H322" s="35" t="s">
        <v>160</v>
      </c>
      <c r="I322" s="35" t="s">
        <v>117</v>
      </c>
      <c r="J322" s="35" t="s">
        <v>2195</v>
      </c>
      <c r="K322" s="36">
        <v>46040</v>
      </c>
      <c r="L322" s="36">
        <v>46058</v>
      </c>
      <c r="M322" s="36"/>
      <c r="N322" s="36">
        <v>46082</v>
      </c>
      <c r="O322" s="36">
        <v>46051</v>
      </c>
      <c r="P322" s="36"/>
      <c r="Q322" s="36"/>
      <c r="R322" s="35" t="s">
        <v>175</v>
      </c>
      <c r="S322" s="35" t="s">
        <v>2381</v>
      </c>
      <c r="T322" s="35" t="s">
        <v>1631</v>
      </c>
      <c r="U322" s="35" t="s">
        <v>85</v>
      </c>
      <c r="V322" s="35" t="s">
        <v>509</v>
      </c>
      <c r="W322" s="35" t="s">
        <v>123</v>
      </c>
      <c r="X322" s="35">
        <v>139.08000000000001</v>
      </c>
      <c r="Y322" s="35">
        <v>20.86</v>
      </c>
      <c r="Z322" s="35">
        <v>20.86</v>
      </c>
      <c r="AA322" s="35">
        <v>0</v>
      </c>
      <c r="AB322" s="35"/>
      <c r="AC322" s="35">
        <v>0</v>
      </c>
      <c r="AD322" s="35"/>
      <c r="AE322" s="35">
        <v>0</v>
      </c>
      <c r="AF322" s="35"/>
      <c r="AG322" s="35">
        <v>0</v>
      </c>
      <c r="AH322" s="35"/>
      <c r="AI322" s="37">
        <v>0</v>
      </c>
    </row>
    <row r="323" spans="1:35" x14ac:dyDescent="0.25">
      <c r="A323" s="38" t="s">
        <v>110</v>
      </c>
      <c r="B323" s="39" t="s">
        <v>1785</v>
      </c>
      <c r="C323" s="39" t="s">
        <v>1786</v>
      </c>
      <c r="D323" s="39">
        <v>26133</v>
      </c>
      <c r="E323" s="39" t="s">
        <v>1787</v>
      </c>
      <c r="F323" s="39" t="s">
        <v>1788</v>
      </c>
      <c r="G323" s="39" t="s">
        <v>115</v>
      </c>
      <c r="H323" s="39" t="s">
        <v>160</v>
      </c>
      <c r="I323" s="39" t="s">
        <v>117</v>
      </c>
      <c r="J323" s="39" t="s">
        <v>118</v>
      </c>
      <c r="K323" s="40">
        <v>46040</v>
      </c>
      <c r="L323" s="40">
        <v>46081</v>
      </c>
      <c r="M323" s="40">
        <v>46081</v>
      </c>
      <c r="N323" s="40"/>
      <c r="O323" s="40"/>
      <c r="P323" s="40"/>
      <c r="Q323" s="40">
        <v>46113</v>
      </c>
      <c r="R323" s="39" t="s">
        <v>142</v>
      </c>
      <c r="S323" s="39" t="s">
        <v>1789</v>
      </c>
      <c r="T323" s="39" t="s">
        <v>1631</v>
      </c>
      <c r="U323" s="35" t="s">
        <v>85</v>
      </c>
      <c r="V323" s="39" t="s">
        <v>509</v>
      </c>
      <c r="W323" s="39" t="s">
        <v>123</v>
      </c>
      <c r="X323" s="39">
        <v>124.86</v>
      </c>
      <c r="Y323" s="39">
        <v>18.73</v>
      </c>
      <c r="Z323" s="39">
        <v>18.73</v>
      </c>
      <c r="AA323" s="39">
        <v>0</v>
      </c>
      <c r="AB323" s="39"/>
      <c r="AC323" s="39">
        <v>0</v>
      </c>
      <c r="AD323" s="39"/>
      <c r="AE323" s="39">
        <v>0</v>
      </c>
      <c r="AF323" s="39"/>
      <c r="AG323" s="39">
        <v>0</v>
      </c>
      <c r="AH323" s="39"/>
      <c r="AI323" s="41">
        <v>0</v>
      </c>
    </row>
    <row r="324" spans="1:35" x14ac:dyDescent="0.25">
      <c r="A324" s="34" t="s">
        <v>110</v>
      </c>
      <c r="B324" s="35" t="s">
        <v>929</v>
      </c>
      <c r="C324" s="35" t="s">
        <v>975</v>
      </c>
      <c r="D324" s="35">
        <v>7830</v>
      </c>
      <c r="E324" s="35" t="s">
        <v>976</v>
      </c>
      <c r="F324" s="35" t="s">
        <v>977</v>
      </c>
      <c r="G324" s="35" t="s">
        <v>115</v>
      </c>
      <c r="H324" s="35" t="s">
        <v>160</v>
      </c>
      <c r="I324" s="35" t="s">
        <v>117</v>
      </c>
      <c r="J324" s="35" t="s">
        <v>118</v>
      </c>
      <c r="K324" s="36">
        <v>46040</v>
      </c>
      <c r="L324" s="36">
        <v>46054</v>
      </c>
      <c r="M324" s="36">
        <v>46055</v>
      </c>
      <c r="N324" s="36"/>
      <c r="O324" s="36"/>
      <c r="P324" s="36"/>
      <c r="Q324" s="36">
        <v>46113</v>
      </c>
      <c r="R324" s="35" t="s">
        <v>187</v>
      </c>
      <c r="S324" s="35" t="s">
        <v>978</v>
      </c>
      <c r="T324" s="35" t="s">
        <v>220</v>
      </c>
      <c r="U324" s="35" t="s">
        <v>91</v>
      </c>
      <c r="V324" s="35" t="s">
        <v>509</v>
      </c>
      <c r="W324" s="35" t="s">
        <v>123</v>
      </c>
      <c r="X324" s="35">
        <v>472.51</v>
      </c>
      <c r="Y324" s="35">
        <v>94.5</v>
      </c>
      <c r="Z324" s="35">
        <v>94.5</v>
      </c>
      <c r="AA324" s="35">
        <v>0</v>
      </c>
      <c r="AB324" s="35"/>
      <c r="AC324" s="35">
        <v>0</v>
      </c>
      <c r="AD324" s="35"/>
      <c r="AE324" s="35">
        <v>0</v>
      </c>
      <c r="AF324" s="35"/>
      <c r="AG324" s="35">
        <v>0</v>
      </c>
      <c r="AH324" s="35"/>
      <c r="AI324" s="37">
        <v>0</v>
      </c>
    </row>
    <row r="325" spans="1:35" x14ac:dyDescent="0.25">
      <c r="A325" s="38" t="s">
        <v>110</v>
      </c>
      <c r="B325" s="39" t="s">
        <v>979</v>
      </c>
      <c r="C325" s="39" t="s">
        <v>980</v>
      </c>
      <c r="D325" s="39">
        <v>19053</v>
      </c>
      <c r="E325" s="39" t="s">
        <v>981</v>
      </c>
      <c r="F325" s="39" t="s">
        <v>982</v>
      </c>
      <c r="G325" s="39" t="s">
        <v>115</v>
      </c>
      <c r="H325" s="39" t="s">
        <v>160</v>
      </c>
      <c r="I325" s="39" t="s">
        <v>117</v>
      </c>
      <c r="J325" s="39" t="s">
        <v>118</v>
      </c>
      <c r="K325" s="40">
        <v>46040</v>
      </c>
      <c r="L325" s="40">
        <v>46081</v>
      </c>
      <c r="M325" s="40">
        <v>46055</v>
      </c>
      <c r="N325" s="40"/>
      <c r="O325" s="40"/>
      <c r="P325" s="40"/>
      <c r="Q325" s="40">
        <v>46113</v>
      </c>
      <c r="R325" s="39" t="s">
        <v>142</v>
      </c>
      <c r="S325" s="39" t="s">
        <v>978</v>
      </c>
      <c r="T325" s="39" t="s">
        <v>220</v>
      </c>
      <c r="U325" s="35" t="s">
        <v>91</v>
      </c>
      <c r="V325" s="39" t="s">
        <v>509</v>
      </c>
      <c r="W325" s="39" t="s">
        <v>123</v>
      </c>
      <c r="X325" s="39">
        <v>1540.01</v>
      </c>
      <c r="Y325" s="39">
        <v>308</v>
      </c>
      <c r="Z325" s="39">
        <v>308</v>
      </c>
      <c r="AA325" s="39">
        <v>0</v>
      </c>
      <c r="AB325" s="39"/>
      <c r="AC325" s="39">
        <v>0</v>
      </c>
      <c r="AD325" s="39"/>
      <c r="AE325" s="39">
        <v>0</v>
      </c>
      <c r="AF325" s="39"/>
      <c r="AG325" s="39">
        <v>0</v>
      </c>
      <c r="AH325" s="39"/>
      <c r="AI325" s="41">
        <v>0</v>
      </c>
    </row>
    <row r="326" spans="1:35" x14ac:dyDescent="0.25">
      <c r="A326" s="34" t="s">
        <v>110</v>
      </c>
      <c r="B326" s="35" t="s">
        <v>2373</v>
      </c>
      <c r="C326" s="35" t="s">
        <v>2374</v>
      </c>
      <c r="D326" s="35">
        <v>19028</v>
      </c>
      <c r="E326" s="35" t="s">
        <v>2375</v>
      </c>
      <c r="F326" s="35" t="s">
        <v>2376</v>
      </c>
      <c r="G326" s="35" t="s">
        <v>115</v>
      </c>
      <c r="H326" s="35" t="s">
        <v>160</v>
      </c>
      <c r="I326" s="35" t="s">
        <v>117</v>
      </c>
      <c r="J326" s="35" t="s">
        <v>2195</v>
      </c>
      <c r="K326" s="36">
        <v>46040</v>
      </c>
      <c r="L326" s="36">
        <v>46073</v>
      </c>
      <c r="M326" s="36"/>
      <c r="N326" s="36">
        <v>46082</v>
      </c>
      <c r="O326" s="36">
        <v>46054</v>
      </c>
      <c r="P326" s="36">
        <v>46082</v>
      </c>
      <c r="Q326" s="36"/>
      <c r="R326" s="35" t="s">
        <v>142</v>
      </c>
      <c r="S326" s="35" t="s">
        <v>743</v>
      </c>
      <c r="T326" s="35" t="s">
        <v>744</v>
      </c>
      <c r="U326" s="35" t="s">
        <v>88</v>
      </c>
      <c r="V326" s="35" t="s">
        <v>509</v>
      </c>
      <c r="W326" s="35" t="s">
        <v>123</v>
      </c>
      <c r="X326" s="35">
        <v>1056.8599999999999</v>
      </c>
      <c r="Y326" s="35">
        <v>211.37</v>
      </c>
      <c r="Z326" s="35">
        <v>211.37</v>
      </c>
      <c r="AA326" s="35">
        <v>0</v>
      </c>
      <c r="AB326" s="35"/>
      <c r="AC326" s="35">
        <v>0</v>
      </c>
      <c r="AD326" s="35" t="s">
        <v>308</v>
      </c>
      <c r="AE326" s="35">
        <v>105.69</v>
      </c>
      <c r="AF326" s="35"/>
      <c r="AG326" s="35">
        <v>0</v>
      </c>
      <c r="AH326" s="35"/>
      <c r="AI326" s="37">
        <v>0</v>
      </c>
    </row>
    <row r="327" spans="1:35" x14ac:dyDescent="0.25">
      <c r="A327" s="38" t="s">
        <v>110</v>
      </c>
      <c r="B327" s="39" t="s">
        <v>544</v>
      </c>
      <c r="C327" s="39" t="s">
        <v>745</v>
      </c>
      <c r="D327" s="39">
        <v>22583</v>
      </c>
      <c r="E327" s="39" t="s">
        <v>746</v>
      </c>
      <c r="F327" s="39" t="s">
        <v>747</v>
      </c>
      <c r="G327" s="39" t="s">
        <v>115</v>
      </c>
      <c r="H327" s="39" t="s">
        <v>160</v>
      </c>
      <c r="I327" s="39" t="s">
        <v>117</v>
      </c>
      <c r="J327" s="39" t="s">
        <v>118</v>
      </c>
      <c r="K327" s="40">
        <v>46040</v>
      </c>
      <c r="L327" s="40">
        <v>46067</v>
      </c>
      <c r="M327" s="40">
        <v>46056</v>
      </c>
      <c r="N327" s="40"/>
      <c r="O327" s="40"/>
      <c r="P327" s="40"/>
      <c r="Q327" s="40">
        <v>46082</v>
      </c>
      <c r="R327" s="39" t="s">
        <v>142</v>
      </c>
      <c r="S327" s="39" t="s">
        <v>748</v>
      </c>
      <c r="T327" s="39" t="s">
        <v>749</v>
      </c>
      <c r="U327" s="35" t="s">
        <v>88</v>
      </c>
      <c r="V327" s="39" t="s">
        <v>509</v>
      </c>
      <c r="W327" s="39" t="s">
        <v>123</v>
      </c>
      <c r="X327" s="39">
        <v>232.36</v>
      </c>
      <c r="Y327" s="39">
        <v>23.24</v>
      </c>
      <c r="Z327" s="39">
        <v>23.24</v>
      </c>
      <c r="AA327" s="39">
        <v>0</v>
      </c>
      <c r="AB327" s="39"/>
      <c r="AC327" s="39">
        <v>0</v>
      </c>
      <c r="AD327" s="39"/>
      <c r="AE327" s="39">
        <v>0</v>
      </c>
      <c r="AF327" s="39"/>
      <c r="AG327" s="39">
        <v>0</v>
      </c>
      <c r="AH327" s="39"/>
      <c r="AI327" s="41">
        <v>0</v>
      </c>
    </row>
    <row r="328" spans="1:35" x14ac:dyDescent="0.25">
      <c r="A328" s="34" t="s">
        <v>110</v>
      </c>
      <c r="B328" s="35" t="s">
        <v>993</v>
      </c>
      <c r="C328" s="35" t="s">
        <v>994</v>
      </c>
      <c r="D328" s="35">
        <v>26093</v>
      </c>
      <c r="E328" s="35" t="s">
        <v>995</v>
      </c>
      <c r="F328" s="35" t="s">
        <v>996</v>
      </c>
      <c r="G328" s="35" t="s">
        <v>115</v>
      </c>
      <c r="H328" s="35" t="s">
        <v>160</v>
      </c>
      <c r="I328" s="35" t="s">
        <v>117</v>
      </c>
      <c r="J328" s="35" t="s">
        <v>118</v>
      </c>
      <c r="K328" s="36">
        <v>46040</v>
      </c>
      <c r="L328" s="36">
        <v>46070</v>
      </c>
      <c r="M328" s="36">
        <v>46056</v>
      </c>
      <c r="N328" s="36"/>
      <c r="O328" s="36"/>
      <c r="P328" s="36"/>
      <c r="Q328" s="36">
        <v>46113</v>
      </c>
      <c r="R328" s="35" t="s">
        <v>142</v>
      </c>
      <c r="S328" s="35" t="s">
        <v>997</v>
      </c>
      <c r="T328" s="35" t="s">
        <v>998</v>
      </c>
      <c r="U328" s="35" t="s">
        <v>91</v>
      </c>
      <c r="V328" s="35" t="s">
        <v>509</v>
      </c>
      <c r="W328" s="35" t="s">
        <v>123</v>
      </c>
      <c r="X328" s="35">
        <v>278.49</v>
      </c>
      <c r="Y328" s="35">
        <v>22.28</v>
      </c>
      <c r="Z328" s="35">
        <v>22.28</v>
      </c>
      <c r="AA328" s="35">
        <v>0</v>
      </c>
      <c r="AB328" s="35"/>
      <c r="AC328" s="35">
        <v>0</v>
      </c>
      <c r="AD328" s="35"/>
      <c r="AE328" s="35">
        <v>0</v>
      </c>
      <c r="AF328" s="35"/>
      <c r="AG328" s="35">
        <v>0</v>
      </c>
      <c r="AH328" s="35"/>
      <c r="AI328" s="37">
        <v>0</v>
      </c>
    </row>
    <row r="329" spans="1:35" x14ac:dyDescent="0.25">
      <c r="A329" s="38" t="s">
        <v>110</v>
      </c>
      <c r="B329" s="39" t="s">
        <v>993</v>
      </c>
      <c r="C329" s="39" t="s">
        <v>999</v>
      </c>
      <c r="D329" s="39">
        <v>27773</v>
      </c>
      <c r="E329" s="39" t="s">
        <v>1000</v>
      </c>
      <c r="F329" s="39" t="s">
        <v>1001</v>
      </c>
      <c r="G329" s="39" t="s">
        <v>115</v>
      </c>
      <c r="H329" s="39" t="s">
        <v>160</v>
      </c>
      <c r="I329" s="39" t="s">
        <v>117</v>
      </c>
      <c r="J329" s="39" t="s">
        <v>118</v>
      </c>
      <c r="K329" s="40">
        <v>46040</v>
      </c>
      <c r="L329" s="40">
        <v>46061</v>
      </c>
      <c r="M329" s="40">
        <v>46056</v>
      </c>
      <c r="N329" s="40"/>
      <c r="O329" s="40"/>
      <c r="P329" s="40"/>
      <c r="Q329" s="40">
        <v>46113</v>
      </c>
      <c r="R329" s="39" t="s">
        <v>187</v>
      </c>
      <c r="S329" s="39" t="s">
        <v>973</v>
      </c>
      <c r="T329" s="39" t="s">
        <v>974</v>
      </c>
      <c r="U329" s="35" t="s">
        <v>91</v>
      </c>
      <c r="V329" s="39" t="s">
        <v>509</v>
      </c>
      <c r="W329" s="39" t="s">
        <v>123</v>
      </c>
      <c r="X329" s="39">
        <v>226.5</v>
      </c>
      <c r="Y329" s="39">
        <v>18.12</v>
      </c>
      <c r="Z329" s="39">
        <v>18.12</v>
      </c>
      <c r="AA329" s="39">
        <v>0</v>
      </c>
      <c r="AB329" s="39"/>
      <c r="AC329" s="39">
        <v>0</v>
      </c>
      <c r="AD329" s="39"/>
      <c r="AE329" s="39">
        <v>0</v>
      </c>
      <c r="AF329" s="39"/>
      <c r="AG329" s="39">
        <v>0</v>
      </c>
      <c r="AH329" s="39"/>
      <c r="AI329" s="41">
        <v>0</v>
      </c>
    </row>
    <row r="330" spans="1:35" x14ac:dyDescent="0.25">
      <c r="A330" s="34" t="s">
        <v>110</v>
      </c>
      <c r="B330" s="35" t="s">
        <v>993</v>
      </c>
      <c r="C330" s="35" t="s">
        <v>1002</v>
      </c>
      <c r="D330" s="35">
        <v>27788</v>
      </c>
      <c r="E330" s="35" t="s">
        <v>1003</v>
      </c>
      <c r="F330" s="35" t="s">
        <v>1004</v>
      </c>
      <c r="G330" s="35" t="s">
        <v>115</v>
      </c>
      <c r="H330" s="35" t="s">
        <v>160</v>
      </c>
      <c r="I330" s="35" t="s">
        <v>117</v>
      </c>
      <c r="J330" s="35" t="s">
        <v>118</v>
      </c>
      <c r="K330" s="36">
        <v>46040</v>
      </c>
      <c r="L330" s="36">
        <v>46061</v>
      </c>
      <c r="M330" s="36">
        <v>46056</v>
      </c>
      <c r="N330" s="36"/>
      <c r="O330" s="36"/>
      <c r="P330" s="36"/>
      <c r="Q330" s="36">
        <v>46113</v>
      </c>
      <c r="R330" s="35" t="s">
        <v>187</v>
      </c>
      <c r="S330" s="35" t="s">
        <v>997</v>
      </c>
      <c r="T330" s="35" t="s">
        <v>998</v>
      </c>
      <c r="U330" s="35" t="s">
        <v>91</v>
      </c>
      <c r="V330" s="35" t="s">
        <v>509</v>
      </c>
      <c r="W330" s="35" t="s">
        <v>123</v>
      </c>
      <c r="X330" s="35">
        <v>226.5</v>
      </c>
      <c r="Y330" s="35">
        <v>18.12</v>
      </c>
      <c r="Z330" s="35">
        <v>18.12</v>
      </c>
      <c r="AA330" s="35">
        <v>0</v>
      </c>
      <c r="AB330" s="35"/>
      <c r="AC330" s="35">
        <v>0</v>
      </c>
      <c r="AD330" s="35"/>
      <c r="AE330" s="35">
        <v>0</v>
      </c>
      <c r="AF330" s="35"/>
      <c r="AG330" s="35">
        <v>0</v>
      </c>
      <c r="AH330" s="35"/>
      <c r="AI330" s="37">
        <v>0</v>
      </c>
    </row>
    <row r="331" spans="1:35" x14ac:dyDescent="0.25">
      <c r="A331" s="38" t="s">
        <v>110</v>
      </c>
      <c r="B331" s="39" t="s">
        <v>983</v>
      </c>
      <c r="C331" s="39" t="s">
        <v>984</v>
      </c>
      <c r="D331" s="39">
        <v>22922</v>
      </c>
      <c r="E331" s="39" t="s">
        <v>985</v>
      </c>
      <c r="F331" s="39" t="s">
        <v>986</v>
      </c>
      <c r="G331" s="39" t="s">
        <v>192</v>
      </c>
      <c r="H331" s="39" t="s">
        <v>160</v>
      </c>
      <c r="I331" s="39" t="s">
        <v>117</v>
      </c>
      <c r="J331" s="39" t="s">
        <v>118</v>
      </c>
      <c r="K331" s="40">
        <v>46040</v>
      </c>
      <c r="L331" s="40">
        <v>45962</v>
      </c>
      <c r="M331" s="40">
        <v>46055</v>
      </c>
      <c r="N331" s="40"/>
      <c r="O331" s="40"/>
      <c r="P331" s="40"/>
      <c r="Q331" s="40">
        <v>46082</v>
      </c>
      <c r="R331" s="39" t="s">
        <v>142</v>
      </c>
      <c r="S331" s="39" t="s">
        <v>987</v>
      </c>
      <c r="T331" s="39" t="s">
        <v>974</v>
      </c>
      <c r="U331" s="35" t="s">
        <v>91</v>
      </c>
      <c r="V331" s="39" t="s">
        <v>509</v>
      </c>
      <c r="W331" s="39" t="s">
        <v>123</v>
      </c>
      <c r="X331" s="39">
        <v>40.51</v>
      </c>
      <c r="Y331" s="39">
        <v>8.1</v>
      </c>
      <c r="Z331" s="39">
        <v>8.1</v>
      </c>
      <c r="AA331" s="39">
        <v>0</v>
      </c>
      <c r="AB331" s="39"/>
      <c r="AC331" s="39">
        <v>0</v>
      </c>
      <c r="AD331" s="39"/>
      <c r="AE331" s="39">
        <v>0</v>
      </c>
      <c r="AF331" s="39"/>
      <c r="AG331" s="39">
        <v>0</v>
      </c>
      <c r="AH331" s="39"/>
      <c r="AI331" s="41">
        <v>0</v>
      </c>
    </row>
    <row r="332" spans="1:35" x14ac:dyDescent="0.25">
      <c r="A332" s="34" t="s">
        <v>110</v>
      </c>
      <c r="B332" s="35" t="s">
        <v>983</v>
      </c>
      <c r="C332" s="35" t="s">
        <v>984</v>
      </c>
      <c r="D332" s="35">
        <v>22922</v>
      </c>
      <c r="E332" s="35" t="s">
        <v>988</v>
      </c>
      <c r="F332" s="35" t="s">
        <v>989</v>
      </c>
      <c r="G332" s="35" t="s">
        <v>192</v>
      </c>
      <c r="H332" s="35" t="s">
        <v>160</v>
      </c>
      <c r="I332" s="35" t="s">
        <v>117</v>
      </c>
      <c r="J332" s="35" t="s">
        <v>118</v>
      </c>
      <c r="K332" s="36">
        <v>46040</v>
      </c>
      <c r="L332" s="36">
        <v>45992</v>
      </c>
      <c r="M332" s="36">
        <v>46055</v>
      </c>
      <c r="N332" s="36"/>
      <c r="O332" s="36"/>
      <c r="P332" s="36"/>
      <c r="Q332" s="36">
        <v>46082</v>
      </c>
      <c r="R332" s="35" t="s">
        <v>142</v>
      </c>
      <c r="S332" s="35" t="s">
        <v>987</v>
      </c>
      <c r="T332" s="35" t="s">
        <v>974</v>
      </c>
      <c r="U332" s="35" t="s">
        <v>91</v>
      </c>
      <c r="V332" s="35" t="s">
        <v>509</v>
      </c>
      <c r="W332" s="35" t="s">
        <v>123</v>
      </c>
      <c r="X332" s="35">
        <v>8.8699999999999992</v>
      </c>
      <c r="Y332" s="35">
        <v>1.77</v>
      </c>
      <c r="Z332" s="35">
        <v>1.77</v>
      </c>
      <c r="AA332" s="35">
        <v>0</v>
      </c>
      <c r="AB332" s="35"/>
      <c r="AC332" s="35">
        <v>0</v>
      </c>
      <c r="AD332" s="35"/>
      <c r="AE332" s="35">
        <v>0</v>
      </c>
      <c r="AF332" s="35"/>
      <c r="AG332" s="35">
        <v>0</v>
      </c>
      <c r="AH332" s="35"/>
      <c r="AI332" s="37">
        <v>0</v>
      </c>
    </row>
    <row r="333" spans="1:35" x14ac:dyDescent="0.25">
      <c r="A333" s="38" t="s">
        <v>110</v>
      </c>
      <c r="B333" s="39" t="s">
        <v>895</v>
      </c>
      <c r="C333" s="39" t="s">
        <v>990</v>
      </c>
      <c r="D333" s="39">
        <v>22956</v>
      </c>
      <c r="E333" s="39" t="s">
        <v>2382</v>
      </c>
      <c r="F333" s="39" t="s">
        <v>2383</v>
      </c>
      <c r="G333" s="39" t="s">
        <v>192</v>
      </c>
      <c r="H333" s="39" t="s">
        <v>160</v>
      </c>
      <c r="I333" s="39" t="s">
        <v>117</v>
      </c>
      <c r="J333" s="39" t="s">
        <v>2195</v>
      </c>
      <c r="K333" s="40">
        <v>46040</v>
      </c>
      <c r="L333" s="40">
        <v>45992</v>
      </c>
      <c r="M333" s="40"/>
      <c r="N333" s="40">
        <v>46082</v>
      </c>
      <c r="O333" s="40">
        <v>46037</v>
      </c>
      <c r="P333" s="40"/>
      <c r="Q333" s="40"/>
      <c r="R333" s="39" t="s">
        <v>119</v>
      </c>
      <c r="S333" s="39" t="s">
        <v>987</v>
      </c>
      <c r="T333" s="39" t="s">
        <v>974</v>
      </c>
      <c r="U333" s="35" t="s">
        <v>91</v>
      </c>
      <c r="V333" s="39" t="s">
        <v>509</v>
      </c>
      <c r="W333" s="39" t="s">
        <v>123</v>
      </c>
      <c r="X333" s="39">
        <v>425.78</v>
      </c>
      <c r="Y333" s="39">
        <v>85.16</v>
      </c>
      <c r="Z333" s="39">
        <v>85.16</v>
      </c>
      <c r="AA333" s="39">
        <v>0</v>
      </c>
      <c r="AB333" s="39"/>
      <c r="AC333" s="39">
        <v>0</v>
      </c>
      <c r="AD333" s="39"/>
      <c r="AE333" s="39">
        <v>0</v>
      </c>
      <c r="AF333" s="39"/>
      <c r="AG333" s="39">
        <v>0</v>
      </c>
      <c r="AH333" s="39"/>
      <c r="AI333" s="41">
        <v>0</v>
      </c>
    </row>
    <row r="334" spans="1:35" x14ac:dyDescent="0.25">
      <c r="A334" s="34" t="s">
        <v>110</v>
      </c>
      <c r="B334" s="35" t="s">
        <v>1483</v>
      </c>
      <c r="C334" s="35" t="s">
        <v>1484</v>
      </c>
      <c r="D334" s="35">
        <v>32558</v>
      </c>
      <c r="E334" s="35" t="s">
        <v>1485</v>
      </c>
      <c r="F334" s="35" t="s">
        <v>1486</v>
      </c>
      <c r="G334" s="35" t="s">
        <v>174</v>
      </c>
      <c r="H334" s="35" t="s">
        <v>160</v>
      </c>
      <c r="I334" s="35" t="s">
        <v>117</v>
      </c>
      <c r="J334" s="35" t="s">
        <v>141</v>
      </c>
      <c r="K334" s="36">
        <v>46040</v>
      </c>
      <c r="L334" s="36">
        <v>46054</v>
      </c>
      <c r="M334" s="36"/>
      <c r="N334" s="36"/>
      <c r="O334" s="36"/>
      <c r="P334" s="36"/>
      <c r="Q334" s="36"/>
      <c r="R334" s="35" t="s">
        <v>142</v>
      </c>
      <c r="S334" s="35" t="s">
        <v>543</v>
      </c>
      <c r="T334" s="35" t="s">
        <v>177</v>
      </c>
      <c r="U334" s="35" t="s">
        <v>81</v>
      </c>
      <c r="V334" s="35" t="s">
        <v>509</v>
      </c>
      <c r="W334" s="35" t="s">
        <v>123</v>
      </c>
      <c r="X334" s="35">
        <v>943.86</v>
      </c>
      <c r="Y334" s="35">
        <v>134.22999999999999</v>
      </c>
      <c r="Z334" s="35">
        <v>134.22999999999999</v>
      </c>
      <c r="AA334" s="35">
        <v>0</v>
      </c>
      <c r="AB334" s="35"/>
      <c r="AC334" s="35">
        <v>0</v>
      </c>
      <c r="AD334" s="35"/>
      <c r="AE334" s="35">
        <v>0</v>
      </c>
      <c r="AF334" s="35"/>
      <c r="AG334" s="35">
        <v>0</v>
      </c>
      <c r="AH334" s="35"/>
      <c r="AI334" s="37">
        <v>0</v>
      </c>
    </row>
    <row r="335" spans="1:35" x14ac:dyDescent="0.25">
      <c r="A335" s="38" t="s">
        <v>110</v>
      </c>
      <c r="B335" s="39" t="s">
        <v>1801</v>
      </c>
      <c r="C335" s="39" t="s">
        <v>1802</v>
      </c>
      <c r="D335" s="39">
        <v>22921</v>
      </c>
      <c r="E335" s="39" t="s">
        <v>1803</v>
      </c>
      <c r="F335" s="39" t="s">
        <v>1804</v>
      </c>
      <c r="G335" s="39" t="s">
        <v>192</v>
      </c>
      <c r="H335" s="39" t="s">
        <v>160</v>
      </c>
      <c r="I335" s="39" t="s">
        <v>117</v>
      </c>
      <c r="J335" s="39" t="s">
        <v>118</v>
      </c>
      <c r="K335" s="40">
        <v>46040</v>
      </c>
      <c r="L335" s="40">
        <v>45870</v>
      </c>
      <c r="M335" s="40">
        <v>46073</v>
      </c>
      <c r="N335" s="40"/>
      <c r="O335" s="40"/>
      <c r="P335" s="40"/>
      <c r="Q335" s="40">
        <v>46113</v>
      </c>
      <c r="R335" s="39" t="s">
        <v>142</v>
      </c>
      <c r="S335" s="39" t="s">
        <v>987</v>
      </c>
      <c r="T335" s="39" t="s">
        <v>974</v>
      </c>
      <c r="U335" s="35" t="s">
        <v>91</v>
      </c>
      <c r="V335" s="39" t="s">
        <v>509</v>
      </c>
      <c r="W335" s="39" t="s">
        <v>123</v>
      </c>
      <c r="X335" s="39">
        <v>7.27</v>
      </c>
      <c r="Y335" s="39">
        <v>1.45</v>
      </c>
      <c r="Z335" s="39">
        <v>1.45</v>
      </c>
      <c r="AA335" s="39">
        <v>0</v>
      </c>
      <c r="AB335" s="39"/>
      <c r="AC335" s="39">
        <v>0</v>
      </c>
      <c r="AD335" s="39"/>
      <c r="AE335" s="39">
        <v>0</v>
      </c>
      <c r="AF335" s="39"/>
      <c r="AG335" s="39">
        <v>0</v>
      </c>
      <c r="AH335" s="39"/>
      <c r="AI335" s="41">
        <v>0</v>
      </c>
    </row>
    <row r="336" spans="1:35" x14ac:dyDescent="0.25">
      <c r="A336" s="34" t="s">
        <v>110</v>
      </c>
      <c r="B336" s="35" t="s">
        <v>1801</v>
      </c>
      <c r="C336" s="35" t="s">
        <v>1802</v>
      </c>
      <c r="D336" s="35">
        <v>22921</v>
      </c>
      <c r="E336" s="35" t="s">
        <v>1805</v>
      </c>
      <c r="F336" s="35" t="s">
        <v>1806</v>
      </c>
      <c r="G336" s="35" t="s">
        <v>192</v>
      </c>
      <c r="H336" s="35" t="s">
        <v>160</v>
      </c>
      <c r="I336" s="35" t="s">
        <v>117</v>
      </c>
      <c r="J336" s="35" t="s">
        <v>118</v>
      </c>
      <c r="K336" s="36">
        <v>46040</v>
      </c>
      <c r="L336" s="36">
        <v>45901</v>
      </c>
      <c r="M336" s="36">
        <v>46073</v>
      </c>
      <c r="N336" s="36"/>
      <c r="O336" s="36"/>
      <c r="P336" s="36"/>
      <c r="Q336" s="36">
        <v>46113</v>
      </c>
      <c r="R336" s="35" t="s">
        <v>142</v>
      </c>
      <c r="S336" s="35" t="s">
        <v>987</v>
      </c>
      <c r="T336" s="35" t="s">
        <v>974</v>
      </c>
      <c r="U336" s="35" t="s">
        <v>91</v>
      </c>
      <c r="V336" s="35" t="s">
        <v>509</v>
      </c>
      <c r="W336" s="35" t="s">
        <v>123</v>
      </c>
      <c r="X336" s="35">
        <v>185.17</v>
      </c>
      <c r="Y336" s="35">
        <v>37.03</v>
      </c>
      <c r="Z336" s="35">
        <v>37.03</v>
      </c>
      <c r="AA336" s="35">
        <v>0</v>
      </c>
      <c r="AB336" s="35"/>
      <c r="AC336" s="35">
        <v>0</v>
      </c>
      <c r="AD336" s="35"/>
      <c r="AE336" s="35">
        <v>0</v>
      </c>
      <c r="AF336" s="35"/>
      <c r="AG336" s="35">
        <v>0</v>
      </c>
      <c r="AH336" s="35"/>
      <c r="AI336" s="37">
        <v>0</v>
      </c>
    </row>
    <row r="337" spans="1:35" x14ac:dyDescent="0.25">
      <c r="A337" s="38" t="s">
        <v>110</v>
      </c>
      <c r="B337" s="39" t="s">
        <v>1801</v>
      </c>
      <c r="C337" s="39" t="s">
        <v>1802</v>
      </c>
      <c r="D337" s="39">
        <v>22921</v>
      </c>
      <c r="E337" s="39" t="s">
        <v>1807</v>
      </c>
      <c r="F337" s="39" t="s">
        <v>1808</v>
      </c>
      <c r="G337" s="39" t="s">
        <v>192</v>
      </c>
      <c r="H337" s="39" t="s">
        <v>160</v>
      </c>
      <c r="I337" s="39" t="s">
        <v>117</v>
      </c>
      <c r="J337" s="39" t="s">
        <v>118</v>
      </c>
      <c r="K337" s="40">
        <v>46040</v>
      </c>
      <c r="L337" s="40">
        <v>45931</v>
      </c>
      <c r="M337" s="40">
        <v>46073</v>
      </c>
      <c r="N337" s="40"/>
      <c r="O337" s="40"/>
      <c r="P337" s="40"/>
      <c r="Q337" s="40">
        <v>46113</v>
      </c>
      <c r="R337" s="39" t="s">
        <v>142</v>
      </c>
      <c r="S337" s="39" t="s">
        <v>987</v>
      </c>
      <c r="T337" s="39" t="s">
        <v>974</v>
      </c>
      <c r="U337" s="35" t="s">
        <v>91</v>
      </c>
      <c r="V337" s="39" t="s">
        <v>509</v>
      </c>
      <c r="W337" s="39" t="s">
        <v>123</v>
      </c>
      <c r="X337" s="39">
        <v>136.87</v>
      </c>
      <c r="Y337" s="39">
        <v>27.37</v>
      </c>
      <c r="Z337" s="39">
        <v>27.37</v>
      </c>
      <c r="AA337" s="39">
        <v>0</v>
      </c>
      <c r="AB337" s="39"/>
      <c r="AC337" s="39">
        <v>0</v>
      </c>
      <c r="AD337" s="39"/>
      <c r="AE337" s="39">
        <v>0</v>
      </c>
      <c r="AF337" s="39"/>
      <c r="AG337" s="39">
        <v>0</v>
      </c>
      <c r="AH337" s="39"/>
      <c r="AI337" s="41">
        <v>0</v>
      </c>
    </row>
    <row r="338" spans="1:35" x14ac:dyDescent="0.25">
      <c r="A338" s="34" t="s">
        <v>110</v>
      </c>
      <c r="B338" s="35" t="s">
        <v>1801</v>
      </c>
      <c r="C338" s="35" t="s">
        <v>1802</v>
      </c>
      <c r="D338" s="35">
        <v>22921</v>
      </c>
      <c r="E338" s="35" t="s">
        <v>1809</v>
      </c>
      <c r="F338" s="35" t="s">
        <v>1810</v>
      </c>
      <c r="G338" s="35" t="s">
        <v>192</v>
      </c>
      <c r="H338" s="35" t="s">
        <v>160</v>
      </c>
      <c r="I338" s="35" t="s">
        <v>117</v>
      </c>
      <c r="J338" s="35" t="s">
        <v>118</v>
      </c>
      <c r="K338" s="36">
        <v>46040</v>
      </c>
      <c r="L338" s="36">
        <v>45962</v>
      </c>
      <c r="M338" s="36">
        <v>46073</v>
      </c>
      <c r="N338" s="36"/>
      <c r="O338" s="36"/>
      <c r="P338" s="36"/>
      <c r="Q338" s="36">
        <v>46113</v>
      </c>
      <c r="R338" s="35" t="s">
        <v>142</v>
      </c>
      <c r="S338" s="35" t="s">
        <v>987</v>
      </c>
      <c r="T338" s="35" t="s">
        <v>974</v>
      </c>
      <c r="U338" s="35" t="s">
        <v>91</v>
      </c>
      <c r="V338" s="35" t="s">
        <v>509</v>
      </c>
      <c r="W338" s="35" t="s">
        <v>123</v>
      </c>
      <c r="X338" s="35">
        <v>43.65</v>
      </c>
      <c r="Y338" s="35">
        <v>8.73</v>
      </c>
      <c r="Z338" s="35">
        <v>8.73</v>
      </c>
      <c r="AA338" s="35">
        <v>0</v>
      </c>
      <c r="AB338" s="35"/>
      <c r="AC338" s="35">
        <v>0</v>
      </c>
      <c r="AD338" s="35"/>
      <c r="AE338" s="35">
        <v>0</v>
      </c>
      <c r="AF338" s="35"/>
      <c r="AG338" s="35">
        <v>0</v>
      </c>
      <c r="AH338" s="35"/>
      <c r="AI338" s="37">
        <v>0</v>
      </c>
    </row>
    <row r="339" spans="1:35" x14ac:dyDescent="0.25">
      <c r="A339" s="38" t="s">
        <v>110</v>
      </c>
      <c r="B339" s="39" t="s">
        <v>1801</v>
      </c>
      <c r="C339" s="39" t="s">
        <v>1802</v>
      </c>
      <c r="D339" s="39">
        <v>22921</v>
      </c>
      <c r="E339" s="39" t="s">
        <v>1811</v>
      </c>
      <c r="F339" s="39" t="s">
        <v>1812</v>
      </c>
      <c r="G339" s="39" t="s">
        <v>192</v>
      </c>
      <c r="H339" s="39" t="s">
        <v>160</v>
      </c>
      <c r="I339" s="39" t="s">
        <v>117</v>
      </c>
      <c r="J339" s="39" t="s">
        <v>118</v>
      </c>
      <c r="K339" s="40">
        <v>46040</v>
      </c>
      <c r="L339" s="40">
        <v>45992</v>
      </c>
      <c r="M339" s="40">
        <v>46073</v>
      </c>
      <c r="N339" s="40"/>
      <c r="O339" s="40"/>
      <c r="P339" s="40"/>
      <c r="Q339" s="40">
        <v>46113</v>
      </c>
      <c r="R339" s="39" t="s">
        <v>142</v>
      </c>
      <c r="S339" s="39" t="s">
        <v>987</v>
      </c>
      <c r="T339" s="39" t="s">
        <v>974</v>
      </c>
      <c r="U339" s="35" t="s">
        <v>91</v>
      </c>
      <c r="V339" s="39" t="s">
        <v>509</v>
      </c>
      <c r="W339" s="39" t="s">
        <v>123</v>
      </c>
      <c r="X339" s="39">
        <v>484.02</v>
      </c>
      <c r="Y339" s="39">
        <v>96.8</v>
      </c>
      <c r="Z339" s="39">
        <v>96.8</v>
      </c>
      <c r="AA339" s="39">
        <v>0</v>
      </c>
      <c r="AB339" s="39"/>
      <c r="AC339" s="39">
        <v>0</v>
      </c>
      <c r="AD339" s="39"/>
      <c r="AE339" s="39">
        <v>0</v>
      </c>
      <c r="AF339" s="39"/>
      <c r="AG339" s="39">
        <v>0</v>
      </c>
      <c r="AH339" s="39"/>
      <c r="AI339" s="41">
        <v>0</v>
      </c>
    </row>
    <row r="340" spans="1:35" x14ac:dyDescent="0.25">
      <c r="A340" s="34" t="s">
        <v>110</v>
      </c>
      <c r="B340" s="35" t="s">
        <v>1815</v>
      </c>
      <c r="C340" s="35" t="s">
        <v>1816</v>
      </c>
      <c r="D340" s="35">
        <v>22923</v>
      </c>
      <c r="E340" s="35" t="s">
        <v>1817</v>
      </c>
      <c r="F340" s="35" t="s">
        <v>1818</v>
      </c>
      <c r="G340" s="35" t="s">
        <v>192</v>
      </c>
      <c r="H340" s="35" t="s">
        <v>160</v>
      </c>
      <c r="I340" s="35" t="s">
        <v>117</v>
      </c>
      <c r="J340" s="35" t="s">
        <v>141</v>
      </c>
      <c r="K340" s="36">
        <v>46040</v>
      </c>
      <c r="L340" s="36">
        <v>45992</v>
      </c>
      <c r="M340" s="36"/>
      <c r="N340" s="36"/>
      <c r="O340" s="36"/>
      <c r="P340" s="36"/>
      <c r="Q340" s="36"/>
      <c r="R340" s="35" t="s">
        <v>142</v>
      </c>
      <c r="S340" s="35" t="s">
        <v>987</v>
      </c>
      <c r="T340" s="35" t="s">
        <v>974</v>
      </c>
      <c r="U340" s="35" t="s">
        <v>91</v>
      </c>
      <c r="V340" s="35" t="s">
        <v>509</v>
      </c>
      <c r="W340" s="35" t="s">
        <v>123</v>
      </c>
      <c r="X340" s="35">
        <v>60</v>
      </c>
      <c r="Y340" s="35">
        <v>12</v>
      </c>
      <c r="Z340" s="35">
        <v>12</v>
      </c>
      <c r="AA340" s="35">
        <v>0</v>
      </c>
      <c r="AB340" s="35"/>
      <c r="AC340" s="35">
        <v>0</v>
      </c>
      <c r="AD340" s="35"/>
      <c r="AE340" s="35">
        <v>0</v>
      </c>
      <c r="AF340" s="35"/>
      <c r="AG340" s="35">
        <v>0</v>
      </c>
      <c r="AH340" s="35"/>
      <c r="AI340" s="37">
        <v>0</v>
      </c>
    </row>
    <row r="341" spans="1:35" x14ac:dyDescent="0.25">
      <c r="A341" s="38" t="s">
        <v>110</v>
      </c>
      <c r="B341" s="39" t="s">
        <v>895</v>
      </c>
      <c r="C341" s="39" t="s">
        <v>990</v>
      </c>
      <c r="D341" s="39">
        <v>22956</v>
      </c>
      <c r="E341" s="39" t="s">
        <v>991</v>
      </c>
      <c r="F341" s="39" t="s">
        <v>992</v>
      </c>
      <c r="G341" s="39" t="s">
        <v>192</v>
      </c>
      <c r="H341" s="39" t="s">
        <v>160</v>
      </c>
      <c r="I341" s="39" t="s">
        <v>117</v>
      </c>
      <c r="J341" s="39" t="s">
        <v>118</v>
      </c>
      <c r="K341" s="40">
        <v>46040</v>
      </c>
      <c r="L341" s="40">
        <v>45992</v>
      </c>
      <c r="M341" s="40">
        <v>46055</v>
      </c>
      <c r="N341" s="40"/>
      <c r="O341" s="40"/>
      <c r="P341" s="40"/>
      <c r="Q341" s="40">
        <v>46082</v>
      </c>
      <c r="R341" s="39" t="s">
        <v>119</v>
      </c>
      <c r="S341" s="39" t="s">
        <v>987</v>
      </c>
      <c r="T341" s="39" t="s">
        <v>974</v>
      </c>
      <c r="U341" s="35" t="s">
        <v>91</v>
      </c>
      <c r="V341" s="39" t="s">
        <v>509</v>
      </c>
      <c r="W341" s="39" t="s">
        <v>123</v>
      </c>
      <c r="X341" s="39">
        <v>536.03</v>
      </c>
      <c r="Y341" s="39">
        <v>107.21</v>
      </c>
      <c r="Z341" s="39">
        <v>107.21</v>
      </c>
      <c r="AA341" s="39">
        <v>0</v>
      </c>
      <c r="AB341" s="39"/>
      <c r="AC341" s="39">
        <v>0</v>
      </c>
      <c r="AD341" s="39"/>
      <c r="AE341" s="39">
        <v>0</v>
      </c>
      <c r="AF341" s="39"/>
      <c r="AG341" s="39">
        <v>0</v>
      </c>
      <c r="AH341" s="39"/>
      <c r="AI341" s="41">
        <v>0</v>
      </c>
    </row>
    <row r="342" spans="1:35" x14ac:dyDescent="0.25">
      <c r="A342" s="34" t="s">
        <v>110</v>
      </c>
      <c r="B342" s="35" t="s">
        <v>170</v>
      </c>
      <c r="C342" s="35" t="s">
        <v>669</v>
      </c>
      <c r="D342" s="35">
        <v>32307</v>
      </c>
      <c r="E342" s="35" t="s">
        <v>670</v>
      </c>
      <c r="F342" s="35" t="s">
        <v>671</v>
      </c>
      <c r="G342" s="35" t="s">
        <v>174</v>
      </c>
      <c r="H342" s="35" t="s">
        <v>116</v>
      </c>
      <c r="I342" s="35" t="s">
        <v>117</v>
      </c>
      <c r="J342" s="35" t="s">
        <v>118</v>
      </c>
      <c r="K342" s="36">
        <v>46040</v>
      </c>
      <c r="L342" s="36">
        <v>46023</v>
      </c>
      <c r="M342" s="36">
        <v>46044</v>
      </c>
      <c r="N342" s="36"/>
      <c r="O342" s="36"/>
      <c r="P342" s="36"/>
      <c r="Q342" s="36">
        <v>46056</v>
      </c>
      <c r="R342" s="35" t="s">
        <v>119</v>
      </c>
      <c r="S342" s="35" t="s">
        <v>668</v>
      </c>
      <c r="T342" s="35" t="s">
        <v>607</v>
      </c>
      <c r="U342" s="35" t="s">
        <v>89</v>
      </c>
      <c r="V342" s="35" t="s">
        <v>509</v>
      </c>
      <c r="W342" s="35" t="s">
        <v>123</v>
      </c>
      <c r="X342" s="35">
        <v>8025.16</v>
      </c>
      <c r="Y342" s="35">
        <v>401.26</v>
      </c>
      <c r="Z342" s="35">
        <v>401.26</v>
      </c>
      <c r="AA342" s="35">
        <v>0</v>
      </c>
      <c r="AB342" s="35"/>
      <c r="AC342" s="35">
        <v>0</v>
      </c>
      <c r="AD342" s="35"/>
      <c r="AE342" s="35">
        <v>0</v>
      </c>
      <c r="AF342" s="35"/>
      <c r="AG342" s="35">
        <v>0</v>
      </c>
      <c r="AH342" s="35"/>
      <c r="AI342" s="37">
        <v>0</v>
      </c>
    </row>
    <row r="343" spans="1:35" x14ac:dyDescent="0.25">
      <c r="A343" s="38" t="s">
        <v>110</v>
      </c>
      <c r="B343" s="39" t="s">
        <v>672</v>
      </c>
      <c r="C343" s="39" t="s">
        <v>673</v>
      </c>
      <c r="D343" s="39">
        <v>9100</v>
      </c>
      <c r="E343" s="39" t="s">
        <v>674</v>
      </c>
      <c r="F343" s="39" t="s">
        <v>675</v>
      </c>
      <c r="G343" s="39" t="s">
        <v>115</v>
      </c>
      <c r="H343" s="39" t="s">
        <v>160</v>
      </c>
      <c r="I343" s="39" t="s">
        <v>117</v>
      </c>
      <c r="J343" s="39" t="s">
        <v>118</v>
      </c>
      <c r="K343" s="40">
        <v>46040</v>
      </c>
      <c r="L343" s="40">
        <v>46023</v>
      </c>
      <c r="M343" s="40">
        <v>46052</v>
      </c>
      <c r="N343" s="40"/>
      <c r="O343" s="40"/>
      <c r="P343" s="40"/>
      <c r="Q343" s="40">
        <v>46054</v>
      </c>
      <c r="R343" s="39" t="s">
        <v>142</v>
      </c>
      <c r="S343" s="39" t="s">
        <v>606</v>
      </c>
      <c r="T343" s="39" t="s">
        <v>607</v>
      </c>
      <c r="U343" s="35" t="s">
        <v>89</v>
      </c>
      <c r="V343" s="39" t="s">
        <v>509</v>
      </c>
      <c r="W343" s="39" t="s">
        <v>123</v>
      </c>
      <c r="X343" s="39">
        <v>14250.45</v>
      </c>
      <c r="Y343" s="39">
        <v>570.02</v>
      </c>
      <c r="Z343" s="39">
        <v>570.02</v>
      </c>
      <c r="AA343" s="39">
        <v>0</v>
      </c>
      <c r="AB343" s="39"/>
      <c r="AC343" s="39">
        <v>0</v>
      </c>
      <c r="AD343" s="39"/>
      <c r="AE343" s="39">
        <v>0</v>
      </c>
      <c r="AF343" s="39"/>
      <c r="AG343" s="39">
        <v>0</v>
      </c>
      <c r="AH343" s="39"/>
      <c r="AI343" s="41">
        <v>0</v>
      </c>
    </row>
    <row r="344" spans="1:35" x14ac:dyDescent="0.25">
      <c r="A344" s="34" t="s">
        <v>110</v>
      </c>
      <c r="B344" s="35" t="s">
        <v>720</v>
      </c>
      <c r="C344" s="35" t="s">
        <v>721</v>
      </c>
      <c r="D344" s="35">
        <v>788</v>
      </c>
      <c r="E344" s="35" t="s">
        <v>2361</v>
      </c>
      <c r="F344" s="35" t="s">
        <v>2362</v>
      </c>
      <c r="G344" s="35" t="s">
        <v>192</v>
      </c>
      <c r="H344" s="35" t="s">
        <v>160</v>
      </c>
      <c r="I344" s="35" t="s">
        <v>117</v>
      </c>
      <c r="J344" s="35" t="s">
        <v>2195</v>
      </c>
      <c r="K344" s="36">
        <v>46040</v>
      </c>
      <c r="L344" s="36">
        <v>46046</v>
      </c>
      <c r="M344" s="36"/>
      <c r="N344" s="36">
        <v>46082</v>
      </c>
      <c r="O344" s="36">
        <v>46038</v>
      </c>
      <c r="P344" s="36"/>
      <c r="Q344" s="36"/>
      <c r="R344" s="35" t="s">
        <v>175</v>
      </c>
      <c r="S344" s="35" t="s">
        <v>724</v>
      </c>
      <c r="T344" s="35" t="s">
        <v>724</v>
      </c>
      <c r="U344" s="35" t="s">
        <v>88</v>
      </c>
      <c r="V344" s="35" t="s">
        <v>509</v>
      </c>
      <c r="W344" s="35" t="s">
        <v>123</v>
      </c>
      <c r="X344" s="35">
        <v>2925.58</v>
      </c>
      <c r="Y344" s="35">
        <v>585.12</v>
      </c>
      <c r="Z344" s="35">
        <v>585.12</v>
      </c>
      <c r="AA344" s="35">
        <v>0</v>
      </c>
      <c r="AB344" s="35"/>
      <c r="AC344" s="35">
        <v>0</v>
      </c>
      <c r="AD344" s="35"/>
      <c r="AE344" s="35">
        <v>0</v>
      </c>
      <c r="AF344" s="35"/>
      <c r="AG344" s="35">
        <v>0</v>
      </c>
      <c r="AH344" s="35"/>
      <c r="AI344" s="37">
        <v>0</v>
      </c>
    </row>
    <row r="345" spans="1:35" x14ac:dyDescent="0.25">
      <c r="A345" s="38" t="s">
        <v>110</v>
      </c>
      <c r="B345" s="39" t="s">
        <v>720</v>
      </c>
      <c r="C345" s="39" t="s">
        <v>721</v>
      </c>
      <c r="D345" s="39">
        <v>788</v>
      </c>
      <c r="E345" s="39" t="s">
        <v>722</v>
      </c>
      <c r="F345" s="39" t="s">
        <v>723</v>
      </c>
      <c r="G345" s="39" t="s">
        <v>192</v>
      </c>
      <c r="H345" s="39" t="s">
        <v>160</v>
      </c>
      <c r="I345" s="39" t="s">
        <v>117</v>
      </c>
      <c r="J345" s="39" t="s">
        <v>118</v>
      </c>
      <c r="K345" s="40">
        <v>46040</v>
      </c>
      <c r="L345" s="40">
        <v>46046</v>
      </c>
      <c r="M345" s="40">
        <v>46055</v>
      </c>
      <c r="N345" s="40"/>
      <c r="O345" s="40"/>
      <c r="P345" s="40"/>
      <c r="Q345" s="40">
        <v>46113</v>
      </c>
      <c r="R345" s="39" t="s">
        <v>175</v>
      </c>
      <c r="S345" s="39" t="s">
        <v>724</v>
      </c>
      <c r="T345" s="39" t="s">
        <v>724</v>
      </c>
      <c r="U345" s="35" t="s">
        <v>88</v>
      </c>
      <c r="V345" s="39" t="s">
        <v>509</v>
      </c>
      <c r="W345" s="39" t="s">
        <v>123</v>
      </c>
      <c r="X345" s="39">
        <v>3196.72</v>
      </c>
      <c r="Y345" s="39">
        <v>639.35</v>
      </c>
      <c r="Z345" s="39">
        <v>639.35</v>
      </c>
      <c r="AA345" s="39">
        <v>0</v>
      </c>
      <c r="AB345" s="39"/>
      <c r="AC345" s="39">
        <v>0</v>
      </c>
      <c r="AD345" s="39"/>
      <c r="AE345" s="39">
        <v>0</v>
      </c>
      <c r="AF345" s="39"/>
      <c r="AG345" s="39">
        <v>0</v>
      </c>
      <c r="AH345" s="39"/>
      <c r="AI345" s="41">
        <v>0</v>
      </c>
    </row>
    <row r="346" spans="1:35" x14ac:dyDescent="0.25">
      <c r="A346" s="34" t="s">
        <v>110</v>
      </c>
      <c r="B346" s="35" t="s">
        <v>1448</v>
      </c>
      <c r="C346" s="35" t="s">
        <v>1700</v>
      </c>
      <c r="D346" s="35">
        <v>2016</v>
      </c>
      <c r="E346" s="35" t="s">
        <v>1701</v>
      </c>
      <c r="F346" s="35" t="s">
        <v>1702</v>
      </c>
      <c r="G346" s="35" t="s">
        <v>115</v>
      </c>
      <c r="H346" s="35" t="s">
        <v>160</v>
      </c>
      <c r="I346" s="35" t="s">
        <v>117</v>
      </c>
      <c r="J346" s="35" t="s">
        <v>141</v>
      </c>
      <c r="K346" s="36">
        <v>46040</v>
      </c>
      <c r="L346" s="36">
        <v>46105</v>
      </c>
      <c r="M346" s="36"/>
      <c r="N346" s="36"/>
      <c r="O346" s="36"/>
      <c r="P346" s="36"/>
      <c r="Q346" s="36"/>
      <c r="R346" s="35" t="s">
        <v>142</v>
      </c>
      <c r="S346" s="35" t="s">
        <v>1703</v>
      </c>
      <c r="T346" s="35" t="s">
        <v>804</v>
      </c>
      <c r="U346" s="35" t="s">
        <v>87</v>
      </c>
      <c r="V346" s="35" t="s">
        <v>845</v>
      </c>
      <c r="W346" s="35" t="s">
        <v>123</v>
      </c>
      <c r="X346" s="35">
        <v>2608.48</v>
      </c>
      <c r="Y346" s="35">
        <v>620.80999999999995</v>
      </c>
      <c r="Z346" s="35">
        <v>620.80999999999995</v>
      </c>
      <c r="AA346" s="35">
        <v>0</v>
      </c>
      <c r="AB346" s="35"/>
      <c r="AC346" s="35">
        <v>0</v>
      </c>
      <c r="AD346" s="35" t="s">
        <v>1455</v>
      </c>
      <c r="AE346" s="35">
        <v>372.49</v>
      </c>
      <c r="AF346" s="35"/>
      <c r="AG346" s="35">
        <v>0</v>
      </c>
      <c r="AH346" s="35"/>
      <c r="AI346" s="37">
        <v>0</v>
      </c>
    </row>
    <row r="347" spans="1:35" x14ac:dyDescent="0.25">
      <c r="A347" s="34" t="s">
        <v>110</v>
      </c>
      <c r="B347" s="35" t="s">
        <v>1671</v>
      </c>
      <c r="C347" s="35" t="s">
        <v>1732</v>
      </c>
      <c r="D347" s="35">
        <v>18517</v>
      </c>
      <c r="E347" s="35" t="s">
        <v>1733</v>
      </c>
      <c r="F347" s="35" t="s">
        <v>1734</v>
      </c>
      <c r="G347" s="35" t="s">
        <v>115</v>
      </c>
      <c r="H347" s="35" t="s">
        <v>160</v>
      </c>
      <c r="I347" s="35" t="s">
        <v>117</v>
      </c>
      <c r="J347" s="35" t="s">
        <v>118</v>
      </c>
      <c r="K347" s="36">
        <v>46040</v>
      </c>
      <c r="L347" s="36">
        <v>46082</v>
      </c>
      <c r="M347" s="36">
        <v>46083</v>
      </c>
      <c r="N347" s="36"/>
      <c r="O347" s="36"/>
      <c r="P347" s="36"/>
      <c r="Q347" s="36"/>
      <c r="R347" s="35" t="s">
        <v>142</v>
      </c>
      <c r="S347" s="35" t="s">
        <v>1735</v>
      </c>
      <c r="T347" s="35" t="s">
        <v>1736</v>
      </c>
      <c r="U347" s="35" t="s">
        <v>87</v>
      </c>
      <c r="V347" s="35" t="s">
        <v>845</v>
      </c>
      <c r="W347" s="35" t="s">
        <v>123</v>
      </c>
      <c r="X347" s="35">
        <v>287.32</v>
      </c>
      <c r="Y347" s="35">
        <v>58.9</v>
      </c>
      <c r="Z347" s="35">
        <v>58.9</v>
      </c>
      <c r="AA347" s="35">
        <v>0</v>
      </c>
      <c r="AB347" s="35"/>
      <c r="AC347" s="35">
        <v>0</v>
      </c>
      <c r="AD347" s="35"/>
      <c r="AE347" s="35">
        <v>0</v>
      </c>
      <c r="AF347" s="35"/>
      <c r="AG347" s="35">
        <v>0</v>
      </c>
      <c r="AH347" s="35"/>
      <c r="AI347" s="37">
        <v>0</v>
      </c>
    </row>
    <row r="348" spans="1:35" x14ac:dyDescent="0.25">
      <c r="A348" s="38" t="s">
        <v>110</v>
      </c>
      <c r="B348" s="39" t="s">
        <v>1640</v>
      </c>
      <c r="C348" s="39" t="s">
        <v>1641</v>
      </c>
      <c r="D348" s="39">
        <v>26188</v>
      </c>
      <c r="E348" s="39" t="s">
        <v>1642</v>
      </c>
      <c r="F348" s="39" t="s">
        <v>1643</v>
      </c>
      <c r="G348" s="39" t="s">
        <v>115</v>
      </c>
      <c r="H348" s="39" t="s">
        <v>160</v>
      </c>
      <c r="I348" s="39" t="s">
        <v>117</v>
      </c>
      <c r="J348" s="39" t="s">
        <v>141</v>
      </c>
      <c r="K348" s="40">
        <v>46040</v>
      </c>
      <c r="L348" s="40">
        <v>46096</v>
      </c>
      <c r="M348" s="40"/>
      <c r="N348" s="40"/>
      <c r="O348" s="40"/>
      <c r="P348" s="40"/>
      <c r="Q348" s="40"/>
      <c r="R348" s="39" t="s">
        <v>142</v>
      </c>
      <c r="S348" s="39" t="s">
        <v>1644</v>
      </c>
      <c r="T348" s="39" t="s">
        <v>162</v>
      </c>
      <c r="U348" s="35" t="s">
        <v>87</v>
      </c>
      <c r="V348" s="39" t="s">
        <v>845</v>
      </c>
      <c r="W348" s="39" t="s">
        <v>123</v>
      </c>
      <c r="X348" s="39">
        <v>688.71</v>
      </c>
      <c r="Y348" s="39">
        <v>163.91</v>
      </c>
      <c r="Z348" s="39">
        <v>163.91</v>
      </c>
      <c r="AA348" s="39">
        <v>0</v>
      </c>
      <c r="AB348" s="39"/>
      <c r="AC348" s="39">
        <v>0</v>
      </c>
      <c r="AD348" s="39"/>
      <c r="AE348" s="39">
        <v>0</v>
      </c>
      <c r="AF348" s="39"/>
      <c r="AG348" s="39">
        <v>0</v>
      </c>
      <c r="AH348" s="39"/>
      <c r="AI348" s="41">
        <v>0</v>
      </c>
    </row>
    <row r="349" spans="1:35" x14ac:dyDescent="0.25">
      <c r="A349" s="34" t="s">
        <v>110</v>
      </c>
      <c r="B349" s="35" t="s">
        <v>1109</v>
      </c>
      <c r="C349" s="35" t="s">
        <v>1661</v>
      </c>
      <c r="D349" s="35">
        <v>30744</v>
      </c>
      <c r="E349" s="35" t="s">
        <v>1662</v>
      </c>
      <c r="F349" s="35" t="s">
        <v>1663</v>
      </c>
      <c r="G349" s="35" t="s">
        <v>115</v>
      </c>
      <c r="H349" s="35" t="s">
        <v>160</v>
      </c>
      <c r="I349" s="35" t="s">
        <v>117</v>
      </c>
      <c r="J349" s="35" t="s">
        <v>141</v>
      </c>
      <c r="K349" s="36">
        <v>46040</v>
      </c>
      <c r="L349" s="36">
        <v>46088</v>
      </c>
      <c r="M349" s="36"/>
      <c r="N349" s="36"/>
      <c r="O349" s="36"/>
      <c r="P349" s="36"/>
      <c r="Q349" s="36"/>
      <c r="R349" s="35" t="s">
        <v>142</v>
      </c>
      <c r="S349" s="35" t="s">
        <v>1644</v>
      </c>
      <c r="T349" s="35" t="s">
        <v>162</v>
      </c>
      <c r="U349" s="35" t="s">
        <v>87</v>
      </c>
      <c r="V349" s="35" t="s">
        <v>845</v>
      </c>
      <c r="W349" s="35" t="s">
        <v>123</v>
      </c>
      <c r="X349" s="35">
        <v>2049.19</v>
      </c>
      <c r="Y349" s="35">
        <v>450.83</v>
      </c>
      <c r="Z349" s="35">
        <v>450.83</v>
      </c>
      <c r="AA349" s="35">
        <v>0</v>
      </c>
      <c r="AB349" s="35"/>
      <c r="AC349" s="35">
        <v>0</v>
      </c>
      <c r="AD349" s="35"/>
      <c r="AE349" s="35">
        <v>0</v>
      </c>
      <c r="AF349" s="35"/>
      <c r="AG349" s="35">
        <v>0</v>
      </c>
      <c r="AH349" s="35"/>
      <c r="AI349" s="37">
        <v>0</v>
      </c>
    </row>
    <row r="350" spans="1:35" x14ac:dyDescent="0.25">
      <c r="A350" s="38" t="s">
        <v>110</v>
      </c>
      <c r="B350" s="39" t="s">
        <v>2148</v>
      </c>
      <c r="C350" s="39" t="s">
        <v>2149</v>
      </c>
      <c r="D350" s="39">
        <v>26059</v>
      </c>
      <c r="E350" s="39" t="s">
        <v>2150</v>
      </c>
      <c r="F350" s="39" t="s">
        <v>2151</v>
      </c>
      <c r="G350" s="39" t="s">
        <v>174</v>
      </c>
      <c r="H350" s="39" t="s">
        <v>160</v>
      </c>
      <c r="I350" s="39" t="s">
        <v>217</v>
      </c>
      <c r="J350" s="39" t="s">
        <v>141</v>
      </c>
      <c r="K350" s="40">
        <v>46041</v>
      </c>
      <c r="L350" s="40">
        <v>46063</v>
      </c>
      <c r="M350" s="40"/>
      <c r="N350" s="40"/>
      <c r="O350" s="40"/>
      <c r="P350" s="40"/>
      <c r="Q350" s="40"/>
      <c r="R350" s="39" t="s">
        <v>218</v>
      </c>
      <c r="S350" s="39" t="s">
        <v>225</v>
      </c>
      <c r="T350" s="39" t="s">
        <v>225</v>
      </c>
      <c r="U350" s="35" t="s">
        <v>88</v>
      </c>
      <c r="V350" s="39" t="s">
        <v>226</v>
      </c>
      <c r="W350" s="39" t="s">
        <v>123</v>
      </c>
      <c r="X350" s="39">
        <v>1224</v>
      </c>
      <c r="Y350" s="39">
        <v>222.54</v>
      </c>
      <c r="Z350" s="39">
        <v>222.54</v>
      </c>
      <c r="AA350" s="39">
        <v>0</v>
      </c>
      <c r="AB350" s="39"/>
      <c r="AC350" s="39">
        <v>0</v>
      </c>
      <c r="AD350" s="39"/>
      <c r="AE350" s="39">
        <v>0</v>
      </c>
      <c r="AF350" s="39"/>
      <c r="AG350" s="39">
        <v>0</v>
      </c>
      <c r="AH350" s="39"/>
      <c r="AI350" s="41">
        <v>0</v>
      </c>
    </row>
    <row r="351" spans="1:35" x14ac:dyDescent="0.25">
      <c r="A351" s="34" t="s">
        <v>110</v>
      </c>
      <c r="B351" s="35" t="s">
        <v>279</v>
      </c>
      <c r="C351" s="35" t="s">
        <v>280</v>
      </c>
      <c r="D351" s="35">
        <v>30735</v>
      </c>
      <c r="E351" s="35" t="s">
        <v>281</v>
      </c>
      <c r="F351" s="35" t="s">
        <v>282</v>
      </c>
      <c r="G351" s="35" t="s">
        <v>174</v>
      </c>
      <c r="H351" s="35" t="s">
        <v>160</v>
      </c>
      <c r="I351" s="35" t="s">
        <v>217</v>
      </c>
      <c r="J351" s="35" t="s">
        <v>141</v>
      </c>
      <c r="K351" s="36">
        <v>46041</v>
      </c>
      <c r="L351" s="36">
        <v>46113</v>
      </c>
      <c r="M351" s="36"/>
      <c r="N351" s="36"/>
      <c r="O351" s="36"/>
      <c r="P351" s="36"/>
      <c r="Q351" s="36"/>
      <c r="R351" s="35" t="s">
        <v>218</v>
      </c>
      <c r="S351" s="35" t="s">
        <v>225</v>
      </c>
      <c r="T351" s="35" t="s">
        <v>225</v>
      </c>
      <c r="U351" s="35" t="s">
        <v>88</v>
      </c>
      <c r="V351" s="35" t="s">
        <v>226</v>
      </c>
      <c r="W351" s="35" t="s">
        <v>123</v>
      </c>
      <c r="X351" s="35">
        <v>693.48</v>
      </c>
      <c r="Y351" s="35">
        <v>126.08</v>
      </c>
      <c r="Z351" s="35">
        <v>126.08</v>
      </c>
      <c r="AA351" s="35">
        <v>0</v>
      </c>
      <c r="AB351" s="35"/>
      <c r="AC351" s="35">
        <v>0</v>
      </c>
      <c r="AD351" s="35"/>
      <c r="AE351" s="35">
        <v>0</v>
      </c>
      <c r="AF351" s="35"/>
      <c r="AG351" s="35">
        <v>0</v>
      </c>
      <c r="AH351" s="35"/>
      <c r="AI351" s="37">
        <v>0</v>
      </c>
    </row>
    <row r="352" spans="1:35" x14ac:dyDescent="0.25">
      <c r="A352" s="38" t="s">
        <v>110</v>
      </c>
      <c r="B352" s="39" t="s">
        <v>1019</v>
      </c>
      <c r="C352" s="39" t="s">
        <v>1020</v>
      </c>
      <c r="D352" s="39">
        <v>30514</v>
      </c>
      <c r="E352" s="39" t="s">
        <v>1021</v>
      </c>
      <c r="F352" s="39" t="s">
        <v>1022</v>
      </c>
      <c r="G352" s="39" t="s">
        <v>174</v>
      </c>
      <c r="H352" s="39" t="s">
        <v>160</v>
      </c>
      <c r="I352" s="39" t="s">
        <v>217</v>
      </c>
      <c r="J352" s="39" t="s">
        <v>118</v>
      </c>
      <c r="K352" s="40">
        <v>46041</v>
      </c>
      <c r="L352" s="40">
        <v>45680</v>
      </c>
      <c r="M352" s="40">
        <v>46041</v>
      </c>
      <c r="N352" s="40"/>
      <c r="O352" s="40"/>
      <c r="P352" s="40"/>
      <c r="Q352" s="40">
        <v>46056</v>
      </c>
      <c r="R352" s="39" t="s">
        <v>218</v>
      </c>
      <c r="S352" s="39" t="s">
        <v>1018</v>
      </c>
      <c r="T352" s="39" t="s">
        <v>1018</v>
      </c>
      <c r="U352" s="35" t="s">
        <v>82</v>
      </c>
      <c r="V352" s="39" t="s">
        <v>226</v>
      </c>
      <c r="W352" s="39" t="s">
        <v>123</v>
      </c>
      <c r="X352" s="39">
        <v>1060.3599999999999</v>
      </c>
      <c r="Y352" s="39">
        <v>106.04</v>
      </c>
      <c r="Z352" s="39">
        <v>106.04</v>
      </c>
      <c r="AA352" s="39">
        <v>0</v>
      </c>
      <c r="AB352" s="39"/>
      <c r="AC352" s="39">
        <v>0</v>
      </c>
      <c r="AD352" s="39"/>
      <c r="AE352" s="39">
        <v>0</v>
      </c>
      <c r="AF352" s="39"/>
      <c r="AG352" s="39">
        <v>0</v>
      </c>
      <c r="AH352" s="39"/>
      <c r="AI352" s="41">
        <v>0</v>
      </c>
    </row>
    <row r="353" spans="1:35" x14ac:dyDescent="0.25">
      <c r="A353" s="34" t="s">
        <v>110</v>
      </c>
      <c r="B353" s="35" t="s">
        <v>1880</v>
      </c>
      <c r="C353" s="35" t="s">
        <v>1881</v>
      </c>
      <c r="D353" s="35">
        <v>32185</v>
      </c>
      <c r="E353" s="35" t="s">
        <v>1882</v>
      </c>
      <c r="F353" s="35" t="s">
        <v>1883</v>
      </c>
      <c r="G353" s="35" t="s">
        <v>174</v>
      </c>
      <c r="H353" s="35" t="s">
        <v>160</v>
      </c>
      <c r="I353" s="35" t="s">
        <v>217</v>
      </c>
      <c r="J353" s="35" t="s">
        <v>118</v>
      </c>
      <c r="K353" s="36">
        <v>46041</v>
      </c>
      <c r="L353" s="36">
        <v>45967</v>
      </c>
      <c r="M353" s="36">
        <v>46079</v>
      </c>
      <c r="N353" s="36"/>
      <c r="O353" s="36"/>
      <c r="P353" s="36"/>
      <c r="Q353" s="36"/>
      <c r="R353" s="35" t="s">
        <v>218</v>
      </c>
      <c r="S353" s="35" t="s">
        <v>1018</v>
      </c>
      <c r="T353" s="35" t="s">
        <v>1018</v>
      </c>
      <c r="U353" s="35" t="s">
        <v>82</v>
      </c>
      <c r="V353" s="35" t="s">
        <v>226</v>
      </c>
      <c r="W353" s="35" t="s">
        <v>123</v>
      </c>
      <c r="X353" s="35">
        <v>141.47</v>
      </c>
      <c r="Y353" s="35">
        <v>25.72</v>
      </c>
      <c r="Z353" s="35">
        <v>25.72</v>
      </c>
      <c r="AA353" s="35">
        <v>0</v>
      </c>
      <c r="AB353" s="35"/>
      <c r="AC353" s="35">
        <v>0</v>
      </c>
      <c r="AD353" s="35"/>
      <c r="AE353" s="35">
        <v>0</v>
      </c>
      <c r="AF353" s="35"/>
      <c r="AG353" s="35">
        <v>0</v>
      </c>
      <c r="AH353" s="35"/>
      <c r="AI353" s="37">
        <v>0</v>
      </c>
    </row>
    <row r="354" spans="1:35" x14ac:dyDescent="0.25">
      <c r="A354" s="38" t="s">
        <v>110</v>
      </c>
      <c r="B354" s="39" t="s">
        <v>1880</v>
      </c>
      <c r="C354" s="39" t="s">
        <v>1927</v>
      </c>
      <c r="D354" s="39">
        <v>32295</v>
      </c>
      <c r="E354" s="39" t="s">
        <v>1928</v>
      </c>
      <c r="F354" s="39" t="s">
        <v>1929</v>
      </c>
      <c r="G354" s="39" t="s">
        <v>174</v>
      </c>
      <c r="H354" s="39" t="s">
        <v>160</v>
      </c>
      <c r="I354" s="39" t="s">
        <v>217</v>
      </c>
      <c r="J354" s="39" t="s">
        <v>118</v>
      </c>
      <c r="K354" s="40">
        <v>46041</v>
      </c>
      <c r="L354" s="40">
        <v>45996</v>
      </c>
      <c r="M354" s="40">
        <v>46069</v>
      </c>
      <c r="N354" s="40"/>
      <c r="O354" s="40"/>
      <c r="P354" s="40"/>
      <c r="Q354" s="40"/>
      <c r="R354" s="39" t="s">
        <v>218</v>
      </c>
      <c r="S354" s="39" t="s">
        <v>1018</v>
      </c>
      <c r="T354" s="39" t="s">
        <v>1018</v>
      </c>
      <c r="U354" s="35" t="s">
        <v>82</v>
      </c>
      <c r="V354" s="39" t="s">
        <v>226</v>
      </c>
      <c r="W354" s="39" t="s">
        <v>123</v>
      </c>
      <c r="X354" s="39">
        <v>361.53</v>
      </c>
      <c r="Y354" s="39">
        <v>65.739999999999995</v>
      </c>
      <c r="Z354" s="39">
        <v>65.739999999999995</v>
      </c>
      <c r="AA354" s="39">
        <v>0</v>
      </c>
      <c r="AB354" s="39"/>
      <c r="AC354" s="39">
        <v>0</v>
      </c>
      <c r="AD354" s="39"/>
      <c r="AE354" s="39">
        <v>0</v>
      </c>
      <c r="AF354" s="39"/>
      <c r="AG354" s="39">
        <v>0</v>
      </c>
      <c r="AH354" s="39"/>
      <c r="AI354" s="41">
        <v>0</v>
      </c>
    </row>
    <row r="355" spans="1:35" x14ac:dyDescent="0.25">
      <c r="A355" s="34" t="s">
        <v>110</v>
      </c>
      <c r="B355" s="35" t="s">
        <v>1174</v>
      </c>
      <c r="C355" s="35" t="s">
        <v>1192</v>
      </c>
      <c r="D355" s="35">
        <v>32559</v>
      </c>
      <c r="E355" s="35" t="s">
        <v>1193</v>
      </c>
      <c r="F355" s="35" t="s">
        <v>1194</v>
      </c>
      <c r="G355" s="35" t="s">
        <v>174</v>
      </c>
      <c r="H355" s="35" t="s">
        <v>160</v>
      </c>
      <c r="I355" s="35" t="s">
        <v>217</v>
      </c>
      <c r="J355" s="35" t="s">
        <v>118</v>
      </c>
      <c r="K355" s="36">
        <v>46041</v>
      </c>
      <c r="L355" s="36">
        <v>46041</v>
      </c>
      <c r="M355" s="36">
        <v>46057</v>
      </c>
      <c r="N355" s="36"/>
      <c r="O355" s="36"/>
      <c r="P355" s="36"/>
      <c r="Q355" s="36"/>
      <c r="R355" s="35" t="s">
        <v>218</v>
      </c>
      <c r="S355" s="35" t="s">
        <v>1018</v>
      </c>
      <c r="T355" s="35" t="s">
        <v>1018</v>
      </c>
      <c r="U355" s="35" t="s">
        <v>82</v>
      </c>
      <c r="V355" s="35" t="s">
        <v>226</v>
      </c>
      <c r="W355" s="35" t="s">
        <v>123</v>
      </c>
      <c r="X355" s="35">
        <v>3335.67</v>
      </c>
      <c r="Y355" s="35">
        <v>606.49</v>
      </c>
      <c r="Z355" s="35">
        <v>606.49</v>
      </c>
      <c r="AA355" s="35">
        <v>0</v>
      </c>
      <c r="AB355" s="35"/>
      <c r="AC355" s="35">
        <v>0</v>
      </c>
      <c r="AD355" s="35"/>
      <c r="AE355" s="35">
        <v>0</v>
      </c>
      <c r="AF355" s="35"/>
      <c r="AG355" s="35">
        <v>0</v>
      </c>
      <c r="AH355" s="35"/>
      <c r="AI355" s="37">
        <v>0</v>
      </c>
    </row>
    <row r="356" spans="1:35" x14ac:dyDescent="0.25">
      <c r="A356" s="38" t="s">
        <v>110</v>
      </c>
      <c r="B356" s="39" t="s">
        <v>1174</v>
      </c>
      <c r="C356" s="39" t="s">
        <v>1192</v>
      </c>
      <c r="D356" s="39">
        <v>32559</v>
      </c>
      <c r="E356" s="39" t="s">
        <v>1965</v>
      </c>
      <c r="F356" s="39" t="s">
        <v>1966</v>
      </c>
      <c r="G356" s="39" t="s">
        <v>174</v>
      </c>
      <c r="H356" s="39" t="s">
        <v>160</v>
      </c>
      <c r="I356" s="39" t="s">
        <v>217</v>
      </c>
      <c r="J356" s="39" t="s">
        <v>141</v>
      </c>
      <c r="K356" s="40">
        <v>46041</v>
      </c>
      <c r="L356" s="40">
        <v>46041</v>
      </c>
      <c r="M356" s="40"/>
      <c r="N356" s="40"/>
      <c r="O356" s="40"/>
      <c r="P356" s="40"/>
      <c r="Q356" s="40"/>
      <c r="R356" s="39" t="s">
        <v>218</v>
      </c>
      <c r="S356" s="39" t="s">
        <v>1018</v>
      </c>
      <c r="T356" s="39" t="s">
        <v>1018</v>
      </c>
      <c r="U356" s="35" t="s">
        <v>82</v>
      </c>
      <c r="V356" s="39" t="s">
        <v>226</v>
      </c>
      <c r="W356" s="39" t="s">
        <v>123</v>
      </c>
      <c r="X356" s="39">
        <v>15010.54</v>
      </c>
      <c r="Y356" s="39">
        <v>2729.19</v>
      </c>
      <c r="Z356" s="39">
        <v>2729.19</v>
      </c>
      <c r="AA356" s="39">
        <v>0</v>
      </c>
      <c r="AB356" s="39"/>
      <c r="AC356" s="39">
        <v>0</v>
      </c>
      <c r="AD356" s="39"/>
      <c r="AE356" s="39">
        <v>0</v>
      </c>
      <c r="AF356" s="39"/>
      <c r="AG356" s="39">
        <v>0</v>
      </c>
      <c r="AH356" s="39"/>
      <c r="AI356" s="41">
        <v>0</v>
      </c>
    </row>
    <row r="357" spans="1:35" x14ac:dyDescent="0.25">
      <c r="A357" s="34" t="s">
        <v>110</v>
      </c>
      <c r="B357" s="35" t="s">
        <v>1174</v>
      </c>
      <c r="C357" s="35" t="s">
        <v>1192</v>
      </c>
      <c r="D357" s="35">
        <v>32559</v>
      </c>
      <c r="E357" s="35" t="s">
        <v>1967</v>
      </c>
      <c r="F357" s="35" t="s">
        <v>1968</v>
      </c>
      <c r="G357" s="35" t="s">
        <v>174</v>
      </c>
      <c r="H357" s="35" t="s">
        <v>160</v>
      </c>
      <c r="I357" s="35" t="s">
        <v>217</v>
      </c>
      <c r="J357" s="35" t="s">
        <v>141</v>
      </c>
      <c r="K357" s="36">
        <v>46041</v>
      </c>
      <c r="L357" s="36">
        <v>46041</v>
      </c>
      <c r="M357" s="36"/>
      <c r="N357" s="36"/>
      <c r="O357" s="36"/>
      <c r="P357" s="36"/>
      <c r="Q357" s="36"/>
      <c r="R357" s="35" t="s">
        <v>218</v>
      </c>
      <c r="S357" s="35" t="s">
        <v>1018</v>
      </c>
      <c r="T357" s="35" t="s">
        <v>1018</v>
      </c>
      <c r="U357" s="35" t="s">
        <v>82</v>
      </c>
      <c r="V357" s="35" t="s">
        <v>226</v>
      </c>
      <c r="W357" s="35" t="s">
        <v>123</v>
      </c>
      <c r="X357" s="35">
        <v>15010.54</v>
      </c>
      <c r="Y357" s="35">
        <v>2729.19</v>
      </c>
      <c r="Z357" s="35">
        <v>2729.19</v>
      </c>
      <c r="AA357" s="35">
        <v>0</v>
      </c>
      <c r="AB357" s="35"/>
      <c r="AC357" s="35">
        <v>0</v>
      </c>
      <c r="AD357" s="35"/>
      <c r="AE357" s="35">
        <v>0</v>
      </c>
      <c r="AF357" s="35"/>
      <c r="AG357" s="35">
        <v>0</v>
      </c>
      <c r="AH357" s="35"/>
      <c r="AI357" s="37">
        <v>0</v>
      </c>
    </row>
    <row r="358" spans="1:35" x14ac:dyDescent="0.25">
      <c r="A358" s="38" t="s">
        <v>110</v>
      </c>
      <c r="B358" s="39" t="s">
        <v>1340</v>
      </c>
      <c r="C358" s="39" t="s">
        <v>1341</v>
      </c>
      <c r="D358" s="39">
        <v>32560</v>
      </c>
      <c r="E358" s="39"/>
      <c r="F358" s="39" t="s">
        <v>1342</v>
      </c>
      <c r="G358" s="39" t="s">
        <v>174</v>
      </c>
      <c r="H358" s="39" t="s">
        <v>160</v>
      </c>
      <c r="I358" s="39" t="s">
        <v>117</v>
      </c>
      <c r="J358" s="39" t="s">
        <v>118</v>
      </c>
      <c r="K358" s="40">
        <v>46041</v>
      </c>
      <c r="L358" s="40">
        <v>46041</v>
      </c>
      <c r="M358" s="40">
        <v>46055</v>
      </c>
      <c r="N358" s="40"/>
      <c r="O358" s="40"/>
      <c r="P358" s="40"/>
      <c r="Q358" s="40">
        <v>46082</v>
      </c>
      <c r="R358" s="39" t="s">
        <v>142</v>
      </c>
      <c r="S358" s="39" t="s">
        <v>1343</v>
      </c>
      <c r="T358" s="39" t="s">
        <v>1339</v>
      </c>
      <c r="U358" s="35" t="s">
        <v>84</v>
      </c>
      <c r="V358" s="39" t="s">
        <v>699</v>
      </c>
      <c r="W358" s="39" t="s">
        <v>123</v>
      </c>
      <c r="X358" s="39">
        <v>1550.25</v>
      </c>
      <c r="Y358" s="39">
        <v>310.05</v>
      </c>
      <c r="Z358" s="39">
        <v>310.05</v>
      </c>
      <c r="AA358" s="39">
        <v>0</v>
      </c>
      <c r="AB358" s="39"/>
      <c r="AC358" s="39">
        <v>0</v>
      </c>
      <c r="AD358" s="39"/>
      <c r="AE358" s="39">
        <v>0</v>
      </c>
      <c r="AF358" s="39"/>
      <c r="AG358" s="39">
        <v>0</v>
      </c>
      <c r="AH358" s="39"/>
      <c r="AI358" s="41">
        <v>0</v>
      </c>
    </row>
    <row r="359" spans="1:35" x14ac:dyDescent="0.25">
      <c r="A359" s="34" t="s">
        <v>110</v>
      </c>
      <c r="B359" s="35" t="s">
        <v>2384</v>
      </c>
      <c r="C359" s="35" t="s">
        <v>2385</v>
      </c>
      <c r="D359" s="35">
        <v>32561</v>
      </c>
      <c r="E359" s="35" t="s">
        <v>2386</v>
      </c>
      <c r="F359" s="35" t="s">
        <v>2387</v>
      </c>
      <c r="G359" s="35" t="s">
        <v>174</v>
      </c>
      <c r="H359" s="35" t="s">
        <v>116</v>
      </c>
      <c r="I359" s="35" t="s">
        <v>117</v>
      </c>
      <c r="J359" s="35" t="s">
        <v>2195</v>
      </c>
      <c r="K359" s="36">
        <v>46042</v>
      </c>
      <c r="L359" s="36">
        <v>45904</v>
      </c>
      <c r="M359" s="36"/>
      <c r="N359" s="36"/>
      <c r="O359" s="36">
        <v>46051</v>
      </c>
      <c r="P359" s="36"/>
      <c r="Q359" s="36"/>
      <c r="R359" s="35" t="s">
        <v>119</v>
      </c>
      <c r="S359" s="35" t="s">
        <v>2388</v>
      </c>
      <c r="T359" s="35" t="s">
        <v>121</v>
      </c>
      <c r="U359" s="35" t="s">
        <v>90</v>
      </c>
      <c r="V359" s="35" t="s">
        <v>569</v>
      </c>
      <c r="W359" s="35" t="s">
        <v>123</v>
      </c>
      <c r="X359" s="35">
        <v>351.82</v>
      </c>
      <c r="Y359" s="35">
        <v>48.82</v>
      </c>
      <c r="Z359" s="35">
        <v>48.82</v>
      </c>
      <c r="AA359" s="35">
        <v>0</v>
      </c>
      <c r="AB359" s="35"/>
      <c r="AC359" s="35">
        <v>0</v>
      </c>
      <c r="AD359" s="35"/>
      <c r="AE359" s="35">
        <v>0</v>
      </c>
      <c r="AF359" s="35"/>
      <c r="AG359" s="35">
        <v>0</v>
      </c>
      <c r="AH359" s="35"/>
      <c r="AI359" s="37">
        <v>0</v>
      </c>
    </row>
    <row r="360" spans="1:35" x14ac:dyDescent="0.25">
      <c r="A360" s="38" t="s">
        <v>110</v>
      </c>
      <c r="B360" s="39" t="s">
        <v>164</v>
      </c>
      <c r="C360" s="39" t="s">
        <v>1617</v>
      </c>
      <c r="D360" s="39">
        <v>15253</v>
      </c>
      <c r="E360" s="39" t="s">
        <v>1618</v>
      </c>
      <c r="F360" s="39" t="s">
        <v>1619</v>
      </c>
      <c r="G360" s="39" t="s">
        <v>115</v>
      </c>
      <c r="H360" s="39" t="s">
        <v>116</v>
      </c>
      <c r="I360" s="39" t="s">
        <v>117</v>
      </c>
      <c r="J360" s="39" t="s">
        <v>141</v>
      </c>
      <c r="K360" s="40">
        <v>46042</v>
      </c>
      <c r="L360" s="40">
        <v>46093</v>
      </c>
      <c r="M360" s="40"/>
      <c r="N360" s="40"/>
      <c r="O360" s="40"/>
      <c r="P360" s="40"/>
      <c r="Q360" s="40"/>
      <c r="R360" s="39" t="s">
        <v>119</v>
      </c>
      <c r="S360" s="39" t="s">
        <v>1620</v>
      </c>
      <c r="T360" s="39" t="s">
        <v>135</v>
      </c>
      <c r="U360" s="35" t="s">
        <v>90</v>
      </c>
      <c r="V360" s="39" t="s">
        <v>845</v>
      </c>
      <c r="W360" s="39" t="s">
        <v>123</v>
      </c>
      <c r="X360" s="39">
        <v>650.02</v>
      </c>
      <c r="Y360" s="39">
        <v>0</v>
      </c>
      <c r="Z360" s="39">
        <v>0</v>
      </c>
      <c r="AA360" s="39">
        <v>0</v>
      </c>
      <c r="AB360" s="39"/>
      <c r="AC360" s="39">
        <v>0</v>
      </c>
      <c r="AD360" s="39"/>
      <c r="AE360" s="39">
        <v>0</v>
      </c>
      <c r="AF360" s="39"/>
      <c r="AG360" s="39">
        <v>0</v>
      </c>
      <c r="AH360" s="39"/>
      <c r="AI360" s="41">
        <v>0</v>
      </c>
    </row>
    <row r="361" spans="1:35" x14ac:dyDescent="0.25">
      <c r="A361" s="34" t="s">
        <v>110</v>
      </c>
      <c r="B361" s="35" t="s">
        <v>851</v>
      </c>
      <c r="C361" s="35" t="s">
        <v>852</v>
      </c>
      <c r="D361" s="35">
        <v>32562</v>
      </c>
      <c r="E361" s="35" t="s">
        <v>853</v>
      </c>
      <c r="F361" s="35" t="s">
        <v>854</v>
      </c>
      <c r="G361" s="35" t="s">
        <v>174</v>
      </c>
      <c r="H361" s="35" t="s">
        <v>160</v>
      </c>
      <c r="I361" s="35" t="s">
        <v>117</v>
      </c>
      <c r="J361" s="35" t="s">
        <v>118</v>
      </c>
      <c r="K361" s="36">
        <v>46042</v>
      </c>
      <c r="L361" s="36">
        <v>46041</v>
      </c>
      <c r="M361" s="36">
        <v>46056</v>
      </c>
      <c r="N361" s="36"/>
      <c r="O361" s="36"/>
      <c r="P361" s="36"/>
      <c r="Q361" s="36">
        <v>46082</v>
      </c>
      <c r="R361" s="35" t="s">
        <v>142</v>
      </c>
      <c r="S361" s="35" t="s">
        <v>855</v>
      </c>
      <c r="T361" s="35" t="s">
        <v>83</v>
      </c>
      <c r="U361" s="35" t="s">
        <v>83</v>
      </c>
      <c r="V361" s="35" t="s">
        <v>845</v>
      </c>
      <c r="W361" s="35" t="s">
        <v>123</v>
      </c>
      <c r="X361" s="35">
        <v>104.56</v>
      </c>
      <c r="Y361" s="35">
        <v>26.14</v>
      </c>
      <c r="Z361" s="35">
        <v>26.14</v>
      </c>
      <c r="AA361" s="35">
        <v>0</v>
      </c>
      <c r="AB361" s="35"/>
      <c r="AC361" s="35">
        <v>0</v>
      </c>
      <c r="AD361" s="35"/>
      <c r="AE361" s="35">
        <v>0</v>
      </c>
      <c r="AF361" s="35"/>
      <c r="AG361" s="35">
        <v>0</v>
      </c>
      <c r="AH361" s="35"/>
      <c r="AI361" s="37">
        <v>0</v>
      </c>
    </row>
    <row r="362" spans="1:35" x14ac:dyDescent="0.25">
      <c r="A362" s="38" t="s">
        <v>110</v>
      </c>
      <c r="B362" s="39" t="s">
        <v>1671</v>
      </c>
      <c r="C362" s="39" t="s">
        <v>1672</v>
      </c>
      <c r="D362" s="39">
        <v>14740</v>
      </c>
      <c r="E362" s="39" t="s">
        <v>1673</v>
      </c>
      <c r="F362" s="39" t="s">
        <v>1674</v>
      </c>
      <c r="G362" s="39" t="s">
        <v>115</v>
      </c>
      <c r="H362" s="39" t="s">
        <v>116</v>
      </c>
      <c r="I362" s="39" t="s">
        <v>117</v>
      </c>
      <c r="J362" s="39" t="s">
        <v>141</v>
      </c>
      <c r="K362" s="40">
        <v>46042</v>
      </c>
      <c r="L362" s="40">
        <v>46082</v>
      </c>
      <c r="M362" s="40"/>
      <c r="N362" s="40"/>
      <c r="O362" s="40"/>
      <c r="P362" s="40"/>
      <c r="Q362" s="40"/>
      <c r="R362" s="39" t="s">
        <v>142</v>
      </c>
      <c r="S362" s="39" t="s">
        <v>1675</v>
      </c>
      <c r="T362" s="39" t="s">
        <v>177</v>
      </c>
      <c r="U362" s="35" t="s">
        <v>81</v>
      </c>
      <c r="V362" s="39" t="s">
        <v>845</v>
      </c>
      <c r="W362" s="39" t="s">
        <v>123</v>
      </c>
      <c r="X362" s="39">
        <v>2007.45</v>
      </c>
      <c r="Y362" s="39">
        <v>287.27</v>
      </c>
      <c r="Z362" s="39">
        <v>287.27</v>
      </c>
      <c r="AA362" s="39">
        <v>0</v>
      </c>
      <c r="AB362" s="39"/>
      <c r="AC362" s="39">
        <v>0</v>
      </c>
      <c r="AD362" s="39"/>
      <c r="AE362" s="39">
        <v>0</v>
      </c>
      <c r="AF362" s="39"/>
      <c r="AG362" s="39">
        <v>0</v>
      </c>
      <c r="AH362" s="39"/>
      <c r="AI362" s="41">
        <v>0</v>
      </c>
    </row>
    <row r="363" spans="1:35" x14ac:dyDescent="0.25">
      <c r="A363" s="38" t="s">
        <v>110</v>
      </c>
      <c r="B363" s="39" t="s">
        <v>1653</v>
      </c>
      <c r="C363" s="39" t="s">
        <v>1679</v>
      </c>
      <c r="D363" s="39">
        <v>23297</v>
      </c>
      <c r="E363" s="39" t="s">
        <v>1680</v>
      </c>
      <c r="F363" s="39" t="s">
        <v>1681</v>
      </c>
      <c r="G363" s="39" t="s">
        <v>115</v>
      </c>
      <c r="H363" s="39" t="s">
        <v>116</v>
      </c>
      <c r="I363" s="39" t="s">
        <v>117</v>
      </c>
      <c r="J363" s="39" t="s">
        <v>141</v>
      </c>
      <c r="K363" s="40">
        <v>46042</v>
      </c>
      <c r="L363" s="40">
        <v>46099</v>
      </c>
      <c r="M363" s="40"/>
      <c r="N363" s="40"/>
      <c r="O363" s="40"/>
      <c r="P363" s="40"/>
      <c r="Q363" s="40"/>
      <c r="R363" s="39" t="s">
        <v>142</v>
      </c>
      <c r="S363" s="39" t="s">
        <v>1675</v>
      </c>
      <c r="T363" s="39" t="s">
        <v>177</v>
      </c>
      <c r="U363" s="35" t="s">
        <v>81</v>
      </c>
      <c r="V363" s="39" t="s">
        <v>845</v>
      </c>
      <c r="W363" s="39" t="s">
        <v>123</v>
      </c>
      <c r="X363" s="39">
        <v>1268.26</v>
      </c>
      <c r="Y363" s="39">
        <v>152.19</v>
      </c>
      <c r="Z363" s="39">
        <v>152.19</v>
      </c>
      <c r="AA363" s="39">
        <v>0</v>
      </c>
      <c r="AB363" s="39"/>
      <c r="AC363" s="39">
        <v>0</v>
      </c>
      <c r="AD363" s="39"/>
      <c r="AE363" s="39">
        <v>0</v>
      </c>
      <c r="AF363" s="39"/>
      <c r="AG363" s="39">
        <v>0</v>
      </c>
      <c r="AH363" s="39"/>
      <c r="AI363" s="41">
        <v>0</v>
      </c>
    </row>
    <row r="364" spans="1:35" x14ac:dyDescent="0.25">
      <c r="A364" s="34" t="s">
        <v>110</v>
      </c>
      <c r="B364" s="35" t="s">
        <v>1682</v>
      </c>
      <c r="C364" s="35" t="s">
        <v>1683</v>
      </c>
      <c r="D364" s="35">
        <v>24882</v>
      </c>
      <c r="E364" s="35" t="s">
        <v>1684</v>
      </c>
      <c r="F364" s="35" t="s">
        <v>1685</v>
      </c>
      <c r="G364" s="35" t="s">
        <v>115</v>
      </c>
      <c r="H364" s="35" t="s">
        <v>160</v>
      </c>
      <c r="I364" s="35" t="s">
        <v>117</v>
      </c>
      <c r="J364" s="35" t="s">
        <v>141</v>
      </c>
      <c r="K364" s="36">
        <v>46042</v>
      </c>
      <c r="L364" s="36">
        <v>46096</v>
      </c>
      <c r="M364" s="36"/>
      <c r="N364" s="36"/>
      <c r="O364" s="36"/>
      <c r="P364" s="36"/>
      <c r="Q364" s="36"/>
      <c r="R364" s="35" t="s">
        <v>142</v>
      </c>
      <c r="S364" s="35" t="s">
        <v>1686</v>
      </c>
      <c r="T364" s="35" t="s">
        <v>177</v>
      </c>
      <c r="U364" s="35" t="s">
        <v>81</v>
      </c>
      <c r="V364" s="35" t="s">
        <v>845</v>
      </c>
      <c r="W364" s="35" t="s">
        <v>123</v>
      </c>
      <c r="X364" s="35">
        <v>261.01</v>
      </c>
      <c r="Y364" s="35">
        <v>31.33</v>
      </c>
      <c r="Z364" s="35">
        <v>31.33</v>
      </c>
      <c r="AA364" s="35">
        <v>0</v>
      </c>
      <c r="AB364" s="35"/>
      <c r="AC364" s="35">
        <v>0</v>
      </c>
      <c r="AD364" s="35"/>
      <c r="AE364" s="35">
        <v>0</v>
      </c>
      <c r="AF364" s="35"/>
      <c r="AG364" s="35">
        <v>0</v>
      </c>
      <c r="AH364" s="35"/>
      <c r="AI364" s="37">
        <v>0</v>
      </c>
    </row>
    <row r="365" spans="1:35" x14ac:dyDescent="0.25">
      <c r="A365" s="38" t="s">
        <v>110</v>
      </c>
      <c r="B365" s="39" t="s">
        <v>1691</v>
      </c>
      <c r="C365" s="39" t="s">
        <v>1692</v>
      </c>
      <c r="D365" s="39">
        <v>24895</v>
      </c>
      <c r="E365" s="39" t="s">
        <v>1693</v>
      </c>
      <c r="F365" s="39" t="s">
        <v>1694</v>
      </c>
      <c r="G365" s="39" t="s">
        <v>115</v>
      </c>
      <c r="H365" s="39" t="s">
        <v>160</v>
      </c>
      <c r="I365" s="39" t="s">
        <v>117</v>
      </c>
      <c r="J365" s="39" t="s">
        <v>141</v>
      </c>
      <c r="K365" s="40">
        <v>46042</v>
      </c>
      <c r="L365" s="40">
        <v>46097</v>
      </c>
      <c r="M365" s="40"/>
      <c r="N365" s="40"/>
      <c r="O365" s="40"/>
      <c r="P365" s="40"/>
      <c r="Q365" s="40"/>
      <c r="R365" s="39" t="s">
        <v>142</v>
      </c>
      <c r="S365" s="39" t="s">
        <v>1686</v>
      </c>
      <c r="T365" s="39" t="s">
        <v>177</v>
      </c>
      <c r="U365" s="35" t="s">
        <v>81</v>
      </c>
      <c r="V365" s="39" t="s">
        <v>845</v>
      </c>
      <c r="W365" s="39" t="s">
        <v>123</v>
      </c>
      <c r="X365" s="39">
        <v>412.92</v>
      </c>
      <c r="Y365" s="39">
        <v>49.55</v>
      </c>
      <c r="Z365" s="39">
        <v>49.55</v>
      </c>
      <c r="AA365" s="39">
        <v>0</v>
      </c>
      <c r="AB365" s="39"/>
      <c r="AC365" s="39">
        <v>0</v>
      </c>
      <c r="AD365" s="39"/>
      <c r="AE365" s="39">
        <v>0</v>
      </c>
      <c r="AF365" s="39"/>
      <c r="AG365" s="39">
        <v>0</v>
      </c>
      <c r="AH365" s="39"/>
      <c r="AI365" s="41">
        <v>0</v>
      </c>
    </row>
    <row r="366" spans="1:35" x14ac:dyDescent="0.25">
      <c r="A366" s="34" t="s">
        <v>110</v>
      </c>
      <c r="B366" s="35" t="s">
        <v>1695</v>
      </c>
      <c r="C366" s="35" t="s">
        <v>1696</v>
      </c>
      <c r="D366" s="35">
        <v>26263</v>
      </c>
      <c r="E366" s="35" t="s">
        <v>1697</v>
      </c>
      <c r="F366" s="35" t="s">
        <v>1698</v>
      </c>
      <c r="G366" s="35" t="s">
        <v>115</v>
      </c>
      <c r="H366" s="35" t="s">
        <v>160</v>
      </c>
      <c r="I366" s="35" t="s">
        <v>117</v>
      </c>
      <c r="J366" s="35" t="s">
        <v>141</v>
      </c>
      <c r="K366" s="36">
        <v>46042</v>
      </c>
      <c r="L366" s="36">
        <v>46105</v>
      </c>
      <c r="M366" s="36"/>
      <c r="N366" s="36"/>
      <c r="O366" s="36"/>
      <c r="P366" s="36"/>
      <c r="Q366" s="36"/>
      <c r="R366" s="35" t="s">
        <v>142</v>
      </c>
      <c r="S366" s="35" t="s">
        <v>1699</v>
      </c>
      <c r="T366" s="35" t="s">
        <v>169</v>
      </c>
      <c r="U366" s="35" t="s">
        <v>81</v>
      </c>
      <c r="V366" s="35" t="s">
        <v>845</v>
      </c>
      <c r="W366" s="35" t="s">
        <v>123</v>
      </c>
      <c r="X366" s="35">
        <v>574.19000000000005</v>
      </c>
      <c r="Y366" s="35">
        <v>68.900000000000006</v>
      </c>
      <c r="Z366" s="35">
        <v>68.900000000000006</v>
      </c>
      <c r="AA366" s="35">
        <v>0</v>
      </c>
      <c r="AB366" s="35"/>
      <c r="AC366" s="35">
        <v>0</v>
      </c>
      <c r="AD366" s="35"/>
      <c r="AE366" s="35">
        <v>0</v>
      </c>
      <c r="AF366" s="35"/>
      <c r="AG366" s="35">
        <v>0</v>
      </c>
      <c r="AH366" s="35"/>
      <c r="AI366" s="37">
        <v>0</v>
      </c>
    </row>
    <row r="367" spans="1:35" x14ac:dyDescent="0.25">
      <c r="A367" s="38" t="s">
        <v>110</v>
      </c>
      <c r="B367" s="39" t="s">
        <v>1752</v>
      </c>
      <c r="C367" s="39" t="s">
        <v>1753</v>
      </c>
      <c r="D367" s="39">
        <v>19453</v>
      </c>
      <c r="E367" s="39" t="s">
        <v>1754</v>
      </c>
      <c r="F367" s="39" t="s">
        <v>1755</v>
      </c>
      <c r="G367" s="39" t="s">
        <v>115</v>
      </c>
      <c r="H367" s="39" t="s">
        <v>160</v>
      </c>
      <c r="I367" s="39" t="s">
        <v>117</v>
      </c>
      <c r="J367" s="39" t="s">
        <v>141</v>
      </c>
      <c r="K367" s="40">
        <v>46042</v>
      </c>
      <c r="L367" s="40">
        <v>46096</v>
      </c>
      <c r="M367" s="40"/>
      <c r="N367" s="40"/>
      <c r="O367" s="40"/>
      <c r="P367" s="40"/>
      <c r="Q367" s="40"/>
      <c r="R367" s="39" t="s">
        <v>187</v>
      </c>
      <c r="S367" s="39" t="s">
        <v>1703</v>
      </c>
      <c r="T367" s="39" t="s">
        <v>804</v>
      </c>
      <c r="U367" s="35" t="s">
        <v>87</v>
      </c>
      <c r="V367" s="39" t="s">
        <v>845</v>
      </c>
      <c r="W367" s="39" t="s">
        <v>123</v>
      </c>
      <c r="X367" s="39">
        <v>367.18</v>
      </c>
      <c r="Y367" s="39">
        <v>87.38</v>
      </c>
      <c r="Z367" s="39">
        <v>87.38</v>
      </c>
      <c r="AA367" s="39">
        <v>0</v>
      </c>
      <c r="AB367" s="39"/>
      <c r="AC367" s="39">
        <v>0</v>
      </c>
      <c r="AD367" s="39"/>
      <c r="AE367" s="39">
        <v>0</v>
      </c>
      <c r="AF367" s="39"/>
      <c r="AG367" s="39">
        <v>0</v>
      </c>
      <c r="AH367" s="39"/>
      <c r="AI367" s="41">
        <v>0</v>
      </c>
    </row>
    <row r="368" spans="1:35" x14ac:dyDescent="0.25">
      <c r="A368" s="34" t="s">
        <v>110</v>
      </c>
      <c r="B368" s="35" t="s">
        <v>1667</v>
      </c>
      <c r="C368" s="35" t="s">
        <v>1668</v>
      </c>
      <c r="D368" s="35">
        <v>32308</v>
      </c>
      <c r="E368" s="35" t="s">
        <v>1669</v>
      </c>
      <c r="F368" s="35" t="s">
        <v>1670</v>
      </c>
      <c r="G368" s="35" t="s">
        <v>174</v>
      </c>
      <c r="H368" s="35" t="s">
        <v>160</v>
      </c>
      <c r="I368" s="35" t="s">
        <v>117</v>
      </c>
      <c r="J368" s="35" t="s">
        <v>141</v>
      </c>
      <c r="K368" s="36">
        <v>46042</v>
      </c>
      <c r="L368" s="36">
        <v>46093</v>
      </c>
      <c r="M368" s="36"/>
      <c r="N368" s="36"/>
      <c r="O368" s="36"/>
      <c r="P368" s="36"/>
      <c r="Q368" s="36"/>
      <c r="R368" s="35" t="s">
        <v>187</v>
      </c>
      <c r="S368" s="35" t="s">
        <v>855</v>
      </c>
      <c r="T368" s="35" t="s">
        <v>83</v>
      </c>
      <c r="U368" s="35" t="s">
        <v>83</v>
      </c>
      <c r="V368" s="35" t="s">
        <v>845</v>
      </c>
      <c r="W368" s="35" t="s">
        <v>123</v>
      </c>
      <c r="X368" s="35">
        <v>187.02</v>
      </c>
      <c r="Y368" s="35">
        <v>46.75</v>
      </c>
      <c r="Z368" s="35">
        <v>46.75</v>
      </c>
      <c r="AA368" s="35">
        <v>0</v>
      </c>
      <c r="AB368" s="35"/>
      <c r="AC368" s="35">
        <v>0</v>
      </c>
      <c r="AD368" s="35"/>
      <c r="AE368" s="35">
        <v>0</v>
      </c>
      <c r="AF368" s="35"/>
      <c r="AG368" s="35">
        <v>0</v>
      </c>
      <c r="AH368" s="35"/>
      <c r="AI368" s="37">
        <v>0</v>
      </c>
    </row>
    <row r="369" spans="1:35" x14ac:dyDescent="0.25">
      <c r="A369" s="38" t="s">
        <v>110</v>
      </c>
      <c r="B369" s="39" t="s">
        <v>1687</v>
      </c>
      <c r="C369" s="39" t="s">
        <v>1688</v>
      </c>
      <c r="D369" s="39">
        <v>32164</v>
      </c>
      <c r="E369" s="39" t="s">
        <v>1689</v>
      </c>
      <c r="F369" s="39" t="s">
        <v>1690</v>
      </c>
      <c r="G369" s="39" t="s">
        <v>115</v>
      </c>
      <c r="H369" s="39" t="s">
        <v>116</v>
      </c>
      <c r="I369" s="39" t="s">
        <v>117</v>
      </c>
      <c r="J369" s="39" t="s">
        <v>141</v>
      </c>
      <c r="K369" s="40">
        <v>46042</v>
      </c>
      <c r="L369" s="40">
        <v>46112</v>
      </c>
      <c r="M369" s="40"/>
      <c r="N369" s="40"/>
      <c r="O369" s="40"/>
      <c r="P369" s="40"/>
      <c r="Q369" s="40"/>
      <c r="R369" s="39" t="s">
        <v>142</v>
      </c>
      <c r="S369" s="39" t="s">
        <v>1675</v>
      </c>
      <c r="T369" s="39" t="s">
        <v>177</v>
      </c>
      <c r="U369" s="35" t="s">
        <v>81</v>
      </c>
      <c r="V369" s="39" t="s">
        <v>845</v>
      </c>
      <c r="W369" s="39" t="s">
        <v>123</v>
      </c>
      <c r="X369" s="39">
        <v>260.64999999999998</v>
      </c>
      <c r="Y369" s="39">
        <v>31.28</v>
      </c>
      <c r="Z369" s="39">
        <v>31.28</v>
      </c>
      <c r="AA369" s="39">
        <v>0</v>
      </c>
      <c r="AB369" s="39"/>
      <c r="AC369" s="39">
        <v>0</v>
      </c>
      <c r="AD369" s="39"/>
      <c r="AE369" s="39">
        <v>0</v>
      </c>
      <c r="AF369" s="39"/>
      <c r="AG369" s="39">
        <v>0</v>
      </c>
      <c r="AH369" s="39"/>
      <c r="AI369" s="41">
        <v>0</v>
      </c>
    </row>
    <row r="370" spans="1:35" x14ac:dyDescent="0.25">
      <c r="A370" s="34" t="s">
        <v>110</v>
      </c>
      <c r="B370" s="35" t="s">
        <v>304</v>
      </c>
      <c r="C370" s="35" t="s">
        <v>305</v>
      </c>
      <c r="D370" s="35">
        <v>30941</v>
      </c>
      <c r="E370" s="35" t="s">
        <v>306</v>
      </c>
      <c r="F370" s="35" t="s">
        <v>307</v>
      </c>
      <c r="G370" s="35" t="s">
        <v>174</v>
      </c>
      <c r="H370" s="35" t="s">
        <v>160</v>
      </c>
      <c r="I370" s="35" t="s">
        <v>217</v>
      </c>
      <c r="J370" s="35" t="s">
        <v>118</v>
      </c>
      <c r="K370" s="36">
        <v>46043</v>
      </c>
      <c r="L370" s="36">
        <v>45755</v>
      </c>
      <c r="M370" s="36">
        <v>46051</v>
      </c>
      <c r="N370" s="36"/>
      <c r="O370" s="36"/>
      <c r="P370" s="36">
        <v>46082</v>
      </c>
      <c r="Q370" s="36">
        <v>46056</v>
      </c>
      <c r="R370" s="35" t="s">
        <v>218</v>
      </c>
      <c r="S370" s="35" t="s">
        <v>225</v>
      </c>
      <c r="T370" s="35" t="s">
        <v>225</v>
      </c>
      <c r="U370" s="35" t="s">
        <v>88</v>
      </c>
      <c r="V370" s="35" t="s">
        <v>226</v>
      </c>
      <c r="W370" s="35" t="s">
        <v>123</v>
      </c>
      <c r="X370" s="35">
        <v>100</v>
      </c>
      <c r="Y370" s="35">
        <v>18.18</v>
      </c>
      <c r="Z370" s="35">
        <v>18.18</v>
      </c>
      <c r="AA370" s="35">
        <v>0</v>
      </c>
      <c r="AB370" s="35"/>
      <c r="AC370" s="35">
        <v>0</v>
      </c>
      <c r="AD370" s="35" t="s">
        <v>308</v>
      </c>
      <c r="AE370" s="35">
        <v>10</v>
      </c>
      <c r="AF370" s="35"/>
      <c r="AG370" s="35">
        <v>0</v>
      </c>
      <c r="AH370" s="35"/>
      <c r="AI370" s="37">
        <v>0</v>
      </c>
    </row>
    <row r="371" spans="1:35" x14ac:dyDescent="0.25">
      <c r="A371" s="38" t="s">
        <v>110</v>
      </c>
      <c r="B371" s="39" t="s">
        <v>1049</v>
      </c>
      <c r="C371" s="39" t="s">
        <v>1050</v>
      </c>
      <c r="D371" s="39">
        <v>32538</v>
      </c>
      <c r="E371" s="39" t="s">
        <v>1056</v>
      </c>
      <c r="F371" s="39" t="s">
        <v>1057</v>
      </c>
      <c r="G371" s="39" t="s">
        <v>174</v>
      </c>
      <c r="H371" s="39" t="s">
        <v>160</v>
      </c>
      <c r="I371" s="39" t="s">
        <v>217</v>
      </c>
      <c r="J371" s="39" t="s">
        <v>118</v>
      </c>
      <c r="K371" s="40">
        <v>46043</v>
      </c>
      <c r="L371" s="40">
        <v>46035</v>
      </c>
      <c r="M371" s="40">
        <v>46044</v>
      </c>
      <c r="N371" s="40"/>
      <c r="O371" s="40"/>
      <c r="P371" s="40">
        <v>46047</v>
      </c>
      <c r="Q371" s="40"/>
      <c r="R371" s="39" t="s">
        <v>218</v>
      </c>
      <c r="S371" s="39" t="s">
        <v>1018</v>
      </c>
      <c r="T371" s="39" t="s">
        <v>1018</v>
      </c>
      <c r="U371" s="35" t="s">
        <v>82</v>
      </c>
      <c r="V371" s="39" t="s">
        <v>226</v>
      </c>
      <c r="W371" s="39" t="s">
        <v>123</v>
      </c>
      <c r="X371" s="39">
        <v>1830.66</v>
      </c>
      <c r="Y371" s="39">
        <v>332.85</v>
      </c>
      <c r="Z371" s="39">
        <v>332.85</v>
      </c>
      <c r="AA371" s="39">
        <v>0</v>
      </c>
      <c r="AB371" s="39"/>
      <c r="AC371" s="39">
        <v>0</v>
      </c>
      <c r="AD371" s="39" t="s">
        <v>1053</v>
      </c>
      <c r="AE371" s="39">
        <v>183.07</v>
      </c>
      <c r="AF371" s="39"/>
      <c r="AG371" s="39">
        <v>0</v>
      </c>
      <c r="AH371" s="39"/>
      <c r="AI371" s="41">
        <v>0</v>
      </c>
    </row>
    <row r="372" spans="1:35" x14ac:dyDescent="0.25">
      <c r="A372" s="34" t="s">
        <v>110</v>
      </c>
      <c r="B372" s="35" t="s">
        <v>1019</v>
      </c>
      <c r="C372" s="35" t="s">
        <v>1023</v>
      </c>
      <c r="D372" s="35">
        <v>32106</v>
      </c>
      <c r="E372" s="35" t="s">
        <v>1824</v>
      </c>
      <c r="F372" s="35" t="s">
        <v>1825</v>
      </c>
      <c r="G372" s="35" t="s">
        <v>174</v>
      </c>
      <c r="H372" s="35" t="s">
        <v>160</v>
      </c>
      <c r="I372" s="35" t="s">
        <v>217</v>
      </c>
      <c r="J372" s="35" t="s">
        <v>118</v>
      </c>
      <c r="K372" s="36">
        <v>46043</v>
      </c>
      <c r="L372" s="36">
        <v>45951</v>
      </c>
      <c r="M372" s="36">
        <v>46080</v>
      </c>
      <c r="N372" s="36"/>
      <c r="O372" s="36"/>
      <c r="P372" s="36"/>
      <c r="Q372" s="36"/>
      <c r="R372" s="35" t="s">
        <v>218</v>
      </c>
      <c r="S372" s="35" t="s">
        <v>1018</v>
      </c>
      <c r="T372" s="35" t="s">
        <v>1018</v>
      </c>
      <c r="U372" s="35" t="s">
        <v>82</v>
      </c>
      <c r="V372" s="35" t="s">
        <v>226</v>
      </c>
      <c r="W372" s="35" t="s">
        <v>123</v>
      </c>
      <c r="X372" s="35">
        <v>-509.7</v>
      </c>
      <c r="Y372" s="35">
        <v>-92.67</v>
      </c>
      <c r="Z372" s="35">
        <v>-92.67</v>
      </c>
      <c r="AA372" s="35">
        <v>0</v>
      </c>
      <c r="AB372" s="35"/>
      <c r="AC372" s="35">
        <v>0</v>
      </c>
      <c r="AD372" s="35"/>
      <c r="AE372" s="35">
        <v>0</v>
      </c>
      <c r="AF372" s="35"/>
      <c r="AG372" s="35">
        <v>0</v>
      </c>
      <c r="AH372" s="35"/>
      <c r="AI372" s="37">
        <v>0</v>
      </c>
    </row>
    <row r="373" spans="1:35" x14ac:dyDescent="0.25">
      <c r="A373" s="38" t="s">
        <v>110</v>
      </c>
      <c r="B373" s="39" t="s">
        <v>1019</v>
      </c>
      <c r="C373" s="39" t="s">
        <v>1023</v>
      </c>
      <c r="D373" s="39">
        <v>32106</v>
      </c>
      <c r="E373" s="39" t="s">
        <v>1024</v>
      </c>
      <c r="F373" s="39" t="s">
        <v>1025</v>
      </c>
      <c r="G373" s="39" t="s">
        <v>174</v>
      </c>
      <c r="H373" s="39" t="s">
        <v>160</v>
      </c>
      <c r="I373" s="39" t="s">
        <v>217</v>
      </c>
      <c r="J373" s="39" t="s">
        <v>118</v>
      </c>
      <c r="K373" s="40">
        <v>46043</v>
      </c>
      <c r="L373" s="40">
        <v>45951</v>
      </c>
      <c r="M373" s="40">
        <v>46043</v>
      </c>
      <c r="N373" s="40"/>
      <c r="O373" s="40"/>
      <c r="P373" s="40"/>
      <c r="Q373" s="40">
        <v>46056</v>
      </c>
      <c r="R373" s="39" t="s">
        <v>218</v>
      </c>
      <c r="S373" s="39" t="s">
        <v>1018</v>
      </c>
      <c r="T373" s="39" t="s">
        <v>1018</v>
      </c>
      <c r="U373" s="35" t="s">
        <v>82</v>
      </c>
      <c r="V373" s="39" t="s">
        <v>226</v>
      </c>
      <c r="W373" s="39" t="s">
        <v>123</v>
      </c>
      <c r="X373" s="39">
        <v>101.94</v>
      </c>
      <c r="Y373" s="39">
        <v>18.53</v>
      </c>
      <c r="Z373" s="39">
        <v>18.53</v>
      </c>
      <c r="AA373" s="39">
        <v>0</v>
      </c>
      <c r="AB373" s="39"/>
      <c r="AC373" s="39">
        <v>0</v>
      </c>
      <c r="AD373" s="39"/>
      <c r="AE373" s="39">
        <v>0</v>
      </c>
      <c r="AF373" s="39"/>
      <c r="AG373" s="39">
        <v>0</v>
      </c>
      <c r="AH373" s="39"/>
      <c r="AI373" s="41">
        <v>0</v>
      </c>
    </row>
    <row r="374" spans="1:35" x14ac:dyDescent="0.25">
      <c r="A374" s="34" t="s">
        <v>110</v>
      </c>
      <c r="B374" s="35" t="s">
        <v>321</v>
      </c>
      <c r="C374" s="35" t="s">
        <v>322</v>
      </c>
      <c r="D374" s="35">
        <v>32563</v>
      </c>
      <c r="E374" s="35" t="s">
        <v>323</v>
      </c>
      <c r="F374" s="35" t="s">
        <v>324</v>
      </c>
      <c r="G374" s="35" t="s">
        <v>174</v>
      </c>
      <c r="H374" s="35" t="s">
        <v>160</v>
      </c>
      <c r="I374" s="35" t="s">
        <v>217</v>
      </c>
      <c r="J374" s="35" t="s">
        <v>118</v>
      </c>
      <c r="K374" s="36">
        <v>46043</v>
      </c>
      <c r="L374" s="36">
        <v>46042</v>
      </c>
      <c r="M374" s="36">
        <v>46043</v>
      </c>
      <c r="N374" s="36"/>
      <c r="O374" s="36"/>
      <c r="P374" s="36"/>
      <c r="Q374" s="36">
        <v>46056</v>
      </c>
      <c r="R374" s="35" t="s">
        <v>218</v>
      </c>
      <c r="S374" s="35" t="s">
        <v>225</v>
      </c>
      <c r="T374" s="35" t="s">
        <v>225</v>
      </c>
      <c r="U374" s="35" t="s">
        <v>88</v>
      </c>
      <c r="V374" s="35" t="s">
        <v>226</v>
      </c>
      <c r="W374" s="35" t="s">
        <v>123</v>
      </c>
      <c r="X374" s="35">
        <v>693.48</v>
      </c>
      <c r="Y374" s="35">
        <v>126.08</v>
      </c>
      <c r="Z374" s="35">
        <v>126.08</v>
      </c>
      <c r="AA374" s="35">
        <v>0</v>
      </c>
      <c r="AB374" s="35"/>
      <c r="AC374" s="35">
        <v>0</v>
      </c>
      <c r="AD374" s="35"/>
      <c r="AE374" s="35">
        <v>0</v>
      </c>
      <c r="AF374" s="35"/>
      <c r="AG374" s="35">
        <v>0</v>
      </c>
      <c r="AH374" s="35"/>
      <c r="AI374" s="37">
        <v>0</v>
      </c>
    </row>
    <row r="375" spans="1:35" x14ac:dyDescent="0.25">
      <c r="A375" s="38" t="s">
        <v>110</v>
      </c>
      <c r="B375" s="39" t="s">
        <v>1081</v>
      </c>
      <c r="C375" s="39" t="s">
        <v>1082</v>
      </c>
      <c r="D375" s="39">
        <v>32244</v>
      </c>
      <c r="E375" s="39" t="s">
        <v>1085</v>
      </c>
      <c r="F375" s="39" t="s">
        <v>1086</v>
      </c>
      <c r="G375" s="39" t="s">
        <v>174</v>
      </c>
      <c r="H375" s="39" t="s">
        <v>160</v>
      </c>
      <c r="I375" s="39" t="s">
        <v>217</v>
      </c>
      <c r="J375" s="39" t="s">
        <v>118</v>
      </c>
      <c r="K375" s="40">
        <v>46043</v>
      </c>
      <c r="L375" s="40">
        <v>45981</v>
      </c>
      <c r="M375" s="40">
        <v>46063</v>
      </c>
      <c r="N375" s="40"/>
      <c r="O375" s="40"/>
      <c r="P375" s="40"/>
      <c r="Q375" s="40">
        <v>46068</v>
      </c>
      <c r="R375" s="39" t="s">
        <v>218</v>
      </c>
      <c r="S375" s="39" t="s">
        <v>1018</v>
      </c>
      <c r="T375" s="39" t="s">
        <v>1018</v>
      </c>
      <c r="U375" s="35" t="s">
        <v>82</v>
      </c>
      <c r="V375" s="39" t="s">
        <v>226</v>
      </c>
      <c r="W375" s="39" t="s">
        <v>123</v>
      </c>
      <c r="X375" s="39">
        <v>-7208.04</v>
      </c>
      <c r="Y375" s="39">
        <v>-1310.56</v>
      </c>
      <c r="Z375" s="39">
        <v>-1310.56</v>
      </c>
      <c r="AA375" s="39">
        <v>0</v>
      </c>
      <c r="AB375" s="39"/>
      <c r="AC375" s="39">
        <v>0</v>
      </c>
      <c r="AD375" s="39"/>
      <c r="AE375" s="39">
        <v>0</v>
      </c>
      <c r="AF375" s="39"/>
      <c r="AG375" s="39">
        <v>0</v>
      </c>
      <c r="AH375" s="39"/>
      <c r="AI375" s="41">
        <v>0</v>
      </c>
    </row>
    <row r="376" spans="1:35" x14ac:dyDescent="0.25">
      <c r="A376" s="34" t="s">
        <v>110</v>
      </c>
      <c r="B376" s="35" t="s">
        <v>1174</v>
      </c>
      <c r="C376" s="35" t="s">
        <v>1175</v>
      </c>
      <c r="D376" s="35">
        <v>32500</v>
      </c>
      <c r="E376" s="35" t="s">
        <v>1178</v>
      </c>
      <c r="F376" s="35" t="s">
        <v>1179</v>
      </c>
      <c r="G376" s="35" t="s">
        <v>174</v>
      </c>
      <c r="H376" s="35" t="s">
        <v>160</v>
      </c>
      <c r="I376" s="35" t="s">
        <v>217</v>
      </c>
      <c r="J376" s="35" t="s">
        <v>118</v>
      </c>
      <c r="K376" s="36">
        <v>46043</v>
      </c>
      <c r="L376" s="36">
        <v>46024</v>
      </c>
      <c r="M376" s="36">
        <v>46049</v>
      </c>
      <c r="N376" s="36"/>
      <c r="O376" s="36"/>
      <c r="P376" s="36"/>
      <c r="Q376" s="36">
        <v>46056</v>
      </c>
      <c r="R376" s="35" t="s">
        <v>218</v>
      </c>
      <c r="S376" s="35" t="s">
        <v>1018</v>
      </c>
      <c r="T376" s="35" t="s">
        <v>1018</v>
      </c>
      <c r="U376" s="35" t="s">
        <v>82</v>
      </c>
      <c r="V376" s="35" t="s">
        <v>226</v>
      </c>
      <c r="W376" s="35" t="s">
        <v>123</v>
      </c>
      <c r="X376" s="35">
        <v>141.74</v>
      </c>
      <c r="Y376" s="35">
        <v>25.77</v>
      </c>
      <c r="Z376" s="35">
        <v>25.77</v>
      </c>
      <c r="AA376" s="35">
        <v>0</v>
      </c>
      <c r="AB376" s="35"/>
      <c r="AC376" s="35">
        <v>0</v>
      </c>
      <c r="AD376" s="35"/>
      <c r="AE376" s="35">
        <v>0</v>
      </c>
      <c r="AF376" s="35"/>
      <c r="AG376" s="35">
        <v>0</v>
      </c>
      <c r="AH376" s="35"/>
      <c r="AI376" s="37">
        <v>0</v>
      </c>
    </row>
    <row r="377" spans="1:35" x14ac:dyDescent="0.25">
      <c r="A377" s="38" t="s">
        <v>110</v>
      </c>
      <c r="B377" s="39" t="s">
        <v>1220</v>
      </c>
      <c r="C377" s="39" t="s">
        <v>1221</v>
      </c>
      <c r="D377" s="39">
        <v>32564</v>
      </c>
      <c r="E377" s="39" t="s">
        <v>1222</v>
      </c>
      <c r="F377" s="39" t="s">
        <v>1223</v>
      </c>
      <c r="G377" s="39" t="s">
        <v>174</v>
      </c>
      <c r="H377" s="39" t="s">
        <v>160</v>
      </c>
      <c r="I377" s="39" t="s">
        <v>217</v>
      </c>
      <c r="J377" s="39" t="s">
        <v>118</v>
      </c>
      <c r="K377" s="40">
        <v>46043</v>
      </c>
      <c r="L377" s="40">
        <v>46042</v>
      </c>
      <c r="M377" s="40">
        <v>46049</v>
      </c>
      <c r="N377" s="40"/>
      <c r="O377" s="40"/>
      <c r="P377" s="40"/>
      <c r="Q377" s="40">
        <v>46056</v>
      </c>
      <c r="R377" s="39" t="s">
        <v>218</v>
      </c>
      <c r="S377" s="39" t="s">
        <v>1018</v>
      </c>
      <c r="T377" s="39" t="s">
        <v>1018</v>
      </c>
      <c r="U377" s="35" t="s">
        <v>82</v>
      </c>
      <c r="V377" s="39" t="s">
        <v>226</v>
      </c>
      <c r="W377" s="39" t="s">
        <v>123</v>
      </c>
      <c r="X377" s="39">
        <v>3095.46</v>
      </c>
      <c r="Y377" s="39">
        <v>562.82000000000005</v>
      </c>
      <c r="Z377" s="39">
        <v>562.82000000000005</v>
      </c>
      <c r="AA377" s="39">
        <v>0</v>
      </c>
      <c r="AB377" s="39"/>
      <c r="AC377" s="39">
        <v>0</v>
      </c>
      <c r="AD377" s="39"/>
      <c r="AE377" s="39">
        <v>0</v>
      </c>
      <c r="AF377" s="39"/>
      <c r="AG377" s="39">
        <v>0</v>
      </c>
      <c r="AH377" s="39"/>
      <c r="AI377" s="41">
        <v>0</v>
      </c>
    </row>
    <row r="378" spans="1:35" x14ac:dyDescent="0.25">
      <c r="A378" s="34" t="s">
        <v>110</v>
      </c>
      <c r="B378" s="35" t="s">
        <v>1246</v>
      </c>
      <c r="C378" s="35" t="s">
        <v>1247</v>
      </c>
      <c r="D378" s="35">
        <v>32565</v>
      </c>
      <c r="E378" s="35" t="s">
        <v>1248</v>
      </c>
      <c r="F378" s="35" t="s">
        <v>1249</v>
      </c>
      <c r="G378" s="35" t="s">
        <v>174</v>
      </c>
      <c r="H378" s="35" t="s">
        <v>160</v>
      </c>
      <c r="I378" s="35" t="s">
        <v>217</v>
      </c>
      <c r="J378" s="35" t="s">
        <v>118</v>
      </c>
      <c r="K378" s="36">
        <v>46043</v>
      </c>
      <c r="L378" s="36">
        <v>46041</v>
      </c>
      <c r="M378" s="36">
        <v>46042</v>
      </c>
      <c r="N378" s="36"/>
      <c r="O378" s="36"/>
      <c r="P378" s="36">
        <v>46044</v>
      </c>
      <c r="Q378" s="36">
        <v>46056</v>
      </c>
      <c r="R378" s="35" t="s">
        <v>218</v>
      </c>
      <c r="S378" s="35" t="s">
        <v>1018</v>
      </c>
      <c r="T378" s="35" t="s">
        <v>1018</v>
      </c>
      <c r="U378" s="35" t="s">
        <v>82</v>
      </c>
      <c r="V378" s="35" t="s">
        <v>226</v>
      </c>
      <c r="W378" s="35" t="s">
        <v>123</v>
      </c>
      <c r="X378" s="35">
        <v>719.37</v>
      </c>
      <c r="Y378" s="35">
        <v>130.80000000000001</v>
      </c>
      <c r="Z378" s="35">
        <v>130.80000000000001</v>
      </c>
      <c r="AA378" s="35">
        <v>0</v>
      </c>
      <c r="AB378" s="35"/>
      <c r="AC378" s="35">
        <v>0</v>
      </c>
      <c r="AD378" s="35" t="s">
        <v>1250</v>
      </c>
      <c r="AE378" s="35">
        <v>71.94</v>
      </c>
      <c r="AF378" s="35"/>
      <c r="AG378" s="35">
        <v>0</v>
      </c>
      <c r="AH378" s="35"/>
      <c r="AI378" s="37">
        <v>0</v>
      </c>
    </row>
    <row r="379" spans="1:35" x14ac:dyDescent="0.25">
      <c r="A379" s="38" t="s">
        <v>110</v>
      </c>
      <c r="B379" s="39" t="s">
        <v>420</v>
      </c>
      <c r="C379" s="39" t="s">
        <v>1269</v>
      </c>
      <c r="D379" s="39">
        <v>32544</v>
      </c>
      <c r="E379" s="39" t="s">
        <v>1272</v>
      </c>
      <c r="F379" s="39" t="s">
        <v>1273</v>
      </c>
      <c r="G379" s="39" t="s">
        <v>174</v>
      </c>
      <c r="H379" s="39" t="s">
        <v>160</v>
      </c>
      <c r="I379" s="39" t="s">
        <v>217</v>
      </c>
      <c r="J379" s="39" t="s">
        <v>118</v>
      </c>
      <c r="K379" s="40">
        <v>46043</v>
      </c>
      <c r="L379" s="40">
        <v>46037</v>
      </c>
      <c r="M379" s="40">
        <v>46051</v>
      </c>
      <c r="N379" s="40"/>
      <c r="O379" s="40"/>
      <c r="P379" s="40"/>
      <c r="Q379" s="40"/>
      <c r="R379" s="39" t="s">
        <v>218</v>
      </c>
      <c r="S379" s="39" t="s">
        <v>1018</v>
      </c>
      <c r="T379" s="39" t="s">
        <v>1018</v>
      </c>
      <c r="U379" s="35" t="s">
        <v>82</v>
      </c>
      <c r="V379" s="39" t="s">
        <v>226</v>
      </c>
      <c r="W379" s="39" t="s">
        <v>123</v>
      </c>
      <c r="X379" s="39">
        <v>-855.98</v>
      </c>
      <c r="Y379" s="39">
        <v>-155.63999999999999</v>
      </c>
      <c r="Z379" s="39">
        <v>-155.63999999999999</v>
      </c>
      <c r="AA379" s="39">
        <v>0</v>
      </c>
      <c r="AB379" s="39"/>
      <c r="AC379" s="39">
        <v>0</v>
      </c>
      <c r="AD379" s="39"/>
      <c r="AE379" s="39">
        <v>0</v>
      </c>
      <c r="AF379" s="39"/>
      <c r="AG379" s="39">
        <v>0</v>
      </c>
      <c r="AH379" s="39"/>
      <c r="AI379" s="41">
        <v>0</v>
      </c>
    </row>
    <row r="380" spans="1:35" x14ac:dyDescent="0.25">
      <c r="A380" s="34" t="s">
        <v>110</v>
      </c>
      <c r="B380" s="35" t="s">
        <v>1019</v>
      </c>
      <c r="C380" s="35" t="s">
        <v>1850</v>
      </c>
      <c r="D380" s="35">
        <v>32566</v>
      </c>
      <c r="E380" s="35" t="s">
        <v>1851</v>
      </c>
      <c r="F380" s="35" t="s">
        <v>1852</v>
      </c>
      <c r="G380" s="35" t="s">
        <v>174</v>
      </c>
      <c r="H380" s="35" t="s">
        <v>160</v>
      </c>
      <c r="I380" s="35" t="s">
        <v>217</v>
      </c>
      <c r="J380" s="35" t="s">
        <v>118</v>
      </c>
      <c r="K380" s="36">
        <v>46043</v>
      </c>
      <c r="L380" s="36">
        <v>46041</v>
      </c>
      <c r="M380" s="36">
        <v>46083</v>
      </c>
      <c r="N380" s="36"/>
      <c r="O380" s="36"/>
      <c r="P380" s="36"/>
      <c r="Q380" s="36"/>
      <c r="R380" s="35" t="s">
        <v>218</v>
      </c>
      <c r="S380" s="35" t="s">
        <v>1018</v>
      </c>
      <c r="T380" s="35" t="s">
        <v>1018</v>
      </c>
      <c r="U380" s="35" t="s">
        <v>82</v>
      </c>
      <c r="V380" s="35" t="s">
        <v>226</v>
      </c>
      <c r="W380" s="35" t="s">
        <v>123</v>
      </c>
      <c r="X380" s="35">
        <v>874.93</v>
      </c>
      <c r="Y380" s="35">
        <v>159.08000000000001</v>
      </c>
      <c r="Z380" s="35">
        <v>159.08000000000001</v>
      </c>
      <c r="AA380" s="35">
        <v>0</v>
      </c>
      <c r="AB380" s="35"/>
      <c r="AC380" s="35">
        <v>0</v>
      </c>
      <c r="AD380" s="35"/>
      <c r="AE380" s="35">
        <v>0</v>
      </c>
      <c r="AF380" s="35"/>
      <c r="AG380" s="35">
        <v>0</v>
      </c>
      <c r="AH380" s="35"/>
      <c r="AI380" s="37">
        <v>0</v>
      </c>
    </row>
    <row r="381" spans="1:35" x14ac:dyDescent="0.25">
      <c r="A381" s="38" t="s">
        <v>110</v>
      </c>
      <c r="B381" s="39" t="s">
        <v>1019</v>
      </c>
      <c r="C381" s="39" t="s">
        <v>1850</v>
      </c>
      <c r="D381" s="39">
        <v>32566</v>
      </c>
      <c r="E381" s="39" t="s">
        <v>1853</v>
      </c>
      <c r="F381" s="39" t="s">
        <v>1854</v>
      </c>
      <c r="G381" s="39" t="s">
        <v>174</v>
      </c>
      <c r="H381" s="39" t="s">
        <v>160</v>
      </c>
      <c r="I381" s="39" t="s">
        <v>217</v>
      </c>
      <c r="J381" s="39" t="s">
        <v>141</v>
      </c>
      <c r="K381" s="40">
        <v>46043</v>
      </c>
      <c r="L381" s="40">
        <v>46041</v>
      </c>
      <c r="M381" s="40"/>
      <c r="N381" s="40"/>
      <c r="O381" s="40"/>
      <c r="P381" s="40"/>
      <c r="Q381" s="40"/>
      <c r="R381" s="39" t="s">
        <v>218</v>
      </c>
      <c r="S381" s="39" t="s">
        <v>1018</v>
      </c>
      <c r="T381" s="39" t="s">
        <v>1018</v>
      </c>
      <c r="U381" s="35" t="s">
        <v>82</v>
      </c>
      <c r="V381" s="39" t="s">
        <v>226</v>
      </c>
      <c r="W381" s="39" t="s">
        <v>123</v>
      </c>
      <c r="X381" s="39">
        <v>-174.99</v>
      </c>
      <c r="Y381" s="39">
        <v>-31.81</v>
      </c>
      <c r="Z381" s="39">
        <v>-31.81</v>
      </c>
      <c r="AA381" s="39">
        <v>0</v>
      </c>
      <c r="AB381" s="39"/>
      <c r="AC381" s="39">
        <v>0</v>
      </c>
      <c r="AD381" s="39"/>
      <c r="AE381" s="39">
        <v>0</v>
      </c>
      <c r="AF381" s="39"/>
      <c r="AG381" s="39">
        <v>0</v>
      </c>
      <c r="AH381" s="39"/>
      <c r="AI381" s="41">
        <v>0</v>
      </c>
    </row>
    <row r="382" spans="1:35" x14ac:dyDescent="0.25">
      <c r="A382" s="34" t="s">
        <v>110</v>
      </c>
      <c r="B382" s="35" t="s">
        <v>1019</v>
      </c>
      <c r="C382" s="35" t="s">
        <v>1855</v>
      </c>
      <c r="D382" s="35">
        <v>32567</v>
      </c>
      <c r="E382" s="35" t="s">
        <v>1856</v>
      </c>
      <c r="F382" s="35" t="s">
        <v>1857</v>
      </c>
      <c r="G382" s="35" t="s">
        <v>174</v>
      </c>
      <c r="H382" s="35" t="s">
        <v>160</v>
      </c>
      <c r="I382" s="35" t="s">
        <v>217</v>
      </c>
      <c r="J382" s="35" t="s">
        <v>118</v>
      </c>
      <c r="K382" s="36">
        <v>46043</v>
      </c>
      <c r="L382" s="36">
        <v>46041</v>
      </c>
      <c r="M382" s="36">
        <v>46083</v>
      </c>
      <c r="N382" s="36"/>
      <c r="O382" s="36"/>
      <c r="P382" s="36"/>
      <c r="Q382" s="36"/>
      <c r="R382" s="35" t="s">
        <v>218</v>
      </c>
      <c r="S382" s="35" t="s">
        <v>1018</v>
      </c>
      <c r="T382" s="35" t="s">
        <v>1018</v>
      </c>
      <c r="U382" s="35" t="s">
        <v>82</v>
      </c>
      <c r="V382" s="35" t="s">
        <v>226</v>
      </c>
      <c r="W382" s="35" t="s">
        <v>123</v>
      </c>
      <c r="X382" s="35">
        <v>123.38</v>
      </c>
      <c r="Y382" s="35">
        <v>22.44</v>
      </c>
      <c r="Z382" s="35">
        <v>22.44</v>
      </c>
      <c r="AA382" s="35">
        <v>0</v>
      </c>
      <c r="AB382" s="35"/>
      <c r="AC382" s="35">
        <v>0</v>
      </c>
      <c r="AD382" s="35"/>
      <c r="AE382" s="35">
        <v>0</v>
      </c>
      <c r="AF382" s="35"/>
      <c r="AG382" s="35">
        <v>0</v>
      </c>
      <c r="AH382" s="35"/>
      <c r="AI382" s="37">
        <v>0</v>
      </c>
    </row>
    <row r="383" spans="1:35" x14ac:dyDescent="0.25">
      <c r="A383" s="38" t="s">
        <v>110</v>
      </c>
      <c r="B383" s="39" t="s">
        <v>1019</v>
      </c>
      <c r="C383" s="39" t="s">
        <v>1855</v>
      </c>
      <c r="D383" s="39">
        <v>32567</v>
      </c>
      <c r="E383" s="39" t="s">
        <v>1858</v>
      </c>
      <c r="F383" s="39" t="s">
        <v>1859</v>
      </c>
      <c r="G383" s="39" t="s">
        <v>174</v>
      </c>
      <c r="H383" s="39" t="s">
        <v>160</v>
      </c>
      <c r="I383" s="39" t="s">
        <v>217</v>
      </c>
      <c r="J383" s="39" t="s">
        <v>141</v>
      </c>
      <c r="K383" s="40">
        <v>46043</v>
      </c>
      <c r="L383" s="40">
        <v>46041</v>
      </c>
      <c r="M383" s="40"/>
      <c r="N383" s="40"/>
      <c r="O383" s="40"/>
      <c r="P383" s="40"/>
      <c r="Q383" s="40"/>
      <c r="R383" s="39" t="s">
        <v>218</v>
      </c>
      <c r="S383" s="39" t="s">
        <v>1018</v>
      </c>
      <c r="T383" s="39" t="s">
        <v>1018</v>
      </c>
      <c r="U383" s="35" t="s">
        <v>82</v>
      </c>
      <c r="V383" s="39" t="s">
        <v>226</v>
      </c>
      <c r="W383" s="39" t="s">
        <v>123</v>
      </c>
      <c r="X383" s="39">
        <v>-24.68</v>
      </c>
      <c r="Y383" s="39">
        <v>-4.49</v>
      </c>
      <c r="Z383" s="39">
        <v>-4.49</v>
      </c>
      <c r="AA383" s="39">
        <v>0</v>
      </c>
      <c r="AB383" s="39"/>
      <c r="AC383" s="39">
        <v>0</v>
      </c>
      <c r="AD383" s="39"/>
      <c r="AE383" s="39">
        <v>0</v>
      </c>
      <c r="AF383" s="39"/>
      <c r="AG383" s="39">
        <v>0</v>
      </c>
      <c r="AH383" s="39"/>
      <c r="AI383" s="41">
        <v>0</v>
      </c>
    </row>
    <row r="384" spans="1:35" x14ac:dyDescent="0.25">
      <c r="A384" s="34" t="s">
        <v>110</v>
      </c>
      <c r="B384" s="35" t="s">
        <v>1019</v>
      </c>
      <c r="C384" s="35" t="s">
        <v>1860</v>
      </c>
      <c r="D384" s="35">
        <v>32568</v>
      </c>
      <c r="E384" s="35" t="s">
        <v>1861</v>
      </c>
      <c r="F384" s="35" t="s">
        <v>1862</v>
      </c>
      <c r="G384" s="35" t="s">
        <v>174</v>
      </c>
      <c r="H384" s="35" t="s">
        <v>160</v>
      </c>
      <c r="I384" s="35" t="s">
        <v>217</v>
      </c>
      <c r="J384" s="35" t="s">
        <v>118</v>
      </c>
      <c r="K384" s="36">
        <v>46043</v>
      </c>
      <c r="L384" s="36">
        <v>46041</v>
      </c>
      <c r="M384" s="36">
        <v>46083</v>
      </c>
      <c r="N384" s="36"/>
      <c r="O384" s="36"/>
      <c r="P384" s="36"/>
      <c r="Q384" s="36"/>
      <c r="R384" s="35" t="s">
        <v>218</v>
      </c>
      <c r="S384" s="35" t="s">
        <v>1018</v>
      </c>
      <c r="T384" s="35" t="s">
        <v>1018</v>
      </c>
      <c r="U384" s="35" t="s">
        <v>82</v>
      </c>
      <c r="V384" s="35" t="s">
        <v>226</v>
      </c>
      <c r="W384" s="35" t="s">
        <v>123</v>
      </c>
      <c r="X384" s="35">
        <v>141.04</v>
      </c>
      <c r="Y384" s="35">
        <v>25.64</v>
      </c>
      <c r="Z384" s="35">
        <v>25.64</v>
      </c>
      <c r="AA384" s="35">
        <v>0</v>
      </c>
      <c r="AB384" s="35"/>
      <c r="AC384" s="35">
        <v>0</v>
      </c>
      <c r="AD384" s="35"/>
      <c r="AE384" s="35">
        <v>0</v>
      </c>
      <c r="AF384" s="35"/>
      <c r="AG384" s="35">
        <v>0</v>
      </c>
      <c r="AH384" s="35"/>
      <c r="AI384" s="37">
        <v>0</v>
      </c>
    </row>
    <row r="385" spans="1:35" x14ac:dyDescent="0.25">
      <c r="A385" s="38" t="s">
        <v>110</v>
      </c>
      <c r="B385" s="39" t="s">
        <v>1019</v>
      </c>
      <c r="C385" s="39" t="s">
        <v>1860</v>
      </c>
      <c r="D385" s="39">
        <v>32568</v>
      </c>
      <c r="E385" s="39" t="s">
        <v>1863</v>
      </c>
      <c r="F385" s="39" t="s">
        <v>1864</v>
      </c>
      <c r="G385" s="39" t="s">
        <v>174</v>
      </c>
      <c r="H385" s="39" t="s">
        <v>160</v>
      </c>
      <c r="I385" s="39" t="s">
        <v>217</v>
      </c>
      <c r="J385" s="39" t="s">
        <v>141</v>
      </c>
      <c r="K385" s="40">
        <v>46043</v>
      </c>
      <c r="L385" s="40">
        <v>46041</v>
      </c>
      <c r="M385" s="40"/>
      <c r="N385" s="40"/>
      <c r="O385" s="40"/>
      <c r="P385" s="40"/>
      <c r="Q385" s="40"/>
      <c r="R385" s="39" t="s">
        <v>218</v>
      </c>
      <c r="S385" s="39" t="s">
        <v>1018</v>
      </c>
      <c r="T385" s="39" t="s">
        <v>1018</v>
      </c>
      <c r="U385" s="35" t="s">
        <v>82</v>
      </c>
      <c r="V385" s="39" t="s">
        <v>226</v>
      </c>
      <c r="W385" s="39" t="s">
        <v>123</v>
      </c>
      <c r="X385" s="39">
        <v>-28.2</v>
      </c>
      <c r="Y385" s="39">
        <v>-5.12</v>
      </c>
      <c r="Z385" s="39">
        <v>-5.12</v>
      </c>
      <c r="AA385" s="39">
        <v>0</v>
      </c>
      <c r="AB385" s="39"/>
      <c r="AC385" s="39">
        <v>0</v>
      </c>
      <c r="AD385" s="39"/>
      <c r="AE385" s="39">
        <v>0</v>
      </c>
      <c r="AF385" s="39"/>
      <c r="AG385" s="39">
        <v>0</v>
      </c>
      <c r="AH385" s="39"/>
      <c r="AI385" s="41">
        <v>0</v>
      </c>
    </row>
    <row r="386" spans="1:35" x14ac:dyDescent="0.25">
      <c r="A386" s="34" t="s">
        <v>110</v>
      </c>
      <c r="B386" s="35" t="s">
        <v>1869</v>
      </c>
      <c r="C386" s="35" t="s">
        <v>1870</v>
      </c>
      <c r="D386" s="35">
        <v>32569</v>
      </c>
      <c r="E386" s="35" t="s">
        <v>1871</v>
      </c>
      <c r="F386" s="35" t="s">
        <v>1872</v>
      </c>
      <c r="G386" s="35" t="s">
        <v>174</v>
      </c>
      <c r="H386" s="35" t="s">
        <v>160</v>
      </c>
      <c r="I386" s="35" t="s">
        <v>217</v>
      </c>
      <c r="J386" s="35" t="s">
        <v>141</v>
      </c>
      <c r="K386" s="36">
        <v>46043</v>
      </c>
      <c r="L386" s="36">
        <v>46041</v>
      </c>
      <c r="M386" s="36"/>
      <c r="N386" s="36"/>
      <c r="O386" s="36"/>
      <c r="P386" s="36"/>
      <c r="Q386" s="36"/>
      <c r="R386" s="35" t="s">
        <v>218</v>
      </c>
      <c r="S386" s="35" t="s">
        <v>1018</v>
      </c>
      <c r="T386" s="35" t="s">
        <v>1018</v>
      </c>
      <c r="U386" s="35" t="s">
        <v>82</v>
      </c>
      <c r="V386" s="35" t="s">
        <v>226</v>
      </c>
      <c r="W386" s="35" t="s">
        <v>123</v>
      </c>
      <c r="X386" s="35">
        <v>12084.65</v>
      </c>
      <c r="Y386" s="35">
        <v>2197.1999999999998</v>
      </c>
      <c r="Z386" s="35">
        <v>2197.1999999999998</v>
      </c>
      <c r="AA386" s="35">
        <v>0</v>
      </c>
      <c r="AB386" s="35"/>
      <c r="AC386" s="35">
        <v>0</v>
      </c>
      <c r="AD386" s="35"/>
      <c r="AE386" s="35">
        <v>0</v>
      </c>
      <c r="AF386" s="35"/>
      <c r="AG386" s="35">
        <v>0</v>
      </c>
      <c r="AH386" s="35"/>
      <c r="AI386" s="37">
        <v>0</v>
      </c>
    </row>
    <row r="387" spans="1:35" x14ac:dyDescent="0.25">
      <c r="A387" s="38" t="s">
        <v>110</v>
      </c>
      <c r="B387" s="39" t="s">
        <v>1869</v>
      </c>
      <c r="C387" s="39" t="s">
        <v>1870</v>
      </c>
      <c r="D387" s="39">
        <v>32569</v>
      </c>
      <c r="E387" s="39" t="s">
        <v>1873</v>
      </c>
      <c r="F387" s="39" t="s">
        <v>1874</v>
      </c>
      <c r="G387" s="39" t="s">
        <v>174</v>
      </c>
      <c r="H387" s="39" t="s">
        <v>160</v>
      </c>
      <c r="I387" s="39" t="s">
        <v>217</v>
      </c>
      <c r="J387" s="39" t="s">
        <v>141</v>
      </c>
      <c r="K387" s="40">
        <v>46043</v>
      </c>
      <c r="L387" s="40">
        <v>46041</v>
      </c>
      <c r="M387" s="40"/>
      <c r="N387" s="40"/>
      <c r="O387" s="40"/>
      <c r="P387" s="40"/>
      <c r="Q387" s="40"/>
      <c r="R387" s="39" t="s">
        <v>218</v>
      </c>
      <c r="S387" s="39" t="s">
        <v>1018</v>
      </c>
      <c r="T387" s="39" t="s">
        <v>1018</v>
      </c>
      <c r="U387" s="35" t="s">
        <v>82</v>
      </c>
      <c r="V387" s="39" t="s">
        <v>226</v>
      </c>
      <c r="W387" s="39" t="s">
        <v>123</v>
      </c>
      <c r="X387" s="39">
        <v>-2416.9699999999998</v>
      </c>
      <c r="Y387" s="39">
        <v>-439.44</v>
      </c>
      <c r="Z387" s="39">
        <v>-439.44</v>
      </c>
      <c r="AA387" s="39">
        <v>0</v>
      </c>
      <c r="AB387" s="39"/>
      <c r="AC387" s="39">
        <v>0</v>
      </c>
      <c r="AD387" s="39"/>
      <c r="AE387" s="39">
        <v>0</v>
      </c>
      <c r="AF387" s="39"/>
      <c r="AG387" s="39">
        <v>0</v>
      </c>
      <c r="AH387" s="39"/>
      <c r="AI387" s="41">
        <v>0</v>
      </c>
    </row>
    <row r="388" spans="1:35" x14ac:dyDescent="0.25">
      <c r="A388" s="34" t="s">
        <v>110</v>
      </c>
      <c r="B388" s="35" t="s">
        <v>170</v>
      </c>
      <c r="C388" s="35" t="s">
        <v>171</v>
      </c>
      <c r="D388" s="35">
        <v>32570</v>
      </c>
      <c r="E388" s="35" t="s">
        <v>172</v>
      </c>
      <c r="F388" s="35" t="s">
        <v>173</v>
      </c>
      <c r="G388" s="35" t="s">
        <v>174</v>
      </c>
      <c r="H388" s="35" t="s">
        <v>116</v>
      </c>
      <c r="I388" s="35" t="s">
        <v>117</v>
      </c>
      <c r="J388" s="35" t="s">
        <v>118</v>
      </c>
      <c r="K388" s="36">
        <v>46043</v>
      </c>
      <c r="L388" s="36">
        <v>46042</v>
      </c>
      <c r="M388" s="36">
        <v>46042</v>
      </c>
      <c r="N388" s="36"/>
      <c r="O388" s="36"/>
      <c r="P388" s="36"/>
      <c r="Q388" s="36">
        <v>46054</v>
      </c>
      <c r="R388" s="35" t="s">
        <v>175</v>
      </c>
      <c r="S388" s="35" t="s">
        <v>176</v>
      </c>
      <c r="T388" s="35" t="s">
        <v>177</v>
      </c>
      <c r="U388" s="35" t="s">
        <v>81</v>
      </c>
      <c r="V388" s="35" t="s">
        <v>163</v>
      </c>
      <c r="W388" s="35" t="s">
        <v>123</v>
      </c>
      <c r="X388" s="35">
        <v>371</v>
      </c>
      <c r="Y388" s="35">
        <v>29.68</v>
      </c>
      <c r="Z388" s="35">
        <v>29.68</v>
      </c>
      <c r="AA388" s="35">
        <v>0</v>
      </c>
      <c r="AB388" s="35"/>
      <c r="AC388" s="35">
        <v>0</v>
      </c>
      <c r="AD388" s="35"/>
      <c r="AE388" s="35">
        <v>0</v>
      </c>
      <c r="AF388" s="35"/>
      <c r="AG388" s="35">
        <v>0</v>
      </c>
      <c r="AH388" s="35"/>
      <c r="AI388" s="37">
        <v>0</v>
      </c>
    </row>
    <row r="389" spans="1:35" x14ac:dyDescent="0.25">
      <c r="A389" s="38" t="s">
        <v>110</v>
      </c>
      <c r="B389" s="39" t="s">
        <v>1704</v>
      </c>
      <c r="C389" s="39" t="s">
        <v>1705</v>
      </c>
      <c r="D389" s="39">
        <v>20803</v>
      </c>
      <c r="E389" s="39" t="s">
        <v>1706</v>
      </c>
      <c r="F389" s="39" t="s">
        <v>1707</v>
      </c>
      <c r="G389" s="39" t="s">
        <v>115</v>
      </c>
      <c r="H389" s="39" t="s">
        <v>116</v>
      </c>
      <c r="I389" s="39" t="s">
        <v>117</v>
      </c>
      <c r="J389" s="39" t="s">
        <v>141</v>
      </c>
      <c r="K389" s="40">
        <v>46043</v>
      </c>
      <c r="L389" s="40">
        <v>46089</v>
      </c>
      <c r="M389" s="40"/>
      <c r="N389" s="40"/>
      <c r="O389" s="40"/>
      <c r="P389" s="40"/>
      <c r="Q389" s="40"/>
      <c r="R389" s="39" t="s">
        <v>187</v>
      </c>
      <c r="S389" s="39" t="s">
        <v>855</v>
      </c>
      <c r="T389" s="39" t="s">
        <v>83</v>
      </c>
      <c r="U389" s="35" t="s">
        <v>83</v>
      </c>
      <c r="V389" s="39" t="s">
        <v>845</v>
      </c>
      <c r="W389" s="39" t="s">
        <v>123</v>
      </c>
      <c r="X389" s="39">
        <v>243.67</v>
      </c>
      <c r="Y389" s="39">
        <v>46.39</v>
      </c>
      <c r="Z389" s="39">
        <v>46.39</v>
      </c>
      <c r="AA389" s="39">
        <v>0</v>
      </c>
      <c r="AB389" s="39"/>
      <c r="AC389" s="39">
        <v>0</v>
      </c>
      <c r="AD389" s="39"/>
      <c r="AE389" s="39">
        <v>0</v>
      </c>
      <c r="AF389" s="39"/>
      <c r="AG389" s="39">
        <v>0</v>
      </c>
      <c r="AH389" s="39"/>
      <c r="AI389" s="41">
        <v>0</v>
      </c>
    </row>
    <row r="390" spans="1:35" x14ac:dyDescent="0.25">
      <c r="A390" s="34" t="s">
        <v>110</v>
      </c>
      <c r="B390" s="35" t="s">
        <v>1708</v>
      </c>
      <c r="C390" s="35" t="s">
        <v>1709</v>
      </c>
      <c r="D390" s="35">
        <v>14072</v>
      </c>
      <c r="E390" s="35" t="s">
        <v>1710</v>
      </c>
      <c r="F390" s="35" t="s">
        <v>1711</v>
      </c>
      <c r="G390" s="35" t="s">
        <v>115</v>
      </c>
      <c r="H390" s="35" t="s">
        <v>160</v>
      </c>
      <c r="I390" s="35" t="s">
        <v>117</v>
      </c>
      <c r="J390" s="35" t="s">
        <v>118</v>
      </c>
      <c r="K390" s="36">
        <v>46043</v>
      </c>
      <c r="L390" s="36">
        <v>46082</v>
      </c>
      <c r="M390" s="36">
        <v>46083</v>
      </c>
      <c r="N390" s="36"/>
      <c r="O390" s="36"/>
      <c r="P390" s="36"/>
      <c r="Q390" s="36"/>
      <c r="R390" s="35" t="s">
        <v>142</v>
      </c>
      <c r="S390" s="35" t="s">
        <v>855</v>
      </c>
      <c r="T390" s="35" t="s">
        <v>83</v>
      </c>
      <c r="U390" s="35" t="s">
        <v>83</v>
      </c>
      <c r="V390" s="35" t="s">
        <v>845</v>
      </c>
      <c r="W390" s="35" t="s">
        <v>123</v>
      </c>
      <c r="X390" s="35">
        <v>744.37</v>
      </c>
      <c r="Y390" s="35">
        <v>186.09</v>
      </c>
      <c r="Z390" s="35">
        <v>186.09</v>
      </c>
      <c r="AA390" s="35">
        <v>0</v>
      </c>
      <c r="AB390" s="35"/>
      <c r="AC390" s="35">
        <v>0</v>
      </c>
      <c r="AD390" s="35"/>
      <c r="AE390" s="35">
        <v>0</v>
      </c>
      <c r="AF390" s="35"/>
      <c r="AG390" s="35">
        <v>0</v>
      </c>
      <c r="AH390" s="35"/>
      <c r="AI390" s="37">
        <v>0</v>
      </c>
    </row>
    <row r="391" spans="1:35" x14ac:dyDescent="0.25">
      <c r="A391" s="38" t="s">
        <v>110</v>
      </c>
      <c r="B391" s="39" t="s">
        <v>1716</v>
      </c>
      <c r="C391" s="39" t="s">
        <v>1717</v>
      </c>
      <c r="D391" s="39">
        <v>14518</v>
      </c>
      <c r="E391" s="39" t="s">
        <v>1718</v>
      </c>
      <c r="F391" s="39" t="s">
        <v>1719</v>
      </c>
      <c r="G391" s="39" t="s">
        <v>115</v>
      </c>
      <c r="H391" s="39" t="s">
        <v>160</v>
      </c>
      <c r="I391" s="39" t="s">
        <v>117</v>
      </c>
      <c r="J391" s="39" t="s">
        <v>141</v>
      </c>
      <c r="K391" s="40">
        <v>46043</v>
      </c>
      <c r="L391" s="40">
        <v>46109</v>
      </c>
      <c r="M391" s="40"/>
      <c r="N391" s="40"/>
      <c r="O391" s="40"/>
      <c r="P391" s="40"/>
      <c r="Q391" s="40"/>
      <c r="R391" s="39" t="s">
        <v>142</v>
      </c>
      <c r="S391" s="39" t="s">
        <v>855</v>
      </c>
      <c r="T391" s="39" t="s">
        <v>83</v>
      </c>
      <c r="U391" s="35" t="s">
        <v>83</v>
      </c>
      <c r="V391" s="39" t="s">
        <v>845</v>
      </c>
      <c r="W391" s="39" t="s">
        <v>123</v>
      </c>
      <c r="X391" s="39">
        <v>576.84</v>
      </c>
      <c r="Y391" s="39">
        <v>144.21</v>
      </c>
      <c r="Z391" s="39">
        <v>144.21</v>
      </c>
      <c r="AA391" s="39">
        <v>0</v>
      </c>
      <c r="AB391" s="39"/>
      <c r="AC391" s="39">
        <v>0</v>
      </c>
      <c r="AD391" s="39" t="s">
        <v>130</v>
      </c>
      <c r="AE391" s="39">
        <v>0</v>
      </c>
      <c r="AF391" s="39"/>
      <c r="AG391" s="39">
        <v>0</v>
      </c>
      <c r="AH391" s="39"/>
      <c r="AI391" s="41">
        <v>0</v>
      </c>
    </row>
    <row r="392" spans="1:35" x14ac:dyDescent="0.25">
      <c r="A392" s="34" t="s">
        <v>110</v>
      </c>
      <c r="B392" s="35" t="s">
        <v>1728</v>
      </c>
      <c r="C392" s="35" t="s">
        <v>1729</v>
      </c>
      <c r="D392" s="35">
        <v>17592</v>
      </c>
      <c r="E392" s="35" t="s">
        <v>1730</v>
      </c>
      <c r="F392" s="35" t="s">
        <v>1731</v>
      </c>
      <c r="G392" s="35" t="s">
        <v>115</v>
      </c>
      <c r="H392" s="35" t="s">
        <v>160</v>
      </c>
      <c r="I392" s="35" t="s">
        <v>117</v>
      </c>
      <c r="J392" s="35" t="s">
        <v>118</v>
      </c>
      <c r="K392" s="36">
        <v>46043</v>
      </c>
      <c r="L392" s="36">
        <v>46082</v>
      </c>
      <c r="M392" s="36">
        <v>46083</v>
      </c>
      <c r="N392" s="36"/>
      <c r="O392" s="36"/>
      <c r="P392" s="36"/>
      <c r="Q392" s="36"/>
      <c r="R392" s="35" t="s">
        <v>142</v>
      </c>
      <c r="S392" s="35" t="s">
        <v>855</v>
      </c>
      <c r="T392" s="35" t="s">
        <v>83</v>
      </c>
      <c r="U392" s="35" t="s">
        <v>83</v>
      </c>
      <c r="V392" s="35" t="s">
        <v>845</v>
      </c>
      <c r="W392" s="35" t="s">
        <v>123</v>
      </c>
      <c r="X392" s="35">
        <v>298.10000000000002</v>
      </c>
      <c r="Y392" s="35">
        <v>70.95</v>
      </c>
      <c r="Z392" s="35">
        <v>70.95</v>
      </c>
      <c r="AA392" s="35">
        <v>0</v>
      </c>
      <c r="AB392" s="35"/>
      <c r="AC392" s="35">
        <v>0</v>
      </c>
      <c r="AD392" s="35"/>
      <c r="AE392" s="35">
        <v>0</v>
      </c>
      <c r="AF392" s="35"/>
      <c r="AG392" s="35">
        <v>0</v>
      </c>
      <c r="AH392" s="35"/>
      <c r="AI392" s="37">
        <v>0</v>
      </c>
    </row>
    <row r="393" spans="1:35" x14ac:dyDescent="0.25">
      <c r="A393" s="38" t="s">
        <v>110</v>
      </c>
      <c r="B393" s="39" t="s">
        <v>1737</v>
      </c>
      <c r="C393" s="39" t="s">
        <v>1738</v>
      </c>
      <c r="D393" s="39">
        <v>19054</v>
      </c>
      <c r="E393" s="39" t="s">
        <v>1739</v>
      </c>
      <c r="F393" s="39" t="s">
        <v>1740</v>
      </c>
      <c r="G393" s="39" t="s">
        <v>115</v>
      </c>
      <c r="H393" s="39" t="s">
        <v>160</v>
      </c>
      <c r="I393" s="39" t="s">
        <v>117</v>
      </c>
      <c r="J393" s="39" t="s">
        <v>118</v>
      </c>
      <c r="K393" s="40">
        <v>46043</v>
      </c>
      <c r="L393" s="40">
        <v>46082</v>
      </c>
      <c r="M393" s="40">
        <v>46083</v>
      </c>
      <c r="N393" s="40"/>
      <c r="O393" s="40"/>
      <c r="P393" s="40"/>
      <c r="Q393" s="40"/>
      <c r="R393" s="39" t="s">
        <v>142</v>
      </c>
      <c r="S393" s="39" t="s">
        <v>855</v>
      </c>
      <c r="T393" s="39" t="s">
        <v>83</v>
      </c>
      <c r="U393" s="35" t="s">
        <v>83</v>
      </c>
      <c r="V393" s="39" t="s">
        <v>845</v>
      </c>
      <c r="W393" s="39" t="s">
        <v>123</v>
      </c>
      <c r="X393" s="39">
        <v>301.51</v>
      </c>
      <c r="Y393" s="39">
        <v>71.760000000000005</v>
      </c>
      <c r="Z393" s="39">
        <v>71.760000000000005</v>
      </c>
      <c r="AA393" s="39">
        <v>0</v>
      </c>
      <c r="AB393" s="39"/>
      <c r="AC393" s="39">
        <v>0</v>
      </c>
      <c r="AD393" s="39"/>
      <c r="AE393" s="39">
        <v>0</v>
      </c>
      <c r="AF393" s="39"/>
      <c r="AG393" s="39">
        <v>0</v>
      </c>
      <c r="AH393" s="39"/>
      <c r="AI393" s="41">
        <v>0</v>
      </c>
    </row>
    <row r="394" spans="1:35" x14ac:dyDescent="0.25">
      <c r="A394" s="34" t="s">
        <v>110</v>
      </c>
      <c r="B394" s="35" t="s">
        <v>1737</v>
      </c>
      <c r="C394" s="35" t="s">
        <v>1741</v>
      </c>
      <c r="D394" s="35">
        <v>19055</v>
      </c>
      <c r="E394" s="35" t="s">
        <v>1742</v>
      </c>
      <c r="F394" s="35" t="s">
        <v>1743</v>
      </c>
      <c r="G394" s="35" t="s">
        <v>115</v>
      </c>
      <c r="H394" s="35" t="s">
        <v>160</v>
      </c>
      <c r="I394" s="35" t="s">
        <v>117</v>
      </c>
      <c r="J394" s="35" t="s">
        <v>118</v>
      </c>
      <c r="K394" s="36">
        <v>46043</v>
      </c>
      <c r="L394" s="36">
        <v>46082</v>
      </c>
      <c r="M394" s="36">
        <v>46083</v>
      </c>
      <c r="N394" s="36"/>
      <c r="O394" s="36"/>
      <c r="P394" s="36"/>
      <c r="Q394" s="36"/>
      <c r="R394" s="35" t="s">
        <v>142</v>
      </c>
      <c r="S394" s="35" t="s">
        <v>855</v>
      </c>
      <c r="T394" s="35" t="s">
        <v>83</v>
      </c>
      <c r="U394" s="35" t="s">
        <v>83</v>
      </c>
      <c r="V394" s="35" t="s">
        <v>845</v>
      </c>
      <c r="W394" s="35" t="s">
        <v>123</v>
      </c>
      <c r="X394" s="35">
        <v>277.25</v>
      </c>
      <c r="Y394" s="35">
        <v>65.989999999999995</v>
      </c>
      <c r="Z394" s="35">
        <v>65.989999999999995</v>
      </c>
      <c r="AA394" s="35">
        <v>0</v>
      </c>
      <c r="AB394" s="35"/>
      <c r="AC394" s="35">
        <v>0</v>
      </c>
      <c r="AD394" s="35"/>
      <c r="AE394" s="35">
        <v>0</v>
      </c>
      <c r="AF394" s="35"/>
      <c r="AG394" s="35">
        <v>0</v>
      </c>
      <c r="AH394" s="35"/>
      <c r="AI394" s="37">
        <v>0</v>
      </c>
    </row>
    <row r="395" spans="1:35" x14ac:dyDescent="0.25">
      <c r="A395" s="38" t="s">
        <v>110</v>
      </c>
      <c r="B395" s="39" t="s">
        <v>1744</v>
      </c>
      <c r="C395" s="39" t="s">
        <v>1745</v>
      </c>
      <c r="D395" s="39">
        <v>19063</v>
      </c>
      <c r="E395" s="39" t="s">
        <v>1746</v>
      </c>
      <c r="F395" s="39" t="s">
        <v>1747</v>
      </c>
      <c r="G395" s="39" t="s">
        <v>115</v>
      </c>
      <c r="H395" s="39" t="s">
        <v>160</v>
      </c>
      <c r="I395" s="39" t="s">
        <v>117</v>
      </c>
      <c r="J395" s="39" t="s">
        <v>118</v>
      </c>
      <c r="K395" s="40">
        <v>46043</v>
      </c>
      <c r="L395" s="40">
        <v>46086</v>
      </c>
      <c r="M395" s="40">
        <v>46086</v>
      </c>
      <c r="N395" s="40"/>
      <c r="O395" s="40"/>
      <c r="P395" s="40"/>
      <c r="Q395" s="40"/>
      <c r="R395" s="39" t="s">
        <v>142</v>
      </c>
      <c r="S395" s="39" t="s">
        <v>855</v>
      </c>
      <c r="T395" s="39" t="s">
        <v>83</v>
      </c>
      <c r="U395" s="35" t="s">
        <v>83</v>
      </c>
      <c r="V395" s="39" t="s">
        <v>845</v>
      </c>
      <c r="W395" s="39" t="s">
        <v>123</v>
      </c>
      <c r="X395" s="39">
        <v>244.54</v>
      </c>
      <c r="Y395" s="39">
        <v>58.2</v>
      </c>
      <c r="Z395" s="39">
        <v>58.2</v>
      </c>
      <c r="AA395" s="39">
        <v>0</v>
      </c>
      <c r="AB395" s="39"/>
      <c r="AC395" s="39">
        <v>0</v>
      </c>
      <c r="AD395" s="39"/>
      <c r="AE395" s="39">
        <v>0</v>
      </c>
      <c r="AF395" s="39"/>
      <c r="AG395" s="39">
        <v>0</v>
      </c>
      <c r="AH395" s="39"/>
      <c r="AI395" s="41">
        <v>0</v>
      </c>
    </row>
    <row r="396" spans="1:35" x14ac:dyDescent="0.25">
      <c r="A396" s="34" t="s">
        <v>110</v>
      </c>
      <c r="B396" s="35" t="s">
        <v>1748</v>
      </c>
      <c r="C396" s="35" t="s">
        <v>1749</v>
      </c>
      <c r="D396" s="35">
        <v>19120</v>
      </c>
      <c r="E396" s="35" t="s">
        <v>1750</v>
      </c>
      <c r="F396" s="35" t="s">
        <v>1751</v>
      </c>
      <c r="G396" s="35" t="s">
        <v>115</v>
      </c>
      <c r="H396" s="35" t="s">
        <v>160</v>
      </c>
      <c r="I396" s="35" t="s">
        <v>117</v>
      </c>
      <c r="J396" s="35" t="s">
        <v>141</v>
      </c>
      <c r="K396" s="36">
        <v>46043</v>
      </c>
      <c r="L396" s="36">
        <v>46094</v>
      </c>
      <c r="M396" s="36"/>
      <c r="N396" s="36"/>
      <c r="O396" s="36"/>
      <c r="P396" s="36"/>
      <c r="Q396" s="36"/>
      <c r="R396" s="35" t="s">
        <v>142</v>
      </c>
      <c r="S396" s="35" t="s">
        <v>855</v>
      </c>
      <c r="T396" s="35" t="s">
        <v>83</v>
      </c>
      <c r="U396" s="35" t="s">
        <v>83</v>
      </c>
      <c r="V396" s="35" t="s">
        <v>845</v>
      </c>
      <c r="W396" s="35" t="s">
        <v>123</v>
      </c>
      <c r="X396" s="35">
        <v>457.78</v>
      </c>
      <c r="Y396" s="35">
        <v>108.95</v>
      </c>
      <c r="Z396" s="35">
        <v>108.95</v>
      </c>
      <c r="AA396" s="35">
        <v>0</v>
      </c>
      <c r="AB396" s="35"/>
      <c r="AC396" s="35">
        <v>0</v>
      </c>
      <c r="AD396" s="35"/>
      <c r="AE396" s="35">
        <v>0</v>
      </c>
      <c r="AF396" s="35"/>
      <c r="AG396" s="35">
        <v>0</v>
      </c>
      <c r="AH396" s="35"/>
      <c r="AI396" s="37">
        <v>0</v>
      </c>
    </row>
    <row r="397" spans="1:35" x14ac:dyDescent="0.25">
      <c r="A397" s="38" t="s">
        <v>110</v>
      </c>
      <c r="B397" s="39" t="s">
        <v>1756</v>
      </c>
      <c r="C397" s="39" t="s">
        <v>1757</v>
      </c>
      <c r="D397" s="39">
        <v>20157</v>
      </c>
      <c r="E397" s="39" t="s">
        <v>1758</v>
      </c>
      <c r="F397" s="39" t="s">
        <v>1759</v>
      </c>
      <c r="G397" s="39" t="s">
        <v>115</v>
      </c>
      <c r="H397" s="39" t="s">
        <v>160</v>
      </c>
      <c r="I397" s="39" t="s">
        <v>117</v>
      </c>
      <c r="J397" s="39" t="s">
        <v>141</v>
      </c>
      <c r="K397" s="40">
        <v>46043</v>
      </c>
      <c r="L397" s="40">
        <v>46108</v>
      </c>
      <c r="M397" s="40"/>
      <c r="N397" s="40"/>
      <c r="O397" s="40"/>
      <c r="P397" s="40"/>
      <c r="Q397" s="40"/>
      <c r="R397" s="39" t="s">
        <v>142</v>
      </c>
      <c r="S397" s="39" t="s">
        <v>855</v>
      </c>
      <c r="T397" s="39" t="s">
        <v>83</v>
      </c>
      <c r="U397" s="35" t="s">
        <v>83</v>
      </c>
      <c r="V397" s="39" t="s">
        <v>845</v>
      </c>
      <c r="W397" s="39" t="s">
        <v>123</v>
      </c>
      <c r="X397" s="39">
        <v>387.68</v>
      </c>
      <c r="Y397" s="39">
        <v>92.27</v>
      </c>
      <c r="Z397" s="39">
        <v>92.27</v>
      </c>
      <c r="AA397" s="39">
        <v>0</v>
      </c>
      <c r="AB397" s="39"/>
      <c r="AC397" s="39">
        <v>0</v>
      </c>
      <c r="AD397" s="39"/>
      <c r="AE397" s="39">
        <v>0</v>
      </c>
      <c r="AF397" s="39"/>
      <c r="AG397" s="39">
        <v>0</v>
      </c>
      <c r="AH397" s="39"/>
      <c r="AI397" s="41">
        <v>0</v>
      </c>
    </row>
    <row r="398" spans="1:35" x14ac:dyDescent="0.25">
      <c r="A398" s="34" t="s">
        <v>110</v>
      </c>
      <c r="B398" s="35" t="s">
        <v>1760</v>
      </c>
      <c r="C398" s="35" t="s">
        <v>1761</v>
      </c>
      <c r="D398" s="35">
        <v>22593</v>
      </c>
      <c r="E398" s="35" t="s">
        <v>1762</v>
      </c>
      <c r="F398" s="35" t="s">
        <v>1763</v>
      </c>
      <c r="G398" s="35" t="s">
        <v>115</v>
      </c>
      <c r="H398" s="35" t="s">
        <v>160</v>
      </c>
      <c r="I398" s="35" t="s">
        <v>117</v>
      </c>
      <c r="J398" s="35" t="s">
        <v>141</v>
      </c>
      <c r="K398" s="36">
        <v>46043</v>
      </c>
      <c r="L398" s="36">
        <v>46099</v>
      </c>
      <c r="M398" s="36"/>
      <c r="N398" s="36"/>
      <c r="O398" s="36"/>
      <c r="P398" s="36"/>
      <c r="Q398" s="36"/>
      <c r="R398" s="35" t="s">
        <v>142</v>
      </c>
      <c r="S398" s="35" t="s">
        <v>1625</v>
      </c>
      <c r="T398" s="35" t="s">
        <v>83</v>
      </c>
      <c r="U398" s="35" t="s">
        <v>83</v>
      </c>
      <c r="V398" s="35" t="s">
        <v>845</v>
      </c>
      <c r="W398" s="35" t="s">
        <v>123</v>
      </c>
      <c r="X398" s="35">
        <v>310.67</v>
      </c>
      <c r="Y398" s="35">
        <v>77.67</v>
      </c>
      <c r="Z398" s="35">
        <v>77.67</v>
      </c>
      <c r="AA398" s="35">
        <v>0</v>
      </c>
      <c r="AB398" s="35"/>
      <c r="AC398" s="35">
        <v>0</v>
      </c>
      <c r="AD398" s="35"/>
      <c r="AE398" s="35">
        <v>0</v>
      </c>
      <c r="AF398" s="35"/>
      <c r="AG398" s="35">
        <v>0</v>
      </c>
      <c r="AH398" s="35"/>
      <c r="AI398" s="37">
        <v>0</v>
      </c>
    </row>
    <row r="399" spans="1:35" x14ac:dyDescent="0.25">
      <c r="A399" s="38" t="s">
        <v>110</v>
      </c>
      <c r="B399" s="39" t="s">
        <v>1621</v>
      </c>
      <c r="C399" s="39" t="s">
        <v>1622</v>
      </c>
      <c r="D399" s="39">
        <v>23274</v>
      </c>
      <c r="E399" s="39" t="s">
        <v>1623</v>
      </c>
      <c r="F399" s="39" t="s">
        <v>1624</v>
      </c>
      <c r="G399" s="39" t="s">
        <v>115</v>
      </c>
      <c r="H399" s="39" t="s">
        <v>160</v>
      </c>
      <c r="I399" s="39" t="s">
        <v>117</v>
      </c>
      <c r="J399" s="39" t="s">
        <v>118</v>
      </c>
      <c r="K399" s="40">
        <v>46043</v>
      </c>
      <c r="L399" s="40">
        <v>46086</v>
      </c>
      <c r="M399" s="40">
        <v>46086</v>
      </c>
      <c r="N399" s="40"/>
      <c r="O399" s="40"/>
      <c r="P399" s="40"/>
      <c r="Q399" s="40"/>
      <c r="R399" s="39" t="s">
        <v>142</v>
      </c>
      <c r="S399" s="39" t="s">
        <v>1625</v>
      </c>
      <c r="T399" s="39" t="s">
        <v>83</v>
      </c>
      <c r="U399" s="35" t="s">
        <v>83</v>
      </c>
      <c r="V399" s="39" t="s">
        <v>845</v>
      </c>
      <c r="W399" s="39" t="s">
        <v>123</v>
      </c>
      <c r="X399" s="39">
        <v>205.38</v>
      </c>
      <c r="Y399" s="39">
        <v>48.88</v>
      </c>
      <c r="Z399" s="39">
        <v>48.88</v>
      </c>
      <c r="AA399" s="39">
        <v>0</v>
      </c>
      <c r="AB399" s="39"/>
      <c r="AC399" s="39">
        <v>0</v>
      </c>
      <c r="AD399" s="39"/>
      <c r="AE399" s="39">
        <v>0</v>
      </c>
      <c r="AF399" s="39"/>
      <c r="AG399" s="39">
        <v>0</v>
      </c>
      <c r="AH399" s="39"/>
      <c r="AI399" s="41">
        <v>0</v>
      </c>
    </row>
    <row r="400" spans="1:35" x14ac:dyDescent="0.25">
      <c r="A400" s="34" t="s">
        <v>110</v>
      </c>
      <c r="B400" s="35" t="s">
        <v>1632</v>
      </c>
      <c r="C400" s="35" t="s">
        <v>1633</v>
      </c>
      <c r="D400" s="35">
        <v>24915</v>
      </c>
      <c r="E400" s="35" t="s">
        <v>1634</v>
      </c>
      <c r="F400" s="35" t="s">
        <v>1635</v>
      </c>
      <c r="G400" s="35" t="s">
        <v>115</v>
      </c>
      <c r="H400" s="35" t="s">
        <v>160</v>
      </c>
      <c r="I400" s="35" t="s">
        <v>117</v>
      </c>
      <c r="J400" s="35" t="s">
        <v>141</v>
      </c>
      <c r="K400" s="36">
        <v>46043</v>
      </c>
      <c r="L400" s="36">
        <v>46109</v>
      </c>
      <c r="M400" s="36"/>
      <c r="N400" s="36"/>
      <c r="O400" s="36"/>
      <c r="P400" s="36"/>
      <c r="Q400" s="36"/>
      <c r="R400" s="35" t="s">
        <v>142</v>
      </c>
      <c r="S400" s="35" t="s">
        <v>855</v>
      </c>
      <c r="T400" s="35" t="s">
        <v>83</v>
      </c>
      <c r="U400" s="35" t="s">
        <v>83</v>
      </c>
      <c r="V400" s="35" t="s">
        <v>845</v>
      </c>
      <c r="W400" s="35" t="s">
        <v>123</v>
      </c>
      <c r="X400" s="35">
        <v>806.72</v>
      </c>
      <c r="Y400" s="35">
        <v>192</v>
      </c>
      <c r="Z400" s="35">
        <v>192</v>
      </c>
      <c r="AA400" s="35">
        <v>0</v>
      </c>
      <c r="AB400" s="35"/>
      <c r="AC400" s="35">
        <v>0</v>
      </c>
      <c r="AD400" s="35"/>
      <c r="AE400" s="35">
        <v>0</v>
      </c>
      <c r="AF400" s="35"/>
      <c r="AG400" s="35">
        <v>0</v>
      </c>
      <c r="AH400" s="35"/>
      <c r="AI400" s="37">
        <v>0</v>
      </c>
    </row>
    <row r="401" spans="1:35" x14ac:dyDescent="0.25">
      <c r="A401" s="38" t="s">
        <v>110</v>
      </c>
      <c r="B401" s="39" t="s">
        <v>1636</v>
      </c>
      <c r="C401" s="39" t="s">
        <v>1637</v>
      </c>
      <c r="D401" s="39">
        <v>26126</v>
      </c>
      <c r="E401" s="39" t="s">
        <v>1638</v>
      </c>
      <c r="F401" s="39" t="s">
        <v>1639</v>
      </c>
      <c r="G401" s="39" t="s">
        <v>115</v>
      </c>
      <c r="H401" s="39" t="s">
        <v>160</v>
      </c>
      <c r="I401" s="39" t="s">
        <v>117</v>
      </c>
      <c r="J401" s="39" t="s">
        <v>118</v>
      </c>
      <c r="K401" s="40">
        <v>46044</v>
      </c>
      <c r="L401" s="40">
        <v>46082</v>
      </c>
      <c r="M401" s="40">
        <v>46083</v>
      </c>
      <c r="N401" s="40"/>
      <c r="O401" s="40"/>
      <c r="P401" s="40"/>
      <c r="Q401" s="40"/>
      <c r="R401" s="39" t="s">
        <v>142</v>
      </c>
      <c r="S401" s="39" t="s">
        <v>855</v>
      </c>
      <c r="T401" s="39" t="s">
        <v>83</v>
      </c>
      <c r="U401" s="35" t="s">
        <v>83</v>
      </c>
      <c r="V401" s="39" t="s">
        <v>845</v>
      </c>
      <c r="W401" s="39" t="s">
        <v>123</v>
      </c>
      <c r="X401" s="39">
        <v>134.58000000000001</v>
      </c>
      <c r="Y401" s="39">
        <v>32.03</v>
      </c>
      <c r="Z401" s="39">
        <v>32.03</v>
      </c>
      <c r="AA401" s="39">
        <v>0</v>
      </c>
      <c r="AB401" s="39"/>
      <c r="AC401" s="39">
        <v>0</v>
      </c>
      <c r="AD401" s="39"/>
      <c r="AE401" s="39">
        <v>0</v>
      </c>
      <c r="AF401" s="39"/>
      <c r="AG401" s="39">
        <v>0</v>
      </c>
      <c r="AH401" s="39"/>
      <c r="AI401" s="41">
        <v>0</v>
      </c>
    </row>
    <row r="402" spans="1:35" x14ac:dyDescent="0.25">
      <c r="A402" s="34" t="s">
        <v>110</v>
      </c>
      <c r="B402" s="35" t="s">
        <v>1645</v>
      </c>
      <c r="C402" s="35" t="s">
        <v>1646</v>
      </c>
      <c r="D402" s="35">
        <v>26290</v>
      </c>
      <c r="E402" s="35" t="s">
        <v>1647</v>
      </c>
      <c r="F402" s="35" t="s">
        <v>1648</v>
      </c>
      <c r="G402" s="35" t="s">
        <v>115</v>
      </c>
      <c r="H402" s="35" t="s">
        <v>160</v>
      </c>
      <c r="I402" s="35" t="s">
        <v>117</v>
      </c>
      <c r="J402" s="35" t="s">
        <v>141</v>
      </c>
      <c r="K402" s="36">
        <v>46044</v>
      </c>
      <c r="L402" s="36">
        <v>46110</v>
      </c>
      <c r="M402" s="36"/>
      <c r="N402" s="36"/>
      <c r="O402" s="36"/>
      <c r="P402" s="36"/>
      <c r="Q402" s="36"/>
      <c r="R402" s="35" t="s">
        <v>142</v>
      </c>
      <c r="S402" s="35" t="s">
        <v>855</v>
      </c>
      <c r="T402" s="35" t="s">
        <v>83</v>
      </c>
      <c r="U402" s="35" t="s">
        <v>83</v>
      </c>
      <c r="V402" s="35" t="s">
        <v>845</v>
      </c>
      <c r="W402" s="35" t="s">
        <v>123</v>
      </c>
      <c r="X402" s="35">
        <v>252.65</v>
      </c>
      <c r="Y402" s="35">
        <v>60.13</v>
      </c>
      <c r="Z402" s="35">
        <v>60.13</v>
      </c>
      <c r="AA402" s="35">
        <v>0</v>
      </c>
      <c r="AB402" s="35"/>
      <c r="AC402" s="35">
        <v>0</v>
      </c>
      <c r="AD402" s="35"/>
      <c r="AE402" s="35">
        <v>0</v>
      </c>
      <c r="AF402" s="35"/>
      <c r="AG402" s="35">
        <v>0</v>
      </c>
      <c r="AH402" s="35"/>
      <c r="AI402" s="37">
        <v>0</v>
      </c>
    </row>
    <row r="403" spans="1:35" x14ac:dyDescent="0.25">
      <c r="A403" s="38" t="s">
        <v>110</v>
      </c>
      <c r="B403" s="39" t="s">
        <v>1653</v>
      </c>
      <c r="C403" s="39" t="s">
        <v>1654</v>
      </c>
      <c r="D403" s="39">
        <v>27992</v>
      </c>
      <c r="E403" s="39" t="s">
        <v>1655</v>
      </c>
      <c r="F403" s="39" t="s">
        <v>1656</v>
      </c>
      <c r="G403" s="39" t="s">
        <v>115</v>
      </c>
      <c r="H403" s="39" t="s">
        <v>160</v>
      </c>
      <c r="I403" s="39" t="s">
        <v>117</v>
      </c>
      <c r="J403" s="39" t="s">
        <v>141</v>
      </c>
      <c r="K403" s="40">
        <v>46044</v>
      </c>
      <c r="L403" s="40">
        <v>46102</v>
      </c>
      <c r="M403" s="40"/>
      <c r="N403" s="40"/>
      <c r="O403" s="40"/>
      <c r="P403" s="40"/>
      <c r="Q403" s="40"/>
      <c r="R403" s="39" t="s">
        <v>142</v>
      </c>
      <c r="S403" s="39" t="s">
        <v>855</v>
      </c>
      <c r="T403" s="39" t="s">
        <v>83</v>
      </c>
      <c r="U403" s="35" t="s">
        <v>83</v>
      </c>
      <c r="V403" s="39" t="s">
        <v>845</v>
      </c>
      <c r="W403" s="39" t="s">
        <v>123</v>
      </c>
      <c r="X403" s="39">
        <v>241.8</v>
      </c>
      <c r="Y403" s="39">
        <v>60.45</v>
      </c>
      <c r="Z403" s="39">
        <v>60.45</v>
      </c>
      <c r="AA403" s="39">
        <v>0</v>
      </c>
      <c r="AB403" s="39"/>
      <c r="AC403" s="39">
        <v>0</v>
      </c>
      <c r="AD403" s="39"/>
      <c r="AE403" s="39">
        <v>0</v>
      </c>
      <c r="AF403" s="39"/>
      <c r="AG403" s="39">
        <v>0</v>
      </c>
      <c r="AH403" s="39"/>
      <c r="AI403" s="41">
        <v>0</v>
      </c>
    </row>
    <row r="404" spans="1:35" x14ac:dyDescent="0.25">
      <c r="A404" s="34" t="s">
        <v>110</v>
      </c>
      <c r="B404" s="35" t="s">
        <v>1657</v>
      </c>
      <c r="C404" s="35" t="s">
        <v>1658</v>
      </c>
      <c r="D404" s="35">
        <v>30568</v>
      </c>
      <c r="E404" s="35" t="s">
        <v>1659</v>
      </c>
      <c r="F404" s="35" t="s">
        <v>1660</v>
      </c>
      <c r="G404" s="35" t="s">
        <v>115</v>
      </c>
      <c r="H404" s="35" t="s">
        <v>160</v>
      </c>
      <c r="I404" s="35" t="s">
        <v>117</v>
      </c>
      <c r="J404" s="35" t="s">
        <v>118</v>
      </c>
      <c r="K404" s="36">
        <v>46044</v>
      </c>
      <c r="L404" s="36">
        <v>46082</v>
      </c>
      <c r="M404" s="36">
        <v>46083</v>
      </c>
      <c r="N404" s="36"/>
      <c r="O404" s="36"/>
      <c r="P404" s="36"/>
      <c r="Q404" s="36"/>
      <c r="R404" s="35" t="s">
        <v>187</v>
      </c>
      <c r="S404" s="35" t="s">
        <v>855</v>
      </c>
      <c r="T404" s="35" t="s">
        <v>83</v>
      </c>
      <c r="U404" s="35" t="s">
        <v>83</v>
      </c>
      <c r="V404" s="35" t="s">
        <v>845</v>
      </c>
      <c r="W404" s="35" t="s">
        <v>123</v>
      </c>
      <c r="X404" s="35">
        <v>75.930000000000007</v>
      </c>
      <c r="Y404" s="35">
        <v>18.98</v>
      </c>
      <c r="Z404" s="35">
        <v>18.98</v>
      </c>
      <c r="AA404" s="35">
        <v>0</v>
      </c>
      <c r="AB404" s="35"/>
      <c r="AC404" s="35">
        <v>0</v>
      </c>
      <c r="AD404" s="35"/>
      <c r="AE404" s="35">
        <v>0</v>
      </c>
      <c r="AF404" s="35"/>
      <c r="AG404" s="35">
        <v>0</v>
      </c>
      <c r="AH404" s="35"/>
      <c r="AI404" s="37">
        <v>0</v>
      </c>
    </row>
    <row r="405" spans="1:35" x14ac:dyDescent="0.25">
      <c r="A405" s="38" t="s">
        <v>110</v>
      </c>
      <c r="B405" s="39" t="s">
        <v>1657</v>
      </c>
      <c r="C405" s="39" t="s">
        <v>1664</v>
      </c>
      <c r="D405" s="39">
        <v>30844</v>
      </c>
      <c r="E405" s="39" t="s">
        <v>1665</v>
      </c>
      <c r="F405" s="39" t="s">
        <v>1666</v>
      </c>
      <c r="G405" s="39" t="s">
        <v>115</v>
      </c>
      <c r="H405" s="39" t="s">
        <v>160</v>
      </c>
      <c r="I405" s="39" t="s">
        <v>117</v>
      </c>
      <c r="J405" s="39" t="s">
        <v>141</v>
      </c>
      <c r="K405" s="40">
        <v>46044</v>
      </c>
      <c r="L405" s="40">
        <v>46112</v>
      </c>
      <c r="M405" s="40"/>
      <c r="N405" s="40"/>
      <c r="O405" s="40"/>
      <c r="P405" s="40"/>
      <c r="Q405" s="40"/>
      <c r="R405" s="39" t="s">
        <v>187</v>
      </c>
      <c r="S405" s="39" t="s">
        <v>855</v>
      </c>
      <c r="T405" s="39" t="s">
        <v>83</v>
      </c>
      <c r="U405" s="35" t="s">
        <v>83</v>
      </c>
      <c r="V405" s="39" t="s">
        <v>845</v>
      </c>
      <c r="W405" s="39" t="s">
        <v>123</v>
      </c>
      <c r="X405" s="39">
        <v>81.58</v>
      </c>
      <c r="Y405" s="39">
        <v>20.399999999999999</v>
      </c>
      <c r="Z405" s="39">
        <v>20.399999999999999</v>
      </c>
      <c r="AA405" s="39">
        <v>0</v>
      </c>
      <c r="AB405" s="39"/>
      <c r="AC405" s="39">
        <v>0</v>
      </c>
      <c r="AD405" s="39"/>
      <c r="AE405" s="39">
        <v>0</v>
      </c>
      <c r="AF405" s="39"/>
      <c r="AG405" s="39">
        <v>0</v>
      </c>
      <c r="AH405" s="39"/>
      <c r="AI405" s="41">
        <v>0</v>
      </c>
    </row>
    <row r="406" spans="1:35" x14ac:dyDescent="0.25">
      <c r="A406" s="34" t="s">
        <v>110</v>
      </c>
      <c r="B406" s="35" t="s">
        <v>1768</v>
      </c>
      <c r="C406" s="35" t="s">
        <v>1769</v>
      </c>
      <c r="D406" s="35">
        <v>32571</v>
      </c>
      <c r="E406" s="35" t="s">
        <v>2389</v>
      </c>
      <c r="F406" s="35" t="s">
        <v>2390</v>
      </c>
      <c r="G406" s="35" t="s">
        <v>174</v>
      </c>
      <c r="H406" s="35" t="s">
        <v>160</v>
      </c>
      <c r="I406" s="35" t="s">
        <v>117</v>
      </c>
      <c r="J406" s="35" t="s">
        <v>2195</v>
      </c>
      <c r="K406" s="36">
        <v>46044</v>
      </c>
      <c r="L406" s="36">
        <v>46043</v>
      </c>
      <c r="M406" s="36"/>
      <c r="N406" s="36">
        <v>46082</v>
      </c>
      <c r="O406" s="36">
        <v>46048</v>
      </c>
      <c r="P406" s="36"/>
      <c r="Q406" s="36"/>
      <c r="R406" s="35" t="s">
        <v>142</v>
      </c>
      <c r="S406" s="35" t="s">
        <v>933</v>
      </c>
      <c r="T406" s="35" t="s">
        <v>162</v>
      </c>
      <c r="U406" s="35" t="s">
        <v>87</v>
      </c>
      <c r="V406" s="35" t="s">
        <v>509</v>
      </c>
      <c r="W406" s="35" t="s">
        <v>123</v>
      </c>
      <c r="X406" s="35">
        <v>2686.74</v>
      </c>
      <c r="Y406" s="35">
        <v>537.35</v>
      </c>
      <c r="Z406" s="35">
        <v>537.35</v>
      </c>
      <c r="AA406" s="35">
        <v>0</v>
      </c>
      <c r="AB406" s="35"/>
      <c r="AC406" s="35">
        <v>0</v>
      </c>
      <c r="AD406" s="35"/>
      <c r="AE406" s="35">
        <v>0</v>
      </c>
      <c r="AF406" s="35"/>
      <c r="AG406" s="35">
        <v>0</v>
      </c>
      <c r="AH406" s="35"/>
      <c r="AI406" s="37">
        <v>0</v>
      </c>
    </row>
    <row r="407" spans="1:35" x14ac:dyDescent="0.25">
      <c r="A407" s="38" t="s">
        <v>110</v>
      </c>
      <c r="B407" s="39" t="s">
        <v>267</v>
      </c>
      <c r="C407" s="39" t="s">
        <v>268</v>
      </c>
      <c r="D407" s="39">
        <v>30606</v>
      </c>
      <c r="E407" s="39" t="s">
        <v>269</v>
      </c>
      <c r="F407" s="39" t="s">
        <v>270</v>
      </c>
      <c r="G407" s="39" t="s">
        <v>174</v>
      </c>
      <c r="H407" s="39" t="s">
        <v>160</v>
      </c>
      <c r="I407" s="39" t="s">
        <v>217</v>
      </c>
      <c r="J407" s="39" t="s">
        <v>118</v>
      </c>
      <c r="K407" s="40">
        <v>46044</v>
      </c>
      <c r="L407" s="40">
        <v>46065</v>
      </c>
      <c r="M407" s="40">
        <v>46045</v>
      </c>
      <c r="N407" s="40"/>
      <c r="O407" s="40"/>
      <c r="P407" s="40"/>
      <c r="Q407" s="40">
        <v>46056</v>
      </c>
      <c r="R407" s="39" t="s">
        <v>218</v>
      </c>
      <c r="S407" s="39" t="s">
        <v>225</v>
      </c>
      <c r="T407" s="39" t="s">
        <v>225</v>
      </c>
      <c r="U407" s="35" t="s">
        <v>88</v>
      </c>
      <c r="V407" s="39" t="s">
        <v>226</v>
      </c>
      <c r="W407" s="39" t="s">
        <v>123</v>
      </c>
      <c r="X407" s="39">
        <v>1680.9</v>
      </c>
      <c r="Y407" s="39">
        <v>305.62</v>
      </c>
      <c r="Z407" s="39">
        <v>305.62</v>
      </c>
      <c r="AA407" s="39">
        <v>0</v>
      </c>
      <c r="AB407" s="39"/>
      <c r="AC407" s="39">
        <v>0</v>
      </c>
      <c r="AD407" s="39"/>
      <c r="AE407" s="39">
        <v>0</v>
      </c>
      <c r="AF407" s="39"/>
      <c r="AG407" s="39">
        <v>0</v>
      </c>
      <c r="AH407" s="39"/>
      <c r="AI407" s="41">
        <v>0</v>
      </c>
    </row>
    <row r="408" spans="1:35" x14ac:dyDescent="0.25">
      <c r="A408" s="34" t="s">
        <v>110</v>
      </c>
      <c r="B408" s="35" t="s">
        <v>1838</v>
      </c>
      <c r="C408" s="35" t="s">
        <v>1839</v>
      </c>
      <c r="D408" s="35">
        <v>32060</v>
      </c>
      <c r="E408" s="35" t="s">
        <v>1840</v>
      </c>
      <c r="F408" s="35" t="s">
        <v>1841</v>
      </c>
      <c r="G408" s="35" t="s">
        <v>174</v>
      </c>
      <c r="H408" s="35" t="s">
        <v>160</v>
      </c>
      <c r="I408" s="35" t="s">
        <v>217</v>
      </c>
      <c r="J408" s="35" t="s">
        <v>141</v>
      </c>
      <c r="K408" s="36">
        <v>46044</v>
      </c>
      <c r="L408" s="36">
        <v>45943</v>
      </c>
      <c r="M408" s="36"/>
      <c r="N408" s="36"/>
      <c r="O408" s="36"/>
      <c r="P408" s="36"/>
      <c r="Q408" s="36"/>
      <c r="R408" s="35" t="s">
        <v>218</v>
      </c>
      <c r="S408" s="35" t="s">
        <v>1018</v>
      </c>
      <c r="T408" s="35" t="s">
        <v>1018</v>
      </c>
      <c r="U408" s="35" t="s">
        <v>82</v>
      </c>
      <c r="V408" s="35" t="s">
        <v>226</v>
      </c>
      <c r="W408" s="35" t="s">
        <v>123</v>
      </c>
      <c r="X408" s="35">
        <v>27687.37</v>
      </c>
      <c r="Y408" s="35">
        <v>5034.0600000000004</v>
      </c>
      <c r="Z408" s="35">
        <v>5034.0600000000004</v>
      </c>
      <c r="AA408" s="35">
        <v>0</v>
      </c>
      <c r="AB408" s="35"/>
      <c r="AC408" s="35">
        <v>0</v>
      </c>
      <c r="AD408" s="35"/>
      <c r="AE408" s="35">
        <v>0</v>
      </c>
      <c r="AF408" s="35"/>
      <c r="AG408" s="35">
        <v>0</v>
      </c>
      <c r="AH408" s="35"/>
      <c r="AI408" s="37">
        <v>0</v>
      </c>
    </row>
    <row r="409" spans="1:35" x14ac:dyDescent="0.25">
      <c r="A409" s="38" t="s">
        <v>110</v>
      </c>
      <c r="B409" s="39" t="s">
        <v>359</v>
      </c>
      <c r="C409" s="39" t="s">
        <v>360</v>
      </c>
      <c r="D409" s="39">
        <v>32575</v>
      </c>
      <c r="E409" s="39" t="s">
        <v>361</v>
      </c>
      <c r="F409" s="39" t="s">
        <v>362</v>
      </c>
      <c r="G409" s="39" t="s">
        <v>174</v>
      </c>
      <c r="H409" s="39" t="s">
        <v>160</v>
      </c>
      <c r="I409" s="39" t="s">
        <v>217</v>
      </c>
      <c r="J409" s="39" t="s">
        <v>118</v>
      </c>
      <c r="K409" s="40">
        <v>46044</v>
      </c>
      <c r="L409" s="40">
        <v>46048</v>
      </c>
      <c r="M409" s="40">
        <v>46044</v>
      </c>
      <c r="N409" s="40"/>
      <c r="O409" s="40"/>
      <c r="P409" s="40"/>
      <c r="Q409" s="40">
        <v>46056</v>
      </c>
      <c r="R409" s="39" t="s">
        <v>218</v>
      </c>
      <c r="S409" s="39" t="s">
        <v>225</v>
      </c>
      <c r="T409" s="39" t="s">
        <v>225</v>
      </c>
      <c r="U409" s="35" t="s">
        <v>88</v>
      </c>
      <c r="V409" s="39" t="s">
        <v>226</v>
      </c>
      <c r="W409" s="39" t="s">
        <v>123</v>
      </c>
      <c r="X409" s="39">
        <v>554.79</v>
      </c>
      <c r="Y409" s="39">
        <v>100.87</v>
      </c>
      <c r="Z409" s="39">
        <v>100.87</v>
      </c>
      <c r="AA409" s="39">
        <v>0</v>
      </c>
      <c r="AB409" s="39"/>
      <c r="AC409" s="39">
        <v>0</v>
      </c>
      <c r="AD409" s="39"/>
      <c r="AE409" s="39">
        <v>0</v>
      </c>
      <c r="AF409" s="39"/>
      <c r="AG409" s="39">
        <v>0</v>
      </c>
      <c r="AH409" s="39"/>
      <c r="AI409" s="41">
        <v>0</v>
      </c>
    </row>
    <row r="410" spans="1:35" x14ac:dyDescent="0.25">
      <c r="A410" s="34" t="s">
        <v>110</v>
      </c>
      <c r="B410" s="35" t="s">
        <v>1281</v>
      </c>
      <c r="C410" s="35" t="s">
        <v>1282</v>
      </c>
      <c r="D410" s="35">
        <v>32576</v>
      </c>
      <c r="E410" s="35" t="s">
        <v>1283</v>
      </c>
      <c r="F410" s="35" t="s">
        <v>1284</v>
      </c>
      <c r="G410" s="35" t="s">
        <v>174</v>
      </c>
      <c r="H410" s="35" t="s">
        <v>160</v>
      </c>
      <c r="I410" s="35" t="s">
        <v>217</v>
      </c>
      <c r="J410" s="35" t="s">
        <v>118</v>
      </c>
      <c r="K410" s="36">
        <v>46044</v>
      </c>
      <c r="L410" s="36">
        <v>46042</v>
      </c>
      <c r="M410" s="36">
        <v>46050</v>
      </c>
      <c r="N410" s="36"/>
      <c r="O410" s="36"/>
      <c r="P410" s="36"/>
      <c r="Q410" s="36">
        <v>46056</v>
      </c>
      <c r="R410" s="35" t="s">
        <v>218</v>
      </c>
      <c r="S410" s="35" t="s">
        <v>1018</v>
      </c>
      <c r="T410" s="35" t="s">
        <v>1018</v>
      </c>
      <c r="U410" s="35" t="s">
        <v>82</v>
      </c>
      <c r="V410" s="35" t="s">
        <v>226</v>
      </c>
      <c r="W410" s="35" t="s">
        <v>123</v>
      </c>
      <c r="X410" s="35">
        <v>661.12</v>
      </c>
      <c r="Y410" s="35">
        <v>120.2</v>
      </c>
      <c r="Z410" s="35">
        <v>120.2</v>
      </c>
      <c r="AA410" s="35">
        <v>0</v>
      </c>
      <c r="AB410" s="35"/>
      <c r="AC410" s="35">
        <v>0</v>
      </c>
      <c r="AD410" s="35"/>
      <c r="AE410" s="35">
        <v>0</v>
      </c>
      <c r="AF410" s="35"/>
      <c r="AG410" s="35">
        <v>0</v>
      </c>
      <c r="AH410" s="35"/>
      <c r="AI410" s="37">
        <v>0</v>
      </c>
    </row>
    <row r="411" spans="1:35" x14ac:dyDescent="0.25">
      <c r="A411" s="38" t="s">
        <v>110</v>
      </c>
      <c r="B411" s="39" t="s">
        <v>731</v>
      </c>
      <c r="C411" s="39" t="s">
        <v>1285</v>
      </c>
      <c r="D411" s="39">
        <v>32577</v>
      </c>
      <c r="E411" s="39" t="s">
        <v>1286</v>
      </c>
      <c r="F411" s="39" t="s">
        <v>1287</v>
      </c>
      <c r="G411" s="39" t="s">
        <v>174</v>
      </c>
      <c r="H411" s="39" t="s">
        <v>160</v>
      </c>
      <c r="I411" s="39" t="s">
        <v>217</v>
      </c>
      <c r="J411" s="39" t="s">
        <v>118</v>
      </c>
      <c r="K411" s="40">
        <v>46044</v>
      </c>
      <c r="L411" s="40">
        <v>46043</v>
      </c>
      <c r="M411" s="40">
        <v>46048</v>
      </c>
      <c r="N411" s="40"/>
      <c r="O411" s="40"/>
      <c r="P411" s="40"/>
      <c r="Q411" s="40">
        <v>46056</v>
      </c>
      <c r="R411" s="39" t="s">
        <v>218</v>
      </c>
      <c r="S411" s="39" t="s">
        <v>1018</v>
      </c>
      <c r="T411" s="39" t="s">
        <v>1018</v>
      </c>
      <c r="U411" s="35" t="s">
        <v>82</v>
      </c>
      <c r="V411" s="39" t="s">
        <v>226</v>
      </c>
      <c r="W411" s="39" t="s">
        <v>123</v>
      </c>
      <c r="X411" s="39">
        <v>1357.56</v>
      </c>
      <c r="Y411" s="39">
        <v>246.82</v>
      </c>
      <c r="Z411" s="39">
        <v>246.82</v>
      </c>
      <c r="AA411" s="39">
        <v>0</v>
      </c>
      <c r="AB411" s="39"/>
      <c r="AC411" s="39">
        <v>0</v>
      </c>
      <c r="AD411" s="39"/>
      <c r="AE411" s="39">
        <v>0</v>
      </c>
      <c r="AF411" s="39"/>
      <c r="AG411" s="39">
        <v>0</v>
      </c>
      <c r="AH411" s="39"/>
      <c r="AI411" s="41">
        <v>0</v>
      </c>
    </row>
    <row r="412" spans="1:35" x14ac:dyDescent="0.25">
      <c r="A412" s="34" t="s">
        <v>110</v>
      </c>
      <c r="B412" s="35" t="s">
        <v>1288</v>
      </c>
      <c r="C412" s="35" t="s">
        <v>1289</v>
      </c>
      <c r="D412" s="35">
        <v>32578</v>
      </c>
      <c r="E412" s="35" t="s">
        <v>1290</v>
      </c>
      <c r="F412" s="35" t="s">
        <v>1291</v>
      </c>
      <c r="G412" s="35" t="s">
        <v>174</v>
      </c>
      <c r="H412" s="35" t="s">
        <v>160</v>
      </c>
      <c r="I412" s="35" t="s">
        <v>217</v>
      </c>
      <c r="J412" s="35" t="s">
        <v>118</v>
      </c>
      <c r="K412" s="36">
        <v>46044</v>
      </c>
      <c r="L412" s="36">
        <v>46042</v>
      </c>
      <c r="M412" s="36">
        <v>46045</v>
      </c>
      <c r="N412" s="36"/>
      <c r="O412" s="36"/>
      <c r="P412" s="36"/>
      <c r="Q412" s="36"/>
      <c r="R412" s="35" t="s">
        <v>218</v>
      </c>
      <c r="S412" s="35" t="s">
        <v>1018</v>
      </c>
      <c r="T412" s="35" t="s">
        <v>1018</v>
      </c>
      <c r="U412" s="35" t="s">
        <v>82</v>
      </c>
      <c r="V412" s="35" t="s">
        <v>226</v>
      </c>
      <c r="W412" s="35" t="s">
        <v>123</v>
      </c>
      <c r="X412" s="35">
        <v>40489.18</v>
      </c>
      <c r="Y412" s="35">
        <v>7361.66</v>
      </c>
      <c r="Z412" s="35">
        <v>7361.66</v>
      </c>
      <c r="AA412" s="35">
        <v>0</v>
      </c>
      <c r="AB412" s="35"/>
      <c r="AC412" s="35">
        <v>0</v>
      </c>
      <c r="AD412" s="35"/>
      <c r="AE412" s="35">
        <v>0</v>
      </c>
      <c r="AF412" s="35"/>
      <c r="AG412" s="35">
        <v>0</v>
      </c>
      <c r="AH412" s="35"/>
      <c r="AI412" s="37">
        <v>0</v>
      </c>
    </row>
    <row r="413" spans="1:35" x14ac:dyDescent="0.25">
      <c r="A413" s="38" t="s">
        <v>110</v>
      </c>
      <c r="B413" s="39" t="s">
        <v>1288</v>
      </c>
      <c r="C413" s="39" t="s">
        <v>1289</v>
      </c>
      <c r="D413" s="39">
        <v>32578</v>
      </c>
      <c r="E413" s="39" t="s">
        <v>2003</v>
      </c>
      <c r="F413" s="39" t="s">
        <v>2004</v>
      </c>
      <c r="G413" s="39" t="s">
        <v>174</v>
      </c>
      <c r="H413" s="39" t="s">
        <v>160</v>
      </c>
      <c r="I413" s="39" t="s">
        <v>217</v>
      </c>
      <c r="J413" s="39" t="s">
        <v>141</v>
      </c>
      <c r="K413" s="40">
        <v>46044</v>
      </c>
      <c r="L413" s="40">
        <v>46042</v>
      </c>
      <c r="M413" s="40"/>
      <c r="N413" s="40"/>
      <c r="O413" s="40"/>
      <c r="P413" s="40"/>
      <c r="Q413" s="40"/>
      <c r="R413" s="39" t="s">
        <v>218</v>
      </c>
      <c r="S413" s="39" t="s">
        <v>1018</v>
      </c>
      <c r="T413" s="39" t="s">
        <v>1018</v>
      </c>
      <c r="U413" s="35" t="s">
        <v>82</v>
      </c>
      <c r="V413" s="39" t="s">
        <v>226</v>
      </c>
      <c r="W413" s="39" t="s">
        <v>123</v>
      </c>
      <c r="X413" s="39">
        <v>-8097.97</v>
      </c>
      <c r="Y413" s="39">
        <v>-1472.36</v>
      </c>
      <c r="Z413" s="39">
        <v>-1472.36</v>
      </c>
      <c r="AA413" s="39">
        <v>0</v>
      </c>
      <c r="AB413" s="39"/>
      <c r="AC413" s="39">
        <v>0</v>
      </c>
      <c r="AD413" s="39"/>
      <c r="AE413" s="39">
        <v>0</v>
      </c>
      <c r="AF413" s="39"/>
      <c r="AG413" s="39">
        <v>0</v>
      </c>
      <c r="AH413" s="39"/>
      <c r="AI413" s="41">
        <v>0</v>
      </c>
    </row>
    <row r="414" spans="1:35" x14ac:dyDescent="0.25">
      <c r="A414" s="34" t="s">
        <v>110</v>
      </c>
      <c r="B414" s="35" t="s">
        <v>1288</v>
      </c>
      <c r="C414" s="35" t="s">
        <v>1292</v>
      </c>
      <c r="D414" s="35">
        <v>32579</v>
      </c>
      <c r="E414" s="35" t="s">
        <v>1293</v>
      </c>
      <c r="F414" s="35" t="s">
        <v>1294</v>
      </c>
      <c r="G414" s="35" t="s">
        <v>174</v>
      </c>
      <c r="H414" s="35" t="s">
        <v>160</v>
      </c>
      <c r="I414" s="35" t="s">
        <v>217</v>
      </c>
      <c r="J414" s="35" t="s">
        <v>118</v>
      </c>
      <c r="K414" s="36">
        <v>46044</v>
      </c>
      <c r="L414" s="36">
        <v>46042</v>
      </c>
      <c r="M414" s="36">
        <v>46045</v>
      </c>
      <c r="N414" s="36"/>
      <c r="O414" s="36"/>
      <c r="P414" s="36"/>
      <c r="Q414" s="36"/>
      <c r="R414" s="35" t="s">
        <v>218</v>
      </c>
      <c r="S414" s="35" t="s">
        <v>1018</v>
      </c>
      <c r="T414" s="35" t="s">
        <v>1018</v>
      </c>
      <c r="U414" s="35" t="s">
        <v>82</v>
      </c>
      <c r="V414" s="35" t="s">
        <v>226</v>
      </c>
      <c r="W414" s="35" t="s">
        <v>123</v>
      </c>
      <c r="X414" s="35">
        <v>64154.09</v>
      </c>
      <c r="Y414" s="35">
        <v>11664.38</v>
      </c>
      <c r="Z414" s="35">
        <v>11664.38</v>
      </c>
      <c r="AA414" s="35">
        <v>0</v>
      </c>
      <c r="AB414" s="35"/>
      <c r="AC414" s="35">
        <v>0</v>
      </c>
      <c r="AD414" s="35"/>
      <c r="AE414" s="35">
        <v>0</v>
      </c>
      <c r="AF414" s="35"/>
      <c r="AG414" s="35">
        <v>0</v>
      </c>
      <c r="AH414" s="35"/>
      <c r="AI414" s="37">
        <v>0</v>
      </c>
    </row>
    <row r="415" spans="1:35" x14ac:dyDescent="0.25">
      <c r="A415" s="38" t="s">
        <v>110</v>
      </c>
      <c r="B415" s="39" t="s">
        <v>1288</v>
      </c>
      <c r="C415" s="39" t="s">
        <v>1292</v>
      </c>
      <c r="D415" s="39">
        <v>32579</v>
      </c>
      <c r="E415" s="39" t="s">
        <v>2005</v>
      </c>
      <c r="F415" s="39" t="s">
        <v>2006</v>
      </c>
      <c r="G415" s="39" t="s">
        <v>174</v>
      </c>
      <c r="H415" s="39" t="s">
        <v>160</v>
      </c>
      <c r="I415" s="39" t="s">
        <v>217</v>
      </c>
      <c r="J415" s="39" t="s">
        <v>141</v>
      </c>
      <c r="K415" s="40">
        <v>46044</v>
      </c>
      <c r="L415" s="40">
        <v>46042</v>
      </c>
      <c r="M415" s="40"/>
      <c r="N415" s="40"/>
      <c r="O415" s="40"/>
      <c r="P415" s="40"/>
      <c r="Q415" s="40"/>
      <c r="R415" s="39" t="s">
        <v>218</v>
      </c>
      <c r="S415" s="39" t="s">
        <v>1018</v>
      </c>
      <c r="T415" s="39" t="s">
        <v>1018</v>
      </c>
      <c r="U415" s="35" t="s">
        <v>82</v>
      </c>
      <c r="V415" s="39" t="s">
        <v>226</v>
      </c>
      <c r="W415" s="39" t="s">
        <v>123</v>
      </c>
      <c r="X415" s="39">
        <v>-12831.01</v>
      </c>
      <c r="Y415" s="39">
        <v>-2332.91</v>
      </c>
      <c r="Z415" s="39">
        <v>-2332.91</v>
      </c>
      <c r="AA415" s="39">
        <v>0</v>
      </c>
      <c r="AB415" s="39"/>
      <c r="AC415" s="39">
        <v>0</v>
      </c>
      <c r="AD415" s="39"/>
      <c r="AE415" s="39">
        <v>0</v>
      </c>
      <c r="AF415" s="39"/>
      <c r="AG415" s="39">
        <v>0</v>
      </c>
      <c r="AH415" s="39"/>
      <c r="AI415" s="41">
        <v>0</v>
      </c>
    </row>
    <row r="416" spans="1:35" x14ac:dyDescent="0.25">
      <c r="A416" s="34" t="s">
        <v>110</v>
      </c>
      <c r="B416" s="35" t="s">
        <v>1288</v>
      </c>
      <c r="C416" s="35" t="s">
        <v>1295</v>
      </c>
      <c r="D416" s="35">
        <v>32580</v>
      </c>
      <c r="E416" s="35" t="s">
        <v>1296</v>
      </c>
      <c r="F416" s="35" t="s">
        <v>1297</v>
      </c>
      <c r="G416" s="35" t="s">
        <v>174</v>
      </c>
      <c r="H416" s="35" t="s">
        <v>160</v>
      </c>
      <c r="I416" s="35" t="s">
        <v>217</v>
      </c>
      <c r="J416" s="35" t="s">
        <v>118</v>
      </c>
      <c r="K416" s="36">
        <v>46044</v>
      </c>
      <c r="L416" s="36">
        <v>46042</v>
      </c>
      <c r="M416" s="36">
        <v>46045</v>
      </c>
      <c r="N416" s="36"/>
      <c r="O416" s="36"/>
      <c r="P416" s="36"/>
      <c r="Q416" s="36"/>
      <c r="R416" s="35" t="s">
        <v>218</v>
      </c>
      <c r="S416" s="35" t="s">
        <v>1018</v>
      </c>
      <c r="T416" s="35" t="s">
        <v>1018</v>
      </c>
      <c r="U416" s="35" t="s">
        <v>82</v>
      </c>
      <c r="V416" s="35" t="s">
        <v>226</v>
      </c>
      <c r="W416" s="35" t="s">
        <v>123</v>
      </c>
      <c r="X416" s="35">
        <v>15930.68</v>
      </c>
      <c r="Y416" s="35">
        <v>2896.49</v>
      </c>
      <c r="Z416" s="35">
        <v>2896.49</v>
      </c>
      <c r="AA416" s="35">
        <v>0</v>
      </c>
      <c r="AB416" s="35"/>
      <c r="AC416" s="35">
        <v>0</v>
      </c>
      <c r="AD416" s="35"/>
      <c r="AE416" s="35">
        <v>0</v>
      </c>
      <c r="AF416" s="35"/>
      <c r="AG416" s="35">
        <v>0</v>
      </c>
      <c r="AH416" s="35"/>
      <c r="AI416" s="37">
        <v>0</v>
      </c>
    </row>
    <row r="417" spans="1:35" x14ac:dyDescent="0.25">
      <c r="A417" s="38" t="s">
        <v>110</v>
      </c>
      <c r="B417" s="39" t="s">
        <v>1288</v>
      </c>
      <c r="C417" s="39" t="s">
        <v>1295</v>
      </c>
      <c r="D417" s="39">
        <v>32580</v>
      </c>
      <c r="E417" s="39" t="s">
        <v>2007</v>
      </c>
      <c r="F417" s="39" t="s">
        <v>2008</v>
      </c>
      <c r="G417" s="39" t="s">
        <v>174</v>
      </c>
      <c r="H417" s="39" t="s">
        <v>160</v>
      </c>
      <c r="I417" s="39" t="s">
        <v>217</v>
      </c>
      <c r="J417" s="39" t="s">
        <v>141</v>
      </c>
      <c r="K417" s="40">
        <v>46044</v>
      </c>
      <c r="L417" s="40">
        <v>46042</v>
      </c>
      <c r="M417" s="40"/>
      <c r="N417" s="40"/>
      <c r="O417" s="40"/>
      <c r="P417" s="40"/>
      <c r="Q417" s="40"/>
      <c r="R417" s="39" t="s">
        <v>218</v>
      </c>
      <c r="S417" s="39" t="s">
        <v>1018</v>
      </c>
      <c r="T417" s="39" t="s">
        <v>1018</v>
      </c>
      <c r="U417" s="35" t="s">
        <v>82</v>
      </c>
      <c r="V417" s="39" t="s">
        <v>226</v>
      </c>
      <c r="W417" s="39" t="s">
        <v>123</v>
      </c>
      <c r="X417" s="39">
        <v>-3186.19</v>
      </c>
      <c r="Y417" s="39">
        <v>-579.29999999999995</v>
      </c>
      <c r="Z417" s="39">
        <v>-579.29999999999995</v>
      </c>
      <c r="AA417" s="39">
        <v>0</v>
      </c>
      <c r="AB417" s="39"/>
      <c r="AC417" s="39">
        <v>0</v>
      </c>
      <c r="AD417" s="39"/>
      <c r="AE417" s="39">
        <v>0</v>
      </c>
      <c r="AF417" s="39"/>
      <c r="AG417" s="39">
        <v>0</v>
      </c>
      <c r="AH417" s="39"/>
      <c r="AI417" s="41">
        <v>0</v>
      </c>
    </row>
    <row r="418" spans="1:35" x14ac:dyDescent="0.25">
      <c r="A418" s="34" t="s">
        <v>110</v>
      </c>
      <c r="B418" s="35" t="s">
        <v>544</v>
      </c>
      <c r="C418" s="35" t="s">
        <v>1608</v>
      </c>
      <c r="D418" s="35">
        <v>24781</v>
      </c>
      <c r="E418" s="35" t="s">
        <v>1609</v>
      </c>
      <c r="F418" s="35" t="s">
        <v>1610</v>
      </c>
      <c r="G418" s="35" t="s">
        <v>115</v>
      </c>
      <c r="H418" s="35" t="s">
        <v>160</v>
      </c>
      <c r="I418" s="35" t="s">
        <v>117</v>
      </c>
      <c r="J418" s="35" t="s">
        <v>2195</v>
      </c>
      <c r="K418" s="36">
        <v>46044</v>
      </c>
      <c r="L418" s="36">
        <v>46023</v>
      </c>
      <c r="M418" s="36"/>
      <c r="N418" s="36">
        <v>46082</v>
      </c>
      <c r="O418" s="36">
        <v>46066</v>
      </c>
      <c r="P418" s="36"/>
      <c r="Q418" s="36"/>
      <c r="R418" s="35" t="s">
        <v>142</v>
      </c>
      <c r="S418" s="35" t="s">
        <v>1611</v>
      </c>
      <c r="T418" s="35" t="s">
        <v>177</v>
      </c>
      <c r="U418" s="35" t="s">
        <v>81</v>
      </c>
      <c r="V418" s="35" t="s">
        <v>1454</v>
      </c>
      <c r="W418" s="35" t="s">
        <v>123</v>
      </c>
      <c r="X418" s="35">
        <v>18480.89</v>
      </c>
      <c r="Y418" s="35">
        <v>3696.18</v>
      </c>
      <c r="Z418" s="35">
        <v>3696.18</v>
      </c>
      <c r="AA418" s="35">
        <v>0</v>
      </c>
      <c r="AB418" s="35"/>
      <c r="AC418" s="35">
        <v>0</v>
      </c>
      <c r="AD418" s="35"/>
      <c r="AE418" s="35">
        <v>0</v>
      </c>
      <c r="AF418" s="35"/>
      <c r="AG418" s="35">
        <v>0</v>
      </c>
      <c r="AH418" s="35"/>
      <c r="AI418" s="37">
        <v>0</v>
      </c>
    </row>
    <row r="419" spans="1:35" x14ac:dyDescent="0.25">
      <c r="A419" s="38" t="s">
        <v>110</v>
      </c>
      <c r="B419" s="39" t="s">
        <v>478</v>
      </c>
      <c r="C419" s="39" t="s">
        <v>479</v>
      </c>
      <c r="D419" s="39">
        <v>32586</v>
      </c>
      <c r="E419" s="39" t="s">
        <v>480</v>
      </c>
      <c r="F419" s="39" t="s">
        <v>481</v>
      </c>
      <c r="G419" s="39" t="s">
        <v>174</v>
      </c>
      <c r="H419" s="39" t="s">
        <v>116</v>
      </c>
      <c r="I419" s="39" t="s">
        <v>117</v>
      </c>
      <c r="J419" s="39" t="s">
        <v>118</v>
      </c>
      <c r="K419" s="40">
        <v>46045</v>
      </c>
      <c r="L419" s="40">
        <v>46044</v>
      </c>
      <c r="M419" s="40">
        <v>46044</v>
      </c>
      <c r="N419" s="40"/>
      <c r="O419" s="40"/>
      <c r="P419" s="40"/>
      <c r="Q419" s="40">
        <v>46054</v>
      </c>
      <c r="R419" s="39" t="s">
        <v>142</v>
      </c>
      <c r="S419" s="39" t="s">
        <v>482</v>
      </c>
      <c r="T419" s="39" t="s">
        <v>177</v>
      </c>
      <c r="U419" s="35" t="s">
        <v>81</v>
      </c>
      <c r="V419" s="39" t="s">
        <v>163</v>
      </c>
      <c r="W419" s="39" t="s">
        <v>123</v>
      </c>
      <c r="X419" s="39">
        <v>132.87</v>
      </c>
      <c r="Y419" s="39">
        <v>13.29</v>
      </c>
      <c r="Z419" s="39">
        <v>13.29</v>
      </c>
      <c r="AA419" s="39">
        <v>0</v>
      </c>
      <c r="AB419" s="39"/>
      <c r="AC419" s="39">
        <v>0</v>
      </c>
      <c r="AD419" s="39"/>
      <c r="AE419" s="39">
        <v>0</v>
      </c>
      <c r="AF419" s="39"/>
      <c r="AG419" s="39">
        <v>0</v>
      </c>
      <c r="AH419" s="39"/>
      <c r="AI419" s="41">
        <v>0</v>
      </c>
    </row>
    <row r="420" spans="1:35" x14ac:dyDescent="0.25">
      <c r="A420" s="34" t="s">
        <v>110</v>
      </c>
      <c r="B420" s="35" t="s">
        <v>170</v>
      </c>
      <c r="C420" s="35" t="s">
        <v>451</v>
      </c>
      <c r="D420" s="35">
        <v>19920</v>
      </c>
      <c r="E420" s="35" t="s">
        <v>458</v>
      </c>
      <c r="F420" s="35" t="s">
        <v>459</v>
      </c>
      <c r="G420" s="35" t="s">
        <v>115</v>
      </c>
      <c r="H420" s="35" t="s">
        <v>116</v>
      </c>
      <c r="I420" s="35" t="s">
        <v>117</v>
      </c>
      <c r="J420" s="35" t="s">
        <v>118</v>
      </c>
      <c r="K420" s="36">
        <v>46045</v>
      </c>
      <c r="L420" s="36">
        <v>46039</v>
      </c>
      <c r="M420" s="36">
        <v>46044</v>
      </c>
      <c r="N420" s="36"/>
      <c r="O420" s="36"/>
      <c r="P420" s="36"/>
      <c r="Q420" s="36">
        <v>46054</v>
      </c>
      <c r="R420" s="35" t="s">
        <v>142</v>
      </c>
      <c r="S420" s="35" t="s">
        <v>454</v>
      </c>
      <c r="T420" s="35" t="s">
        <v>455</v>
      </c>
      <c r="U420" s="35" t="s">
        <v>93</v>
      </c>
      <c r="V420" s="35" t="s">
        <v>163</v>
      </c>
      <c r="W420" s="35" t="s">
        <v>123</v>
      </c>
      <c r="X420" s="35">
        <v>26.16</v>
      </c>
      <c r="Y420" s="35">
        <v>2.62</v>
      </c>
      <c r="Z420" s="35">
        <v>2.62</v>
      </c>
      <c r="AA420" s="35">
        <v>0</v>
      </c>
      <c r="AB420" s="35"/>
      <c r="AC420" s="35">
        <v>0</v>
      </c>
      <c r="AD420" s="35"/>
      <c r="AE420" s="35">
        <v>0</v>
      </c>
      <c r="AF420" s="35"/>
      <c r="AG420" s="35">
        <v>0</v>
      </c>
      <c r="AH420" s="35"/>
      <c r="AI420" s="37">
        <v>0</v>
      </c>
    </row>
    <row r="421" spans="1:35" x14ac:dyDescent="0.25">
      <c r="A421" s="38" t="s">
        <v>110</v>
      </c>
      <c r="B421" s="39" t="s">
        <v>929</v>
      </c>
      <c r="C421" s="39" t="s">
        <v>1487</v>
      </c>
      <c r="D421" s="39">
        <v>32587</v>
      </c>
      <c r="E421" s="39" t="s">
        <v>1488</v>
      </c>
      <c r="F421" s="39" t="s">
        <v>1489</v>
      </c>
      <c r="G421" s="39" t="s">
        <v>174</v>
      </c>
      <c r="H421" s="39" t="s">
        <v>160</v>
      </c>
      <c r="I421" s="39" t="s">
        <v>117</v>
      </c>
      <c r="J421" s="39" t="s">
        <v>118</v>
      </c>
      <c r="K421" s="40">
        <v>46045</v>
      </c>
      <c r="L421" s="40">
        <v>46082</v>
      </c>
      <c r="M421" s="40">
        <v>46083</v>
      </c>
      <c r="N421" s="40"/>
      <c r="O421" s="40"/>
      <c r="P421" s="40"/>
      <c r="Q421" s="40"/>
      <c r="R421" s="39" t="s">
        <v>142</v>
      </c>
      <c r="S421" s="39" t="s">
        <v>543</v>
      </c>
      <c r="T421" s="39" t="s">
        <v>177</v>
      </c>
      <c r="U421" s="35" t="s">
        <v>81</v>
      </c>
      <c r="V421" s="39" t="s">
        <v>509</v>
      </c>
      <c r="W421" s="39" t="s">
        <v>123</v>
      </c>
      <c r="X421" s="39">
        <v>486.75</v>
      </c>
      <c r="Y421" s="39">
        <v>70.77</v>
      </c>
      <c r="Z421" s="39">
        <v>70.77</v>
      </c>
      <c r="AA421" s="39">
        <v>0</v>
      </c>
      <c r="AB421" s="39"/>
      <c r="AC421" s="39">
        <v>0</v>
      </c>
      <c r="AD421" s="39"/>
      <c r="AE421" s="39">
        <v>0</v>
      </c>
      <c r="AF421" s="39"/>
      <c r="AG421" s="39">
        <v>0</v>
      </c>
      <c r="AH421" s="39"/>
      <c r="AI421" s="41">
        <v>0</v>
      </c>
    </row>
    <row r="422" spans="1:35" x14ac:dyDescent="0.25">
      <c r="A422" s="34" t="s">
        <v>110</v>
      </c>
      <c r="B422" s="35" t="s">
        <v>1019</v>
      </c>
      <c r="C422" s="35" t="s">
        <v>1819</v>
      </c>
      <c r="D422" s="35">
        <v>31629</v>
      </c>
      <c r="E422" s="35" t="s">
        <v>1820</v>
      </c>
      <c r="F422" s="35" t="s">
        <v>1821</v>
      </c>
      <c r="G422" s="35" t="s">
        <v>174</v>
      </c>
      <c r="H422" s="35" t="s">
        <v>160</v>
      </c>
      <c r="I422" s="35" t="s">
        <v>217</v>
      </c>
      <c r="J422" s="35" t="s">
        <v>118</v>
      </c>
      <c r="K422" s="36">
        <v>46045</v>
      </c>
      <c r="L422" s="36">
        <v>45855</v>
      </c>
      <c r="M422" s="36">
        <v>46083</v>
      </c>
      <c r="N422" s="36"/>
      <c r="O422" s="36"/>
      <c r="P422" s="36"/>
      <c r="Q422" s="36"/>
      <c r="R422" s="35" t="s">
        <v>218</v>
      </c>
      <c r="S422" s="35" t="s">
        <v>1018</v>
      </c>
      <c r="T422" s="35" t="s">
        <v>1018</v>
      </c>
      <c r="U422" s="35" t="s">
        <v>82</v>
      </c>
      <c r="V422" s="35" t="s">
        <v>226</v>
      </c>
      <c r="W422" s="35" t="s">
        <v>123</v>
      </c>
      <c r="X422" s="35">
        <v>1329.63</v>
      </c>
      <c r="Y422" s="35">
        <v>241.76</v>
      </c>
      <c r="Z422" s="35">
        <v>241.76</v>
      </c>
      <c r="AA422" s="35">
        <v>0</v>
      </c>
      <c r="AB422" s="35"/>
      <c r="AC422" s="35">
        <v>0</v>
      </c>
      <c r="AD422" s="35"/>
      <c r="AE422" s="35">
        <v>0</v>
      </c>
      <c r="AF422" s="35"/>
      <c r="AG422" s="35">
        <v>0</v>
      </c>
      <c r="AH422" s="35"/>
      <c r="AI422" s="37">
        <v>0</v>
      </c>
    </row>
    <row r="423" spans="1:35" x14ac:dyDescent="0.25">
      <c r="A423" s="38" t="s">
        <v>110</v>
      </c>
      <c r="B423" s="39" t="s">
        <v>1019</v>
      </c>
      <c r="C423" s="39" t="s">
        <v>1819</v>
      </c>
      <c r="D423" s="39">
        <v>31629</v>
      </c>
      <c r="E423" s="39" t="s">
        <v>1822</v>
      </c>
      <c r="F423" s="39" t="s">
        <v>1823</v>
      </c>
      <c r="G423" s="39" t="s">
        <v>174</v>
      </c>
      <c r="H423" s="39" t="s">
        <v>160</v>
      </c>
      <c r="I423" s="39" t="s">
        <v>217</v>
      </c>
      <c r="J423" s="39" t="s">
        <v>141</v>
      </c>
      <c r="K423" s="40">
        <v>46045</v>
      </c>
      <c r="L423" s="40">
        <v>45855</v>
      </c>
      <c r="M423" s="40"/>
      <c r="N423" s="40"/>
      <c r="O423" s="40"/>
      <c r="P423" s="40"/>
      <c r="Q423" s="40"/>
      <c r="R423" s="39" t="s">
        <v>218</v>
      </c>
      <c r="S423" s="39" t="s">
        <v>1018</v>
      </c>
      <c r="T423" s="39" t="s">
        <v>1018</v>
      </c>
      <c r="U423" s="35" t="s">
        <v>82</v>
      </c>
      <c r="V423" s="39" t="s">
        <v>226</v>
      </c>
      <c r="W423" s="39" t="s">
        <v>123</v>
      </c>
      <c r="X423" s="39">
        <v>-265.94</v>
      </c>
      <c r="Y423" s="39">
        <v>-48.36</v>
      </c>
      <c r="Z423" s="39">
        <v>-48.36</v>
      </c>
      <c r="AA423" s="39">
        <v>0</v>
      </c>
      <c r="AB423" s="39"/>
      <c r="AC423" s="39">
        <v>0</v>
      </c>
      <c r="AD423" s="39"/>
      <c r="AE423" s="39">
        <v>0</v>
      </c>
      <c r="AF423" s="39"/>
      <c r="AG423" s="39">
        <v>0</v>
      </c>
      <c r="AH423" s="39"/>
      <c r="AI423" s="41">
        <v>0</v>
      </c>
    </row>
    <row r="424" spans="1:35" x14ac:dyDescent="0.25">
      <c r="A424" s="34" t="s">
        <v>110</v>
      </c>
      <c r="B424" s="35" t="s">
        <v>1263</v>
      </c>
      <c r="C424" s="35" t="s">
        <v>1264</v>
      </c>
      <c r="D424" s="35">
        <v>32550</v>
      </c>
      <c r="E424" s="35" t="s">
        <v>1267</v>
      </c>
      <c r="F424" s="35" t="s">
        <v>1268</v>
      </c>
      <c r="G424" s="35" t="s">
        <v>174</v>
      </c>
      <c r="H424" s="35" t="s">
        <v>160</v>
      </c>
      <c r="I424" s="35" t="s">
        <v>217</v>
      </c>
      <c r="J424" s="35" t="s">
        <v>118</v>
      </c>
      <c r="K424" s="36">
        <v>46045</v>
      </c>
      <c r="L424" s="36">
        <v>46035</v>
      </c>
      <c r="M424" s="36">
        <v>46051</v>
      </c>
      <c r="N424" s="36"/>
      <c r="O424" s="36"/>
      <c r="P424" s="36"/>
      <c r="Q424" s="36">
        <v>46068</v>
      </c>
      <c r="R424" s="35" t="s">
        <v>218</v>
      </c>
      <c r="S424" s="35" t="s">
        <v>1018</v>
      </c>
      <c r="T424" s="35" t="s">
        <v>1018</v>
      </c>
      <c r="U424" s="35" t="s">
        <v>82</v>
      </c>
      <c r="V424" s="35" t="s">
        <v>226</v>
      </c>
      <c r="W424" s="35" t="s">
        <v>123</v>
      </c>
      <c r="X424" s="35">
        <v>-7198.34</v>
      </c>
      <c r="Y424" s="35">
        <v>-1308.79</v>
      </c>
      <c r="Z424" s="35">
        <v>-1308.79</v>
      </c>
      <c r="AA424" s="35">
        <v>0</v>
      </c>
      <c r="AB424" s="35"/>
      <c r="AC424" s="35">
        <v>0</v>
      </c>
      <c r="AD424" s="35"/>
      <c r="AE424" s="35">
        <v>0</v>
      </c>
      <c r="AF424" s="35"/>
      <c r="AG424" s="35">
        <v>0</v>
      </c>
      <c r="AH424" s="35"/>
      <c r="AI424" s="37">
        <v>0</v>
      </c>
    </row>
    <row r="425" spans="1:35" x14ac:dyDescent="0.25">
      <c r="A425" s="38" t="s">
        <v>110</v>
      </c>
      <c r="B425" s="39" t="s">
        <v>420</v>
      </c>
      <c r="C425" s="39" t="s">
        <v>1094</v>
      </c>
      <c r="D425" s="39">
        <v>32517</v>
      </c>
      <c r="E425" s="39" t="s">
        <v>1097</v>
      </c>
      <c r="F425" s="39" t="s">
        <v>1098</v>
      </c>
      <c r="G425" s="39" t="s">
        <v>174</v>
      </c>
      <c r="H425" s="39" t="s">
        <v>160</v>
      </c>
      <c r="I425" s="39" t="s">
        <v>217</v>
      </c>
      <c r="J425" s="39" t="s">
        <v>118</v>
      </c>
      <c r="K425" s="40">
        <v>46045</v>
      </c>
      <c r="L425" s="40">
        <v>46024</v>
      </c>
      <c r="M425" s="40">
        <v>46051</v>
      </c>
      <c r="N425" s="40"/>
      <c r="O425" s="40"/>
      <c r="P425" s="40"/>
      <c r="Q425" s="40">
        <v>46068</v>
      </c>
      <c r="R425" s="39" t="s">
        <v>218</v>
      </c>
      <c r="S425" s="39" t="s">
        <v>1018</v>
      </c>
      <c r="T425" s="39" t="s">
        <v>1018</v>
      </c>
      <c r="U425" s="35" t="s">
        <v>82</v>
      </c>
      <c r="V425" s="39" t="s">
        <v>226</v>
      </c>
      <c r="W425" s="39" t="s">
        <v>123</v>
      </c>
      <c r="X425" s="39">
        <v>-3873.93</v>
      </c>
      <c r="Y425" s="39">
        <v>-704.36</v>
      </c>
      <c r="Z425" s="39">
        <v>-704.36</v>
      </c>
      <c r="AA425" s="39">
        <v>0</v>
      </c>
      <c r="AB425" s="39"/>
      <c r="AC425" s="39">
        <v>0</v>
      </c>
      <c r="AD425" s="39"/>
      <c r="AE425" s="39">
        <v>0</v>
      </c>
      <c r="AF425" s="39"/>
      <c r="AG425" s="39">
        <v>0</v>
      </c>
      <c r="AH425" s="39"/>
      <c r="AI425" s="41">
        <v>0</v>
      </c>
    </row>
    <row r="426" spans="1:35" x14ac:dyDescent="0.25">
      <c r="A426" s="34" t="s">
        <v>110</v>
      </c>
      <c r="B426" s="35" t="s">
        <v>1156</v>
      </c>
      <c r="C426" s="35" t="s">
        <v>1157</v>
      </c>
      <c r="D426" s="35">
        <v>32572</v>
      </c>
      <c r="E426" s="35" t="s">
        <v>1158</v>
      </c>
      <c r="F426" s="35" t="s">
        <v>1159</v>
      </c>
      <c r="G426" s="35" t="s">
        <v>174</v>
      </c>
      <c r="H426" s="35" t="s">
        <v>160</v>
      </c>
      <c r="I426" s="35" t="s">
        <v>217</v>
      </c>
      <c r="J426" s="35" t="s">
        <v>118</v>
      </c>
      <c r="K426" s="36">
        <v>46045</v>
      </c>
      <c r="L426" s="36">
        <v>46043</v>
      </c>
      <c r="M426" s="36">
        <v>46051</v>
      </c>
      <c r="N426" s="36"/>
      <c r="O426" s="36"/>
      <c r="P426" s="36"/>
      <c r="Q426" s="36"/>
      <c r="R426" s="35" t="s">
        <v>218</v>
      </c>
      <c r="S426" s="35" t="s">
        <v>1018</v>
      </c>
      <c r="T426" s="35" t="s">
        <v>1018</v>
      </c>
      <c r="U426" s="35" t="s">
        <v>82</v>
      </c>
      <c r="V426" s="35" t="s">
        <v>226</v>
      </c>
      <c r="W426" s="35" t="s">
        <v>123</v>
      </c>
      <c r="X426" s="35">
        <v>2644.82</v>
      </c>
      <c r="Y426" s="35">
        <v>480.87</v>
      </c>
      <c r="Z426" s="35">
        <v>480.87</v>
      </c>
      <c r="AA426" s="35">
        <v>0</v>
      </c>
      <c r="AB426" s="35"/>
      <c r="AC426" s="35">
        <v>0</v>
      </c>
      <c r="AD426" s="35"/>
      <c r="AE426" s="35">
        <v>0</v>
      </c>
      <c r="AF426" s="35"/>
      <c r="AG426" s="35">
        <v>0</v>
      </c>
      <c r="AH426" s="35"/>
      <c r="AI426" s="37">
        <v>0</v>
      </c>
    </row>
    <row r="427" spans="1:35" x14ac:dyDescent="0.25">
      <c r="A427" s="38" t="s">
        <v>110</v>
      </c>
      <c r="B427" s="39" t="s">
        <v>1156</v>
      </c>
      <c r="C427" s="39" t="s">
        <v>1157</v>
      </c>
      <c r="D427" s="39">
        <v>32572</v>
      </c>
      <c r="E427" s="39" t="s">
        <v>1944</v>
      </c>
      <c r="F427" s="39" t="s">
        <v>1945</v>
      </c>
      <c r="G427" s="39" t="s">
        <v>174</v>
      </c>
      <c r="H427" s="39" t="s">
        <v>160</v>
      </c>
      <c r="I427" s="39" t="s">
        <v>217</v>
      </c>
      <c r="J427" s="39" t="s">
        <v>141</v>
      </c>
      <c r="K427" s="40">
        <v>46045</v>
      </c>
      <c r="L427" s="40">
        <v>46043</v>
      </c>
      <c r="M427" s="40"/>
      <c r="N427" s="40"/>
      <c r="O427" s="40"/>
      <c r="P427" s="40"/>
      <c r="Q427" s="40"/>
      <c r="R427" s="39" t="s">
        <v>218</v>
      </c>
      <c r="S427" s="39" t="s">
        <v>1018</v>
      </c>
      <c r="T427" s="39" t="s">
        <v>1018</v>
      </c>
      <c r="U427" s="35" t="s">
        <v>82</v>
      </c>
      <c r="V427" s="39" t="s">
        <v>226</v>
      </c>
      <c r="W427" s="39" t="s">
        <v>123</v>
      </c>
      <c r="X427" s="39">
        <v>10579.29</v>
      </c>
      <c r="Y427" s="39">
        <v>1923.51</v>
      </c>
      <c r="Z427" s="39">
        <v>1923.51</v>
      </c>
      <c r="AA427" s="39">
        <v>0</v>
      </c>
      <c r="AB427" s="39"/>
      <c r="AC427" s="39">
        <v>0</v>
      </c>
      <c r="AD427" s="39"/>
      <c r="AE427" s="39">
        <v>0</v>
      </c>
      <c r="AF427" s="39"/>
      <c r="AG427" s="39">
        <v>0</v>
      </c>
      <c r="AH427" s="39"/>
      <c r="AI427" s="41">
        <v>0</v>
      </c>
    </row>
    <row r="428" spans="1:35" x14ac:dyDescent="0.25">
      <c r="A428" s="34" t="s">
        <v>110</v>
      </c>
      <c r="B428" s="35" t="s">
        <v>367</v>
      </c>
      <c r="C428" s="35" t="s">
        <v>368</v>
      </c>
      <c r="D428" s="35">
        <v>32573</v>
      </c>
      <c r="E428" s="35" t="s">
        <v>369</v>
      </c>
      <c r="F428" s="35" t="s">
        <v>370</v>
      </c>
      <c r="G428" s="35" t="s">
        <v>174</v>
      </c>
      <c r="H428" s="35" t="s">
        <v>160</v>
      </c>
      <c r="I428" s="35" t="s">
        <v>217</v>
      </c>
      <c r="J428" s="35" t="s">
        <v>118</v>
      </c>
      <c r="K428" s="36">
        <v>46045</v>
      </c>
      <c r="L428" s="36">
        <v>46073</v>
      </c>
      <c r="M428" s="36">
        <v>46073</v>
      </c>
      <c r="N428" s="36"/>
      <c r="O428" s="36"/>
      <c r="P428" s="36">
        <v>46082</v>
      </c>
      <c r="Q428" s="36"/>
      <c r="R428" s="35" t="s">
        <v>218</v>
      </c>
      <c r="S428" s="35" t="s">
        <v>225</v>
      </c>
      <c r="T428" s="35" t="s">
        <v>225</v>
      </c>
      <c r="U428" s="35" t="s">
        <v>88</v>
      </c>
      <c r="V428" s="35" t="s">
        <v>226</v>
      </c>
      <c r="W428" s="35" t="s">
        <v>123</v>
      </c>
      <c r="X428" s="35">
        <v>693.48</v>
      </c>
      <c r="Y428" s="35">
        <v>126.08</v>
      </c>
      <c r="Z428" s="35">
        <v>126.08</v>
      </c>
      <c r="AA428" s="35">
        <v>0</v>
      </c>
      <c r="AB428" s="35"/>
      <c r="AC428" s="35">
        <v>0</v>
      </c>
      <c r="AD428" s="35" t="s">
        <v>308</v>
      </c>
      <c r="AE428" s="35">
        <v>69.349999999999994</v>
      </c>
      <c r="AF428" s="35"/>
      <c r="AG428" s="35">
        <v>0</v>
      </c>
      <c r="AH428" s="35"/>
      <c r="AI428" s="37">
        <v>0</v>
      </c>
    </row>
    <row r="429" spans="1:35" x14ac:dyDescent="0.25">
      <c r="A429" s="38" t="s">
        <v>110</v>
      </c>
      <c r="B429" s="39" t="s">
        <v>363</v>
      </c>
      <c r="C429" s="39" t="s">
        <v>364</v>
      </c>
      <c r="D429" s="39">
        <v>32574</v>
      </c>
      <c r="E429" s="39" t="s">
        <v>365</v>
      </c>
      <c r="F429" s="39" t="s">
        <v>366</v>
      </c>
      <c r="G429" s="39" t="s">
        <v>174</v>
      </c>
      <c r="H429" s="39" t="s">
        <v>160</v>
      </c>
      <c r="I429" s="39" t="s">
        <v>217</v>
      </c>
      <c r="J429" s="39" t="s">
        <v>118</v>
      </c>
      <c r="K429" s="40">
        <v>46045</v>
      </c>
      <c r="L429" s="40">
        <v>46055</v>
      </c>
      <c r="M429" s="40">
        <v>46044</v>
      </c>
      <c r="N429" s="40"/>
      <c r="O429" s="40"/>
      <c r="P429" s="40"/>
      <c r="Q429" s="40">
        <v>46056</v>
      </c>
      <c r="R429" s="39" t="s">
        <v>218</v>
      </c>
      <c r="S429" s="39" t="s">
        <v>225</v>
      </c>
      <c r="T429" s="39" t="s">
        <v>225</v>
      </c>
      <c r="U429" s="35" t="s">
        <v>88</v>
      </c>
      <c r="V429" s="39" t="s">
        <v>226</v>
      </c>
      <c r="W429" s="39" t="s">
        <v>123</v>
      </c>
      <c r="X429" s="39">
        <v>554.79</v>
      </c>
      <c r="Y429" s="39">
        <v>100.87</v>
      </c>
      <c r="Z429" s="39">
        <v>100.87</v>
      </c>
      <c r="AA429" s="39">
        <v>0</v>
      </c>
      <c r="AB429" s="39"/>
      <c r="AC429" s="39">
        <v>0</v>
      </c>
      <c r="AD429" s="39"/>
      <c r="AE429" s="39">
        <v>0</v>
      </c>
      <c r="AF429" s="39"/>
      <c r="AG429" s="39">
        <v>0</v>
      </c>
      <c r="AH429" s="39"/>
      <c r="AI429" s="41">
        <v>0</v>
      </c>
    </row>
    <row r="430" spans="1:35" x14ac:dyDescent="0.25">
      <c r="A430" s="34" t="s">
        <v>110</v>
      </c>
      <c r="B430" s="35" t="s">
        <v>420</v>
      </c>
      <c r="C430" s="35" t="s">
        <v>1298</v>
      </c>
      <c r="D430" s="35">
        <v>32581</v>
      </c>
      <c r="E430" s="35" t="s">
        <v>1299</v>
      </c>
      <c r="F430" s="35" t="s">
        <v>1300</v>
      </c>
      <c r="G430" s="35" t="s">
        <v>174</v>
      </c>
      <c r="H430" s="35" t="s">
        <v>160</v>
      </c>
      <c r="I430" s="35" t="s">
        <v>217</v>
      </c>
      <c r="J430" s="35" t="s">
        <v>118</v>
      </c>
      <c r="K430" s="36">
        <v>46045</v>
      </c>
      <c r="L430" s="36">
        <v>46043</v>
      </c>
      <c r="M430" s="36">
        <v>46051</v>
      </c>
      <c r="N430" s="36"/>
      <c r="O430" s="36"/>
      <c r="P430" s="36"/>
      <c r="Q430" s="36"/>
      <c r="R430" s="35" t="s">
        <v>218</v>
      </c>
      <c r="S430" s="35" t="s">
        <v>1018</v>
      </c>
      <c r="T430" s="35" t="s">
        <v>1018</v>
      </c>
      <c r="U430" s="35" t="s">
        <v>82</v>
      </c>
      <c r="V430" s="35" t="s">
        <v>226</v>
      </c>
      <c r="W430" s="35" t="s">
        <v>123</v>
      </c>
      <c r="X430" s="35">
        <v>6967.18</v>
      </c>
      <c r="Y430" s="35">
        <v>1266.76</v>
      </c>
      <c r="Z430" s="35">
        <v>1266.76</v>
      </c>
      <c r="AA430" s="35">
        <v>0</v>
      </c>
      <c r="AB430" s="35"/>
      <c r="AC430" s="35">
        <v>0</v>
      </c>
      <c r="AD430" s="35"/>
      <c r="AE430" s="35">
        <v>0</v>
      </c>
      <c r="AF430" s="35"/>
      <c r="AG430" s="35">
        <v>0</v>
      </c>
      <c r="AH430" s="35"/>
      <c r="AI430" s="37">
        <v>0</v>
      </c>
    </row>
    <row r="431" spans="1:35" x14ac:dyDescent="0.25">
      <c r="A431" s="38" t="s">
        <v>110</v>
      </c>
      <c r="B431" s="39" t="s">
        <v>1448</v>
      </c>
      <c r="C431" s="39" t="s">
        <v>1449</v>
      </c>
      <c r="D431" s="39">
        <v>1670</v>
      </c>
      <c r="E431" s="39" t="s">
        <v>1450</v>
      </c>
      <c r="F431" s="39" t="s">
        <v>1451</v>
      </c>
      <c r="G431" s="39" t="s">
        <v>115</v>
      </c>
      <c r="H431" s="39" t="s">
        <v>160</v>
      </c>
      <c r="I431" s="39" t="s">
        <v>117</v>
      </c>
      <c r="J431" s="39" t="s">
        <v>141</v>
      </c>
      <c r="K431" s="40">
        <v>46046</v>
      </c>
      <c r="L431" s="40">
        <v>46105</v>
      </c>
      <c r="M431" s="40"/>
      <c r="N431" s="40"/>
      <c r="O431" s="40"/>
      <c r="P431" s="40"/>
      <c r="Q431" s="40"/>
      <c r="R431" s="39" t="s">
        <v>142</v>
      </c>
      <c r="S431" s="39" t="s">
        <v>1452</v>
      </c>
      <c r="T431" s="39" t="s">
        <v>1453</v>
      </c>
      <c r="U431" s="35" t="s">
        <v>86</v>
      </c>
      <c r="V431" s="39" t="s">
        <v>1454</v>
      </c>
      <c r="W431" s="39" t="s">
        <v>123</v>
      </c>
      <c r="X431" s="39">
        <v>537.45000000000005</v>
      </c>
      <c r="Y431" s="39">
        <v>107.49</v>
      </c>
      <c r="Z431" s="39">
        <v>107.49</v>
      </c>
      <c r="AA431" s="39">
        <v>0</v>
      </c>
      <c r="AB431" s="39"/>
      <c r="AC431" s="39">
        <v>0</v>
      </c>
      <c r="AD431" s="39" t="s">
        <v>1455</v>
      </c>
      <c r="AE431" s="39">
        <v>64.489999999999995</v>
      </c>
      <c r="AF431" s="39"/>
      <c r="AG431" s="39">
        <v>0</v>
      </c>
      <c r="AH431" s="39"/>
      <c r="AI431" s="41">
        <v>0</v>
      </c>
    </row>
    <row r="432" spans="1:35" x14ac:dyDescent="0.25">
      <c r="A432" s="34" t="s">
        <v>110</v>
      </c>
      <c r="B432" s="35" t="s">
        <v>483</v>
      </c>
      <c r="C432" s="35" t="s">
        <v>484</v>
      </c>
      <c r="D432" s="35">
        <v>32588</v>
      </c>
      <c r="E432" s="35" t="s">
        <v>485</v>
      </c>
      <c r="F432" s="35" t="s">
        <v>486</v>
      </c>
      <c r="G432" s="35" t="s">
        <v>174</v>
      </c>
      <c r="H432" s="35" t="s">
        <v>116</v>
      </c>
      <c r="I432" s="35" t="s">
        <v>117</v>
      </c>
      <c r="J432" s="35" t="s">
        <v>118</v>
      </c>
      <c r="K432" s="36">
        <v>46046</v>
      </c>
      <c r="L432" s="36">
        <v>46045</v>
      </c>
      <c r="M432" s="36">
        <v>46045</v>
      </c>
      <c r="N432" s="36"/>
      <c r="O432" s="36"/>
      <c r="P432" s="36"/>
      <c r="Q432" s="36">
        <v>46054</v>
      </c>
      <c r="R432" s="35" t="s">
        <v>142</v>
      </c>
      <c r="S432" s="35" t="s">
        <v>487</v>
      </c>
      <c r="T432" s="35" t="s">
        <v>177</v>
      </c>
      <c r="U432" s="35" t="s">
        <v>81</v>
      </c>
      <c r="V432" s="35" t="s">
        <v>163</v>
      </c>
      <c r="W432" s="35" t="s">
        <v>123</v>
      </c>
      <c r="X432" s="35">
        <v>1971.55</v>
      </c>
      <c r="Y432" s="35">
        <v>157.72</v>
      </c>
      <c r="Z432" s="35">
        <v>157.72</v>
      </c>
      <c r="AA432" s="35">
        <v>0</v>
      </c>
      <c r="AB432" s="35"/>
      <c r="AC432" s="35">
        <v>0</v>
      </c>
      <c r="AD432" s="35"/>
      <c r="AE432" s="35">
        <v>0</v>
      </c>
      <c r="AF432" s="35"/>
      <c r="AG432" s="35">
        <v>0</v>
      </c>
      <c r="AH432" s="35"/>
      <c r="AI432" s="37">
        <v>0</v>
      </c>
    </row>
    <row r="433" spans="1:35" x14ac:dyDescent="0.25">
      <c r="A433" s="38" t="s">
        <v>110</v>
      </c>
      <c r="B433" s="39" t="s">
        <v>1394</v>
      </c>
      <c r="C433" s="39" t="s">
        <v>1395</v>
      </c>
      <c r="D433" s="39">
        <v>23325</v>
      </c>
      <c r="E433" s="39" t="s">
        <v>1396</v>
      </c>
      <c r="F433" s="39" t="s">
        <v>1397</v>
      </c>
      <c r="G433" s="39" t="s">
        <v>115</v>
      </c>
      <c r="H433" s="39" t="s">
        <v>116</v>
      </c>
      <c r="I433" s="39" t="s">
        <v>117</v>
      </c>
      <c r="J433" s="39" t="s">
        <v>141</v>
      </c>
      <c r="K433" s="40">
        <v>46046</v>
      </c>
      <c r="L433" s="40">
        <v>46113</v>
      </c>
      <c r="M433" s="40"/>
      <c r="N433" s="40"/>
      <c r="O433" s="40"/>
      <c r="P433" s="40"/>
      <c r="Q433" s="40"/>
      <c r="R433" s="39" t="s">
        <v>142</v>
      </c>
      <c r="S433" s="39" t="s">
        <v>492</v>
      </c>
      <c r="T433" s="39" t="s">
        <v>177</v>
      </c>
      <c r="U433" s="35" t="s">
        <v>81</v>
      </c>
      <c r="V433" s="39" t="s">
        <v>163</v>
      </c>
      <c r="W433" s="39" t="s">
        <v>123</v>
      </c>
      <c r="X433" s="39">
        <v>637.78</v>
      </c>
      <c r="Y433" s="39">
        <v>70.16</v>
      </c>
      <c r="Z433" s="39">
        <v>70.16</v>
      </c>
      <c r="AA433" s="39">
        <v>0</v>
      </c>
      <c r="AB433" s="39"/>
      <c r="AC433" s="39">
        <v>0</v>
      </c>
      <c r="AD433" s="39"/>
      <c r="AE433" s="39">
        <v>0</v>
      </c>
      <c r="AF433" s="39"/>
      <c r="AG433" s="39">
        <v>0</v>
      </c>
      <c r="AH433" s="39"/>
      <c r="AI433" s="41">
        <v>0</v>
      </c>
    </row>
    <row r="434" spans="1:35" x14ac:dyDescent="0.25">
      <c r="A434" s="34" t="s">
        <v>110</v>
      </c>
      <c r="B434" s="35" t="s">
        <v>1398</v>
      </c>
      <c r="C434" s="35" t="s">
        <v>1399</v>
      </c>
      <c r="D434" s="35">
        <v>23691</v>
      </c>
      <c r="E434" s="35" t="s">
        <v>1400</v>
      </c>
      <c r="F434" s="35" t="s">
        <v>1401</v>
      </c>
      <c r="G434" s="35" t="s">
        <v>115</v>
      </c>
      <c r="H434" s="35" t="s">
        <v>116</v>
      </c>
      <c r="I434" s="35" t="s">
        <v>117</v>
      </c>
      <c r="J434" s="35" t="s">
        <v>141</v>
      </c>
      <c r="K434" s="36">
        <v>46046</v>
      </c>
      <c r="L434" s="36">
        <v>46113</v>
      </c>
      <c r="M434" s="36"/>
      <c r="N434" s="36"/>
      <c r="O434" s="36"/>
      <c r="P434" s="36"/>
      <c r="Q434" s="36"/>
      <c r="R434" s="35" t="s">
        <v>1402</v>
      </c>
      <c r="S434" s="35" t="s">
        <v>1403</v>
      </c>
      <c r="T434" s="35" t="s">
        <v>177</v>
      </c>
      <c r="U434" s="35" t="s">
        <v>81</v>
      </c>
      <c r="V434" s="35" t="s">
        <v>163</v>
      </c>
      <c r="W434" s="35" t="s">
        <v>123</v>
      </c>
      <c r="X434" s="35">
        <v>271.61</v>
      </c>
      <c r="Y434" s="35">
        <v>29.88</v>
      </c>
      <c r="Z434" s="35">
        <v>29.88</v>
      </c>
      <c r="AA434" s="35">
        <v>0</v>
      </c>
      <c r="AB434" s="35"/>
      <c r="AC434" s="35">
        <v>0</v>
      </c>
      <c r="AD434" s="35"/>
      <c r="AE434" s="35">
        <v>0</v>
      </c>
      <c r="AF434" s="35"/>
      <c r="AG434" s="35">
        <v>0</v>
      </c>
      <c r="AH434" s="35"/>
      <c r="AI434" s="37">
        <v>0</v>
      </c>
    </row>
    <row r="435" spans="1:35" x14ac:dyDescent="0.25">
      <c r="A435" s="38" t="s">
        <v>110</v>
      </c>
      <c r="B435" s="39" t="s">
        <v>1404</v>
      </c>
      <c r="C435" s="39" t="s">
        <v>1405</v>
      </c>
      <c r="D435" s="39">
        <v>24886</v>
      </c>
      <c r="E435" s="39" t="s">
        <v>1406</v>
      </c>
      <c r="F435" s="39" t="s">
        <v>1407</v>
      </c>
      <c r="G435" s="39" t="s">
        <v>115</v>
      </c>
      <c r="H435" s="39" t="s">
        <v>116</v>
      </c>
      <c r="I435" s="39" t="s">
        <v>117</v>
      </c>
      <c r="J435" s="39" t="s">
        <v>2195</v>
      </c>
      <c r="K435" s="40">
        <v>46046</v>
      </c>
      <c r="L435" s="40">
        <v>46113</v>
      </c>
      <c r="M435" s="40"/>
      <c r="N435" s="40"/>
      <c r="O435" s="40">
        <v>46070</v>
      </c>
      <c r="P435" s="40"/>
      <c r="Q435" s="40"/>
      <c r="R435" s="39" t="s">
        <v>142</v>
      </c>
      <c r="S435" s="39" t="s">
        <v>1408</v>
      </c>
      <c r="T435" s="39" t="s">
        <v>177</v>
      </c>
      <c r="U435" s="35" t="s">
        <v>81</v>
      </c>
      <c r="V435" s="39" t="s">
        <v>163</v>
      </c>
      <c r="W435" s="39" t="s">
        <v>123</v>
      </c>
      <c r="X435" s="39">
        <v>826.59</v>
      </c>
      <c r="Y435" s="39">
        <v>90.93</v>
      </c>
      <c r="Z435" s="39">
        <v>90.93</v>
      </c>
      <c r="AA435" s="39">
        <v>0</v>
      </c>
      <c r="AB435" s="39"/>
      <c r="AC435" s="39">
        <v>0</v>
      </c>
      <c r="AD435" s="39"/>
      <c r="AE435" s="39">
        <v>0</v>
      </c>
      <c r="AF435" s="39"/>
      <c r="AG435" s="39">
        <v>0</v>
      </c>
      <c r="AH435" s="39"/>
      <c r="AI435" s="41">
        <v>0</v>
      </c>
    </row>
    <row r="436" spans="1:35" x14ac:dyDescent="0.25">
      <c r="A436" s="34" t="s">
        <v>110</v>
      </c>
      <c r="B436" s="35" t="s">
        <v>1409</v>
      </c>
      <c r="C436" s="35" t="s">
        <v>1410</v>
      </c>
      <c r="D436" s="35">
        <v>26345</v>
      </c>
      <c r="E436" s="35" t="s">
        <v>1411</v>
      </c>
      <c r="F436" s="35" t="s">
        <v>1412</v>
      </c>
      <c r="G436" s="35" t="s">
        <v>115</v>
      </c>
      <c r="H436" s="35" t="s">
        <v>116</v>
      </c>
      <c r="I436" s="35" t="s">
        <v>117</v>
      </c>
      <c r="J436" s="35" t="s">
        <v>141</v>
      </c>
      <c r="K436" s="36">
        <v>46046</v>
      </c>
      <c r="L436" s="36">
        <v>46113</v>
      </c>
      <c r="M436" s="36"/>
      <c r="N436" s="36"/>
      <c r="O436" s="36"/>
      <c r="P436" s="36"/>
      <c r="Q436" s="36"/>
      <c r="R436" s="35" t="s">
        <v>142</v>
      </c>
      <c r="S436" s="35" t="s">
        <v>161</v>
      </c>
      <c r="T436" s="35" t="s">
        <v>162</v>
      </c>
      <c r="U436" s="35" t="s">
        <v>87</v>
      </c>
      <c r="V436" s="35" t="s">
        <v>163</v>
      </c>
      <c r="W436" s="35" t="s">
        <v>123</v>
      </c>
      <c r="X436" s="35">
        <v>644.02</v>
      </c>
      <c r="Y436" s="35">
        <v>128.80000000000001</v>
      </c>
      <c r="Z436" s="35">
        <v>128.80000000000001</v>
      </c>
      <c r="AA436" s="35">
        <v>0</v>
      </c>
      <c r="AB436" s="35"/>
      <c r="AC436" s="35">
        <v>0</v>
      </c>
      <c r="AD436" s="35"/>
      <c r="AE436" s="35">
        <v>0</v>
      </c>
      <c r="AF436" s="35"/>
      <c r="AG436" s="35">
        <v>0</v>
      </c>
      <c r="AH436" s="35"/>
      <c r="AI436" s="37">
        <v>0</v>
      </c>
    </row>
    <row r="437" spans="1:35" x14ac:dyDescent="0.25">
      <c r="A437" s="38" t="s">
        <v>110</v>
      </c>
      <c r="B437" s="39" t="s">
        <v>1409</v>
      </c>
      <c r="C437" s="39" t="s">
        <v>1413</v>
      </c>
      <c r="D437" s="39">
        <v>28009</v>
      </c>
      <c r="E437" s="39" t="s">
        <v>1414</v>
      </c>
      <c r="F437" s="39" t="s">
        <v>1415</v>
      </c>
      <c r="G437" s="39" t="s">
        <v>115</v>
      </c>
      <c r="H437" s="39" t="s">
        <v>116</v>
      </c>
      <c r="I437" s="39" t="s">
        <v>117</v>
      </c>
      <c r="J437" s="39" t="s">
        <v>141</v>
      </c>
      <c r="K437" s="40">
        <v>46046</v>
      </c>
      <c r="L437" s="40">
        <v>46113</v>
      </c>
      <c r="M437" s="40"/>
      <c r="N437" s="40"/>
      <c r="O437" s="40"/>
      <c r="P437" s="40"/>
      <c r="Q437" s="40"/>
      <c r="R437" s="39" t="s">
        <v>142</v>
      </c>
      <c r="S437" s="39" t="s">
        <v>1416</v>
      </c>
      <c r="T437" s="39" t="s">
        <v>144</v>
      </c>
      <c r="U437" s="35" t="s">
        <v>87</v>
      </c>
      <c r="V437" s="39" t="s">
        <v>163</v>
      </c>
      <c r="W437" s="39" t="s">
        <v>123</v>
      </c>
      <c r="X437" s="39">
        <v>1048.58</v>
      </c>
      <c r="Y437" s="39">
        <v>209.72</v>
      </c>
      <c r="Z437" s="39">
        <v>209.72</v>
      </c>
      <c r="AA437" s="39">
        <v>0</v>
      </c>
      <c r="AB437" s="39"/>
      <c r="AC437" s="39">
        <v>0</v>
      </c>
      <c r="AD437" s="39"/>
      <c r="AE437" s="39">
        <v>0</v>
      </c>
      <c r="AF437" s="39"/>
      <c r="AG437" s="39">
        <v>0</v>
      </c>
      <c r="AH437" s="39"/>
      <c r="AI437" s="41">
        <v>0</v>
      </c>
    </row>
    <row r="438" spans="1:35" x14ac:dyDescent="0.25">
      <c r="A438" s="34" t="s">
        <v>110</v>
      </c>
      <c r="B438" s="35" t="s">
        <v>1409</v>
      </c>
      <c r="C438" s="35" t="s">
        <v>1417</v>
      </c>
      <c r="D438" s="35">
        <v>28072</v>
      </c>
      <c r="E438" s="35" t="s">
        <v>1418</v>
      </c>
      <c r="F438" s="35" t="s">
        <v>1419</v>
      </c>
      <c r="G438" s="35" t="s">
        <v>115</v>
      </c>
      <c r="H438" s="35" t="s">
        <v>116</v>
      </c>
      <c r="I438" s="35" t="s">
        <v>117</v>
      </c>
      <c r="J438" s="35" t="s">
        <v>141</v>
      </c>
      <c r="K438" s="36">
        <v>46046</v>
      </c>
      <c r="L438" s="36">
        <v>46113</v>
      </c>
      <c r="M438" s="36"/>
      <c r="N438" s="36"/>
      <c r="O438" s="36"/>
      <c r="P438" s="36"/>
      <c r="Q438" s="36"/>
      <c r="R438" s="35" t="s">
        <v>142</v>
      </c>
      <c r="S438" s="35" t="s">
        <v>161</v>
      </c>
      <c r="T438" s="35" t="s">
        <v>162</v>
      </c>
      <c r="U438" s="35" t="s">
        <v>87</v>
      </c>
      <c r="V438" s="35" t="s">
        <v>163</v>
      </c>
      <c r="W438" s="35" t="s">
        <v>123</v>
      </c>
      <c r="X438" s="35">
        <v>1015.56</v>
      </c>
      <c r="Y438" s="35">
        <v>203.11</v>
      </c>
      <c r="Z438" s="35">
        <v>203.11</v>
      </c>
      <c r="AA438" s="35">
        <v>0</v>
      </c>
      <c r="AB438" s="35"/>
      <c r="AC438" s="35">
        <v>0</v>
      </c>
      <c r="AD438" s="35"/>
      <c r="AE438" s="35">
        <v>0</v>
      </c>
      <c r="AF438" s="35"/>
      <c r="AG438" s="35">
        <v>0</v>
      </c>
      <c r="AH438" s="35"/>
      <c r="AI438" s="37">
        <v>0</v>
      </c>
    </row>
    <row r="439" spans="1:35" x14ac:dyDescent="0.25">
      <c r="A439" s="38" t="s">
        <v>110</v>
      </c>
      <c r="B439" s="39" t="s">
        <v>1428</v>
      </c>
      <c r="C439" s="39" t="s">
        <v>1429</v>
      </c>
      <c r="D439" s="39">
        <v>31023</v>
      </c>
      <c r="E439" s="39" t="s">
        <v>1430</v>
      </c>
      <c r="F439" s="39" t="s">
        <v>1431</v>
      </c>
      <c r="G439" s="39" t="s">
        <v>115</v>
      </c>
      <c r="H439" s="39" t="s">
        <v>116</v>
      </c>
      <c r="I439" s="39" t="s">
        <v>117</v>
      </c>
      <c r="J439" s="39" t="s">
        <v>141</v>
      </c>
      <c r="K439" s="40">
        <v>46046</v>
      </c>
      <c r="L439" s="40">
        <v>46113</v>
      </c>
      <c r="M439" s="40"/>
      <c r="N439" s="40"/>
      <c r="O439" s="40"/>
      <c r="P439" s="40"/>
      <c r="Q439" s="40"/>
      <c r="R439" s="39" t="s">
        <v>142</v>
      </c>
      <c r="S439" s="39" t="s">
        <v>492</v>
      </c>
      <c r="T439" s="39" t="s">
        <v>177</v>
      </c>
      <c r="U439" s="35" t="s">
        <v>81</v>
      </c>
      <c r="V439" s="39" t="s">
        <v>163</v>
      </c>
      <c r="W439" s="39" t="s">
        <v>123</v>
      </c>
      <c r="X439" s="39">
        <v>674.33</v>
      </c>
      <c r="Y439" s="39">
        <v>60.69</v>
      </c>
      <c r="Z439" s="39">
        <v>60.69</v>
      </c>
      <c r="AA439" s="39">
        <v>0</v>
      </c>
      <c r="AB439" s="39"/>
      <c r="AC439" s="39">
        <v>0</v>
      </c>
      <c r="AD439" s="39"/>
      <c r="AE439" s="39">
        <v>0</v>
      </c>
      <c r="AF439" s="39"/>
      <c r="AG439" s="39">
        <v>0</v>
      </c>
      <c r="AH439" s="39"/>
      <c r="AI439" s="41">
        <v>0</v>
      </c>
    </row>
    <row r="440" spans="1:35" x14ac:dyDescent="0.25">
      <c r="A440" s="34" t="s">
        <v>110</v>
      </c>
      <c r="B440" s="35" t="s">
        <v>164</v>
      </c>
      <c r="C440" s="35" t="s">
        <v>165</v>
      </c>
      <c r="D440" s="35">
        <v>2581</v>
      </c>
      <c r="E440" s="35" t="s">
        <v>166</v>
      </c>
      <c r="F440" s="35" t="s">
        <v>167</v>
      </c>
      <c r="G440" s="35" t="s">
        <v>115</v>
      </c>
      <c r="H440" s="35" t="s">
        <v>160</v>
      </c>
      <c r="I440" s="35" t="s">
        <v>117</v>
      </c>
      <c r="J440" s="35" t="s">
        <v>141</v>
      </c>
      <c r="K440" s="36">
        <v>46046</v>
      </c>
      <c r="L440" s="36">
        <v>46113</v>
      </c>
      <c r="M440" s="36"/>
      <c r="N440" s="36"/>
      <c r="O440" s="36"/>
      <c r="P440" s="36"/>
      <c r="Q440" s="36"/>
      <c r="R440" s="35" t="s">
        <v>142</v>
      </c>
      <c r="S440" s="35" t="s">
        <v>168</v>
      </c>
      <c r="T440" s="35" t="s">
        <v>169</v>
      </c>
      <c r="U440" s="35" t="s">
        <v>81</v>
      </c>
      <c r="V440" s="35" t="s">
        <v>163</v>
      </c>
      <c r="W440" s="35" t="s">
        <v>123</v>
      </c>
      <c r="X440" s="35">
        <v>205.81</v>
      </c>
      <c r="Y440" s="35">
        <v>26.76</v>
      </c>
      <c r="Z440" s="35">
        <v>26.76</v>
      </c>
      <c r="AA440" s="35">
        <v>0</v>
      </c>
      <c r="AB440" s="35"/>
      <c r="AC440" s="35">
        <v>0</v>
      </c>
      <c r="AD440" s="35"/>
      <c r="AE440" s="35">
        <v>0</v>
      </c>
      <c r="AF440" s="35"/>
      <c r="AG440" s="35">
        <v>0</v>
      </c>
      <c r="AH440" s="35"/>
      <c r="AI440" s="37">
        <v>0</v>
      </c>
    </row>
    <row r="441" spans="1:35" x14ac:dyDescent="0.25">
      <c r="A441" s="38" t="s">
        <v>110</v>
      </c>
      <c r="B441" s="39" t="s">
        <v>1424</v>
      </c>
      <c r="C441" s="39" t="s">
        <v>1425</v>
      </c>
      <c r="D441" s="39">
        <v>31009</v>
      </c>
      <c r="E441" s="39" t="s">
        <v>1426</v>
      </c>
      <c r="F441" s="39" t="s">
        <v>1427</v>
      </c>
      <c r="G441" s="39" t="s">
        <v>115</v>
      </c>
      <c r="H441" s="39" t="s">
        <v>116</v>
      </c>
      <c r="I441" s="39" t="s">
        <v>117</v>
      </c>
      <c r="J441" s="39" t="s">
        <v>141</v>
      </c>
      <c r="K441" s="40">
        <v>46046</v>
      </c>
      <c r="L441" s="40">
        <v>46113</v>
      </c>
      <c r="M441" s="40"/>
      <c r="N441" s="40"/>
      <c r="O441" s="40"/>
      <c r="P441" s="40"/>
      <c r="Q441" s="40"/>
      <c r="R441" s="39" t="s">
        <v>142</v>
      </c>
      <c r="S441" s="39" t="s">
        <v>482</v>
      </c>
      <c r="T441" s="39" t="s">
        <v>177</v>
      </c>
      <c r="U441" s="35" t="s">
        <v>81</v>
      </c>
      <c r="V441" s="39" t="s">
        <v>163</v>
      </c>
      <c r="W441" s="39" t="s">
        <v>123</v>
      </c>
      <c r="X441" s="39">
        <v>118.65</v>
      </c>
      <c r="Y441" s="39">
        <v>14.24</v>
      </c>
      <c r="Z441" s="39">
        <v>14.24</v>
      </c>
      <c r="AA441" s="39">
        <v>0</v>
      </c>
      <c r="AB441" s="39"/>
      <c r="AC441" s="39">
        <v>0</v>
      </c>
      <c r="AD441" s="39"/>
      <c r="AE441" s="39">
        <v>0</v>
      </c>
      <c r="AF441" s="39"/>
      <c r="AG441" s="39">
        <v>0</v>
      </c>
      <c r="AH441" s="39"/>
      <c r="AI441" s="41">
        <v>0</v>
      </c>
    </row>
    <row r="442" spans="1:35" x14ac:dyDescent="0.25">
      <c r="A442" s="34" t="s">
        <v>110</v>
      </c>
      <c r="B442" s="35" t="s">
        <v>178</v>
      </c>
      <c r="C442" s="35" t="s">
        <v>1385</v>
      </c>
      <c r="D442" s="35">
        <v>18922</v>
      </c>
      <c r="E442" s="35" t="s">
        <v>1386</v>
      </c>
      <c r="F442" s="35" t="s">
        <v>1387</v>
      </c>
      <c r="G442" s="35" t="s">
        <v>115</v>
      </c>
      <c r="H442" s="35" t="s">
        <v>160</v>
      </c>
      <c r="I442" s="35" t="s">
        <v>117</v>
      </c>
      <c r="J442" s="35" t="s">
        <v>141</v>
      </c>
      <c r="K442" s="36">
        <v>46046</v>
      </c>
      <c r="L442" s="36">
        <v>46113</v>
      </c>
      <c r="M442" s="36"/>
      <c r="N442" s="36"/>
      <c r="O442" s="36"/>
      <c r="P442" s="36"/>
      <c r="Q442" s="36"/>
      <c r="R442" s="35" t="s">
        <v>187</v>
      </c>
      <c r="S442" s="35" t="s">
        <v>1388</v>
      </c>
      <c r="T442" s="35" t="s">
        <v>1389</v>
      </c>
      <c r="U442" s="35" t="s">
        <v>88</v>
      </c>
      <c r="V442" s="35" t="s">
        <v>163</v>
      </c>
      <c r="W442" s="35" t="s">
        <v>123</v>
      </c>
      <c r="X442" s="35">
        <v>3137.5</v>
      </c>
      <c r="Y442" s="35">
        <v>392.19</v>
      </c>
      <c r="Z442" s="35">
        <v>392.19</v>
      </c>
      <c r="AA442" s="35">
        <v>0</v>
      </c>
      <c r="AB442" s="35"/>
      <c r="AC442" s="35">
        <v>0</v>
      </c>
      <c r="AD442" s="35"/>
      <c r="AE442" s="35">
        <v>0</v>
      </c>
      <c r="AF442" s="35"/>
      <c r="AG442" s="35">
        <v>0</v>
      </c>
      <c r="AH442" s="35"/>
      <c r="AI442" s="37">
        <v>0</v>
      </c>
    </row>
    <row r="443" spans="1:35" x14ac:dyDescent="0.25">
      <c r="A443" s="38" t="s">
        <v>110</v>
      </c>
      <c r="B443" s="39" t="s">
        <v>447</v>
      </c>
      <c r="C443" s="39" t="s">
        <v>448</v>
      </c>
      <c r="D443" s="39">
        <v>19143</v>
      </c>
      <c r="E443" s="39" t="s">
        <v>449</v>
      </c>
      <c r="F443" s="39" t="s">
        <v>450</v>
      </c>
      <c r="G443" s="39" t="s">
        <v>115</v>
      </c>
      <c r="H443" s="39" t="s">
        <v>160</v>
      </c>
      <c r="I443" s="39" t="s">
        <v>117</v>
      </c>
      <c r="J443" s="39" t="s">
        <v>118</v>
      </c>
      <c r="K443" s="40">
        <v>46046</v>
      </c>
      <c r="L443" s="40">
        <v>46113</v>
      </c>
      <c r="M443" s="40">
        <v>46113</v>
      </c>
      <c r="N443" s="40"/>
      <c r="O443" s="40"/>
      <c r="P443" s="40"/>
      <c r="Q443" s="40"/>
      <c r="R443" s="39" t="s">
        <v>142</v>
      </c>
      <c r="S443" s="39" t="s">
        <v>182</v>
      </c>
      <c r="T443" s="39" t="s">
        <v>183</v>
      </c>
      <c r="U443" s="35" t="s">
        <v>90</v>
      </c>
      <c r="V443" s="39" t="s">
        <v>163</v>
      </c>
      <c r="W443" s="39" t="s">
        <v>123</v>
      </c>
      <c r="X443" s="39">
        <v>284.58</v>
      </c>
      <c r="Y443" s="39">
        <v>56.92</v>
      </c>
      <c r="Z443" s="39">
        <v>56.92</v>
      </c>
      <c r="AA443" s="39">
        <v>0</v>
      </c>
      <c r="AB443" s="39"/>
      <c r="AC443" s="39">
        <v>0</v>
      </c>
      <c r="AD443" s="39"/>
      <c r="AE443" s="39">
        <v>0</v>
      </c>
      <c r="AF443" s="39"/>
      <c r="AG443" s="39">
        <v>0</v>
      </c>
      <c r="AH443" s="39"/>
      <c r="AI443" s="41">
        <v>0</v>
      </c>
    </row>
    <row r="444" spans="1:35" x14ac:dyDescent="0.25">
      <c r="A444" s="34" t="s">
        <v>110</v>
      </c>
      <c r="B444" s="35" t="s">
        <v>1109</v>
      </c>
      <c r="C444" s="35" t="s">
        <v>1420</v>
      </c>
      <c r="D444" s="35">
        <v>30898</v>
      </c>
      <c r="E444" s="35" t="s">
        <v>1421</v>
      </c>
      <c r="F444" s="35" t="s">
        <v>1422</v>
      </c>
      <c r="G444" s="35" t="s">
        <v>115</v>
      </c>
      <c r="H444" s="35" t="s">
        <v>160</v>
      </c>
      <c r="I444" s="35" t="s">
        <v>117</v>
      </c>
      <c r="J444" s="35" t="s">
        <v>141</v>
      </c>
      <c r="K444" s="36">
        <v>46046</v>
      </c>
      <c r="L444" s="36">
        <v>46113</v>
      </c>
      <c r="M444" s="36"/>
      <c r="N444" s="36"/>
      <c r="O444" s="36"/>
      <c r="P444" s="36"/>
      <c r="Q444" s="36"/>
      <c r="R444" s="35" t="s">
        <v>142</v>
      </c>
      <c r="S444" s="35" t="s">
        <v>1423</v>
      </c>
      <c r="T444" s="35" t="s">
        <v>205</v>
      </c>
      <c r="U444" s="35" t="s">
        <v>89</v>
      </c>
      <c r="V444" s="35" t="s">
        <v>163</v>
      </c>
      <c r="W444" s="35" t="s">
        <v>123</v>
      </c>
      <c r="X444" s="35">
        <v>589.33000000000004</v>
      </c>
      <c r="Y444" s="35">
        <v>117.87</v>
      </c>
      <c r="Z444" s="35">
        <v>117.87</v>
      </c>
      <c r="AA444" s="35">
        <v>0</v>
      </c>
      <c r="AB444" s="35"/>
      <c r="AC444" s="35">
        <v>0</v>
      </c>
      <c r="AD444" s="35"/>
      <c r="AE444" s="35">
        <v>0</v>
      </c>
      <c r="AF444" s="35"/>
      <c r="AG444" s="35">
        <v>0</v>
      </c>
      <c r="AH444" s="35"/>
      <c r="AI444" s="37">
        <v>0</v>
      </c>
    </row>
    <row r="445" spans="1:35" x14ac:dyDescent="0.25">
      <c r="A445" s="38" t="s">
        <v>110</v>
      </c>
      <c r="B445" s="39" t="s">
        <v>1390</v>
      </c>
      <c r="C445" s="39" t="s">
        <v>1391</v>
      </c>
      <c r="D445" s="39">
        <v>22966</v>
      </c>
      <c r="E445" s="39" t="s">
        <v>1392</v>
      </c>
      <c r="F445" s="39" t="s">
        <v>1393</v>
      </c>
      <c r="G445" s="39" t="s">
        <v>115</v>
      </c>
      <c r="H445" s="39" t="s">
        <v>116</v>
      </c>
      <c r="I445" s="39" t="s">
        <v>117</v>
      </c>
      <c r="J445" s="39" t="s">
        <v>141</v>
      </c>
      <c r="K445" s="40">
        <v>46046</v>
      </c>
      <c r="L445" s="40">
        <v>46113</v>
      </c>
      <c r="M445" s="40"/>
      <c r="N445" s="40"/>
      <c r="O445" s="40"/>
      <c r="P445" s="40"/>
      <c r="Q445" s="40"/>
      <c r="R445" s="39" t="s">
        <v>187</v>
      </c>
      <c r="S445" s="39" t="s">
        <v>487</v>
      </c>
      <c r="T445" s="39" t="s">
        <v>177</v>
      </c>
      <c r="U445" s="35" t="s">
        <v>81</v>
      </c>
      <c r="V445" s="39" t="s">
        <v>163</v>
      </c>
      <c r="W445" s="39" t="s">
        <v>123</v>
      </c>
      <c r="X445" s="39">
        <v>268.56</v>
      </c>
      <c r="Y445" s="39">
        <v>21.48</v>
      </c>
      <c r="Z445" s="39">
        <v>21.48</v>
      </c>
      <c r="AA445" s="39">
        <v>0</v>
      </c>
      <c r="AB445" s="39"/>
      <c r="AC445" s="39">
        <v>0</v>
      </c>
      <c r="AD445" s="39"/>
      <c r="AE445" s="39">
        <v>0</v>
      </c>
      <c r="AF445" s="39"/>
      <c r="AG445" s="39">
        <v>0</v>
      </c>
      <c r="AH445" s="39"/>
      <c r="AI445" s="41">
        <v>0</v>
      </c>
    </row>
    <row r="446" spans="1:35" x14ac:dyDescent="0.25">
      <c r="A446" s="34" t="s">
        <v>110</v>
      </c>
      <c r="B446" s="35" t="s">
        <v>178</v>
      </c>
      <c r="C446" s="35" t="s">
        <v>184</v>
      </c>
      <c r="D446" s="35">
        <v>14726</v>
      </c>
      <c r="E446" s="35" t="s">
        <v>185</v>
      </c>
      <c r="F446" s="35" t="s">
        <v>186</v>
      </c>
      <c r="G446" s="35" t="s">
        <v>115</v>
      </c>
      <c r="H446" s="35" t="s">
        <v>160</v>
      </c>
      <c r="I446" s="35" t="s">
        <v>117</v>
      </c>
      <c r="J446" s="35" t="s">
        <v>141</v>
      </c>
      <c r="K446" s="36">
        <v>46046</v>
      </c>
      <c r="L446" s="36">
        <v>46113</v>
      </c>
      <c r="M446" s="36"/>
      <c r="N446" s="36"/>
      <c r="O446" s="36"/>
      <c r="P446" s="36"/>
      <c r="Q446" s="36"/>
      <c r="R446" s="35" t="s">
        <v>187</v>
      </c>
      <c r="S446" s="35" t="s">
        <v>2426</v>
      </c>
      <c r="T446" s="35" t="s">
        <v>162</v>
      </c>
      <c r="U446" s="35" t="s">
        <v>87</v>
      </c>
      <c r="V446" s="35" t="s">
        <v>163</v>
      </c>
      <c r="W446" s="35" t="s">
        <v>123</v>
      </c>
      <c r="X446" s="35">
        <v>2876.51</v>
      </c>
      <c r="Y446" s="35">
        <v>575.29999999999995</v>
      </c>
      <c r="Z446" s="35">
        <v>575.29999999999995</v>
      </c>
      <c r="AA446" s="35">
        <v>0</v>
      </c>
      <c r="AB446" s="35"/>
      <c r="AC446" s="35">
        <v>0</v>
      </c>
      <c r="AD446" s="35"/>
      <c r="AE446" s="35">
        <v>0</v>
      </c>
      <c r="AF446" s="35"/>
      <c r="AG446" s="35">
        <v>0</v>
      </c>
      <c r="AH446" s="35"/>
      <c r="AI446" s="37">
        <v>0</v>
      </c>
    </row>
    <row r="447" spans="1:35" x14ac:dyDescent="0.25">
      <c r="A447" s="38" t="s">
        <v>110</v>
      </c>
      <c r="B447" s="39" t="s">
        <v>680</v>
      </c>
      <c r="C447" s="39" t="s">
        <v>681</v>
      </c>
      <c r="D447" s="39">
        <v>32589</v>
      </c>
      <c r="E447" s="39" t="s">
        <v>682</v>
      </c>
      <c r="F447" s="39" t="s">
        <v>683</v>
      </c>
      <c r="G447" s="39" t="s">
        <v>174</v>
      </c>
      <c r="H447" s="39" t="s">
        <v>116</v>
      </c>
      <c r="I447" s="39" t="s">
        <v>217</v>
      </c>
      <c r="J447" s="39" t="s">
        <v>118</v>
      </c>
      <c r="K447" s="40">
        <v>46046</v>
      </c>
      <c r="L447" s="40">
        <v>46047</v>
      </c>
      <c r="M447" s="40">
        <v>46051</v>
      </c>
      <c r="N447" s="40"/>
      <c r="O447" s="40"/>
      <c r="P447" s="40"/>
      <c r="Q447" s="40">
        <v>46056</v>
      </c>
      <c r="R447" s="39" t="s">
        <v>218</v>
      </c>
      <c r="S447" s="39" t="s">
        <v>684</v>
      </c>
      <c r="T447" s="39" t="s">
        <v>205</v>
      </c>
      <c r="U447" s="35" t="s">
        <v>89</v>
      </c>
      <c r="V447" s="39" t="s">
        <v>509</v>
      </c>
      <c r="W447" s="39" t="s">
        <v>123</v>
      </c>
      <c r="X447" s="39">
        <v>81.150000000000006</v>
      </c>
      <c r="Y447" s="39">
        <v>16.23</v>
      </c>
      <c r="Z447" s="39">
        <v>16.23</v>
      </c>
      <c r="AA447" s="39">
        <v>0</v>
      </c>
      <c r="AB447" s="39"/>
      <c r="AC447" s="39">
        <v>0</v>
      </c>
      <c r="AD447" s="39"/>
      <c r="AE447" s="39">
        <v>0</v>
      </c>
      <c r="AF447" s="39"/>
      <c r="AG447" s="39">
        <v>0</v>
      </c>
      <c r="AH447" s="39"/>
      <c r="AI447" s="41">
        <v>0</v>
      </c>
    </row>
    <row r="448" spans="1:35" x14ac:dyDescent="0.25">
      <c r="A448" s="34" t="s">
        <v>110</v>
      </c>
      <c r="B448" s="35" t="s">
        <v>1649</v>
      </c>
      <c r="C448" s="35" t="s">
        <v>1650</v>
      </c>
      <c r="D448" s="35">
        <v>27798</v>
      </c>
      <c r="E448" s="35" t="s">
        <v>1651</v>
      </c>
      <c r="F448" s="35" t="s">
        <v>1652</v>
      </c>
      <c r="G448" s="35" t="s">
        <v>115</v>
      </c>
      <c r="H448" s="35" t="s">
        <v>160</v>
      </c>
      <c r="I448" s="35" t="s">
        <v>117</v>
      </c>
      <c r="J448" s="35" t="s">
        <v>118</v>
      </c>
      <c r="K448" s="36">
        <v>46046</v>
      </c>
      <c r="L448" s="36">
        <v>46071</v>
      </c>
      <c r="M448" s="36">
        <v>46071</v>
      </c>
      <c r="N448" s="36"/>
      <c r="O448" s="36"/>
      <c r="P448" s="36"/>
      <c r="Q448" s="36">
        <v>46082</v>
      </c>
      <c r="R448" s="35" t="s">
        <v>142</v>
      </c>
      <c r="S448" s="35" t="s">
        <v>844</v>
      </c>
      <c r="T448" s="35" t="s">
        <v>744</v>
      </c>
      <c r="U448" s="35" t="s">
        <v>88</v>
      </c>
      <c r="V448" s="35" t="s">
        <v>845</v>
      </c>
      <c r="W448" s="35" t="s">
        <v>123</v>
      </c>
      <c r="X448" s="35">
        <v>954</v>
      </c>
      <c r="Y448" s="35">
        <v>143.1</v>
      </c>
      <c r="Z448" s="35">
        <v>143.1</v>
      </c>
      <c r="AA448" s="35">
        <v>0</v>
      </c>
      <c r="AB448" s="35"/>
      <c r="AC448" s="35">
        <v>0</v>
      </c>
      <c r="AD448" s="35"/>
      <c r="AE448" s="35">
        <v>0</v>
      </c>
      <c r="AF448" s="35"/>
      <c r="AG448" s="35">
        <v>0</v>
      </c>
      <c r="AH448" s="35"/>
      <c r="AI448" s="37">
        <v>0</v>
      </c>
    </row>
    <row r="449" spans="1:35" x14ac:dyDescent="0.25">
      <c r="A449" s="38" t="s">
        <v>110</v>
      </c>
      <c r="B449" s="39" t="s">
        <v>170</v>
      </c>
      <c r="C449" s="39" t="s">
        <v>1568</v>
      </c>
      <c r="D449" s="39">
        <v>13069</v>
      </c>
      <c r="E449" s="39" t="s">
        <v>2391</v>
      </c>
      <c r="F449" s="39" t="s">
        <v>2392</v>
      </c>
      <c r="G449" s="39" t="s">
        <v>440</v>
      </c>
      <c r="H449" s="39" t="s">
        <v>160</v>
      </c>
      <c r="I449" s="39" t="s">
        <v>117</v>
      </c>
      <c r="J449" s="39" t="s">
        <v>2195</v>
      </c>
      <c r="K449" s="40">
        <v>46047</v>
      </c>
      <c r="L449" s="40">
        <v>46041</v>
      </c>
      <c r="M449" s="40"/>
      <c r="N449" s="40">
        <v>46082</v>
      </c>
      <c r="O449" s="40">
        <v>46050</v>
      </c>
      <c r="P449" s="40"/>
      <c r="Q449" s="40"/>
      <c r="R449" s="39" t="s">
        <v>142</v>
      </c>
      <c r="S449" s="39" t="s">
        <v>1571</v>
      </c>
      <c r="T449" s="39" t="s">
        <v>1572</v>
      </c>
      <c r="U449" s="35" t="s">
        <v>87</v>
      </c>
      <c r="V449" s="39" t="s">
        <v>1454</v>
      </c>
      <c r="W449" s="39" t="s">
        <v>123</v>
      </c>
      <c r="X449" s="39">
        <v>-63.77</v>
      </c>
      <c r="Y449" s="39">
        <v>-12.75</v>
      </c>
      <c r="Z449" s="39">
        <v>-12.75</v>
      </c>
      <c r="AA449" s="39">
        <v>0</v>
      </c>
      <c r="AB449" s="39"/>
      <c r="AC449" s="39">
        <v>0</v>
      </c>
      <c r="AD449" s="39"/>
      <c r="AE449" s="39">
        <v>0</v>
      </c>
      <c r="AF449" s="39"/>
      <c r="AG449" s="39">
        <v>0</v>
      </c>
      <c r="AH449" s="39"/>
      <c r="AI449" s="41">
        <v>0</v>
      </c>
    </row>
    <row r="450" spans="1:35" x14ac:dyDescent="0.25">
      <c r="A450" s="34" t="s">
        <v>110</v>
      </c>
      <c r="B450" s="35" t="s">
        <v>1087</v>
      </c>
      <c r="C450" s="35" t="s">
        <v>1088</v>
      </c>
      <c r="D450" s="35">
        <v>32498</v>
      </c>
      <c r="E450" s="35" t="s">
        <v>1089</v>
      </c>
      <c r="F450" s="35" t="s">
        <v>1090</v>
      </c>
      <c r="G450" s="35" t="s">
        <v>174</v>
      </c>
      <c r="H450" s="35" t="s">
        <v>160</v>
      </c>
      <c r="I450" s="35" t="s">
        <v>217</v>
      </c>
      <c r="J450" s="35" t="s">
        <v>118</v>
      </c>
      <c r="K450" s="36">
        <v>46049</v>
      </c>
      <c r="L450" s="36">
        <v>46027</v>
      </c>
      <c r="M450" s="36">
        <v>46049</v>
      </c>
      <c r="N450" s="36"/>
      <c r="O450" s="36"/>
      <c r="P450" s="36">
        <v>46049</v>
      </c>
      <c r="Q450" s="36">
        <v>46056</v>
      </c>
      <c r="R450" s="35" t="s">
        <v>218</v>
      </c>
      <c r="S450" s="35" t="s">
        <v>1018</v>
      </c>
      <c r="T450" s="35" t="s">
        <v>1018</v>
      </c>
      <c r="U450" s="35" t="s">
        <v>82</v>
      </c>
      <c r="V450" s="35" t="s">
        <v>226</v>
      </c>
      <c r="W450" s="35" t="s">
        <v>123</v>
      </c>
      <c r="X450" s="35">
        <v>5464.63</v>
      </c>
      <c r="Y450" s="35">
        <v>993.57</v>
      </c>
      <c r="Z450" s="35">
        <v>993.57</v>
      </c>
      <c r="AA450" s="35">
        <v>0</v>
      </c>
      <c r="AB450" s="35"/>
      <c r="AC450" s="35">
        <v>0</v>
      </c>
      <c r="AD450" s="35" t="s">
        <v>1091</v>
      </c>
      <c r="AE450" s="35">
        <v>546.46</v>
      </c>
      <c r="AF450" s="35"/>
      <c r="AG450" s="35">
        <v>0</v>
      </c>
      <c r="AH450" s="35"/>
      <c r="AI450" s="37">
        <v>0</v>
      </c>
    </row>
    <row r="451" spans="1:35" x14ac:dyDescent="0.25">
      <c r="A451" s="38" t="s">
        <v>110</v>
      </c>
      <c r="B451" s="39" t="s">
        <v>1087</v>
      </c>
      <c r="C451" s="39" t="s">
        <v>1088</v>
      </c>
      <c r="D451" s="39">
        <v>32498</v>
      </c>
      <c r="E451" s="39" t="s">
        <v>1092</v>
      </c>
      <c r="F451" s="39" t="s">
        <v>1093</v>
      </c>
      <c r="G451" s="39" t="s">
        <v>174</v>
      </c>
      <c r="H451" s="39" t="s">
        <v>160</v>
      </c>
      <c r="I451" s="39" t="s">
        <v>217</v>
      </c>
      <c r="J451" s="39" t="s">
        <v>118</v>
      </c>
      <c r="K451" s="40">
        <v>46049</v>
      </c>
      <c r="L451" s="40">
        <v>46027</v>
      </c>
      <c r="M451" s="40">
        <v>46049</v>
      </c>
      <c r="N451" s="40"/>
      <c r="O451" s="40"/>
      <c r="P451" s="40">
        <v>46049</v>
      </c>
      <c r="Q451" s="40">
        <v>46056</v>
      </c>
      <c r="R451" s="39" t="s">
        <v>218</v>
      </c>
      <c r="S451" s="39" t="s">
        <v>1018</v>
      </c>
      <c r="T451" s="39" t="s">
        <v>1018</v>
      </c>
      <c r="U451" s="35" t="s">
        <v>82</v>
      </c>
      <c r="V451" s="39" t="s">
        <v>226</v>
      </c>
      <c r="W451" s="39" t="s">
        <v>123</v>
      </c>
      <c r="X451" s="39">
        <v>2980.77</v>
      </c>
      <c r="Y451" s="39">
        <v>541.96</v>
      </c>
      <c r="Z451" s="39">
        <v>541.96</v>
      </c>
      <c r="AA451" s="39">
        <v>0</v>
      </c>
      <c r="AB451" s="39"/>
      <c r="AC451" s="39">
        <v>0</v>
      </c>
      <c r="AD451" s="39" t="s">
        <v>1091</v>
      </c>
      <c r="AE451" s="39">
        <v>298.08</v>
      </c>
      <c r="AF451" s="39"/>
      <c r="AG451" s="39">
        <v>0</v>
      </c>
      <c r="AH451" s="39"/>
      <c r="AI451" s="41">
        <v>0</v>
      </c>
    </row>
    <row r="452" spans="1:35" x14ac:dyDescent="0.25">
      <c r="A452" s="34" t="s">
        <v>110</v>
      </c>
      <c r="B452" s="35" t="s">
        <v>714</v>
      </c>
      <c r="C452" s="35" t="s">
        <v>715</v>
      </c>
      <c r="D452" s="35">
        <v>32590</v>
      </c>
      <c r="E452" s="35" t="s">
        <v>716</v>
      </c>
      <c r="F452" s="35" t="s">
        <v>717</v>
      </c>
      <c r="G452" s="35" t="s">
        <v>174</v>
      </c>
      <c r="H452" s="35" t="s">
        <v>160</v>
      </c>
      <c r="I452" s="35" t="s">
        <v>217</v>
      </c>
      <c r="J452" s="35" t="s">
        <v>118</v>
      </c>
      <c r="K452" s="36">
        <v>46049</v>
      </c>
      <c r="L452" s="36">
        <v>46062</v>
      </c>
      <c r="M452" s="36">
        <v>46056</v>
      </c>
      <c r="N452" s="36"/>
      <c r="O452" s="36"/>
      <c r="P452" s="36"/>
      <c r="Q452" s="36">
        <v>46082</v>
      </c>
      <c r="R452" s="35" t="s">
        <v>218</v>
      </c>
      <c r="S452" s="35" t="s">
        <v>718</v>
      </c>
      <c r="T452" s="35" t="s">
        <v>519</v>
      </c>
      <c r="U452" s="35" t="s">
        <v>86</v>
      </c>
      <c r="V452" s="35" t="s">
        <v>719</v>
      </c>
      <c r="W452" s="35" t="s">
        <v>123</v>
      </c>
      <c r="X452" s="35">
        <v>506.8</v>
      </c>
      <c r="Y452" s="35">
        <v>126.7</v>
      </c>
      <c r="Z452" s="35">
        <v>126.7</v>
      </c>
      <c r="AA452" s="35">
        <v>0</v>
      </c>
      <c r="AB452" s="35"/>
      <c r="AC452" s="35">
        <v>0</v>
      </c>
      <c r="AD452" s="35"/>
      <c r="AE452" s="35">
        <v>0</v>
      </c>
      <c r="AF452" s="35"/>
      <c r="AG452" s="35">
        <v>0</v>
      </c>
      <c r="AH452" s="35"/>
      <c r="AI452" s="37">
        <v>0</v>
      </c>
    </row>
    <row r="453" spans="1:35" x14ac:dyDescent="0.25">
      <c r="A453" s="38" t="s">
        <v>110</v>
      </c>
      <c r="B453" s="39" t="s">
        <v>2154</v>
      </c>
      <c r="C453" s="39" t="s">
        <v>2155</v>
      </c>
      <c r="D453" s="39">
        <v>26121</v>
      </c>
      <c r="E453" s="39" t="s">
        <v>2156</v>
      </c>
      <c r="F453" s="39" t="s">
        <v>2157</v>
      </c>
      <c r="G453" s="39" t="s">
        <v>174</v>
      </c>
      <c r="H453" s="39" t="s">
        <v>160</v>
      </c>
      <c r="I453" s="39" t="s">
        <v>217</v>
      </c>
      <c r="J453" s="39" t="s">
        <v>118</v>
      </c>
      <c r="K453" s="40">
        <v>46049</v>
      </c>
      <c r="L453" s="40">
        <v>46080</v>
      </c>
      <c r="M453" s="40">
        <v>46080</v>
      </c>
      <c r="N453" s="40"/>
      <c r="O453" s="40"/>
      <c r="P453" s="40"/>
      <c r="Q453" s="40"/>
      <c r="R453" s="39" t="s">
        <v>218</v>
      </c>
      <c r="S453" s="39" t="s">
        <v>225</v>
      </c>
      <c r="T453" s="39" t="s">
        <v>225</v>
      </c>
      <c r="U453" s="35" t="s">
        <v>88</v>
      </c>
      <c r="V453" s="39" t="s">
        <v>226</v>
      </c>
      <c r="W453" s="39" t="s">
        <v>123</v>
      </c>
      <c r="X453" s="39">
        <v>693.48</v>
      </c>
      <c r="Y453" s="39">
        <v>126.08</v>
      </c>
      <c r="Z453" s="39">
        <v>126.08</v>
      </c>
      <c r="AA453" s="39">
        <v>0</v>
      </c>
      <c r="AB453" s="39"/>
      <c r="AC453" s="39">
        <v>0</v>
      </c>
      <c r="AD453" s="39"/>
      <c r="AE453" s="39">
        <v>0</v>
      </c>
      <c r="AF453" s="39"/>
      <c r="AG453" s="39">
        <v>0</v>
      </c>
      <c r="AH453" s="39"/>
      <c r="AI453" s="41">
        <v>0</v>
      </c>
    </row>
    <row r="454" spans="1:35" x14ac:dyDescent="0.25">
      <c r="A454" s="34" t="s">
        <v>110</v>
      </c>
      <c r="B454" s="35" t="s">
        <v>1355</v>
      </c>
      <c r="C454" s="35" t="s">
        <v>1356</v>
      </c>
      <c r="D454" s="35">
        <v>26145</v>
      </c>
      <c r="E454" s="35" t="s">
        <v>1357</v>
      </c>
      <c r="F454" s="35" t="s">
        <v>1358</v>
      </c>
      <c r="G454" s="35" t="s">
        <v>174</v>
      </c>
      <c r="H454" s="35" t="s">
        <v>160</v>
      </c>
      <c r="I454" s="35" t="s">
        <v>217</v>
      </c>
      <c r="J454" s="35" t="s">
        <v>118</v>
      </c>
      <c r="K454" s="36">
        <v>46049</v>
      </c>
      <c r="L454" s="36">
        <v>46056</v>
      </c>
      <c r="M454" s="36">
        <v>46058</v>
      </c>
      <c r="N454" s="36"/>
      <c r="O454" s="36"/>
      <c r="P454" s="36">
        <v>46082</v>
      </c>
      <c r="Q454" s="36">
        <v>46068</v>
      </c>
      <c r="R454" s="35" t="s">
        <v>218</v>
      </c>
      <c r="S454" s="35" t="s">
        <v>225</v>
      </c>
      <c r="T454" s="35" t="s">
        <v>225</v>
      </c>
      <c r="U454" s="35" t="s">
        <v>88</v>
      </c>
      <c r="V454" s="35" t="s">
        <v>226</v>
      </c>
      <c r="W454" s="35" t="s">
        <v>123</v>
      </c>
      <c r="X454" s="35">
        <v>693.48</v>
      </c>
      <c r="Y454" s="35">
        <v>126.08</v>
      </c>
      <c r="Z454" s="35">
        <v>126.08</v>
      </c>
      <c r="AA454" s="35">
        <v>0</v>
      </c>
      <c r="AB454" s="35"/>
      <c r="AC454" s="35">
        <v>0</v>
      </c>
      <c r="AD454" s="35" t="s">
        <v>1359</v>
      </c>
      <c r="AE454" s="35">
        <v>100.86</v>
      </c>
      <c r="AF454" s="35"/>
      <c r="AG454" s="35">
        <v>0</v>
      </c>
      <c r="AH454" s="35"/>
      <c r="AI454" s="37">
        <v>0</v>
      </c>
    </row>
    <row r="455" spans="1:35" x14ac:dyDescent="0.25">
      <c r="A455" s="38" t="s">
        <v>110</v>
      </c>
      <c r="B455" s="39" t="s">
        <v>259</v>
      </c>
      <c r="C455" s="39" t="s">
        <v>260</v>
      </c>
      <c r="D455" s="39">
        <v>30594</v>
      </c>
      <c r="E455" s="39" t="s">
        <v>261</v>
      </c>
      <c r="F455" s="39" t="s">
        <v>262</v>
      </c>
      <c r="G455" s="39" t="s">
        <v>174</v>
      </c>
      <c r="H455" s="39" t="s">
        <v>160</v>
      </c>
      <c r="I455" s="39" t="s">
        <v>217</v>
      </c>
      <c r="J455" s="39" t="s">
        <v>118</v>
      </c>
      <c r="K455" s="40">
        <v>46049</v>
      </c>
      <c r="L455" s="40">
        <v>46064</v>
      </c>
      <c r="M455" s="40">
        <v>46064</v>
      </c>
      <c r="N455" s="40"/>
      <c r="O455" s="40"/>
      <c r="P455" s="40"/>
      <c r="Q455" s="40">
        <v>46068</v>
      </c>
      <c r="R455" s="39" t="s">
        <v>218</v>
      </c>
      <c r="S455" s="39" t="s">
        <v>225</v>
      </c>
      <c r="T455" s="39" t="s">
        <v>225</v>
      </c>
      <c r="U455" s="35" t="s">
        <v>88</v>
      </c>
      <c r="V455" s="39" t="s">
        <v>226</v>
      </c>
      <c r="W455" s="39" t="s">
        <v>123</v>
      </c>
      <c r="X455" s="39">
        <v>878.41</v>
      </c>
      <c r="Y455" s="39">
        <v>159.71</v>
      </c>
      <c r="Z455" s="39">
        <v>159.71</v>
      </c>
      <c r="AA455" s="39">
        <v>0</v>
      </c>
      <c r="AB455" s="39"/>
      <c r="AC455" s="39">
        <v>0</v>
      </c>
      <c r="AD455" s="39"/>
      <c r="AE455" s="39">
        <v>0</v>
      </c>
      <c r="AF455" s="39"/>
      <c r="AG455" s="39">
        <v>0</v>
      </c>
      <c r="AH455" s="39"/>
      <c r="AI455" s="41">
        <v>0</v>
      </c>
    </row>
    <row r="456" spans="1:35" x14ac:dyDescent="0.25">
      <c r="A456" s="34" t="s">
        <v>110</v>
      </c>
      <c r="B456" s="35" t="s">
        <v>1038</v>
      </c>
      <c r="C456" s="35" t="s">
        <v>1039</v>
      </c>
      <c r="D456" s="35">
        <v>31338</v>
      </c>
      <c r="E456" s="35" t="s">
        <v>1040</v>
      </c>
      <c r="F456" s="35" t="s">
        <v>1041</v>
      </c>
      <c r="G456" s="35" t="s">
        <v>174</v>
      </c>
      <c r="H456" s="35" t="s">
        <v>160</v>
      </c>
      <c r="I456" s="35" t="s">
        <v>217</v>
      </c>
      <c r="J456" s="35" t="s">
        <v>118</v>
      </c>
      <c r="K456" s="36">
        <v>46049</v>
      </c>
      <c r="L456" s="36">
        <v>45814</v>
      </c>
      <c r="M456" s="36">
        <v>46051</v>
      </c>
      <c r="N456" s="36"/>
      <c r="O456" s="36"/>
      <c r="P456" s="36"/>
      <c r="Q456" s="36">
        <v>46056</v>
      </c>
      <c r="R456" s="35" t="s">
        <v>218</v>
      </c>
      <c r="S456" s="35" t="s">
        <v>1018</v>
      </c>
      <c r="T456" s="35" t="s">
        <v>1018</v>
      </c>
      <c r="U456" s="35" t="s">
        <v>82</v>
      </c>
      <c r="V456" s="35" t="s">
        <v>226</v>
      </c>
      <c r="W456" s="35" t="s">
        <v>123</v>
      </c>
      <c r="X456" s="35">
        <v>706.74</v>
      </c>
      <c r="Y456" s="35">
        <v>70.67</v>
      </c>
      <c r="Z456" s="35">
        <v>70.67</v>
      </c>
      <c r="AA456" s="35">
        <v>0</v>
      </c>
      <c r="AB456" s="35"/>
      <c r="AC456" s="35">
        <v>0</v>
      </c>
      <c r="AD456" s="35"/>
      <c r="AE456" s="35">
        <v>0</v>
      </c>
      <c r="AF456" s="35"/>
      <c r="AG456" s="35">
        <v>0</v>
      </c>
      <c r="AH456" s="35"/>
      <c r="AI456" s="37">
        <v>0</v>
      </c>
    </row>
    <row r="457" spans="1:35" x14ac:dyDescent="0.25">
      <c r="A457" s="38" t="s">
        <v>110</v>
      </c>
      <c r="B457" s="39" t="s">
        <v>309</v>
      </c>
      <c r="C457" s="39" t="s">
        <v>310</v>
      </c>
      <c r="D457" s="39">
        <v>31210</v>
      </c>
      <c r="E457" s="39" t="s">
        <v>311</v>
      </c>
      <c r="F457" s="39" t="s">
        <v>312</v>
      </c>
      <c r="G457" s="39" t="s">
        <v>174</v>
      </c>
      <c r="H457" s="39" t="s">
        <v>160</v>
      </c>
      <c r="I457" s="39" t="s">
        <v>217</v>
      </c>
      <c r="J457" s="39" t="s">
        <v>141</v>
      </c>
      <c r="K457" s="40">
        <v>46049</v>
      </c>
      <c r="L457" s="40">
        <v>46023</v>
      </c>
      <c r="M457" s="40"/>
      <c r="N457" s="40"/>
      <c r="O457" s="40"/>
      <c r="P457" s="40"/>
      <c r="Q457" s="40"/>
      <c r="R457" s="39" t="s">
        <v>218</v>
      </c>
      <c r="S457" s="39" t="s">
        <v>225</v>
      </c>
      <c r="T457" s="39" t="s">
        <v>225</v>
      </c>
      <c r="U457" s="35" t="s">
        <v>88</v>
      </c>
      <c r="V457" s="39" t="s">
        <v>226</v>
      </c>
      <c r="W457" s="39" t="s">
        <v>123</v>
      </c>
      <c r="X457" s="39">
        <v>-900</v>
      </c>
      <c r="Y457" s="39">
        <v>-163.63999999999999</v>
      </c>
      <c r="Z457" s="39">
        <v>-163.63999999999999</v>
      </c>
      <c r="AA457" s="39">
        <v>0</v>
      </c>
      <c r="AB457" s="39"/>
      <c r="AC457" s="39">
        <v>0</v>
      </c>
      <c r="AD457" s="39"/>
      <c r="AE457" s="39">
        <v>0</v>
      </c>
      <c r="AF457" s="39"/>
      <c r="AG457" s="39">
        <v>0</v>
      </c>
      <c r="AH457" s="39"/>
      <c r="AI457" s="41">
        <v>0</v>
      </c>
    </row>
    <row r="458" spans="1:35" x14ac:dyDescent="0.25">
      <c r="A458" s="34" t="s">
        <v>110</v>
      </c>
      <c r="B458" s="35" t="s">
        <v>1117</v>
      </c>
      <c r="C458" s="35" t="s">
        <v>1118</v>
      </c>
      <c r="D458" s="35">
        <v>32322</v>
      </c>
      <c r="E458" s="35" t="s">
        <v>1119</v>
      </c>
      <c r="F458" s="35" t="s">
        <v>1120</v>
      </c>
      <c r="G458" s="35" t="s">
        <v>174</v>
      </c>
      <c r="H458" s="35" t="s">
        <v>160</v>
      </c>
      <c r="I458" s="35" t="s">
        <v>217</v>
      </c>
      <c r="J458" s="35" t="s">
        <v>118</v>
      </c>
      <c r="K458" s="36">
        <v>46049</v>
      </c>
      <c r="L458" s="36">
        <v>46009</v>
      </c>
      <c r="M458" s="36">
        <v>46048</v>
      </c>
      <c r="N458" s="36"/>
      <c r="O458" s="36"/>
      <c r="P458" s="36"/>
      <c r="Q458" s="36">
        <v>46056</v>
      </c>
      <c r="R458" s="35" t="s">
        <v>218</v>
      </c>
      <c r="S458" s="35" t="s">
        <v>1018</v>
      </c>
      <c r="T458" s="35" t="s">
        <v>1018</v>
      </c>
      <c r="U458" s="35" t="s">
        <v>82</v>
      </c>
      <c r="V458" s="35" t="s">
        <v>226</v>
      </c>
      <c r="W458" s="35" t="s">
        <v>123</v>
      </c>
      <c r="X458" s="35">
        <v>681.74</v>
      </c>
      <c r="Y458" s="35">
        <v>123.96</v>
      </c>
      <c r="Z458" s="35">
        <v>123.96</v>
      </c>
      <c r="AA458" s="35">
        <v>0</v>
      </c>
      <c r="AB458" s="35"/>
      <c r="AC458" s="35">
        <v>0</v>
      </c>
      <c r="AD458" s="35"/>
      <c r="AE458" s="35">
        <v>0</v>
      </c>
      <c r="AF458" s="35"/>
      <c r="AG458" s="35">
        <v>0</v>
      </c>
      <c r="AH458" s="35"/>
      <c r="AI458" s="37">
        <v>0</v>
      </c>
    </row>
    <row r="459" spans="1:35" x14ac:dyDescent="0.25">
      <c r="A459" s="38" t="s">
        <v>110</v>
      </c>
      <c r="B459" s="39" t="s">
        <v>1121</v>
      </c>
      <c r="C459" s="39" t="s">
        <v>1118</v>
      </c>
      <c r="D459" s="39">
        <v>32322</v>
      </c>
      <c r="E459" s="39" t="s">
        <v>1122</v>
      </c>
      <c r="F459" s="39" t="s">
        <v>1123</v>
      </c>
      <c r="G459" s="39" t="s">
        <v>174</v>
      </c>
      <c r="H459" s="39" t="s">
        <v>160</v>
      </c>
      <c r="I459" s="39" t="s">
        <v>217</v>
      </c>
      <c r="J459" s="39" t="s">
        <v>118</v>
      </c>
      <c r="K459" s="40">
        <v>46049</v>
      </c>
      <c r="L459" s="40">
        <v>46009</v>
      </c>
      <c r="M459" s="40">
        <v>46050</v>
      </c>
      <c r="N459" s="40"/>
      <c r="O459" s="40"/>
      <c r="P459" s="40"/>
      <c r="Q459" s="40">
        <v>46056</v>
      </c>
      <c r="R459" s="39" t="s">
        <v>218</v>
      </c>
      <c r="S459" s="39" t="s">
        <v>1018</v>
      </c>
      <c r="T459" s="39" t="s">
        <v>1018</v>
      </c>
      <c r="U459" s="35" t="s">
        <v>82</v>
      </c>
      <c r="V459" s="39" t="s">
        <v>226</v>
      </c>
      <c r="W459" s="39" t="s">
        <v>123</v>
      </c>
      <c r="X459" s="39">
        <v>47.24</v>
      </c>
      <c r="Y459" s="39">
        <v>8.58</v>
      </c>
      <c r="Z459" s="39">
        <v>8.58</v>
      </c>
      <c r="AA459" s="39">
        <v>0</v>
      </c>
      <c r="AB459" s="39"/>
      <c r="AC459" s="39">
        <v>0</v>
      </c>
      <c r="AD459" s="39"/>
      <c r="AE459" s="39">
        <v>0</v>
      </c>
      <c r="AF459" s="39"/>
      <c r="AG459" s="39">
        <v>0</v>
      </c>
      <c r="AH459" s="39"/>
      <c r="AI459" s="41">
        <v>0</v>
      </c>
    </row>
    <row r="460" spans="1:35" x14ac:dyDescent="0.25">
      <c r="A460" s="34" t="s">
        <v>110</v>
      </c>
      <c r="B460" s="35" t="s">
        <v>1073</v>
      </c>
      <c r="C460" s="35" t="s">
        <v>1074</v>
      </c>
      <c r="D460" s="35">
        <v>32516</v>
      </c>
      <c r="E460" s="35" t="s">
        <v>1892</v>
      </c>
      <c r="F460" s="35" t="s">
        <v>1893</v>
      </c>
      <c r="G460" s="35" t="s">
        <v>174</v>
      </c>
      <c r="H460" s="35" t="s">
        <v>160</v>
      </c>
      <c r="I460" s="35" t="s">
        <v>217</v>
      </c>
      <c r="J460" s="35" t="s">
        <v>141</v>
      </c>
      <c r="K460" s="36">
        <v>46049</v>
      </c>
      <c r="L460" s="36">
        <v>46024</v>
      </c>
      <c r="M460" s="36"/>
      <c r="N460" s="36"/>
      <c r="O460" s="36"/>
      <c r="P460" s="36"/>
      <c r="Q460" s="36"/>
      <c r="R460" s="35" t="s">
        <v>218</v>
      </c>
      <c r="S460" s="35" t="s">
        <v>1018</v>
      </c>
      <c r="T460" s="35" t="s">
        <v>1018</v>
      </c>
      <c r="U460" s="35" t="s">
        <v>82</v>
      </c>
      <c r="V460" s="35" t="s">
        <v>226</v>
      </c>
      <c r="W460" s="35" t="s">
        <v>123</v>
      </c>
      <c r="X460" s="35">
        <v>4207.1099999999997</v>
      </c>
      <c r="Y460" s="35">
        <v>764.93</v>
      </c>
      <c r="Z460" s="35">
        <v>764.93</v>
      </c>
      <c r="AA460" s="35">
        <v>0</v>
      </c>
      <c r="AB460" s="35"/>
      <c r="AC460" s="35">
        <v>0</v>
      </c>
      <c r="AD460" s="35"/>
      <c r="AE460" s="35">
        <v>0</v>
      </c>
      <c r="AF460" s="35"/>
      <c r="AG460" s="35">
        <v>0</v>
      </c>
      <c r="AH460" s="35"/>
      <c r="AI460" s="37">
        <v>0</v>
      </c>
    </row>
    <row r="461" spans="1:35" x14ac:dyDescent="0.25">
      <c r="A461" s="38" t="s">
        <v>110</v>
      </c>
      <c r="B461" s="39" t="s">
        <v>1174</v>
      </c>
      <c r="C461" s="39" t="s">
        <v>1183</v>
      </c>
      <c r="D461" s="39">
        <v>32502</v>
      </c>
      <c r="E461" s="39" t="s">
        <v>1955</v>
      </c>
      <c r="F461" s="39" t="s">
        <v>1956</v>
      </c>
      <c r="G461" s="39" t="s">
        <v>174</v>
      </c>
      <c r="H461" s="39" t="s">
        <v>160</v>
      </c>
      <c r="I461" s="39" t="s">
        <v>217</v>
      </c>
      <c r="J461" s="39" t="s">
        <v>141</v>
      </c>
      <c r="K461" s="40">
        <v>46049</v>
      </c>
      <c r="L461" s="40">
        <v>46024</v>
      </c>
      <c r="M461" s="40"/>
      <c r="N461" s="40"/>
      <c r="O461" s="40"/>
      <c r="P461" s="40"/>
      <c r="Q461" s="40"/>
      <c r="R461" s="39" t="s">
        <v>218</v>
      </c>
      <c r="S461" s="39" t="s">
        <v>1018</v>
      </c>
      <c r="T461" s="39" t="s">
        <v>1018</v>
      </c>
      <c r="U461" s="35" t="s">
        <v>82</v>
      </c>
      <c r="V461" s="39" t="s">
        <v>226</v>
      </c>
      <c r="W461" s="39" t="s">
        <v>123</v>
      </c>
      <c r="X461" s="39">
        <v>-13043.18</v>
      </c>
      <c r="Y461" s="39">
        <v>-2371.48</v>
      </c>
      <c r="Z461" s="39">
        <v>-2371.48</v>
      </c>
      <c r="AA461" s="39">
        <v>0</v>
      </c>
      <c r="AB461" s="39"/>
      <c r="AC461" s="39">
        <v>0</v>
      </c>
      <c r="AD461" s="39"/>
      <c r="AE461" s="39">
        <v>0</v>
      </c>
      <c r="AF461" s="39"/>
      <c r="AG461" s="39">
        <v>0</v>
      </c>
      <c r="AH461" s="39"/>
      <c r="AI461" s="41">
        <v>0</v>
      </c>
    </row>
    <row r="462" spans="1:35" x14ac:dyDescent="0.25">
      <c r="A462" s="34" t="s">
        <v>110</v>
      </c>
      <c r="B462" s="35" t="s">
        <v>1174</v>
      </c>
      <c r="C462" s="35" t="s">
        <v>1204</v>
      </c>
      <c r="D462" s="35">
        <v>32529</v>
      </c>
      <c r="E462" s="35" t="s">
        <v>1981</v>
      </c>
      <c r="F462" s="35" t="s">
        <v>1982</v>
      </c>
      <c r="G462" s="35" t="s">
        <v>174</v>
      </c>
      <c r="H462" s="35" t="s">
        <v>160</v>
      </c>
      <c r="I462" s="35" t="s">
        <v>217</v>
      </c>
      <c r="J462" s="35" t="s">
        <v>141</v>
      </c>
      <c r="K462" s="36">
        <v>46049</v>
      </c>
      <c r="L462" s="36">
        <v>46030</v>
      </c>
      <c r="M462" s="36"/>
      <c r="N462" s="36"/>
      <c r="O462" s="36"/>
      <c r="P462" s="36"/>
      <c r="Q462" s="36"/>
      <c r="R462" s="35" t="s">
        <v>218</v>
      </c>
      <c r="S462" s="35" t="s">
        <v>1018</v>
      </c>
      <c r="T462" s="35" t="s">
        <v>1018</v>
      </c>
      <c r="U462" s="35" t="s">
        <v>82</v>
      </c>
      <c r="V462" s="35" t="s">
        <v>226</v>
      </c>
      <c r="W462" s="35" t="s">
        <v>123</v>
      </c>
      <c r="X462" s="35">
        <v>2163.66</v>
      </c>
      <c r="Y462" s="35">
        <v>393.4</v>
      </c>
      <c r="Z462" s="35">
        <v>393.4</v>
      </c>
      <c r="AA462" s="35">
        <v>0</v>
      </c>
      <c r="AB462" s="35"/>
      <c r="AC462" s="35">
        <v>0</v>
      </c>
      <c r="AD462" s="35"/>
      <c r="AE462" s="35">
        <v>0</v>
      </c>
      <c r="AF462" s="35"/>
      <c r="AG462" s="35">
        <v>0</v>
      </c>
      <c r="AH462" s="35"/>
      <c r="AI462" s="37">
        <v>0</v>
      </c>
    </row>
    <row r="463" spans="1:35" x14ac:dyDescent="0.25">
      <c r="A463" s="38" t="s">
        <v>110</v>
      </c>
      <c r="B463" s="39" t="s">
        <v>371</v>
      </c>
      <c r="C463" s="39" t="s">
        <v>372</v>
      </c>
      <c r="D463" s="39">
        <v>32591</v>
      </c>
      <c r="E463" s="39" t="s">
        <v>373</v>
      </c>
      <c r="F463" s="39" t="s">
        <v>374</v>
      </c>
      <c r="G463" s="39" t="s">
        <v>174</v>
      </c>
      <c r="H463" s="39" t="s">
        <v>160</v>
      </c>
      <c r="I463" s="39" t="s">
        <v>217</v>
      </c>
      <c r="J463" s="39" t="s">
        <v>118</v>
      </c>
      <c r="K463" s="40">
        <v>46049</v>
      </c>
      <c r="L463" s="40">
        <v>46064</v>
      </c>
      <c r="M463" s="40">
        <v>46062</v>
      </c>
      <c r="N463" s="40"/>
      <c r="O463" s="40"/>
      <c r="P463" s="40"/>
      <c r="Q463" s="40">
        <v>46068</v>
      </c>
      <c r="R463" s="39" t="s">
        <v>218</v>
      </c>
      <c r="S463" s="39" t="s">
        <v>225</v>
      </c>
      <c r="T463" s="39" t="s">
        <v>225</v>
      </c>
      <c r="U463" s="35" t="s">
        <v>88</v>
      </c>
      <c r="V463" s="39" t="s">
        <v>226</v>
      </c>
      <c r="W463" s="39" t="s">
        <v>123</v>
      </c>
      <c r="X463" s="39">
        <v>554.79</v>
      </c>
      <c r="Y463" s="39">
        <v>100.87</v>
      </c>
      <c r="Z463" s="39">
        <v>100.87</v>
      </c>
      <c r="AA463" s="39">
        <v>0</v>
      </c>
      <c r="AB463" s="39"/>
      <c r="AC463" s="39">
        <v>0</v>
      </c>
      <c r="AD463" s="39"/>
      <c r="AE463" s="39">
        <v>0</v>
      </c>
      <c r="AF463" s="39"/>
      <c r="AG463" s="39">
        <v>0</v>
      </c>
      <c r="AH463" s="39"/>
      <c r="AI463" s="41">
        <v>0</v>
      </c>
    </row>
    <row r="464" spans="1:35" x14ac:dyDescent="0.25">
      <c r="A464" s="34" t="s">
        <v>110</v>
      </c>
      <c r="B464" s="35" t="s">
        <v>375</v>
      </c>
      <c r="C464" s="35" t="s">
        <v>376</v>
      </c>
      <c r="D464" s="35">
        <v>32592</v>
      </c>
      <c r="E464" s="35" t="s">
        <v>377</v>
      </c>
      <c r="F464" s="35" t="s">
        <v>378</v>
      </c>
      <c r="G464" s="35" t="s">
        <v>174</v>
      </c>
      <c r="H464" s="35" t="s">
        <v>160</v>
      </c>
      <c r="I464" s="35" t="s">
        <v>217</v>
      </c>
      <c r="J464" s="35" t="s">
        <v>118</v>
      </c>
      <c r="K464" s="36">
        <v>46049</v>
      </c>
      <c r="L464" s="36">
        <v>46052</v>
      </c>
      <c r="M464" s="36">
        <v>46052</v>
      </c>
      <c r="N464" s="36"/>
      <c r="O464" s="36"/>
      <c r="P464" s="36"/>
      <c r="Q464" s="36">
        <v>46056</v>
      </c>
      <c r="R464" s="35" t="s">
        <v>218</v>
      </c>
      <c r="S464" s="35" t="s">
        <v>225</v>
      </c>
      <c r="T464" s="35" t="s">
        <v>225</v>
      </c>
      <c r="U464" s="35" t="s">
        <v>88</v>
      </c>
      <c r="V464" s="35" t="s">
        <v>226</v>
      </c>
      <c r="W464" s="35" t="s">
        <v>123</v>
      </c>
      <c r="X464" s="35">
        <v>508.55</v>
      </c>
      <c r="Y464" s="35">
        <v>92.46</v>
      </c>
      <c r="Z464" s="35">
        <v>92.46</v>
      </c>
      <c r="AA464" s="35">
        <v>0</v>
      </c>
      <c r="AB464" s="35"/>
      <c r="AC464" s="35">
        <v>0</v>
      </c>
      <c r="AD464" s="35"/>
      <c r="AE464" s="35">
        <v>0</v>
      </c>
      <c r="AF464" s="35"/>
      <c r="AG464" s="35">
        <v>0</v>
      </c>
      <c r="AH464" s="35"/>
      <c r="AI464" s="37">
        <v>0</v>
      </c>
    </row>
    <row r="465" spans="1:35" x14ac:dyDescent="0.25">
      <c r="A465" s="38" t="s">
        <v>110</v>
      </c>
      <c r="B465" s="39" t="s">
        <v>1121</v>
      </c>
      <c r="C465" s="39" t="s">
        <v>1118</v>
      </c>
      <c r="D465" s="39">
        <v>32322</v>
      </c>
      <c r="E465" s="39" t="s">
        <v>1124</v>
      </c>
      <c r="F465" s="39" t="s">
        <v>1125</v>
      </c>
      <c r="G465" s="39" t="s">
        <v>174</v>
      </c>
      <c r="H465" s="39" t="s">
        <v>160</v>
      </c>
      <c r="I465" s="39" t="s">
        <v>217</v>
      </c>
      <c r="J465" s="39" t="s">
        <v>118</v>
      </c>
      <c r="K465" s="40">
        <v>46050</v>
      </c>
      <c r="L465" s="40">
        <v>46009</v>
      </c>
      <c r="M465" s="40">
        <v>46050</v>
      </c>
      <c r="N465" s="40"/>
      <c r="O465" s="40"/>
      <c r="P465" s="40"/>
      <c r="Q465" s="40">
        <v>46056</v>
      </c>
      <c r="R465" s="39" t="s">
        <v>218</v>
      </c>
      <c r="S465" s="39" t="s">
        <v>1018</v>
      </c>
      <c r="T465" s="39" t="s">
        <v>1018</v>
      </c>
      <c r="U465" s="35" t="s">
        <v>82</v>
      </c>
      <c r="V465" s="39" t="s">
        <v>226</v>
      </c>
      <c r="W465" s="39" t="s">
        <v>123</v>
      </c>
      <c r="X465" s="39">
        <v>27.01</v>
      </c>
      <c r="Y465" s="39">
        <v>4.91</v>
      </c>
      <c r="Z465" s="39">
        <v>4.91</v>
      </c>
      <c r="AA465" s="39">
        <v>0</v>
      </c>
      <c r="AB465" s="39"/>
      <c r="AC465" s="39">
        <v>0</v>
      </c>
      <c r="AD465" s="39"/>
      <c r="AE465" s="39">
        <v>0</v>
      </c>
      <c r="AF465" s="39"/>
      <c r="AG465" s="39">
        <v>0</v>
      </c>
      <c r="AH465" s="39"/>
      <c r="AI465" s="41">
        <v>0</v>
      </c>
    </row>
    <row r="466" spans="1:35" x14ac:dyDescent="0.25">
      <c r="A466" s="34" t="s">
        <v>110</v>
      </c>
      <c r="B466" s="35" t="s">
        <v>1109</v>
      </c>
      <c r="C466" s="35" t="s">
        <v>1110</v>
      </c>
      <c r="D466" s="35">
        <v>32518</v>
      </c>
      <c r="E466" s="35" t="s">
        <v>1911</v>
      </c>
      <c r="F466" s="35" t="s">
        <v>1912</v>
      </c>
      <c r="G466" s="35" t="s">
        <v>174</v>
      </c>
      <c r="H466" s="35" t="s">
        <v>160</v>
      </c>
      <c r="I466" s="35" t="s">
        <v>217</v>
      </c>
      <c r="J466" s="35" t="s">
        <v>141</v>
      </c>
      <c r="K466" s="36">
        <v>46050</v>
      </c>
      <c r="L466" s="36">
        <v>46024</v>
      </c>
      <c r="M466" s="36"/>
      <c r="N466" s="36"/>
      <c r="O466" s="36"/>
      <c r="P466" s="36"/>
      <c r="Q466" s="36"/>
      <c r="R466" s="35" t="s">
        <v>218</v>
      </c>
      <c r="S466" s="35" t="s">
        <v>1018</v>
      </c>
      <c r="T466" s="35" t="s">
        <v>1018</v>
      </c>
      <c r="U466" s="35" t="s">
        <v>82</v>
      </c>
      <c r="V466" s="35" t="s">
        <v>226</v>
      </c>
      <c r="W466" s="35" t="s">
        <v>123</v>
      </c>
      <c r="X466" s="35">
        <v>5012.87</v>
      </c>
      <c r="Y466" s="35">
        <v>91.44</v>
      </c>
      <c r="Z466" s="35">
        <v>91.44</v>
      </c>
      <c r="AA466" s="35">
        <v>0</v>
      </c>
      <c r="AB466" s="35"/>
      <c r="AC466" s="35">
        <v>0</v>
      </c>
      <c r="AD466" s="35"/>
      <c r="AE466" s="35">
        <v>0</v>
      </c>
      <c r="AF466" s="35"/>
      <c r="AG466" s="35">
        <v>0</v>
      </c>
      <c r="AH466" s="35"/>
      <c r="AI466" s="37">
        <v>0</v>
      </c>
    </row>
    <row r="467" spans="1:35" x14ac:dyDescent="0.25">
      <c r="A467" s="38" t="s">
        <v>110</v>
      </c>
      <c r="B467" s="39" t="s">
        <v>206</v>
      </c>
      <c r="C467" s="39" t="s">
        <v>207</v>
      </c>
      <c r="D467" s="39">
        <v>17955</v>
      </c>
      <c r="E467" s="39" t="s">
        <v>208</v>
      </c>
      <c r="F467" s="39" t="s">
        <v>209</v>
      </c>
      <c r="G467" s="39" t="s">
        <v>115</v>
      </c>
      <c r="H467" s="39" t="s">
        <v>116</v>
      </c>
      <c r="I467" s="39" t="s">
        <v>117</v>
      </c>
      <c r="J467" s="39" t="s">
        <v>118</v>
      </c>
      <c r="K467" s="40">
        <v>46050</v>
      </c>
      <c r="L467" s="40">
        <v>46042</v>
      </c>
      <c r="M467" s="40">
        <v>46048</v>
      </c>
      <c r="N467" s="40"/>
      <c r="O467" s="40"/>
      <c r="P467" s="40"/>
      <c r="Q467" s="40">
        <v>46054</v>
      </c>
      <c r="R467" s="39" t="s">
        <v>142</v>
      </c>
      <c r="S467" s="39" t="s">
        <v>204</v>
      </c>
      <c r="T467" s="39" t="s">
        <v>205</v>
      </c>
      <c r="U467" s="35" t="s">
        <v>89</v>
      </c>
      <c r="V467" s="39" t="s">
        <v>163</v>
      </c>
      <c r="W467" s="39" t="s">
        <v>123</v>
      </c>
      <c r="X467" s="39">
        <v>40.39</v>
      </c>
      <c r="Y467" s="39">
        <v>10.1</v>
      </c>
      <c r="Z467" s="39">
        <v>10.1</v>
      </c>
      <c r="AA467" s="39">
        <v>0</v>
      </c>
      <c r="AB467" s="39"/>
      <c r="AC467" s="39">
        <v>0</v>
      </c>
      <c r="AD467" s="39"/>
      <c r="AE467" s="39">
        <v>0</v>
      </c>
      <c r="AF467" s="39"/>
      <c r="AG467" s="39">
        <v>0</v>
      </c>
      <c r="AH467" s="39"/>
      <c r="AI467" s="41">
        <v>0</v>
      </c>
    </row>
    <row r="468" spans="1:35" x14ac:dyDescent="0.25">
      <c r="A468" s="34" t="s">
        <v>110</v>
      </c>
      <c r="B468" s="35" t="s">
        <v>918</v>
      </c>
      <c r="C468" s="35" t="s">
        <v>919</v>
      </c>
      <c r="D468" s="35">
        <v>27634</v>
      </c>
      <c r="E468" s="35" t="s">
        <v>920</v>
      </c>
      <c r="F468" s="35" t="s">
        <v>921</v>
      </c>
      <c r="G468" s="35" t="s">
        <v>115</v>
      </c>
      <c r="H468" s="35" t="s">
        <v>116</v>
      </c>
      <c r="I468" s="35" t="s">
        <v>117</v>
      </c>
      <c r="J468" s="35" t="s">
        <v>118</v>
      </c>
      <c r="K468" s="36">
        <v>46050</v>
      </c>
      <c r="L468" s="36">
        <v>46054</v>
      </c>
      <c r="M468" s="36">
        <v>46056</v>
      </c>
      <c r="N468" s="36"/>
      <c r="O468" s="36"/>
      <c r="P468" s="36"/>
      <c r="Q468" s="36"/>
      <c r="R468" s="35" t="s">
        <v>142</v>
      </c>
      <c r="S468" s="35" t="s">
        <v>922</v>
      </c>
      <c r="T468" s="35" t="s">
        <v>923</v>
      </c>
      <c r="U468" s="35" t="s">
        <v>81</v>
      </c>
      <c r="V468" s="35" t="s">
        <v>845</v>
      </c>
      <c r="W468" s="35" t="s">
        <v>123</v>
      </c>
      <c r="X468" s="35">
        <v>962.88</v>
      </c>
      <c r="Y468" s="35">
        <v>86.66</v>
      </c>
      <c r="Z468" s="35">
        <v>86.66</v>
      </c>
      <c r="AA468" s="35">
        <v>0</v>
      </c>
      <c r="AB468" s="35"/>
      <c r="AC468" s="35">
        <v>0</v>
      </c>
      <c r="AD468" s="35"/>
      <c r="AE468" s="35">
        <v>0</v>
      </c>
      <c r="AF468" s="35"/>
      <c r="AG468" s="35">
        <v>0</v>
      </c>
      <c r="AH468" s="35"/>
      <c r="AI468" s="37">
        <v>0</v>
      </c>
    </row>
    <row r="469" spans="1:35" x14ac:dyDescent="0.25">
      <c r="A469" s="38" t="s">
        <v>110</v>
      </c>
      <c r="B469" s="39" t="s">
        <v>809</v>
      </c>
      <c r="C469" s="39" t="s">
        <v>810</v>
      </c>
      <c r="D469" s="39">
        <v>32594</v>
      </c>
      <c r="E469" s="39" t="s">
        <v>811</v>
      </c>
      <c r="F469" s="39" t="s">
        <v>812</v>
      </c>
      <c r="G469" s="39" t="s">
        <v>174</v>
      </c>
      <c r="H469" s="39" t="s">
        <v>116</v>
      </c>
      <c r="I469" s="39" t="s">
        <v>117</v>
      </c>
      <c r="J469" s="39" t="s">
        <v>118</v>
      </c>
      <c r="K469" s="40">
        <v>46050</v>
      </c>
      <c r="L469" s="40">
        <v>46048</v>
      </c>
      <c r="M469" s="40">
        <v>46052</v>
      </c>
      <c r="N469" s="40"/>
      <c r="O469" s="40"/>
      <c r="P469" s="40"/>
      <c r="Q469" s="40">
        <v>46056</v>
      </c>
      <c r="R469" s="39" t="s">
        <v>175</v>
      </c>
      <c r="S469" s="39" t="s">
        <v>803</v>
      </c>
      <c r="T469" s="39" t="s">
        <v>804</v>
      </c>
      <c r="U469" s="35" t="s">
        <v>87</v>
      </c>
      <c r="V469" s="39" t="s">
        <v>509</v>
      </c>
      <c r="W469" s="39" t="s">
        <v>123</v>
      </c>
      <c r="X469" s="39">
        <v>407.98</v>
      </c>
      <c r="Y469" s="39">
        <v>102.01</v>
      </c>
      <c r="Z469" s="39">
        <v>102.01</v>
      </c>
      <c r="AA469" s="39">
        <v>0</v>
      </c>
      <c r="AB469" s="39"/>
      <c r="AC469" s="39">
        <v>0</v>
      </c>
      <c r="AD469" s="39"/>
      <c r="AE469" s="39">
        <v>0</v>
      </c>
      <c r="AF469" s="39"/>
      <c r="AG469" s="39">
        <v>0</v>
      </c>
      <c r="AH469" s="39"/>
      <c r="AI469" s="41">
        <v>0</v>
      </c>
    </row>
    <row r="470" spans="1:35" x14ac:dyDescent="0.25">
      <c r="A470" s="34" t="s">
        <v>110</v>
      </c>
      <c r="B470" s="35" t="s">
        <v>1768</v>
      </c>
      <c r="C470" s="35" t="s">
        <v>1769</v>
      </c>
      <c r="D470" s="35">
        <v>32571</v>
      </c>
      <c r="E470" s="35" t="s">
        <v>1770</v>
      </c>
      <c r="F470" s="35" t="s">
        <v>1771</v>
      </c>
      <c r="G470" s="35" t="s">
        <v>174</v>
      </c>
      <c r="H470" s="35" t="s">
        <v>160</v>
      </c>
      <c r="I470" s="35" t="s">
        <v>117</v>
      </c>
      <c r="J470" s="35" t="s">
        <v>141</v>
      </c>
      <c r="K470" s="36">
        <v>46050</v>
      </c>
      <c r="L470" s="36">
        <v>46043</v>
      </c>
      <c r="M470" s="36"/>
      <c r="N470" s="36"/>
      <c r="O470" s="36"/>
      <c r="P470" s="36"/>
      <c r="Q470" s="36"/>
      <c r="R470" s="35" t="s">
        <v>142</v>
      </c>
      <c r="S470" s="35" t="s">
        <v>933</v>
      </c>
      <c r="T470" s="35" t="s">
        <v>162</v>
      </c>
      <c r="U470" s="35" t="s">
        <v>87</v>
      </c>
      <c r="V470" s="35" t="s">
        <v>509</v>
      </c>
      <c r="W470" s="35" t="s">
        <v>123</v>
      </c>
      <c r="X470" s="35">
        <v>2553.69</v>
      </c>
      <c r="Y470" s="35">
        <v>510.74</v>
      </c>
      <c r="Z470" s="35">
        <v>510.74</v>
      </c>
      <c r="AA470" s="35">
        <v>0</v>
      </c>
      <c r="AB470" s="35"/>
      <c r="AC470" s="35">
        <v>0</v>
      </c>
      <c r="AD470" s="35"/>
      <c r="AE470" s="35">
        <v>0</v>
      </c>
      <c r="AF470" s="35"/>
      <c r="AG470" s="35">
        <v>0</v>
      </c>
      <c r="AH470" s="35"/>
      <c r="AI470" s="37">
        <v>0</v>
      </c>
    </row>
    <row r="471" spans="1:35" x14ac:dyDescent="0.25">
      <c r="A471" s="38" t="s">
        <v>110</v>
      </c>
      <c r="B471" s="39" t="s">
        <v>539</v>
      </c>
      <c r="C471" s="39" t="s">
        <v>557</v>
      </c>
      <c r="D471" s="39">
        <v>32595</v>
      </c>
      <c r="E471" s="39" t="s">
        <v>558</v>
      </c>
      <c r="F471" s="39" t="s">
        <v>559</v>
      </c>
      <c r="G471" s="39" t="s">
        <v>174</v>
      </c>
      <c r="H471" s="39" t="s">
        <v>116</v>
      </c>
      <c r="I471" s="39" t="s">
        <v>117</v>
      </c>
      <c r="J471" s="39" t="s">
        <v>118</v>
      </c>
      <c r="K471" s="40">
        <v>46050</v>
      </c>
      <c r="L471" s="40">
        <v>46049</v>
      </c>
      <c r="M471" s="40">
        <v>46056</v>
      </c>
      <c r="N471" s="40"/>
      <c r="O471" s="40"/>
      <c r="P471" s="40"/>
      <c r="Q471" s="40">
        <v>46056</v>
      </c>
      <c r="R471" s="39" t="s">
        <v>142</v>
      </c>
      <c r="S471" s="39" t="s">
        <v>543</v>
      </c>
      <c r="T471" s="39" t="s">
        <v>177</v>
      </c>
      <c r="U471" s="35" t="s">
        <v>81</v>
      </c>
      <c r="V471" s="39" t="s">
        <v>509</v>
      </c>
      <c r="W471" s="39" t="s">
        <v>123</v>
      </c>
      <c r="X471" s="39">
        <v>980.08</v>
      </c>
      <c r="Y471" s="39">
        <v>139.82</v>
      </c>
      <c r="Z471" s="39">
        <v>139.82</v>
      </c>
      <c r="AA471" s="39">
        <v>0</v>
      </c>
      <c r="AB471" s="39"/>
      <c r="AC471" s="39">
        <v>0</v>
      </c>
      <c r="AD471" s="39"/>
      <c r="AE471" s="39">
        <v>0</v>
      </c>
      <c r="AF471" s="39"/>
      <c r="AG471" s="39">
        <v>0</v>
      </c>
      <c r="AH471" s="39"/>
      <c r="AI471" s="41">
        <v>0</v>
      </c>
    </row>
    <row r="472" spans="1:35" x14ac:dyDescent="0.25">
      <c r="A472" s="34" t="s">
        <v>110</v>
      </c>
      <c r="B472" s="35" t="s">
        <v>539</v>
      </c>
      <c r="C472" s="35" t="s">
        <v>540</v>
      </c>
      <c r="D472" s="35">
        <v>25507</v>
      </c>
      <c r="E472" s="35" t="s">
        <v>541</v>
      </c>
      <c r="F472" s="35" t="s">
        <v>542</v>
      </c>
      <c r="G472" s="35" t="s">
        <v>192</v>
      </c>
      <c r="H472" s="35" t="s">
        <v>116</v>
      </c>
      <c r="I472" s="35" t="s">
        <v>117</v>
      </c>
      <c r="J472" s="35" t="s">
        <v>118</v>
      </c>
      <c r="K472" s="36">
        <v>46050</v>
      </c>
      <c r="L472" s="36">
        <v>46049</v>
      </c>
      <c r="M472" s="36">
        <v>46056</v>
      </c>
      <c r="N472" s="36"/>
      <c r="O472" s="36"/>
      <c r="P472" s="36"/>
      <c r="Q472" s="36">
        <v>46056</v>
      </c>
      <c r="R472" s="35" t="s">
        <v>142</v>
      </c>
      <c r="S472" s="35" t="s">
        <v>543</v>
      </c>
      <c r="T472" s="35" t="s">
        <v>177</v>
      </c>
      <c r="U472" s="35" t="s">
        <v>81</v>
      </c>
      <c r="V472" s="35" t="s">
        <v>509</v>
      </c>
      <c r="W472" s="35" t="s">
        <v>123</v>
      </c>
      <c r="X472" s="35">
        <v>-486.44</v>
      </c>
      <c r="Y472" s="35">
        <v>-69.459999999999994</v>
      </c>
      <c r="Z472" s="35">
        <v>-69.459999999999994</v>
      </c>
      <c r="AA472" s="35">
        <v>0</v>
      </c>
      <c r="AB472" s="35"/>
      <c r="AC472" s="35">
        <v>0</v>
      </c>
      <c r="AD472" s="35"/>
      <c r="AE472" s="35">
        <v>0</v>
      </c>
      <c r="AF472" s="35"/>
      <c r="AG472" s="35">
        <v>0</v>
      </c>
      <c r="AH472" s="35"/>
      <c r="AI472" s="37">
        <v>0</v>
      </c>
    </row>
    <row r="473" spans="1:35" x14ac:dyDescent="0.25">
      <c r="A473" s="38" t="s">
        <v>110</v>
      </c>
      <c r="B473" s="39" t="s">
        <v>672</v>
      </c>
      <c r="C473" s="39" t="s">
        <v>673</v>
      </c>
      <c r="D473" s="39">
        <v>9100</v>
      </c>
      <c r="E473" s="39" t="s">
        <v>2393</v>
      </c>
      <c r="F473" s="39" t="s">
        <v>2394</v>
      </c>
      <c r="G473" s="39" t="s">
        <v>192</v>
      </c>
      <c r="H473" s="39" t="s">
        <v>160</v>
      </c>
      <c r="I473" s="39" t="s">
        <v>117</v>
      </c>
      <c r="J473" s="39" t="s">
        <v>2195</v>
      </c>
      <c r="K473" s="40">
        <v>46050</v>
      </c>
      <c r="L473" s="40">
        <v>46054</v>
      </c>
      <c r="M473" s="40"/>
      <c r="N473" s="40">
        <v>46053</v>
      </c>
      <c r="O473" s="40">
        <v>46052</v>
      </c>
      <c r="P473" s="40"/>
      <c r="Q473" s="40"/>
      <c r="R473" s="39" t="s">
        <v>142</v>
      </c>
      <c r="S473" s="39" t="s">
        <v>606</v>
      </c>
      <c r="T473" s="39" t="s">
        <v>607</v>
      </c>
      <c r="U473" s="35" t="s">
        <v>89</v>
      </c>
      <c r="V473" s="39" t="s">
        <v>509</v>
      </c>
      <c r="W473" s="39" t="s">
        <v>123</v>
      </c>
      <c r="X473" s="39">
        <v>1882.6</v>
      </c>
      <c r="Y473" s="39">
        <v>150.61000000000001</v>
      </c>
      <c r="Z473" s="39">
        <v>150.61000000000001</v>
      </c>
      <c r="AA473" s="39">
        <v>0</v>
      </c>
      <c r="AB473" s="39"/>
      <c r="AC473" s="39">
        <v>0</v>
      </c>
      <c r="AD473" s="39"/>
      <c r="AE473" s="39">
        <v>0</v>
      </c>
      <c r="AF473" s="39"/>
      <c r="AG473" s="39">
        <v>0</v>
      </c>
      <c r="AH473" s="39"/>
      <c r="AI473" s="41">
        <v>0</v>
      </c>
    </row>
    <row r="474" spans="1:35" x14ac:dyDescent="0.25">
      <c r="A474" s="34" t="s">
        <v>110</v>
      </c>
      <c r="B474" s="35" t="s">
        <v>2144</v>
      </c>
      <c r="C474" s="35" t="s">
        <v>2145</v>
      </c>
      <c r="D474" s="35">
        <v>24906</v>
      </c>
      <c r="E474" s="35" t="s">
        <v>2146</v>
      </c>
      <c r="F474" s="35" t="s">
        <v>2147</v>
      </c>
      <c r="G474" s="35" t="s">
        <v>174</v>
      </c>
      <c r="H474" s="35" t="s">
        <v>160</v>
      </c>
      <c r="I474" s="35" t="s">
        <v>217</v>
      </c>
      <c r="J474" s="35" t="s">
        <v>141</v>
      </c>
      <c r="K474" s="36">
        <v>46051</v>
      </c>
      <c r="L474" s="36">
        <v>46103</v>
      </c>
      <c r="M474" s="36"/>
      <c r="N474" s="36"/>
      <c r="O474" s="36"/>
      <c r="P474" s="36"/>
      <c r="Q474" s="36"/>
      <c r="R474" s="35" t="s">
        <v>218</v>
      </c>
      <c r="S474" s="35" t="s">
        <v>225</v>
      </c>
      <c r="T474" s="35" t="s">
        <v>225</v>
      </c>
      <c r="U474" s="35" t="s">
        <v>88</v>
      </c>
      <c r="V474" s="35" t="s">
        <v>226</v>
      </c>
      <c r="W474" s="35" t="s">
        <v>123</v>
      </c>
      <c r="X474" s="35">
        <v>4800</v>
      </c>
      <c r="Y474" s="35">
        <v>872.73</v>
      </c>
      <c r="Z474" s="35">
        <v>872.73</v>
      </c>
      <c r="AA474" s="35">
        <v>0</v>
      </c>
      <c r="AB474" s="35"/>
      <c r="AC474" s="35">
        <v>0</v>
      </c>
      <c r="AD474" s="35"/>
      <c r="AE474" s="35">
        <v>0</v>
      </c>
      <c r="AF474" s="35"/>
      <c r="AG474" s="35">
        <v>0</v>
      </c>
      <c r="AH474" s="35"/>
      <c r="AI474" s="37">
        <v>0</v>
      </c>
    </row>
    <row r="475" spans="1:35" x14ac:dyDescent="0.25">
      <c r="A475" s="38" t="s">
        <v>110</v>
      </c>
      <c r="B475" s="39" t="s">
        <v>1360</v>
      </c>
      <c r="C475" s="39" t="s">
        <v>1361</v>
      </c>
      <c r="D475" s="39">
        <v>26135</v>
      </c>
      <c r="E475" s="39" t="s">
        <v>1362</v>
      </c>
      <c r="F475" s="39" t="s">
        <v>1363</v>
      </c>
      <c r="G475" s="39" t="s">
        <v>174</v>
      </c>
      <c r="H475" s="39" t="s">
        <v>160</v>
      </c>
      <c r="I475" s="39" t="s">
        <v>217</v>
      </c>
      <c r="J475" s="39" t="s">
        <v>118</v>
      </c>
      <c r="K475" s="40">
        <v>46051</v>
      </c>
      <c r="L475" s="40">
        <v>46082</v>
      </c>
      <c r="M475" s="40">
        <v>46056</v>
      </c>
      <c r="N475" s="40"/>
      <c r="O475" s="40"/>
      <c r="P475" s="40"/>
      <c r="Q475" s="40">
        <v>46056</v>
      </c>
      <c r="R475" s="39" t="s">
        <v>218</v>
      </c>
      <c r="S475" s="39" t="s">
        <v>225</v>
      </c>
      <c r="T475" s="39" t="s">
        <v>225</v>
      </c>
      <c r="U475" s="35" t="s">
        <v>88</v>
      </c>
      <c r="V475" s="39" t="s">
        <v>226</v>
      </c>
      <c r="W475" s="39" t="s">
        <v>123</v>
      </c>
      <c r="X475" s="39">
        <v>693.48</v>
      </c>
      <c r="Y475" s="39">
        <v>126.08</v>
      </c>
      <c r="Z475" s="39">
        <v>126.08</v>
      </c>
      <c r="AA475" s="39">
        <v>0</v>
      </c>
      <c r="AB475" s="39"/>
      <c r="AC475" s="39">
        <v>0</v>
      </c>
      <c r="AD475" s="39"/>
      <c r="AE475" s="39">
        <v>0</v>
      </c>
      <c r="AF475" s="39"/>
      <c r="AG475" s="39">
        <v>0</v>
      </c>
      <c r="AH475" s="39"/>
      <c r="AI475" s="41">
        <v>0</v>
      </c>
    </row>
    <row r="476" spans="1:35" x14ac:dyDescent="0.25">
      <c r="A476" s="34" t="s">
        <v>110</v>
      </c>
      <c r="B476" s="35" t="s">
        <v>221</v>
      </c>
      <c r="C476" s="35" t="s">
        <v>222</v>
      </c>
      <c r="D476" s="35">
        <v>29142</v>
      </c>
      <c r="E476" s="35" t="s">
        <v>223</v>
      </c>
      <c r="F476" s="35" t="s">
        <v>224</v>
      </c>
      <c r="G476" s="35" t="s">
        <v>174</v>
      </c>
      <c r="H476" s="35" t="s">
        <v>160</v>
      </c>
      <c r="I476" s="35" t="s">
        <v>217</v>
      </c>
      <c r="J476" s="35" t="s">
        <v>118</v>
      </c>
      <c r="K476" s="36">
        <v>46051</v>
      </c>
      <c r="L476" s="36">
        <v>46054</v>
      </c>
      <c r="M476" s="36">
        <v>46069</v>
      </c>
      <c r="N476" s="36"/>
      <c r="O476" s="36"/>
      <c r="P476" s="36"/>
      <c r="Q476" s="36"/>
      <c r="R476" s="35" t="s">
        <v>218</v>
      </c>
      <c r="S476" s="35" t="s">
        <v>225</v>
      </c>
      <c r="T476" s="35" t="s">
        <v>225</v>
      </c>
      <c r="U476" s="35" t="s">
        <v>88</v>
      </c>
      <c r="V476" s="35" t="s">
        <v>226</v>
      </c>
      <c r="W476" s="35" t="s">
        <v>123</v>
      </c>
      <c r="X476" s="35">
        <v>693.48</v>
      </c>
      <c r="Y476" s="35">
        <v>126.08</v>
      </c>
      <c r="Z476" s="35">
        <v>126.08</v>
      </c>
      <c r="AA476" s="35">
        <v>0</v>
      </c>
      <c r="AB476" s="35"/>
      <c r="AC476" s="35">
        <v>0</v>
      </c>
      <c r="AD476" s="35"/>
      <c r="AE476" s="35">
        <v>0</v>
      </c>
      <c r="AF476" s="35"/>
      <c r="AG476" s="35">
        <v>0</v>
      </c>
      <c r="AH476" s="35"/>
      <c r="AI476" s="37">
        <v>0</v>
      </c>
    </row>
    <row r="477" spans="1:35" x14ac:dyDescent="0.25">
      <c r="A477" s="38" t="s">
        <v>110</v>
      </c>
      <c r="B477" s="39" t="s">
        <v>938</v>
      </c>
      <c r="C477" s="39" t="s">
        <v>943</v>
      </c>
      <c r="D477" s="39">
        <v>32582</v>
      </c>
      <c r="E477" s="39" t="s">
        <v>944</v>
      </c>
      <c r="F477" s="39" t="s">
        <v>945</v>
      </c>
      <c r="G477" s="39" t="s">
        <v>174</v>
      </c>
      <c r="H477" s="39" t="s">
        <v>116</v>
      </c>
      <c r="I477" s="39" t="s">
        <v>117</v>
      </c>
      <c r="J477" s="39" t="s">
        <v>118</v>
      </c>
      <c r="K477" s="40">
        <v>46051</v>
      </c>
      <c r="L477" s="40">
        <v>46054</v>
      </c>
      <c r="M477" s="40">
        <v>46055</v>
      </c>
      <c r="N477" s="40"/>
      <c r="O477" s="40"/>
      <c r="P477" s="40"/>
      <c r="Q477" s="40">
        <v>46064</v>
      </c>
      <c r="R477" s="39" t="s">
        <v>142</v>
      </c>
      <c r="S477" s="39" t="s">
        <v>942</v>
      </c>
      <c r="T477" s="39" t="s">
        <v>177</v>
      </c>
      <c r="U477" s="35" t="s">
        <v>81</v>
      </c>
      <c r="V477" s="39" t="s">
        <v>122</v>
      </c>
      <c r="W477" s="39" t="s">
        <v>123</v>
      </c>
      <c r="X477" s="39">
        <v>97.88</v>
      </c>
      <c r="Y477" s="39">
        <v>12.72</v>
      </c>
      <c r="Z477" s="39">
        <v>12.72</v>
      </c>
      <c r="AA477" s="39">
        <v>0</v>
      </c>
      <c r="AB477" s="39"/>
      <c r="AC477" s="39">
        <v>0</v>
      </c>
      <c r="AD477" s="39"/>
      <c r="AE477" s="39">
        <v>0</v>
      </c>
      <c r="AF477" s="39"/>
      <c r="AG477" s="39">
        <v>0</v>
      </c>
      <c r="AH477" s="39"/>
      <c r="AI477" s="41">
        <v>0</v>
      </c>
    </row>
    <row r="478" spans="1:35" x14ac:dyDescent="0.25">
      <c r="A478" s="34" t="s">
        <v>110</v>
      </c>
      <c r="B478" s="35" t="s">
        <v>938</v>
      </c>
      <c r="C478" s="35" t="s">
        <v>939</v>
      </c>
      <c r="D478" s="35">
        <v>32583</v>
      </c>
      <c r="E478" s="35" t="s">
        <v>940</v>
      </c>
      <c r="F478" s="35" t="s">
        <v>941</v>
      </c>
      <c r="G478" s="35" t="s">
        <v>174</v>
      </c>
      <c r="H478" s="35" t="s">
        <v>116</v>
      </c>
      <c r="I478" s="35" t="s">
        <v>117</v>
      </c>
      <c r="J478" s="35" t="s">
        <v>118</v>
      </c>
      <c r="K478" s="36">
        <v>46051</v>
      </c>
      <c r="L478" s="36">
        <v>46054</v>
      </c>
      <c r="M478" s="36">
        <v>46055</v>
      </c>
      <c r="N478" s="36"/>
      <c r="O478" s="36"/>
      <c r="P478" s="36"/>
      <c r="Q478" s="36">
        <v>46064</v>
      </c>
      <c r="R478" s="35" t="s">
        <v>142</v>
      </c>
      <c r="S478" s="35" t="s">
        <v>942</v>
      </c>
      <c r="T478" s="35" t="s">
        <v>177</v>
      </c>
      <c r="U478" s="35" t="s">
        <v>81</v>
      </c>
      <c r="V478" s="35" t="s">
        <v>122</v>
      </c>
      <c r="W478" s="35" t="s">
        <v>123</v>
      </c>
      <c r="X478" s="35">
        <v>105.36</v>
      </c>
      <c r="Y478" s="35">
        <v>13.7</v>
      </c>
      <c r="Z478" s="35">
        <v>13.7</v>
      </c>
      <c r="AA478" s="35">
        <v>0</v>
      </c>
      <c r="AB478" s="35"/>
      <c r="AC478" s="35">
        <v>0</v>
      </c>
      <c r="AD478" s="35"/>
      <c r="AE478" s="35">
        <v>0</v>
      </c>
      <c r="AF478" s="35"/>
      <c r="AG478" s="35">
        <v>0</v>
      </c>
      <c r="AH478" s="35"/>
      <c r="AI478" s="37">
        <v>0</v>
      </c>
    </row>
    <row r="479" spans="1:35" x14ac:dyDescent="0.25">
      <c r="A479" s="38" t="s">
        <v>110</v>
      </c>
      <c r="B479" s="39" t="s">
        <v>1780</v>
      </c>
      <c r="C479" s="39" t="s">
        <v>1781</v>
      </c>
      <c r="D479" s="39">
        <v>32593</v>
      </c>
      <c r="E479" s="39" t="s">
        <v>1782</v>
      </c>
      <c r="F479" s="39" t="s">
        <v>1783</v>
      </c>
      <c r="G479" s="39" t="s">
        <v>174</v>
      </c>
      <c r="H479" s="39" t="s">
        <v>116</v>
      </c>
      <c r="I479" s="39" t="s">
        <v>117</v>
      </c>
      <c r="J479" s="39" t="s">
        <v>118</v>
      </c>
      <c r="K479" s="40">
        <v>46051</v>
      </c>
      <c r="L479" s="40">
        <v>46068</v>
      </c>
      <c r="M479" s="40">
        <v>46069</v>
      </c>
      <c r="N479" s="40"/>
      <c r="O479" s="40"/>
      <c r="P479" s="40"/>
      <c r="Q479" s="40">
        <v>46070</v>
      </c>
      <c r="R479" s="39" t="s">
        <v>142</v>
      </c>
      <c r="S479" s="39" t="s">
        <v>1784</v>
      </c>
      <c r="T479" s="39" t="s">
        <v>177</v>
      </c>
      <c r="U479" s="35" t="s">
        <v>81</v>
      </c>
      <c r="V479" s="39" t="s">
        <v>122</v>
      </c>
      <c r="W479" s="39" t="s">
        <v>123</v>
      </c>
      <c r="X479" s="39">
        <v>415.81</v>
      </c>
      <c r="Y479" s="39">
        <v>66.53</v>
      </c>
      <c r="Z479" s="39">
        <v>66.53</v>
      </c>
      <c r="AA479" s="39">
        <v>0</v>
      </c>
      <c r="AB479" s="39"/>
      <c r="AC479" s="39">
        <v>0</v>
      </c>
      <c r="AD479" s="39"/>
      <c r="AE479" s="39">
        <v>0</v>
      </c>
      <c r="AF479" s="39"/>
      <c r="AG479" s="39">
        <v>0</v>
      </c>
      <c r="AH479" s="39"/>
      <c r="AI479" s="41">
        <v>0</v>
      </c>
    </row>
    <row r="480" spans="1:35" x14ac:dyDescent="0.25">
      <c r="A480" s="34" t="s">
        <v>110</v>
      </c>
      <c r="B480" s="35" t="s">
        <v>1121</v>
      </c>
      <c r="C480" s="35" t="s">
        <v>1118</v>
      </c>
      <c r="D480" s="35">
        <v>32322</v>
      </c>
      <c r="E480" s="35" t="s">
        <v>1126</v>
      </c>
      <c r="F480" s="35" t="s">
        <v>1127</v>
      </c>
      <c r="G480" s="35" t="s">
        <v>174</v>
      </c>
      <c r="H480" s="35" t="s">
        <v>160</v>
      </c>
      <c r="I480" s="35" t="s">
        <v>217</v>
      </c>
      <c r="J480" s="35" t="s">
        <v>118</v>
      </c>
      <c r="K480" s="36">
        <v>46052</v>
      </c>
      <c r="L480" s="36">
        <v>46009</v>
      </c>
      <c r="M480" s="36">
        <v>46055</v>
      </c>
      <c r="N480" s="36"/>
      <c r="O480" s="36"/>
      <c r="P480" s="36"/>
      <c r="Q480" s="36">
        <v>46056</v>
      </c>
      <c r="R480" s="35" t="s">
        <v>218</v>
      </c>
      <c r="S480" s="35" t="s">
        <v>1018</v>
      </c>
      <c r="T480" s="35" t="s">
        <v>1018</v>
      </c>
      <c r="U480" s="35" t="s">
        <v>82</v>
      </c>
      <c r="V480" s="35" t="s">
        <v>226</v>
      </c>
      <c r="W480" s="35" t="s">
        <v>123</v>
      </c>
      <c r="X480" s="35">
        <v>965.23</v>
      </c>
      <c r="Y480" s="35">
        <v>175.5</v>
      </c>
      <c r="Z480" s="35">
        <v>175.5</v>
      </c>
      <c r="AA480" s="35">
        <v>0</v>
      </c>
      <c r="AB480" s="35"/>
      <c r="AC480" s="35">
        <v>0</v>
      </c>
      <c r="AD480" s="35"/>
      <c r="AE480" s="35">
        <v>0</v>
      </c>
      <c r="AF480" s="35"/>
      <c r="AG480" s="35">
        <v>0</v>
      </c>
      <c r="AH480" s="35"/>
      <c r="AI480" s="37">
        <v>0</v>
      </c>
    </row>
    <row r="481" spans="1:35" x14ac:dyDescent="0.25">
      <c r="A481" s="38" t="s">
        <v>110</v>
      </c>
      <c r="B481" s="39" t="s">
        <v>1069</v>
      </c>
      <c r="C481" s="39" t="s">
        <v>1070</v>
      </c>
      <c r="D481" s="39">
        <v>32597</v>
      </c>
      <c r="E481" s="39" t="s">
        <v>1071</v>
      </c>
      <c r="F481" s="39" t="s">
        <v>1072</v>
      </c>
      <c r="G481" s="39" t="s">
        <v>174</v>
      </c>
      <c r="H481" s="39" t="s">
        <v>160</v>
      </c>
      <c r="I481" s="39" t="s">
        <v>217</v>
      </c>
      <c r="J481" s="39" t="s">
        <v>118</v>
      </c>
      <c r="K481" s="40">
        <v>46052</v>
      </c>
      <c r="L481" s="40">
        <v>46050</v>
      </c>
      <c r="M481" s="40">
        <v>46052</v>
      </c>
      <c r="N481" s="40"/>
      <c r="O481" s="40"/>
      <c r="P481" s="40"/>
      <c r="Q481" s="40">
        <v>46068</v>
      </c>
      <c r="R481" s="39" t="s">
        <v>218</v>
      </c>
      <c r="S481" s="39" t="s">
        <v>1018</v>
      </c>
      <c r="T481" s="39" t="s">
        <v>1018</v>
      </c>
      <c r="U481" s="35" t="s">
        <v>82</v>
      </c>
      <c r="V481" s="39" t="s">
        <v>226</v>
      </c>
      <c r="W481" s="39" t="s">
        <v>123</v>
      </c>
      <c r="X481" s="39">
        <v>6749.58</v>
      </c>
      <c r="Y481" s="39">
        <v>1227.2</v>
      </c>
      <c r="Z481" s="39">
        <v>1227.2</v>
      </c>
      <c r="AA481" s="39">
        <v>0</v>
      </c>
      <c r="AB481" s="39"/>
      <c r="AC481" s="39">
        <v>0</v>
      </c>
      <c r="AD481" s="39"/>
      <c r="AE481" s="39">
        <v>0</v>
      </c>
      <c r="AF481" s="39"/>
      <c r="AG481" s="39">
        <v>0</v>
      </c>
      <c r="AH481" s="39"/>
      <c r="AI481" s="41">
        <v>0</v>
      </c>
    </row>
    <row r="482" spans="1:35" x14ac:dyDescent="0.25">
      <c r="A482" s="34" t="s">
        <v>110</v>
      </c>
      <c r="B482" s="35" t="s">
        <v>1156</v>
      </c>
      <c r="C482" s="35" t="s">
        <v>1157</v>
      </c>
      <c r="D482" s="35">
        <v>32572</v>
      </c>
      <c r="E482" s="35" t="s">
        <v>1160</v>
      </c>
      <c r="F482" s="35" t="s">
        <v>1161</v>
      </c>
      <c r="G482" s="35" t="s">
        <v>174</v>
      </c>
      <c r="H482" s="35" t="s">
        <v>160</v>
      </c>
      <c r="I482" s="35" t="s">
        <v>217</v>
      </c>
      <c r="J482" s="35" t="s">
        <v>118</v>
      </c>
      <c r="K482" s="36">
        <v>46052</v>
      </c>
      <c r="L482" s="36">
        <v>46043</v>
      </c>
      <c r="M482" s="36">
        <v>46051</v>
      </c>
      <c r="N482" s="36"/>
      <c r="O482" s="36"/>
      <c r="P482" s="36"/>
      <c r="Q482" s="36"/>
      <c r="R482" s="35" t="s">
        <v>218</v>
      </c>
      <c r="S482" s="35" t="s">
        <v>1018</v>
      </c>
      <c r="T482" s="35" t="s">
        <v>1018</v>
      </c>
      <c r="U482" s="35" t="s">
        <v>82</v>
      </c>
      <c r="V482" s="35" t="s">
        <v>226</v>
      </c>
      <c r="W482" s="35" t="s">
        <v>123</v>
      </c>
      <c r="X482" s="35">
        <v>1120.96</v>
      </c>
      <c r="Y482" s="35">
        <v>203.81</v>
      </c>
      <c r="Z482" s="35">
        <v>203.81</v>
      </c>
      <c r="AA482" s="35">
        <v>0</v>
      </c>
      <c r="AB482" s="35"/>
      <c r="AC482" s="35">
        <v>0</v>
      </c>
      <c r="AD482" s="35"/>
      <c r="AE482" s="35">
        <v>0</v>
      </c>
      <c r="AF482" s="35"/>
      <c r="AG482" s="35">
        <v>0</v>
      </c>
      <c r="AH482" s="35"/>
      <c r="AI482" s="37">
        <v>0</v>
      </c>
    </row>
    <row r="483" spans="1:35" x14ac:dyDescent="0.25">
      <c r="A483" s="38" t="s">
        <v>110</v>
      </c>
      <c r="B483" s="39" t="s">
        <v>1146</v>
      </c>
      <c r="C483" s="39" t="s">
        <v>1939</v>
      </c>
      <c r="D483" s="39">
        <v>32600</v>
      </c>
      <c r="E483" s="39" t="s">
        <v>1940</v>
      </c>
      <c r="F483" s="39" t="s">
        <v>1941</v>
      </c>
      <c r="G483" s="39" t="s">
        <v>174</v>
      </c>
      <c r="H483" s="39" t="s">
        <v>160</v>
      </c>
      <c r="I483" s="39" t="s">
        <v>217</v>
      </c>
      <c r="J483" s="39" t="s">
        <v>118</v>
      </c>
      <c r="K483" s="40">
        <v>46052</v>
      </c>
      <c r="L483" s="40">
        <v>46081</v>
      </c>
      <c r="M483" s="40">
        <v>46066</v>
      </c>
      <c r="N483" s="40"/>
      <c r="O483" s="40"/>
      <c r="P483" s="40"/>
      <c r="Q483" s="40"/>
      <c r="R483" s="39" t="s">
        <v>218</v>
      </c>
      <c r="S483" s="39" t="s">
        <v>1018</v>
      </c>
      <c r="T483" s="39" t="s">
        <v>1018</v>
      </c>
      <c r="U483" s="35" t="s">
        <v>82</v>
      </c>
      <c r="V483" s="39" t="s">
        <v>226</v>
      </c>
      <c r="W483" s="39" t="s">
        <v>123</v>
      </c>
      <c r="X483" s="39">
        <v>10410.549999999999</v>
      </c>
      <c r="Y483" s="39">
        <v>1892.83</v>
      </c>
      <c r="Z483" s="39">
        <v>1892.83</v>
      </c>
      <c r="AA483" s="39">
        <v>0</v>
      </c>
      <c r="AB483" s="39"/>
      <c r="AC483" s="39">
        <v>0</v>
      </c>
      <c r="AD483" s="39"/>
      <c r="AE483" s="39">
        <v>0</v>
      </c>
      <c r="AF483" s="39"/>
      <c r="AG483" s="39">
        <v>0</v>
      </c>
      <c r="AH483" s="39"/>
      <c r="AI483" s="41">
        <v>0</v>
      </c>
    </row>
    <row r="484" spans="1:35" x14ac:dyDescent="0.25">
      <c r="A484" s="34" t="s">
        <v>110</v>
      </c>
      <c r="B484" s="35" t="s">
        <v>1146</v>
      </c>
      <c r="C484" s="35" t="s">
        <v>1939</v>
      </c>
      <c r="D484" s="35">
        <v>32600</v>
      </c>
      <c r="E484" s="35" t="s">
        <v>1942</v>
      </c>
      <c r="F484" s="35" t="s">
        <v>1943</v>
      </c>
      <c r="G484" s="35" t="s">
        <v>174</v>
      </c>
      <c r="H484" s="35" t="s">
        <v>160</v>
      </c>
      <c r="I484" s="35" t="s">
        <v>217</v>
      </c>
      <c r="J484" s="35" t="s">
        <v>141</v>
      </c>
      <c r="K484" s="36">
        <v>46052</v>
      </c>
      <c r="L484" s="36">
        <v>46081</v>
      </c>
      <c r="M484" s="36"/>
      <c r="N484" s="36"/>
      <c r="O484" s="36"/>
      <c r="P484" s="36"/>
      <c r="Q484" s="36"/>
      <c r="R484" s="35" t="s">
        <v>218</v>
      </c>
      <c r="S484" s="35" t="s">
        <v>1018</v>
      </c>
      <c r="T484" s="35" t="s">
        <v>1018</v>
      </c>
      <c r="U484" s="35" t="s">
        <v>82</v>
      </c>
      <c r="V484" s="35" t="s">
        <v>226</v>
      </c>
      <c r="W484" s="35" t="s">
        <v>123</v>
      </c>
      <c r="X484" s="35">
        <v>10410.549999999999</v>
      </c>
      <c r="Y484" s="35">
        <v>1892.83</v>
      </c>
      <c r="Z484" s="35">
        <v>1892.83</v>
      </c>
      <c r="AA484" s="35">
        <v>0</v>
      </c>
      <c r="AB484" s="35"/>
      <c r="AC484" s="35">
        <v>0</v>
      </c>
      <c r="AD484" s="35"/>
      <c r="AE484" s="35">
        <v>0</v>
      </c>
      <c r="AF484" s="35"/>
      <c r="AG484" s="35">
        <v>0</v>
      </c>
      <c r="AH484" s="35"/>
      <c r="AI484" s="37">
        <v>0</v>
      </c>
    </row>
    <row r="485" spans="1:35" x14ac:dyDescent="0.25">
      <c r="A485" s="38" t="s">
        <v>110</v>
      </c>
      <c r="B485" s="39" t="s">
        <v>1304</v>
      </c>
      <c r="C485" s="39" t="s">
        <v>1305</v>
      </c>
      <c r="D485" s="39">
        <v>32601</v>
      </c>
      <c r="E485" s="39" t="s">
        <v>1306</v>
      </c>
      <c r="F485" s="39" t="s">
        <v>1307</v>
      </c>
      <c r="G485" s="39" t="s">
        <v>174</v>
      </c>
      <c r="H485" s="39" t="s">
        <v>160</v>
      </c>
      <c r="I485" s="39" t="s">
        <v>217</v>
      </c>
      <c r="J485" s="39" t="s">
        <v>118</v>
      </c>
      <c r="K485" s="40">
        <v>46052</v>
      </c>
      <c r="L485" s="40">
        <v>46050</v>
      </c>
      <c r="M485" s="40">
        <v>46063</v>
      </c>
      <c r="N485" s="40"/>
      <c r="O485" s="40"/>
      <c r="P485" s="40"/>
      <c r="Q485" s="40">
        <v>46068</v>
      </c>
      <c r="R485" s="39" t="s">
        <v>218</v>
      </c>
      <c r="S485" s="39" t="s">
        <v>1018</v>
      </c>
      <c r="T485" s="39" t="s">
        <v>1018</v>
      </c>
      <c r="U485" s="35" t="s">
        <v>82</v>
      </c>
      <c r="V485" s="39" t="s">
        <v>226</v>
      </c>
      <c r="W485" s="39" t="s">
        <v>123</v>
      </c>
      <c r="X485" s="39">
        <v>2079.06</v>
      </c>
      <c r="Y485" s="39">
        <v>378.02</v>
      </c>
      <c r="Z485" s="39">
        <v>378.02</v>
      </c>
      <c r="AA485" s="39">
        <v>0</v>
      </c>
      <c r="AB485" s="39"/>
      <c r="AC485" s="39">
        <v>0</v>
      </c>
      <c r="AD485" s="39"/>
      <c r="AE485" s="39">
        <v>0</v>
      </c>
      <c r="AF485" s="39"/>
      <c r="AG485" s="39">
        <v>0</v>
      </c>
      <c r="AH485" s="39"/>
      <c r="AI485" s="41">
        <v>0</v>
      </c>
    </row>
    <row r="486" spans="1:35" x14ac:dyDescent="0.25">
      <c r="A486" s="34" t="s">
        <v>110</v>
      </c>
      <c r="B486" s="35" t="s">
        <v>379</v>
      </c>
      <c r="C486" s="35" t="s">
        <v>380</v>
      </c>
      <c r="D486" s="35">
        <v>32602</v>
      </c>
      <c r="E486" s="35" t="s">
        <v>381</v>
      </c>
      <c r="F486" s="35" t="s">
        <v>382</v>
      </c>
      <c r="G486" s="35" t="s">
        <v>174</v>
      </c>
      <c r="H486" s="35" t="s">
        <v>160</v>
      </c>
      <c r="I486" s="35" t="s">
        <v>217</v>
      </c>
      <c r="J486" s="35" t="s">
        <v>118</v>
      </c>
      <c r="K486" s="36">
        <v>46052</v>
      </c>
      <c r="L486" s="36">
        <v>46113</v>
      </c>
      <c r="M486" s="36">
        <v>46052</v>
      </c>
      <c r="N486" s="36"/>
      <c r="O486" s="36"/>
      <c r="P486" s="36"/>
      <c r="Q486" s="36">
        <v>46056</v>
      </c>
      <c r="R486" s="35" t="s">
        <v>218</v>
      </c>
      <c r="S486" s="35" t="s">
        <v>225</v>
      </c>
      <c r="T486" s="35" t="s">
        <v>225</v>
      </c>
      <c r="U486" s="35" t="s">
        <v>88</v>
      </c>
      <c r="V486" s="35" t="s">
        <v>226</v>
      </c>
      <c r="W486" s="35" t="s">
        <v>123</v>
      </c>
      <c r="X486" s="35">
        <v>688.07</v>
      </c>
      <c r="Y486" s="35">
        <v>125.1</v>
      </c>
      <c r="Z486" s="35">
        <v>125.1</v>
      </c>
      <c r="AA486" s="35">
        <v>0</v>
      </c>
      <c r="AB486" s="35"/>
      <c r="AC486" s="35">
        <v>0</v>
      </c>
      <c r="AD486" s="35"/>
      <c r="AE486" s="35">
        <v>0</v>
      </c>
      <c r="AF486" s="35"/>
      <c r="AG486" s="35">
        <v>0</v>
      </c>
      <c r="AH486" s="35"/>
      <c r="AI486" s="37">
        <v>0</v>
      </c>
    </row>
    <row r="487" spans="1:35" x14ac:dyDescent="0.25">
      <c r="A487" s="38" t="s">
        <v>110</v>
      </c>
      <c r="B487" s="39" t="s">
        <v>1174</v>
      </c>
      <c r="C487" s="39" t="s">
        <v>1301</v>
      </c>
      <c r="D487" s="39">
        <v>32603</v>
      </c>
      <c r="E487" s="39" t="s">
        <v>1302</v>
      </c>
      <c r="F487" s="39" t="s">
        <v>1303</v>
      </c>
      <c r="G487" s="39" t="s">
        <v>174</v>
      </c>
      <c r="H487" s="39" t="s">
        <v>160</v>
      </c>
      <c r="I487" s="39" t="s">
        <v>217</v>
      </c>
      <c r="J487" s="39" t="s">
        <v>118</v>
      </c>
      <c r="K487" s="40">
        <v>46052</v>
      </c>
      <c r="L487" s="40">
        <v>46050</v>
      </c>
      <c r="M487" s="40">
        <v>46063</v>
      </c>
      <c r="N487" s="40"/>
      <c r="O487" s="40"/>
      <c r="P487" s="40"/>
      <c r="Q487" s="40"/>
      <c r="R487" s="39" t="s">
        <v>218</v>
      </c>
      <c r="S487" s="39" t="s">
        <v>1018</v>
      </c>
      <c r="T487" s="39" t="s">
        <v>1018</v>
      </c>
      <c r="U487" s="35" t="s">
        <v>82</v>
      </c>
      <c r="V487" s="39" t="s">
        <v>226</v>
      </c>
      <c r="W487" s="39" t="s">
        <v>123</v>
      </c>
      <c r="X487" s="39">
        <v>3039.45</v>
      </c>
      <c r="Y487" s="39">
        <v>552.62</v>
      </c>
      <c r="Z487" s="39">
        <v>552.62</v>
      </c>
      <c r="AA487" s="39">
        <v>0</v>
      </c>
      <c r="AB487" s="39"/>
      <c r="AC487" s="39">
        <v>0</v>
      </c>
      <c r="AD487" s="39"/>
      <c r="AE487" s="39">
        <v>0</v>
      </c>
      <c r="AF487" s="39"/>
      <c r="AG487" s="39">
        <v>0</v>
      </c>
      <c r="AH487" s="39"/>
      <c r="AI487" s="41">
        <v>0</v>
      </c>
    </row>
    <row r="488" spans="1:35" x14ac:dyDescent="0.25">
      <c r="A488" s="34" t="s">
        <v>110</v>
      </c>
      <c r="B488" s="35" t="s">
        <v>1174</v>
      </c>
      <c r="C488" s="35" t="s">
        <v>1301</v>
      </c>
      <c r="D488" s="35">
        <v>32603</v>
      </c>
      <c r="E488" s="35" t="s">
        <v>2019</v>
      </c>
      <c r="F488" s="35" t="s">
        <v>2020</v>
      </c>
      <c r="G488" s="35" t="s">
        <v>174</v>
      </c>
      <c r="H488" s="35" t="s">
        <v>160</v>
      </c>
      <c r="I488" s="35" t="s">
        <v>217</v>
      </c>
      <c r="J488" s="35" t="s">
        <v>141</v>
      </c>
      <c r="K488" s="36">
        <v>46052</v>
      </c>
      <c r="L488" s="36">
        <v>46050</v>
      </c>
      <c r="M488" s="36"/>
      <c r="N488" s="36"/>
      <c r="O488" s="36"/>
      <c r="P488" s="36"/>
      <c r="Q488" s="36"/>
      <c r="R488" s="35" t="s">
        <v>218</v>
      </c>
      <c r="S488" s="35" t="s">
        <v>1018</v>
      </c>
      <c r="T488" s="35" t="s">
        <v>1018</v>
      </c>
      <c r="U488" s="35" t="s">
        <v>82</v>
      </c>
      <c r="V488" s="35" t="s">
        <v>226</v>
      </c>
      <c r="W488" s="35" t="s">
        <v>123</v>
      </c>
      <c r="X488" s="35">
        <v>6078.89</v>
      </c>
      <c r="Y488" s="35">
        <v>1105.26</v>
      </c>
      <c r="Z488" s="35">
        <v>1105.26</v>
      </c>
      <c r="AA488" s="35">
        <v>0</v>
      </c>
      <c r="AB488" s="35"/>
      <c r="AC488" s="35">
        <v>0</v>
      </c>
      <c r="AD488" s="35"/>
      <c r="AE488" s="35">
        <v>0</v>
      </c>
      <c r="AF488" s="35"/>
      <c r="AG488" s="35">
        <v>0</v>
      </c>
      <c r="AH488" s="35"/>
      <c r="AI488" s="37">
        <v>0</v>
      </c>
    </row>
    <row r="489" spans="1:35" x14ac:dyDescent="0.25">
      <c r="A489" s="38" t="s">
        <v>110</v>
      </c>
      <c r="B489" s="39" t="s">
        <v>1174</v>
      </c>
      <c r="C489" s="39" t="s">
        <v>1301</v>
      </c>
      <c r="D489" s="39">
        <v>32603</v>
      </c>
      <c r="E489" s="39" t="s">
        <v>2021</v>
      </c>
      <c r="F489" s="39" t="s">
        <v>2022</v>
      </c>
      <c r="G489" s="39" t="s">
        <v>174</v>
      </c>
      <c r="H489" s="39" t="s">
        <v>160</v>
      </c>
      <c r="I489" s="39" t="s">
        <v>217</v>
      </c>
      <c r="J489" s="39" t="s">
        <v>141</v>
      </c>
      <c r="K489" s="40">
        <v>46052</v>
      </c>
      <c r="L489" s="40">
        <v>46050</v>
      </c>
      <c r="M489" s="40"/>
      <c r="N489" s="40"/>
      <c r="O489" s="40"/>
      <c r="P489" s="40"/>
      <c r="Q489" s="40"/>
      <c r="R489" s="39" t="s">
        <v>218</v>
      </c>
      <c r="S489" s="39" t="s">
        <v>1018</v>
      </c>
      <c r="T489" s="39" t="s">
        <v>1018</v>
      </c>
      <c r="U489" s="35" t="s">
        <v>82</v>
      </c>
      <c r="V489" s="39" t="s">
        <v>226</v>
      </c>
      <c r="W489" s="39" t="s">
        <v>123</v>
      </c>
      <c r="X489" s="39">
        <v>6078.89</v>
      </c>
      <c r="Y489" s="39">
        <v>1105.26</v>
      </c>
      <c r="Z489" s="39">
        <v>1105.26</v>
      </c>
      <c r="AA489" s="39">
        <v>0</v>
      </c>
      <c r="AB489" s="39"/>
      <c r="AC489" s="39">
        <v>0</v>
      </c>
      <c r="AD489" s="39"/>
      <c r="AE489" s="39">
        <v>0</v>
      </c>
      <c r="AF489" s="39"/>
      <c r="AG489" s="39">
        <v>0</v>
      </c>
      <c r="AH489" s="39"/>
      <c r="AI489" s="41">
        <v>0</v>
      </c>
    </row>
    <row r="490" spans="1:35" x14ac:dyDescent="0.25">
      <c r="A490" s="34" t="s">
        <v>110</v>
      </c>
      <c r="B490" s="35" t="s">
        <v>1174</v>
      </c>
      <c r="C490" s="35" t="s">
        <v>2023</v>
      </c>
      <c r="D490" s="35">
        <v>32604</v>
      </c>
      <c r="E490" s="35" t="s">
        <v>2026</v>
      </c>
      <c r="F490" s="35" t="s">
        <v>2027</v>
      </c>
      <c r="G490" s="35" t="s">
        <v>174</v>
      </c>
      <c r="H490" s="35" t="s">
        <v>160</v>
      </c>
      <c r="I490" s="35" t="s">
        <v>217</v>
      </c>
      <c r="J490" s="35" t="s">
        <v>141</v>
      </c>
      <c r="K490" s="36">
        <v>46052</v>
      </c>
      <c r="L490" s="36">
        <v>46050</v>
      </c>
      <c r="M490" s="36"/>
      <c r="N490" s="36"/>
      <c r="O490" s="36"/>
      <c r="P490" s="36"/>
      <c r="Q490" s="36"/>
      <c r="R490" s="35" t="s">
        <v>218</v>
      </c>
      <c r="S490" s="35" t="s">
        <v>1018</v>
      </c>
      <c r="T490" s="35" t="s">
        <v>1018</v>
      </c>
      <c r="U490" s="35" t="s">
        <v>82</v>
      </c>
      <c r="V490" s="35" t="s">
        <v>226</v>
      </c>
      <c r="W490" s="35" t="s">
        <v>123</v>
      </c>
      <c r="X490" s="35">
        <v>3698.57</v>
      </c>
      <c r="Y490" s="35">
        <v>672.47</v>
      </c>
      <c r="Z490" s="35">
        <v>672.47</v>
      </c>
      <c r="AA490" s="35">
        <v>0</v>
      </c>
      <c r="AB490" s="35"/>
      <c r="AC490" s="35">
        <v>0</v>
      </c>
      <c r="AD490" s="35"/>
      <c r="AE490" s="35">
        <v>0</v>
      </c>
      <c r="AF490" s="35"/>
      <c r="AG490" s="35">
        <v>0</v>
      </c>
      <c r="AH490" s="35"/>
      <c r="AI490" s="37">
        <v>0</v>
      </c>
    </row>
    <row r="491" spans="1:35" x14ac:dyDescent="0.25">
      <c r="A491" s="38" t="s">
        <v>110</v>
      </c>
      <c r="B491" s="39" t="s">
        <v>1174</v>
      </c>
      <c r="C491" s="39" t="s">
        <v>2023</v>
      </c>
      <c r="D491" s="39">
        <v>32604</v>
      </c>
      <c r="E491" s="39" t="s">
        <v>2028</v>
      </c>
      <c r="F491" s="39" t="s">
        <v>2029</v>
      </c>
      <c r="G491" s="39" t="s">
        <v>174</v>
      </c>
      <c r="H491" s="39" t="s">
        <v>160</v>
      </c>
      <c r="I491" s="39" t="s">
        <v>217</v>
      </c>
      <c r="J491" s="39" t="s">
        <v>141</v>
      </c>
      <c r="K491" s="40">
        <v>46052</v>
      </c>
      <c r="L491" s="40">
        <v>46050</v>
      </c>
      <c r="M491" s="40"/>
      <c r="N491" s="40"/>
      <c r="O491" s="40"/>
      <c r="P491" s="40"/>
      <c r="Q491" s="40"/>
      <c r="R491" s="39" t="s">
        <v>218</v>
      </c>
      <c r="S491" s="39" t="s">
        <v>1018</v>
      </c>
      <c r="T491" s="39" t="s">
        <v>1018</v>
      </c>
      <c r="U491" s="35" t="s">
        <v>82</v>
      </c>
      <c r="V491" s="39" t="s">
        <v>226</v>
      </c>
      <c r="W491" s="39" t="s">
        <v>123</v>
      </c>
      <c r="X491" s="39">
        <v>3698.57</v>
      </c>
      <c r="Y491" s="39">
        <v>672.47</v>
      </c>
      <c r="Z491" s="39">
        <v>672.47</v>
      </c>
      <c r="AA491" s="39">
        <v>0</v>
      </c>
      <c r="AB491" s="39"/>
      <c r="AC491" s="39">
        <v>0</v>
      </c>
      <c r="AD491" s="39"/>
      <c r="AE491" s="39">
        <v>0</v>
      </c>
      <c r="AF491" s="39"/>
      <c r="AG491" s="39">
        <v>0</v>
      </c>
      <c r="AH491" s="39"/>
      <c r="AI491" s="41">
        <v>0</v>
      </c>
    </row>
    <row r="492" spans="1:35" x14ac:dyDescent="0.25">
      <c r="A492" s="34" t="s">
        <v>110</v>
      </c>
      <c r="B492" s="35" t="s">
        <v>1174</v>
      </c>
      <c r="C492" s="35" t="s">
        <v>2023</v>
      </c>
      <c r="D492" s="35">
        <v>32604</v>
      </c>
      <c r="E492" s="35" t="s">
        <v>2024</v>
      </c>
      <c r="F492" s="35" t="s">
        <v>2025</v>
      </c>
      <c r="G492" s="35" t="s">
        <v>174</v>
      </c>
      <c r="H492" s="35" t="s">
        <v>160</v>
      </c>
      <c r="I492" s="35" t="s">
        <v>217</v>
      </c>
      <c r="J492" s="35" t="s">
        <v>118</v>
      </c>
      <c r="K492" s="36">
        <v>46052</v>
      </c>
      <c r="L492" s="36">
        <v>46050</v>
      </c>
      <c r="M492" s="36">
        <v>46071</v>
      </c>
      <c r="N492" s="36"/>
      <c r="O492" s="36"/>
      <c r="P492" s="36"/>
      <c r="Q492" s="36"/>
      <c r="R492" s="35" t="s">
        <v>218</v>
      </c>
      <c r="S492" s="35" t="s">
        <v>1018</v>
      </c>
      <c r="T492" s="35" t="s">
        <v>1018</v>
      </c>
      <c r="U492" s="35" t="s">
        <v>82</v>
      </c>
      <c r="V492" s="35" t="s">
        <v>226</v>
      </c>
      <c r="W492" s="35" t="s">
        <v>123</v>
      </c>
      <c r="X492" s="35">
        <v>1849.28</v>
      </c>
      <c r="Y492" s="35">
        <v>336.24</v>
      </c>
      <c r="Z492" s="35">
        <v>336.24</v>
      </c>
      <c r="AA492" s="35">
        <v>0</v>
      </c>
      <c r="AB492" s="35"/>
      <c r="AC492" s="35">
        <v>0</v>
      </c>
      <c r="AD492" s="35"/>
      <c r="AE492" s="35">
        <v>0</v>
      </c>
      <c r="AF492" s="35"/>
      <c r="AG492" s="35">
        <v>0</v>
      </c>
      <c r="AH492" s="35"/>
      <c r="AI492" s="37">
        <v>0</v>
      </c>
    </row>
    <row r="493" spans="1:35" x14ac:dyDescent="0.25">
      <c r="A493" s="38" t="s">
        <v>110</v>
      </c>
      <c r="B493" s="39" t="s">
        <v>2030</v>
      </c>
      <c r="C493" s="39" t="s">
        <v>2031</v>
      </c>
      <c r="D493" s="39">
        <v>32598</v>
      </c>
      <c r="E493" s="39" t="s">
        <v>2032</v>
      </c>
      <c r="F493" s="39" t="s">
        <v>2033</v>
      </c>
      <c r="G493" s="39" t="s">
        <v>174</v>
      </c>
      <c r="H493" s="39" t="s">
        <v>160</v>
      </c>
      <c r="I493" s="39" t="s">
        <v>217</v>
      </c>
      <c r="J493" s="39" t="s">
        <v>118</v>
      </c>
      <c r="K493" s="40">
        <v>46052</v>
      </c>
      <c r="L493" s="40">
        <v>46050</v>
      </c>
      <c r="M493" s="40">
        <v>46078</v>
      </c>
      <c r="N493" s="40"/>
      <c r="O493" s="40"/>
      <c r="P493" s="40"/>
      <c r="Q493" s="40"/>
      <c r="R493" s="39" t="s">
        <v>218</v>
      </c>
      <c r="S493" s="39" t="s">
        <v>1018</v>
      </c>
      <c r="T493" s="39" t="s">
        <v>1018</v>
      </c>
      <c r="U493" s="35" t="s">
        <v>82</v>
      </c>
      <c r="V493" s="39" t="s">
        <v>226</v>
      </c>
      <c r="W493" s="39" t="s">
        <v>123</v>
      </c>
      <c r="X493" s="39">
        <v>4926.49</v>
      </c>
      <c r="Y493" s="39">
        <v>895.72</v>
      </c>
      <c r="Z493" s="39">
        <v>895.72</v>
      </c>
      <c r="AA493" s="39">
        <v>0</v>
      </c>
      <c r="AB493" s="39"/>
      <c r="AC493" s="39">
        <v>0</v>
      </c>
      <c r="AD493" s="39"/>
      <c r="AE493" s="39">
        <v>0</v>
      </c>
      <c r="AF493" s="39"/>
      <c r="AG493" s="39">
        <v>0</v>
      </c>
      <c r="AH493" s="39"/>
      <c r="AI493" s="41">
        <v>0</v>
      </c>
    </row>
    <row r="494" spans="1:35" x14ac:dyDescent="0.25">
      <c r="A494" s="34" t="s">
        <v>110</v>
      </c>
      <c r="B494" s="35" t="s">
        <v>1174</v>
      </c>
      <c r="C494" s="35" t="s">
        <v>1308</v>
      </c>
      <c r="D494" s="35">
        <v>32605</v>
      </c>
      <c r="E494" s="35" t="s">
        <v>1309</v>
      </c>
      <c r="F494" s="35" t="s">
        <v>1310</v>
      </c>
      <c r="G494" s="35" t="s">
        <v>174</v>
      </c>
      <c r="H494" s="35" t="s">
        <v>160</v>
      </c>
      <c r="I494" s="35" t="s">
        <v>217</v>
      </c>
      <c r="J494" s="35" t="s">
        <v>118</v>
      </c>
      <c r="K494" s="36">
        <v>46052</v>
      </c>
      <c r="L494" s="36">
        <v>46051</v>
      </c>
      <c r="M494" s="36">
        <v>46052</v>
      </c>
      <c r="N494" s="36"/>
      <c r="O494" s="36"/>
      <c r="P494" s="36"/>
      <c r="Q494" s="36"/>
      <c r="R494" s="35" t="s">
        <v>218</v>
      </c>
      <c r="S494" s="35" t="s">
        <v>1018</v>
      </c>
      <c r="T494" s="35" t="s">
        <v>1018</v>
      </c>
      <c r="U494" s="35" t="s">
        <v>82</v>
      </c>
      <c r="V494" s="35" t="s">
        <v>226</v>
      </c>
      <c r="W494" s="35" t="s">
        <v>123</v>
      </c>
      <c r="X494" s="35">
        <v>4599.1000000000004</v>
      </c>
      <c r="Y494" s="35">
        <v>836.2</v>
      </c>
      <c r="Z494" s="35">
        <v>836.2</v>
      </c>
      <c r="AA494" s="35">
        <v>0</v>
      </c>
      <c r="AB494" s="35"/>
      <c r="AC494" s="35">
        <v>0</v>
      </c>
      <c r="AD494" s="35"/>
      <c r="AE494" s="35">
        <v>0</v>
      </c>
      <c r="AF494" s="35"/>
      <c r="AG494" s="35">
        <v>0</v>
      </c>
      <c r="AH494" s="35"/>
      <c r="AI494" s="37">
        <v>0</v>
      </c>
    </row>
    <row r="495" spans="1:35" x14ac:dyDescent="0.25">
      <c r="A495" s="38" t="s">
        <v>110</v>
      </c>
      <c r="B495" s="39" t="s">
        <v>1174</v>
      </c>
      <c r="C495" s="39" t="s">
        <v>1308</v>
      </c>
      <c r="D495" s="39">
        <v>32605</v>
      </c>
      <c r="E495" s="39" t="s">
        <v>2038</v>
      </c>
      <c r="F495" s="39" t="s">
        <v>2039</v>
      </c>
      <c r="G495" s="39" t="s">
        <v>174</v>
      </c>
      <c r="H495" s="39" t="s">
        <v>160</v>
      </c>
      <c r="I495" s="39" t="s">
        <v>217</v>
      </c>
      <c r="J495" s="39" t="s">
        <v>141</v>
      </c>
      <c r="K495" s="40">
        <v>46052</v>
      </c>
      <c r="L495" s="40">
        <v>46051</v>
      </c>
      <c r="M495" s="40"/>
      <c r="N495" s="40"/>
      <c r="O495" s="40"/>
      <c r="P495" s="40"/>
      <c r="Q495" s="40"/>
      <c r="R495" s="39" t="s">
        <v>218</v>
      </c>
      <c r="S495" s="39" t="s">
        <v>1018</v>
      </c>
      <c r="T495" s="39" t="s">
        <v>1018</v>
      </c>
      <c r="U495" s="35" t="s">
        <v>82</v>
      </c>
      <c r="V495" s="39" t="s">
        <v>226</v>
      </c>
      <c r="W495" s="39" t="s">
        <v>123</v>
      </c>
      <c r="X495" s="39">
        <v>9198.19</v>
      </c>
      <c r="Y495" s="39">
        <v>1672.4</v>
      </c>
      <c r="Z495" s="39">
        <v>1672.4</v>
      </c>
      <c r="AA495" s="39">
        <v>0</v>
      </c>
      <c r="AB495" s="39"/>
      <c r="AC495" s="39">
        <v>0</v>
      </c>
      <c r="AD495" s="39"/>
      <c r="AE495" s="39">
        <v>0</v>
      </c>
      <c r="AF495" s="39"/>
      <c r="AG495" s="39">
        <v>0</v>
      </c>
      <c r="AH495" s="39"/>
      <c r="AI495" s="41">
        <v>0</v>
      </c>
    </row>
    <row r="496" spans="1:35" x14ac:dyDescent="0.25">
      <c r="A496" s="34" t="s">
        <v>110</v>
      </c>
      <c r="B496" s="35" t="s">
        <v>1174</v>
      </c>
      <c r="C496" s="35" t="s">
        <v>1308</v>
      </c>
      <c r="D496" s="35">
        <v>32605</v>
      </c>
      <c r="E496" s="35" t="s">
        <v>2040</v>
      </c>
      <c r="F496" s="35" t="s">
        <v>2041</v>
      </c>
      <c r="G496" s="35" t="s">
        <v>174</v>
      </c>
      <c r="H496" s="35" t="s">
        <v>160</v>
      </c>
      <c r="I496" s="35" t="s">
        <v>217</v>
      </c>
      <c r="J496" s="35" t="s">
        <v>141</v>
      </c>
      <c r="K496" s="36">
        <v>46052</v>
      </c>
      <c r="L496" s="36">
        <v>46051</v>
      </c>
      <c r="M496" s="36"/>
      <c r="N496" s="36"/>
      <c r="O496" s="36"/>
      <c r="P496" s="36"/>
      <c r="Q496" s="36"/>
      <c r="R496" s="35" t="s">
        <v>218</v>
      </c>
      <c r="S496" s="35" t="s">
        <v>1018</v>
      </c>
      <c r="T496" s="35" t="s">
        <v>1018</v>
      </c>
      <c r="U496" s="35" t="s">
        <v>82</v>
      </c>
      <c r="V496" s="35" t="s">
        <v>226</v>
      </c>
      <c r="W496" s="35" t="s">
        <v>123</v>
      </c>
      <c r="X496" s="35">
        <v>9198.19</v>
      </c>
      <c r="Y496" s="35">
        <v>1672.4</v>
      </c>
      <c r="Z496" s="35">
        <v>1672.4</v>
      </c>
      <c r="AA496" s="35">
        <v>0</v>
      </c>
      <c r="AB496" s="35"/>
      <c r="AC496" s="35">
        <v>0</v>
      </c>
      <c r="AD496" s="35"/>
      <c r="AE496" s="35">
        <v>0</v>
      </c>
      <c r="AF496" s="35"/>
      <c r="AG496" s="35">
        <v>0</v>
      </c>
      <c r="AH496" s="35"/>
      <c r="AI496" s="37">
        <v>0</v>
      </c>
    </row>
    <row r="497" spans="1:35" x14ac:dyDescent="0.25">
      <c r="A497" s="38" t="s">
        <v>110</v>
      </c>
      <c r="B497" s="39" t="s">
        <v>672</v>
      </c>
      <c r="C497" s="39" t="s">
        <v>673</v>
      </c>
      <c r="D497" s="39">
        <v>9100</v>
      </c>
      <c r="E497" s="39" t="s">
        <v>1490</v>
      </c>
      <c r="F497" s="39" t="s">
        <v>1491</v>
      </c>
      <c r="G497" s="39" t="s">
        <v>115</v>
      </c>
      <c r="H497" s="39" t="s">
        <v>160</v>
      </c>
      <c r="I497" s="39" t="s">
        <v>117</v>
      </c>
      <c r="J497" s="39" t="s">
        <v>141</v>
      </c>
      <c r="K497" s="40">
        <v>46052</v>
      </c>
      <c r="L497" s="40">
        <v>46054</v>
      </c>
      <c r="M497" s="40"/>
      <c r="N497" s="40"/>
      <c r="O497" s="40"/>
      <c r="P497" s="40"/>
      <c r="Q497" s="40"/>
      <c r="R497" s="39" t="s">
        <v>142</v>
      </c>
      <c r="S497" s="39" t="s">
        <v>606</v>
      </c>
      <c r="T497" s="39" t="s">
        <v>607</v>
      </c>
      <c r="U497" s="35" t="s">
        <v>89</v>
      </c>
      <c r="V497" s="39" t="s">
        <v>509</v>
      </c>
      <c r="W497" s="39" t="s">
        <v>123</v>
      </c>
      <c r="X497" s="39">
        <v>1882.6</v>
      </c>
      <c r="Y497" s="39">
        <v>150.61000000000001</v>
      </c>
      <c r="Z497" s="39">
        <v>150.61000000000001</v>
      </c>
      <c r="AA497" s="39">
        <v>0</v>
      </c>
      <c r="AB497" s="39"/>
      <c r="AC497" s="39">
        <v>0</v>
      </c>
      <c r="AD497" s="39"/>
      <c r="AE497" s="39">
        <v>0</v>
      </c>
      <c r="AF497" s="39"/>
      <c r="AG497" s="39">
        <v>0</v>
      </c>
      <c r="AH497" s="39"/>
      <c r="AI497" s="41">
        <v>0</v>
      </c>
    </row>
    <row r="498" spans="1:35" x14ac:dyDescent="0.25">
      <c r="A498" s="34" t="s">
        <v>110</v>
      </c>
      <c r="B498" s="35" t="s">
        <v>474</v>
      </c>
      <c r="C498" s="35" t="s">
        <v>475</v>
      </c>
      <c r="D498" s="35">
        <v>32606</v>
      </c>
      <c r="E498" s="35" t="s">
        <v>476</v>
      </c>
      <c r="F498" s="35" t="s">
        <v>477</v>
      </c>
      <c r="G498" s="35" t="s">
        <v>174</v>
      </c>
      <c r="H498" s="35" t="s">
        <v>116</v>
      </c>
      <c r="I498" s="35" t="s">
        <v>117</v>
      </c>
      <c r="J498" s="35" t="s">
        <v>118</v>
      </c>
      <c r="K498" s="36">
        <v>46053</v>
      </c>
      <c r="L498" s="36">
        <v>46050</v>
      </c>
      <c r="M498" s="36">
        <v>46051</v>
      </c>
      <c r="N498" s="36"/>
      <c r="O498" s="36"/>
      <c r="P498" s="36"/>
      <c r="Q498" s="36">
        <v>46054</v>
      </c>
      <c r="R498" s="35" t="s">
        <v>142</v>
      </c>
      <c r="S498" s="35" t="s">
        <v>463</v>
      </c>
      <c r="T498" s="35" t="s">
        <v>177</v>
      </c>
      <c r="U498" s="35" t="s">
        <v>81</v>
      </c>
      <c r="V498" s="35" t="s">
        <v>163</v>
      </c>
      <c r="W498" s="35" t="s">
        <v>123</v>
      </c>
      <c r="X498" s="35">
        <v>509.87</v>
      </c>
      <c r="Y498" s="35">
        <v>40.79</v>
      </c>
      <c r="Z498" s="35">
        <v>40.79</v>
      </c>
      <c r="AA498" s="35">
        <v>0</v>
      </c>
      <c r="AB498" s="35"/>
      <c r="AC498" s="35">
        <v>0</v>
      </c>
      <c r="AD498" s="35"/>
      <c r="AE498" s="35">
        <v>0</v>
      </c>
      <c r="AF498" s="35"/>
      <c r="AG498" s="35">
        <v>0</v>
      </c>
      <c r="AH498" s="35"/>
      <c r="AI498" s="37">
        <v>0</v>
      </c>
    </row>
    <row r="499" spans="1:35" x14ac:dyDescent="0.25">
      <c r="A499" s="38" t="s">
        <v>110</v>
      </c>
      <c r="B499" s="39" t="s">
        <v>1432</v>
      </c>
      <c r="C499" s="39" t="s">
        <v>1433</v>
      </c>
      <c r="D499" s="39">
        <v>32607</v>
      </c>
      <c r="E499" s="39" t="s">
        <v>1434</v>
      </c>
      <c r="F499" s="39" t="s">
        <v>1435</v>
      </c>
      <c r="G499" s="39" t="s">
        <v>174</v>
      </c>
      <c r="H499" s="39" t="s">
        <v>116</v>
      </c>
      <c r="I499" s="39" t="s">
        <v>117</v>
      </c>
      <c r="J499" s="39" t="s">
        <v>118</v>
      </c>
      <c r="K499" s="40">
        <v>46053</v>
      </c>
      <c r="L499" s="40">
        <v>46062</v>
      </c>
      <c r="M499" s="40">
        <v>46062</v>
      </c>
      <c r="N499" s="40"/>
      <c r="O499" s="40"/>
      <c r="P499" s="40"/>
      <c r="Q499" s="40"/>
      <c r="R499" s="39" t="s">
        <v>142</v>
      </c>
      <c r="S499" s="39" t="s">
        <v>1436</v>
      </c>
      <c r="T499" s="39" t="s">
        <v>177</v>
      </c>
      <c r="U499" s="35" t="s">
        <v>81</v>
      </c>
      <c r="V499" s="39" t="s">
        <v>163</v>
      </c>
      <c r="W499" s="39" t="s">
        <v>123</v>
      </c>
      <c r="X499" s="39">
        <v>289.29000000000002</v>
      </c>
      <c r="Y499" s="39">
        <v>40.5</v>
      </c>
      <c r="Z499" s="39">
        <v>40.5</v>
      </c>
      <c r="AA499" s="39">
        <v>0</v>
      </c>
      <c r="AB499" s="39"/>
      <c r="AC499" s="39">
        <v>0</v>
      </c>
      <c r="AD499" s="39"/>
      <c r="AE499" s="39">
        <v>0</v>
      </c>
      <c r="AF499" s="39"/>
      <c r="AG499" s="39">
        <v>0</v>
      </c>
      <c r="AH499" s="39"/>
      <c r="AI499" s="41">
        <v>0</v>
      </c>
    </row>
    <row r="500" spans="1:35" x14ac:dyDescent="0.25">
      <c r="A500" s="34" t="s">
        <v>110</v>
      </c>
      <c r="B500" s="35" t="s">
        <v>553</v>
      </c>
      <c r="C500" s="35" t="s">
        <v>554</v>
      </c>
      <c r="D500" s="35">
        <v>30693</v>
      </c>
      <c r="E500" s="35" t="s">
        <v>2395</v>
      </c>
      <c r="F500" s="35" t="s">
        <v>2396</v>
      </c>
      <c r="G500" s="35" t="s">
        <v>192</v>
      </c>
      <c r="H500" s="35" t="s">
        <v>116</v>
      </c>
      <c r="I500" s="35" t="s">
        <v>117</v>
      </c>
      <c r="J500" s="35" t="s">
        <v>2195</v>
      </c>
      <c r="K500" s="36">
        <v>46053</v>
      </c>
      <c r="L500" s="36">
        <v>46051</v>
      </c>
      <c r="M500" s="36"/>
      <c r="N500" s="36"/>
      <c r="O500" s="36">
        <v>46053</v>
      </c>
      <c r="P500" s="36"/>
      <c r="Q500" s="36"/>
      <c r="R500" s="35" t="s">
        <v>142</v>
      </c>
      <c r="S500" s="35" t="s">
        <v>543</v>
      </c>
      <c r="T500" s="35" t="s">
        <v>177</v>
      </c>
      <c r="U500" s="35" t="s">
        <v>81</v>
      </c>
      <c r="V500" s="35" t="s">
        <v>509</v>
      </c>
      <c r="W500" s="35" t="s">
        <v>123</v>
      </c>
      <c r="X500" s="35">
        <v>15.11</v>
      </c>
      <c r="Y500" s="35">
        <v>2</v>
      </c>
      <c r="Z500" s="35">
        <v>2</v>
      </c>
      <c r="AA500" s="35">
        <v>0</v>
      </c>
      <c r="AB500" s="35"/>
      <c r="AC500" s="35">
        <v>0</v>
      </c>
      <c r="AD500" s="35"/>
      <c r="AE500" s="35">
        <v>0</v>
      </c>
      <c r="AF500" s="35"/>
      <c r="AG500" s="35">
        <v>0</v>
      </c>
      <c r="AH500" s="35"/>
      <c r="AI500" s="37">
        <v>0</v>
      </c>
    </row>
    <row r="501" spans="1:35" x14ac:dyDescent="0.25">
      <c r="A501" s="38" t="s">
        <v>110</v>
      </c>
      <c r="B501" s="39" t="s">
        <v>553</v>
      </c>
      <c r="C501" s="39" t="s">
        <v>554</v>
      </c>
      <c r="D501" s="39">
        <v>30693</v>
      </c>
      <c r="E501" s="39" t="s">
        <v>555</v>
      </c>
      <c r="F501" s="39" t="s">
        <v>556</v>
      </c>
      <c r="G501" s="39" t="s">
        <v>192</v>
      </c>
      <c r="H501" s="39" t="s">
        <v>160</v>
      </c>
      <c r="I501" s="39" t="s">
        <v>117</v>
      </c>
      <c r="J501" s="39" t="s">
        <v>118</v>
      </c>
      <c r="K501" s="40">
        <v>46053</v>
      </c>
      <c r="L501" s="40">
        <v>46051</v>
      </c>
      <c r="M501" s="40">
        <v>46053</v>
      </c>
      <c r="N501" s="40"/>
      <c r="O501" s="40"/>
      <c r="P501" s="40"/>
      <c r="Q501" s="40">
        <v>46054</v>
      </c>
      <c r="R501" s="39" t="s">
        <v>142</v>
      </c>
      <c r="S501" s="39" t="s">
        <v>543</v>
      </c>
      <c r="T501" s="39" t="s">
        <v>177</v>
      </c>
      <c r="U501" s="35" t="s">
        <v>81</v>
      </c>
      <c r="V501" s="39" t="s">
        <v>509</v>
      </c>
      <c r="W501" s="39" t="s">
        <v>123</v>
      </c>
      <c r="X501" s="39">
        <v>15.11</v>
      </c>
      <c r="Y501" s="39">
        <v>2</v>
      </c>
      <c r="Z501" s="39">
        <v>2</v>
      </c>
      <c r="AA501" s="39">
        <v>0</v>
      </c>
      <c r="AB501" s="39"/>
      <c r="AC501" s="39">
        <v>0</v>
      </c>
      <c r="AD501" s="39"/>
      <c r="AE501" s="39">
        <v>0</v>
      </c>
      <c r="AF501" s="39"/>
      <c r="AG501" s="39">
        <v>0</v>
      </c>
      <c r="AH501" s="39"/>
      <c r="AI501" s="41">
        <v>0</v>
      </c>
    </row>
    <row r="502" spans="1:35" x14ac:dyDescent="0.25">
      <c r="A502" s="34" t="s">
        <v>110</v>
      </c>
      <c r="B502" s="35" t="s">
        <v>710</v>
      </c>
      <c r="C502" s="35" t="s">
        <v>711</v>
      </c>
      <c r="D502" s="35">
        <v>32608</v>
      </c>
      <c r="E502" s="35" t="s">
        <v>712</v>
      </c>
      <c r="F502" s="35" t="s">
        <v>713</v>
      </c>
      <c r="G502" s="35" t="s">
        <v>192</v>
      </c>
      <c r="H502" s="35" t="s">
        <v>160</v>
      </c>
      <c r="I502" s="35" t="s">
        <v>117</v>
      </c>
      <c r="J502" s="35" t="s">
        <v>118</v>
      </c>
      <c r="K502" s="36">
        <v>46053</v>
      </c>
      <c r="L502" s="36">
        <v>46051</v>
      </c>
      <c r="M502" s="36">
        <v>46065</v>
      </c>
      <c r="N502" s="36"/>
      <c r="O502" s="36"/>
      <c r="P502" s="36"/>
      <c r="Q502" s="36">
        <v>46082</v>
      </c>
      <c r="R502" s="35" t="s">
        <v>142</v>
      </c>
      <c r="S502" s="35" t="s">
        <v>697</v>
      </c>
      <c r="T502" s="35" t="s">
        <v>698</v>
      </c>
      <c r="U502" s="35" t="s">
        <v>88</v>
      </c>
      <c r="V502" s="35" t="s">
        <v>699</v>
      </c>
      <c r="W502" s="35" t="s">
        <v>123</v>
      </c>
      <c r="X502" s="35">
        <v>465.85</v>
      </c>
      <c r="Y502" s="35">
        <v>116.47</v>
      </c>
      <c r="Z502" s="35">
        <v>116.47</v>
      </c>
      <c r="AA502" s="35">
        <v>0</v>
      </c>
      <c r="AB502" s="35"/>
      <c r="AC502" s="35">
        <v>0</v>
      </c>
      <c r="AD502" s="35"/>
      <c r="AE502" s="35">
        <v>0</v>
      </c>
      <c r="AF502" s="35"/>
      <c r="AG502" s="35">
        <v>0</v>
      </c>
      <c r="AH502" s="35"/>
      <c r="AI502" s="37">
        <v>0</v>
      </c>
    </row>
    <row r="503" spans="1:35" x14ac:dyDescent="0.25">
      <c r="A503" s="38" t="s">
        <v>110</v>
      </c>
      <c r="B503" s="39" t="s">
        <v>2187</v>
      </c>
      <c r="C503" s="39" t="s">
        <v>2188</v>
      </c>
      <c r="D503" s="39">
        <v>27893</v>
      </c>
      <c r="E503" s="39" t="s">
        <v>2189</v>
      </c>
      <c r="F503" s="39" t="s">
        <v>2190</v>
      </c>
      <c r="G503" s="39" t="s">
        <v>174</v>
      </c>
      <c r="H503" s="39" t="s">
        <v>160</v>
      </c>
      <c r="I503" s="39" t="s">
        <v>217</v>
      </c>
      <c r="J503" s="39" t="s">
        <v>141</v>
      </c>
      <c r="K503" s="40">
        <v>46053</v>
      </c>
      <c r="L503" s="40">
        <v>46092</v>
      </c>
      <c r="M503" s="40"/>
      <c r="N503" s="40"/>
      <c r="O503" s="40"/>
      <c r="P503" s="40"/>
      <c r="Q503" s="40"/>
      <c r="R503" s="39" t="s">
        <v>218</v>
      </c>
      <c r="S503" s="39" t="s">
        <v>225</v>
      </c>
      <c r="T503" s="39" t="s">
        <v>225</v>
      </c>
      <c r="U503" s="35" t="s">
        <v>88</v>
      </c>
      <c r="V503" s="39" t="s">
        <v>226</v>
      </c>
      <c r="W503" s="39" t="s">
        <v>123</v>
      </c>
      <c r="X503" s="39">
        <v>3080</v>
      </c>
      <c r="Y503" s="39">
        <v>560</v>
      </c>
      <c r="Z503" s="39">
        <v>560</v>
      </c>
      <c r="AA503" s="39">
        <v>0</v>
      </c>
      <c r="AB503" s="39"/>
      <c r="AC503" s="39">
        <v>0</v>
      </c>
      <c r="AD503" s="39"/>
      <c r="AE503" s="39">
        <v>0</v>
      </c>
      <c r="AF503" s="39"/>
      <c r="AG503" s="39">
        <v>0</v>
      </c>
      <c r="AH503" s="39"/>
      <c r="AI503" s="41">
        <v>0</v>
      </c>
    </row>
    <row r="504" spans="1:35" x14ac:dyDescent="0.25">
      <c r="A504" s="34" t="s">
        <v>110</v>
      </c>
      <c r="B504" s="35" t="s">
        <v>1034</v>
      </c>
      <c r="C504" s="35" t="s">
        <v>1035</v>
      </c>
      <c r="D504" s="35">
        <v>30577</v>
      </c>
      <c r="E504" s="35" t="s">
        <v>1036</v>
      </c>
      <c r="F504" s="35" t="s">
        <v>1037</v>
      </c>
      <c r="G504" s="35" t="s">
        <v>174</v>
      </c>
      <c r="H504" s="35" t="s">
        <v>160</v>
      </c>
      <c r="I504" s="35" t="s">
        <v>217</v>
      </c>
      <c r="J504" s="35" t="s">
        <v>118</v>
      </c>
      <c r="K504" s="36">
        <v>46053</v>
      </c>
      <c r="L504" s="36">
        <v>45694</v>
      </c>
      <c r="M504" s="36">
        <v>46055</v>
      </c>
      <c r="N504" s="36"/>
      <c r="O504" s="36"/>
      <c r="P504" s="36"/>
      <c r="Q504" s="36">
        <v>46056</v>
      </c>
      <c r="R504" s="35" t="s">
        <v>218</v>
      </c>
      <c r="S504" s="35" t="s">
        <v>1018</v>
      </c>
      <c r="T504" s="35" t="s">
        <v>1018</v>
      </c>
      <c r="U504" s="35" t="s">
        <v>82</v>
      </c>
      <c r="V504" s="35" t="s">
        <v>226</v>
      </c>
      <c r="W504" s="35" t="s">
        <v>123</v>
      </c>
      <c r="X504" s="35">
        <v>46684.36</v>
      </c>
      <c r="Y504" s="35">
        <v>4668.4399999999996</v>
      </c>
      <c r="Z504" s="35">
        <v>4668.4399999999996</v>
      </c>
      <c r="AA504" s="35">
        <v>0</v>
      </c>
      <c r="AB504" s="35"/>
      <c r="AC504" s="35">
        <v>0</v>
      </c>
      <c r="AD504" s="35"/>
      <c r="AE504" s="35">
        <v>0</v>
      </c>
      <c r="AF504" s="35"/>
      <c r="AG504" s="35">
        <v>0</v>
      </c>
      <c r="AH504" s="35"/>
      <c r="AI504" s="37">
        <v>0</v>
      </c>
    </row>
    <row r="505" spans="1:35" x14ac:dyDescent="0.25">
      <c r="A505" s="38" t="s">
        <v>110</v>
      </c>
      <c r="B505" s="39" t="s">
        <v>271</v>
      </c>
      <c r="C505" s="39" t="s">
        <v>272</v>
      </c>
      <c r="D505" s="39">
        <v>30621</v>
      </c>
      <c r="E505" s="39" t="s">
        <v>273</v>
      </c>
      <c r="F505" s="39" t="s">
        <v>274</v>
      </c>
      <c r="G505" s="39" t="s">
        <v>174</v>
      </c>
      <c r="H505" s="39" t="s">
        <v>160</v>
      </c>
      <c r="I505" s="39" t="s">
        <v>217</v>
      </c>
      <c r="J505" s="39" t="s">
        <v>118</v>
      </c>
      <c r="K505" s="40">
        <v>46053</v>
      </c>
      <c r="L505" s="40">
        <v>46080</v>
      </c>
      <c r="M505" s="40">
        <v>46080</v>
      </c>
      <c r="N505" s="40"/>
      <c r="O505" s="40"/>
      <c r="P505" s="40"/>
      <c r="Q505" s="40"/>
      <c r="R505" s="39" t="s">
        <v>218</v>
      </c>
      <c r="S505" s="39" t="s">
        <v>225</v>
      </c>
      <c r="T505" s="39" t="s">
        <v>225</v>
      </c>
      <c r="U505" s="35" t="s">
        <v>88</v>
      </c>
      <c r="V505" s="39" t="s">
        <v>226</v>
      </c>
      <c r="W505" s="39" t="s">
        <v>123</v>
      </c>
      <c r="X505" s="39">
        <v>508.55</v>
      </c>
      <c r="Y505" s="39">
        <v>92.46</v>
      </c>
      <c r="Z505" s="39">
        <v>92.46</v>
      </c>
      <c r="AA505" s="39">
        <v>0</v>
      </c>
      <c r="AB505" s="39"/>
      <c r="AC505" s="39">
        <v>0</v>
      </c>
      <c r="AD505" s="39"/>
      <c r="AE505" s="39">
        <v>0</v>
      </c>
      <c r="AF505" s="39"/>
      <c r="AG505" s="39">
        <v>0</v>
      </c>
      <c r="AH505" s="39"/>
      <c r="AI505" s="41">
        <v>0</v>
      </c>
    </row>
    <row r="506" spans="1:35" x14ac:dyDescent="0.25">
      <c r="A506" s="34" t="s">
        <v>110</v>
      </c>
      <c r="B506" s="35" t="s">
        <v>420</v>
      </c>
      <c r="C506" s="35" t="s">
        <v>1106</v>
      </c>
      <c r="D506" s="35">
        <v>32251</v>
      </c>
      <c r="E506" s="35" t="s">
        <v>1107</v>
      </c>
      <c r="F506" s="35" t="s">
        <v>1108</v>
      </c>
      <c r="G506" s="35" t="s">
        <v>174</v>
      </c>
      <c r="H506" s="35" t="s">
        <v>160</v>
      </c>
      <c r="I506" s="35" t="s">
        <v>217</v>
      </c>
      <c r="J506" s="35" t="s">
        <v>118</v>
      </c>
      <c r="K506" s="36">
        <v>46053</v>
      </c>
      <c r="L506" s="36">
        <v>45985</v>
      </c>
      <c r="M506" s="36">
        <v>46056</v>
      </c>
      <c r="N506" s="36"/>
      <c r="O506" s="36"/>
      <c r="P506" s="36"/>
      <c r="Q506" s="36"/>
      <c r="R506" s="35" t="s">
        <v>218</v>
      </c>
      <c r="S506" s="35" t="s">
        <v>1018</v>
      </c>
      <c r="T506" s="35" t="s">
        <v>1018</v>
      </c>
      <c r="U506" s="35" t="s">
        <v>82</v>
      </c>
      <c r="V506" s="35" t="s">
        <v>226</v>
      </c>
      <c r="W506" s="35" t="s">
        <v>123</v>
      </c>
      <c r="X506" s="35">
        <v>9405.69</v>
      </c>
      <c r="Y506" s="35">
        <v>1710.12</v>
      </c>
      <c r="Z506" s="35">
        <v>1710.12</v>
      </c>
      <c r="AA506" s="35">
        <v>0</v>
      </c>
      <c r="AB506" s="35"/>
      <c r="AC506" s="35">
        <v>0</v>
      </c>
      <c r="AD506" s="35"/>
      <c r="AE506" s="35">
        <v>0</v>
      </c>
      <c r="AF506" s="35"/>
      <c r="AG506" s="35">
        <v>0</v>
      </c>
      <c r="AH506" s="35"/>
      <c r="AI506" s="37">
        <v>0</v>
      </c>
    </row>
    <row r="507" spans="1:35" x14ac:dyDescent="0.25">
      <c r="A507" s="38" t="s">
        <v>110</v>
      </c>
      <c r="B507" s="39" t="s">
        <v>1152</v>
      </c>
      <c r="C507" s="39" t="s">
        <v>1153</v>
      </c>
      <c r="D507" s="39">
        <v>32609</v>
      </c>
      <c r="E507" s="39" t="s">
        <v>1154</v>
      </c>
      <c r="F507" s="39" t="s">
        <v>1155</v>
      </c>
      <c r="G507" s="39" t="s">
        <v>174</v>
      </c>
      <c r="H507" s="39" t="s">
        <v>160</v>
      </c>
      <c r="I507" s="39" t="s">
        <v>217</v>
      </c>
      <c r="J507" s="39" t="s">
        <v>118</v>
      </c>
      <c r="K507" s="40">
        <v>46053</v>
      </c>
      <c r="L507" s="40">
        <v>46051</v>
      </c>
      <c r="M507" s="40">
        <v>46066</v>
      </c>
      <c r="N507" s="40"/>
      <c r="O507" s="40"/>
      <c r="P507" s="40">
        <v>46082</v>
      </c>
      <c r="Q507" s="40"/>
      <c r="R507" s="39" t="s">
        <v>218</v>
      </c>
      <c r="S507" s="39" t="s">
        <v>1018</v>
      </c>
      <c r="T507" s="39" t="s">
        <v>1018</v>
      </c>
      <c r="U507" s="35" t="s">
        <v>82</v>
      </c>
      <c r="V507" s="39" t="s">
        <v>226</v>
      </c>
      <c r="W507" s="39" t="s">
        <v>123</v>
      </c>
      <c r="X507" s="39">
        <v>661.12</v>
      </c>
      <c r="Y507" s="39">
        <v>120.2</v>
      </c>
      <c r="Z507" s="39">
        <v>120.2</v>
      </c>
      <c r="AA507" s="39">
        <v>0</v>
      </c>
      <c r="AB507" s="39"/>
      <c r="AC507" s="39">
        <v>0</v>
      </c>
      <c r="AD507" s="39" t="s">
        <v>297</v>
      </c>
      <c r="AE507" s="39">
        <v>66.11</v>
      </c>
      <c r="AF507" s="39"/>
      <c r="AG507" s="39">
        <v>0</v>
      </c>
      <c r="AH507" s="39"/>
      <c r="AI507" s="41">
        <v>0</v>
      </c>
    </row>
    <row r="508" spans="1:35" x14ac:dyDescent="0.25">
      <c r="A508" s="34" t="s">
        <v>110</v>
      </c>
      <c r="B508" s="35" t="s">
        <v>1210</v>
      </c>
      <c r="C508" s="35" t="s">
        <v>1211</v>
      </c>
      <c r="D508" s="35">
        <v>32528</v>
      </c>
      <c r="E508" s="35" t="s">
        <v>1214</v>
      </c>
      <c r="F508" s="35" t="s">
        <v>1215</v>
      </c>
      <c r="G508" s="35" t="s">
        <v>174</v>
      </c>
      <c r="H508" s="35" t="s">
        <v>160</v>
      </c>
      <c r="I508" s="35" t="s">
        <v>217</v>
      </c>
      <c r="J508" s="35" t="s">
        <v>118</v>
      </c>
      <c r="K508" s="36">
        <v>46053</v>
      </c>
      <c r="L508" s="36">
        <v>46030</v>
      </c>
      <c r="M508" s="36">
        <v>46052</v>
      </c>
      <c r="N508" s="36"/>
      <c r="O508" s="36"/>
      <c r="P508" s="36"/>
      <c r="Q508" s="36">
        <v>46068</v>
      </c>
      <c r="R508" s="35" t="s">
        <v>218</v>
      </c>
      <c r="S508" s="35" t="s">
        <v>1018</v>
      </c>
      <c r="T508" s="35" t="s">
        <v>1018</v>
      </c>
      <c r="U508" s="35" t="s">
        <v>82</v>
      </c>
      <c r="V508" s="35" t="s">
        <v>226</v>
      </c>
      <c r="W508" s="35" t="s">
        <v>123</v>
      </c>
      <c r="X508" s="35">
        <v>711.7</v>
      </c>
      <c r="Y508" s="35">
        <v>129.4</v>
      </c>
      <c r="Z508" s="35">
        <v>129.4</v>
      </c>
      <c r="AA508" s="35">
        <v>0</v>
      </c>
      <c r="AB508" s="35"/>
      <c r="AC508" s="35">
        <v>0</v>
      </c>
      <c r="AD508" s="35"/>
      <c r="AE508" s="35">
        <v>0</v>
      </c>
      <c r="AF508" s="35"/>
      <c r="AG508" s="35">
        <v>0</v>
      </c>
      <c r="AH508" s="35"/>
      <c r="AI508" s="37">
        <v>0</v>
      </c>
    </row>
    <row r="509" spans="1:35" x14ac:dyDescent="0.25">
      <c r="A509" s="38" t="s">
        <v>110</v>
      </c>
      <c r="B509" s="39" t="s">
        <v>1019</v>
      </c>
      <c r="C509" s="39" t="s">
        <v>1860</v>
      </c>
      <c r="D509" s="39">
        <v>32568</v>
      </c>
      <c r="E509" s="39" t="s">
        <v>1865</v>
      </c>
      <c r="F509" s="39" t="s">
        <v>1866</v>
      </c>
      <c r="G509" s="39" t="s">
        <v>174</v>
      </c>
      <c r="H509" s="39" t="s">
        <v>160</v>
      </c>
      <c r="I509" s="39" t="s">
        <v>217</v>
      </c>
      <c r="J509" s="39" t="s">
        <v>118</v>
      </c>
      <c r="K509" s="40">
        <v>46053</v>
      </c>
      <c r="L509" s="40">
        <v>46041</v>
      </c>
      <c r="M509" s="40">
        <v>46083</v>
      </c>
      <c r="N509" s="40"/>
      <c r="O509" s="40"/>
      <c r="P509" s="40"/>
      <c r="Q509" s="40"/>
      <c r="R509" s="39" t="s">
        <v>218</v>
      </c>
      <c r="S509" s="39" t="s">
        <v>1018</v>
      </c>
      <c r="T509" s="39" t="s">
        <v>1018</v>
      </c>
      <c r="U509" s="35" t="s">
        <v>82</v>
      </c>
      <c r="V509" s="39" t="s">
        <v>226</v>
      </c>
      <c r="W509" s="39" t="s">
        <v>123</v>
      </c>
      <c r="X509" s="39">
        <v>154.28</v>
      </c>
      <c r="Y509" s="39">
        <v>28.05</v>
      </c>
      <c r="Z509" s="39">
        <v>28.05</v>
      </c>
      <c r="AA509" s="39">
        <v>0</v>
      </c>
      <c r="AB509" s="39"/>
      <c r="AC509" s="39">
        <v>0</v>
      </c>
      <c r="AD509" s="39"/>
      <c r="AE509" s="39">
        <v>0</v>
      </c>
      <c r="AF509" s="39"/>
      <c r="AG509" s="39">
        <v>0</v>
      </c>
      <c r="AH509" s="39"/>
      <c r="AI509" s="41">
        <v>0</v>
      </c>
    </row>
    <row r="510" spans="1:35" x14ac:dyDescent="0.25">
      <c r="A510" s="34" t="s">
        <v>110</v>
      </c>
      <c r="B510" s="35" t="s">
        <v>1019</v>
      </c>
      <c r="C510" s="35" t="s">
        <v>1860</v>
      </c>
      <c r="D510" s="35">
        <v>32568</v>
      </c>
      <c r="E510" s="35" t="s">
        <v>1867</v>
      </c>
      <c r="F510" s="35" t="s">
        <v>1868</v>
      </c>
      <c r="G510" s="35" t="s">
        <v>174</v>
      </c>
      <c r="H510" s="35" t="s">
        <v>160</v>
      </c>
      <c r="I510" s="35" t="s">
        <v>217</v>
      </c>
      <c r="J510" s="35" t="s">
        <v>141</v>
      </c>
      <c r="K510" s="36">
        <v>46053</v>
      </c>
      <c r="L510" s="36">
        <v>46041</v>
      </c>
      <c r="M510" s="36"/>
      <c r="N510" s="36"/>
      <c r="O510" s="36"/>
      <c r="P510" s="36"/>
      <c r="Q510" s="36"/>
      <c r="R510" s="35" t="s">
        <v>218</v>
      </c>
      <c r="S510" s="35" t="s">
        <v>1018</v>
      </c>
      <c r="T510" s="35" t="s">
        <v>1018</v>
      </c>
      <c r="U510" s="35" t="s">
        <v>82</v>
      </c>
      <c r="V510" s="35" t="s">
        <v>226</v>
      </c>
      <c r="W510" s="35" t="s">
        <v>123</v>
      </c>
      <c r="X510" s="35">
        <v>-30.86</v>
      </c>
      <c r="Y510" s="35">
        <v>-5.61</v>
      </c>
      <c r="Z510" s="35">
        <v>-5.61</v>
      </c>
      <c r="AA510" s="35">
        <v>0</v>
      </c>
      <c r="AB510" s="35"/>
      <c r="AC510" s="35">
        <v>0</v>
      </c>
      <c r="AD510" s="35"/>
      <c r="AE510" s="35">
        <v>0</v>
      </c>
      <c r="AF510" s="35"/>
      <c r="AG510" s="35">
        <v>0</v>
      </c>
      <c r="AH510" s="35"/>
      <c r="AI510" s="37">
        <v>0</v>
      </c>
    </row>
    <row r="511" spans="1:35" x14ac:dyDescent="0.25">
      <c r="A511" s="38" t="s">
        <v>110</v>
      </c>
      <c r="B511" s="39" t="s">
        <v>2034</v>
      </c>
      <c r="C511" s="39" t="s">
        <v>2035</v>
      </c>
      <c r="D511" s="39">
        <v>32610</v>
      </c>
      <c r="E511" s="39" t="s">
        <v>2036</v>
      </c>
      <c r="F511" s="39" t="s">
        <v>2037</v>
      </c>
      <c r="G511" s="39" t="s">
        <v>174</v>
      </c>
      <c r="H511" s="39" t="s">
        <v>160</v>
      </c>
      <c r="I511" s="39" t="s">
        <v>217</v>
      </c>
      <c r="J511" s="39" t="s">
        <v>118</v>
      </c>
      <c r="K511" s="40">
        <v>46053</v>
      </c>
      <c r="L511" s="40">
        <v>46051</v>
      </c>
      <c r="M511" s="40">
        <v>46077</v>
      </c>
      <c r="N511" s="40"/>
      <c r="O511" s="40"/>
      <c r="P511" s="40"/>
      <c r="Q511" s="40"/>
      <c r="R511" s="39" t="s">
        <v>218</v>
      </c>
      <c r="S511" s="39" t="s">
        <v>1018</v>
      </c>
      <c r="T511" s="39" t="s">
        <v>1018</v>
      </c>
      <c r="U511" s="35" t="s">
        <v>82</v>
      </c>
      <c r="V511" s="39" t="s">
        <v>226</v>
      </c>
      <c r="W511" s="39" t="s">
        <v>123</v>
      </c>
      <c r="X511" s="39">
        <v>1557.24</v>
      </c>
      <c r="Y511" s="39">
        <v>283.13</v>
      </c>
      <c r="Z511" s="39">
        <v>283.13</v>
      </c>
      <c r="AA511" s="39">
        <v>0</v>
      </c>
      <c r="AB511" s="39"/>
      <c r="AC511" s="39">
        <v>0</v>
      </c>
      <c r="AD511" s="39"/>
      <c r="AE511" s="39">
        <v>0</v>
      </c>
      <c r="AF511" s="39"/>
      <c r="AG511" s="39">
        <v>0</v>
      </c>
      <c r="AH511" s="39"/>
      <c r="AI511" s="41">
        <v>0</v>
      </c>
    </row>
    <row r="512" spans="1:35" x14ac:dyDescent="0.25">
      <c r="A512" s="34" t="s">
        <v>110</v>
      </c>
      <c r="B512" s="35" t="s">
        <v>420</v>
      </c>
      <c r="C512" s="35" t="s">
        <v>1311</v>
      </c>
      <c r="D512" s="35">
        <v>32611</v>
      </c>
      <c r="E512" s="35" t="s">
        <v>1312</v>
      </c>
      <c r="F512" s="35" t="s">
        <v>1313</v>
      </c>
      <c r="G512" s="35" t="s">
        <v>174</v>
      </c>
      <c r="H512" s="35" t="s">
        <v>160</v>
      </c>
      <c r="I512" s="35" t="s">
        <v>217</v>
      </c>
      <c r="J512" s="35" t="s">
        <v>118</v>
      </c>
      <c r="K512" s="36">
        <v>46053</v>
      </c>
      <c r="L512" s="36">
        <v>46051</v>
      </c>
      <c r="M512" s="36">
        <v>46056</v>
      </c>
      <c r="N512" s="36"/>
      <c r="O512" s="36"/>
      <c r="P512" s="36"/>
      <c r="Q512" s="36"/>
      <c r="R512" s="35" t="s">
        <v>218</v>
      </c>
      <c r="S512" s="35" t="s">
        <v>1018</v>
      </c>
      <c r="T512" s="35" t="s">
        <v>1018</v>
      </c>
      <c r="U512" s="35" t="s">
        <v>82</v>
      </c>
      <c r="V512" s="35" t="s">
        <v>226</v>
      </c>
      <c r="W512" s="35" t="s">
        <v>123</v>
      </c>
      <c r="X512" s="35">
        <v>1453.44</v>
      </c>
      <c r="Y512" s="35">
        <v>264.26</v>
      </c>
      <c r="Z512" s="35">
        <v>264.26</v>
      </c>
      <c r="AA512" s="35">
        <v>0</v>
      </c>
      <c r="AB512" s="35"/>
      <c r="AC512" s="35">
        <v>0</v>
      </c>
      <c r="AD512" s="35"/>
      <c r="AE512" s="35">
        <v>0</v>
      </c>
      <c r="AF512" s="35"/>
      <c r="AG512" s="35">
        <v>0</v>
      </c>
      <c r="AH512" s="35"/>
      <c r="AI512" s="37">
        <v>0</v>
      </c>
    </row>
    <row r="513" spans="1:35" x14ac:dyDescent="0.25">
      <c r="A513" s="38" t="s">
        <v>110</v>
      </c>
      <c r="B513" s="39" t="s">
        <v>170</v>
      </c>
      <c r="C513" s="39" t="s">
        <v>1568</v>
      </c>
      <c r="D513" s="39">
        <v>13069</v>
      </c>
      <c r="E513" s="39" t="s">
        <v>1569</v>
      </c>
      <c r="F513" s="39" t="s">
        <v>1570</v>
      </c>
      <c r="G513" s="39" t="s">
        <v>440</v>
      </c>
      <c r="H513" s="39" t="s">
        <v>160</v>
      </c>
      <c r="I513" s="39" t="s">
        <v>117</v>
      </c>
      <c r="J513" s="39" t="s">
        <v>118</v>
      </c>
      <c r="K513" s="40">
        <v>46053</v>
      </c>
      <c r="L513" s="40">
        <v>46053</v>
      </c>
      <c r="M513" s="40">
        <v>46078</v>
      </c>
      <c r="N513" s="40"/>
      <c r="O513" s="40"/>
      <c r="P513" s="40"/>
      <c r="Q513" s="40">
        <v>46082</v>
      </c>
      <c r="R513" s="39" t="s">
        <v>142</v>
      </c>
      <c r="S513" s="39" t="s">
        <v>1571</v>
      </c>
      <c r="T513" s="39" t="s">
        <v>1572</v>
      </c>
      <c r="U513" s="35" t="s">
        <v>87</v>
      </c>
      <c r="V513" s="39" t="s">
        <v>1454</v>
      </c>
      <c r="W513" s="39" t="s">
        <v>123</v>
      </c>
      <c r="X513" s="39">
        <v>-60.46</v>
      </c>
      <c r="Y513" s="39">
        <v>-12.09</v>
      </c>
      <c r="Z513" s="39">
        <v>-12.09</v>
      </c>
      <c r="AA513" s="39">
        <v>0</v>
      </c>
      <c r="AB513" s="39"/>
      <c r="AC513" s="39">
        <v>0</v>
      </c>
      <c r="AD513" s="39"/>
      <c r="AE513" s="39">
        <v>0</v>
      </c>
      <c r="AF513" s="39"/>
      <c r="AG513" s="39">
        <v>0</v>
      </c>
      <c r="AH513" s="39"/>
      <c r="AI513" s="41">
        <v>0</v>
      </c>
    </row>
    <row r="514" spans="1:35" x14ac:dyDescent="0.25">
      <c r="A514" s="34" t="s">
        <v>110</v>
      </c>
      <c r="B514" s="35" t="s">
        <v>1573</v>
      </c>
      <c r="C514" s="35" t="s">
        <v>1574</v>
      </c>
      <c r="D514" s="35">
        <v>5000</v>
      </c>
      <c r="E514" s="35"/>
      <c r="F514" s="35" t="s">
        <v>1575</v>
      </c>
      <c r="G514" s="35" t="s">
        <v>115</v>
      </c>
      <c r="H514" s="35" t="s">
        <v>160</v>
      </c>
      <c r="I514" s="35" t="s">
        <v>117</v>
      </c>
      <c r="J514" s="35" t="s">
        <v>118</v>
      </c>
      <c r="K514" s="36">
        <v>46053</v>
      </c>
      <c r="L514" s="36">
        <v>46079</v>
      </c>
      <c r="M514" s="36">
        <v>46079</v>
      </c>
      <c r="N514" s="36"/>
      <c r="O514" s="36"/>
      <c r="P514" s="36"/>
      <c r="Q514" s="36"/>
      <c r="R514" s="35" t="s">
        <v>142</v>
      </c>
      <c r="S514" s="35" t="s">
        <v>923</v>
      </c>
      <c r="T514" s="35" t="s">
        <v>923</v>
      </c>
      <c r="U514" s="35" t="s">
        <v>81</v>
      </c>
      <c r="V514" s="35" t="s">
        <v>1567</v>
      </c>
      <c r="W514" s="35" t="s">
        <v>123</v>
      </c>
      <c r="X514" s="35">
        <v>2274.7800000000002</v>
      </c>
      <c r="Y514" s="35">
        <v>110.55</v>
      </c>
      <c r="Z514" s="35">
        <v>110.55</v>
      </c>
      <c r="AA514" s="35">
        <v>0</v>
      </c>
      <c r="AB514" s="35"/>
      <c r="AC514" s="35">
        <v>0</v>
      </c>
      <c r="AD514" s="35"/>
      <c r="AE514" s="35">
        <v>0</v>
      </c>
      <c r="AF514" s="35"/>
      <c r="AG514" s="35">
        <v>0</v>
      </c>
      <c r="AH514" s="35"/>
      <c r="AI514" s="37">
        <v>0</v>
      </c>
    </row>
    <row r="515" spans="1:35" x14ac:dyDescent="0.25">
      <c r="A515" s="38" t="s">
        <v>110</v>
      </c>
      <c r="B515" s="39" t="s">
        <v>1563</v>
      </c>
      <c r="C515" s="39" t="s">
        <v>1564</v>
      </c>
      <c r="D515" s="39">
        <v>17825</v>
      </c>
      <c r="E515" s="39"/>
      <c r="F515" s="39" t="s">
        <v>1565</v>
      </c>
      <c r="G515" s="39" t="s">
        <v>115</v>
      </c>
      <c r="H515" s="39" t="s">
        <v>116</v>
      </c>
      <c r="I515" s="39" t="s">
        <v>117</v>
      </c>
      <c r="J515" s="39" t="s">
        <v>141</v>
      </c>
      <c r="K515" s="40">
        <v>46053</v>
      </c>
      <c r="L515" s="40">
        <v>46027</v>
      </c>
      <c r="M515" s="40"/>
      <c r="N515" s="40"/>
      <c r="O515" s="40"/>
      <c r="P515" s="40"/>
      <c r="Q515" s="40"/>
      <c r="R515" s="39" t="s">
        <v>142</v>
      </c>
      <c r="S515" s="39" t="s">
        <v>1566</v>
      </c>
      <c r="T515" s="39" t="s">
        <v>83</v>
      </c>
      <c r="U515" s="35" t="s">
        <v>83</v>
      </c>
      <c r="V515" s="39" t="s">
        <v>1567</v>
      </c>
      <c r="W515" s="39" t="s">
        <v>123</v>
      </c>
      <c r="X515" s="39">
        <v>259.61</v>
      </c>
      <c r="Y515" s="39">
        <v>23.36</v>
      </c>
      <c r="Z515" s="39">
        <v>23.36</v>
      </c>
      <c r="AA515" s="39">
        <v>0</v>
      </c>
      <c r="AB515" s="39"/>
      <c r="AC515" s="39">
        <v>0</v>
      </c>
      <c r="AD515" s="39"/>
      <c r="AE515" s="39">
        <v>0</v>
      </c>
      <c r="AF515" s="39"/>
      <c r="AG515" s="39">
        <v>0</v>
      </c>
      <c r="AH515" s="39"/>
      <c r="AI515" s="41">
        <v>0</v>
      </c>
    </row>
    <row r="516" spans="1:35" x14ac:dyDescent="0.25">
      <c r="A516" s="34" t="s">
        <v>110</v>
      </c>
      <c r="B516" s="35" t="s">
        <v>2128</v>
      </c>
      <c r="C516" s="35" t="s">
        <v>2129</v>
      </c>
      <c r="D516" s="35">
        <v>27987</v>
      </c>
      <c r="E516" s="35"/>
      <c r="F516" s="35" t="s">
        <v>2130</v>
      </c>
      <c r="G516" s="35" t="s">
        <v>115</v>
      </c>
      <c r="H516" s="35" t="s">
        <v>160</v>
      </c>
      <c r="I516" s="35" t="s">
        <v>117</v>
      </c>
      <c r="J516" s="35" t="s">
        <v>141</v>
      </c>
      <c r="K516" s="36">
        <v>46053</v>
      </c>
      <c r="L516" s="36">
        <v>46100</v>
      </c>
      <c r="M516" s="36"/>
      <c r="N516" s="36"/>
      <c r="O516" s="36"/>
      <c r="P516" s="36"/>
      <c r="Q516" s="36"/>
      <c r="R516" s="35" t="s">
        <v>142</v>
      </c>
      <c r="S516" s="35" t="s">
        <v>1343</v>
      </c>
      <c r="T516" s="35" t="s">
        <v>1339</v>
      </c>
      <c r="U516" s="35" t="s">
        <v>84</v>
      </c>
      <c r="V516" s="35" t="s">
        <v>699</v>
      </c>
      <c r="W516" s="35" t="s">
        <v>123</v>
      </c>
      <c r="X516" s="35">
        <v>702.46</v>
      </c>
      <c r="Y516" s="35">
        <v>140.49</v>
      </c>
      <c r="Z516" s="35">
        <v>140.49</v>
      </c>
      <c r="AA516" s="35">
        <v>0</v>
      </c>
      <c r="AB516" s="35"/>
      <c r="AC516" s="35">
        <v>0</v>
      </c>
      <c r="AD516" s="35"/>
      <c r="AE516" s="35">
        <v>0</v>
      </c>
      <c r="AF516" s="35"/>
      <c r="AG516" s="35">
        <v>0</v>
      </c>
      <c r="AH516" s="35"/>
      <c r="AI516" s="37">
        <v>0</v>
      </c>
    </row>
    <row r="517" spans="1:35" x14ac:dyDescent="0.25">
      <c r="A517" s="38" t="s">
        <v>110</v>
      </c>
      <c r="B517" s="39" t="s">
        <v>2122</v>
      </c>
      <c r="C517" s="39" t="s">
        <v>2123</v>
      </c>
      <c r="D517" s="39">
        <v>19285</v>
      </c>
      <c r="E517" s="39"/>
      <c r="F517" s="39" t="s">
        <v>2124</v>
      </c>
      <c r="G517" s="39" t="s">
        <v>115</v>
      </c>
      <c r="H517" s="39" t="s">
        <v>160</v>
      </c>
      <c r="I517" s="39" t="s">
        <v>117</v>
      </c>
      <c r="J517" s="39" t="s">
        <v>141</v>
      </c>
      <c r="K517" s="40">
        <v>46053</v>
      </c>
      <c r="L517" s="40">
        <v>46115</v>
      </c>
      <c r="M517" s="40"/>
      <c r="N517" s="40"/>
      <c r="O517" s="40"/>
      <c r="P517" s="40"/>
      <c r="Q517" s="40"/>
      <c r="R517" s="39" t="s">
        <v>142</v>
      </c>
      <c r="S517" s="39" t="s">
        <v>1343</v>
      </c>
      <c r="T517" s="39" t="s">
        <v>1339</v>
      </c>
      <c r="U517" s="35" t="s">
        <v>84</v>
      </c>
      <c r="V517" s="39" t="s">
        <v>699</v>
      </c>
      <c r="W517" s="39" t="s">
        <v>123</v>
      </c>
      <c r="X517" s="39">
        <v>1113.51</v>
      </c>
      <c r="Y517" s="39">
        <v>222.71</v>
      </c>
      <c r="Z517" s="39">
        <v>222.71</v>
      </c>
      <c r="AA517" s="39">
        <v>0</v>
      </c>
      <c r="AB517" s="39"/>
      <c r="AC517" s="39">
        <v>0</v>
      </c>
      <c r="AD517" s="39"/>
      <c r="AE517" s="39">
        <v>0</v>
      </c>
      <c r="AF517" s="39"/>
      <c r="AG517" s="39">
        <v>0</v>
      </c>
      <c r="AH517" s="39"/>
      <c r="AI517" s="41">
        <v>0</v>
      </c>
    </row>
    <row r="518" spans="1:35" x14ac:dyDescent="0.25">
      <c r="A518" s="34" t="s">
        <v>110</v>
      </c>
      <c r="B518" s="35" t="s">
        <v>560</v>
      </c>
      <c r="C518" s="35" t="s">
        <v>561</v>
      </c>
      <c r="D518" s="35">
        <v>32264</v>
      </c>
      <c r="E518" s="35" t="s">
        <v>562</v>
      </c>
      <c r="F518" s="35" t="s">
        <v>563</v>
      </c>
      <c r="G518" s="35" t="s">
        <v>115</v>
      </c>
      <c r="H518" s="35" t="s">
        <v>160</v>
      </c>
      <c r="I518" s="35" t="s">
        <v>217</v>
      </c>
      <c r="J518" s="35" t="s">
        <v>118</v>
      </c>
      <c r="K518" s="36">
        <v>46053</v>
      </c>
      <c r="L518" s="36">
        <v>46006</v>
      </c>
      <c r="M518" s="36">
        <v>46053</v>
      </c>
      <c r="N518" s="36"/>
      <c r="O518" s="36"/>
      <c r="P518" s="36"/>
      <c r="Q518" s="36">
        <v>46054</v>
      </c>
      <c r="R518" s="35" t="s">
        <v>218</v>
      </c>
      <c r="S518" s="35" t="s">
        <v>519</v>
      </c>
      <c r="T518" s="35" t="s">
        <v>519</v>
      </c>
      <c r="U518" s="35" t="s">
        <v>86</v>
      </c>
      <c r="V518" s="35" t="s">
        <v>520</v>
      </c>
      <c r="W518" s="35" t="s">
        <v>123</v>
      </c>
      <c r="X518" s="35">
        <v>0</v>
      </c>
      <c r="Y518" s="35">
        <v>14.55</v>
      </c>
      <c r="Z518" s="35">
        <v>14.55</v>
      </c>
      <c r="AA518" s="35">
        <v>0</v>
      </c>
      <c r="AB518" s="35"/>
      <c r="AC518" s="35">
        <v>0</v>
      </c>
      <c r="AD518" s="35"/>
      <c r="AE518" s="35">
        <v>0</v>
      </c>
      <c r="AF518" s="35"/>
      <c r="AG518" s="35">
        <v>0</v>
      </c>
      <c r="AH518" s="35"/>
      <c r="AI518" s="37">
        <v>0</v>
      </c>
    </row>
    <row r="519" spans="1:35" x14ac:dyDescent="0.25">
      <c r="A519" s="38" t="s">
        <v>110</v>
      </c>
      <c r="B519" s="39" t="s">
        <v>2125</v>
      </c>
      <c r="C519" s="39" t="s">
        <v>2126</v>
      </c>
      <c r="D519" s="39">
        <v>19273</v>
      </c>
      <c r="E519" s="39"/>
      <c r="F519" s="39" t="s">
        <v>2127</v>
      </c>
      <c r="G519" s="39" t="s">
        <v>115</v>
      </c>
      <c r="H519" s="39" t="s">
        <v>160</v>
      </c>
      <c r="I519" s="39" t="s">
        <v>117</v>
      </c>
      <c r="J519" s="39" t="s">
        <v>141</v>
      </c>
      <c r="K519" s="40">
        <v>46053</v>
      </c>
      <c r="L519" s="40">
        <v>46115</v>
      </c>
      <c r="M519" s="40"/>
      <c r="N519" s="40"/>
      <c r="O519" s="40"/>
      <c r="P519" s="40"/>
      <c r="Q519" s="40"/>
      <c r="R519" s="39" t="s">
        <v>142</v>
      </c>
      <c r="S519" s="39" t="s">
        <v>1343</v>
      </c>
      <c r="T519" s="39" t="s">
        <v>1339</v>
      </c>
      <c r="U519" s="35" t="s">
        <v>84</v>
      </c>
      <c r="V519" s="39" t="s">
        <v>699</v>
      </c>
      <c r="W519" s="39" t="s">
        <v>123</v>
      </c>
      <c r="X519" s="39">
        <v>942.2</v>
      </c>
      <c r="Y519" s="39">
        <v>188.43</v>
      </c>
      <c r="Z519" s="39">
        <v>188.43</v>
      </c>
      <c r="AA519" s="39">
        <v>0</v>
      </c>
      <c r="AB519" s="39"/>
      <c r="AC519" s="39">
        <v>0</v>
      </c>
      <c r="AD519" s="39"/>
      <c r="AE519" s="39">
        <v>0</v>
      </c>
      <c r="AF519" s="39"/>
      <c r="AG519" s="39">
        <v>0</v>
      </c>
      <c r="AH519" s="39"/>
      <c r="AI519" s="41">
        <v>0</v>
      </c>
    </row>
    <row r="520" spans="1:35" x14ac:dyDescent="0.25">
      <c r="A520" s="34" t="s">
        <v>110</v>
      </c>
      <c r="B520" s="35" t="s">
        <v>693</v>
      </c>
      <c r="C520" s="35" t="s">
        <v>694</v>
      </c>
      <c r="D520" s="35">
        <v>27289</v>
      </c>
      <c r="E520" s="35" t="s">
        <v>695</v>
      </c>
      <c r="F520" s="35" t="s">
        <v>696</v>
      </c>
      <c r="G520" s="35" t="s">
        <v>115</v>
      </c>
      <c r="H520" s="35" t="s">
        <v>160</v>
      </c>
      <c r="I520" s="35" t="s">
        <v>117</v>
      </c>
      <c r="J520" s="35" t="s">
        <v>118</v>
      </c>
      <c r="K520" s="36">
        <v>46054</v>
      </c>
      <c r="L520" s="36">
        <v>45986</v>
      </c>
      <c r="M520" s="36">
        <v>46054</v>
      </c>
      <c r="N520" s="36"/>
      <c r="O520" s="36"/>
      <c r="P520" s="36"/>
      <c r="Q520" s="36">
        <v>46054</v>
      </c>
      <c r="R520" s="35" t="s">
        <v>142</v>
      </c>
      <c r="S520" s="35" t="s">
        <v>697</v>
      </c>
      <c r="T520" s="35" t="s">
        <v>698</v>
      </c>
      <c r="U520" s="35" t="s">
        <v>88</v>
      </c>
      <c r="V520" s="35" t="s">
        <v>699</v>
      </c>
      <c r="W520" s="35" t="s">
        <v>123</v>
      </c>
      <c r="X520" s="35">
        <v>0</v>
      </c>
      <c r="Y520" s="35">
        <v>-378.52</v>
      </c>
      <c r="Z520" s="35">
        <v>-378.52</v>
      </c>
      <c r="AA520" s="35">
        <v>0</v>
      </c>
      <c r="AB520" s="35"/>
      <c r="AC520" s="35">
        <v>0</v>
      </c>
      <c r="AD520" s="35"/>
      <c r="AE520" s="35">
        <v>0</v>
      </c>
      <c r="AF520" s="35"/>
      <c r="AG520" s="35">
        <v>0</v>
      </c>
      <c r="AH520" s="35"/>
      <c r="AI520" s="37">
        <v>0</v>
      </c>
    </row>
    <row r="521" spans="1:35" x14ac:dyDescent="0.25">
      <c r="A521" s="38" t="s">
        <v>110</v>
      </c>
      <c r="B521" s="39" t="s">
        <v>700</v>
      </c>
      <c r="C521" s="39" t="s">
        <v>701</v>
      </c>
      <c r="D521" s="39">
        <v>27310</v>
      </c>
      <c r="E521" s="39" t="s">
        <v>704</v>
      </c>
      <c r="F521" s="39" t="s">
        <v>705</v>
      </c>
      <c r="G521" s="39" t="s">
        <v>115</v>
      </c>
      <c r="H521" s="39" t="s">
        <v>160</v>
      </c>
      <c r="I521" s="39" t="s">
        <v>117</v>
      </c>
      <c r="J521" s="39" t="s">
        <v>118</v>
      </c>
      <c r="K521" s="40">
        <v>46054</v>
      </c>
      <c r="L521" s="40">
        <v>45987</v>
      </c>
      <c r="M521" s="40">
        <v>46054</v>
      </c>
      <c r="N521" s="40"/>
      <c r="O521" s="40"/>
      <c r="P521" s="40"/>
      <c r="Q521" s="40">
        <v>46054</v>
      </c>
      <c r="R521" s="39" t="s">
        <v>142</v>
      </c>
      <c r="S521" s="39" t="s">
        <v>697</v>
      </c>
      <c r="T521" s="39" t="s">
        <v>698</v>
      </c>
      <c r="U521" s="35" t="s">
        <v>88</v>
      </c>
      <c r="V521" s="39" t="s">
        <v>699</v>
      </c>
      <c r="W521" s="39" t="s">
        <v>123</v>
      </c>
      <c r="X521" s="39">
        <v>0</v>
      </c>
      <c r="Y521" s="39">
        <v>67.17</v>
      </c>
      <c r="Z521" s="39">
        <v>67.17</v>
      </c>
      <c r="AA521" s="39">
        <v>0</v>
      </c>
      <c r="AB521" s="39"/>
      <c r="AC521" s="39">
        <v>0</v>
      </c>
      <c r="AD521" s="39"/>
      <c r="AE521" s="39">
        <v>0</v>
      </c>
      <c r="AF521" s="39"/>
      <c r="AG521" s="39">
        <v>0</v>
      </c>
      <c r="AH521" s="39"/>
      <c r="AI521" s="41">
        <v>0</v>
      </c>
    </row>
    <row r="522" spans="1:35" x14ac:dyDescent="0.25">
      <c r="A522" s="34" t="s">
        <v>110</v>
      </c>
      <c r="B522" s="35" t="s">
        <v>700</v>
      </c>
      <c r="C522" s="35" t="s">
        <v>701</v>
      </c>
      <c r="D522" s="35">
        <v>27310</v>
      </c>
      <c r="E522" s="35" t="s">
        <v>702</v>
      </c>
      <c r="F522" s="35" t="s">
        <v>703</v>
      </c>
      <c r="G522" s="35" t="s">
        <v>115</v>
      </c>
      <c r="H522" s="35" t="s">
        <v>160</v>
      </c>
      <c r="I522" s="35" t="s">
        <v>117</v>
      </c>
      <c r="J522" s="35" t="s">
        <v>118</v>
      </c>
      <c r="K522" s="36">
        <v>46054</v>
      </c>
      <c r="L522" s="36">
        <v>45987</v>
      </c>
      <c r="M522" s="36">
        <v>46054</v>
      </c>
      <c r="N522" s="36"/>
      <c r="O522" s="36"/>
      <c r="P522" s="36"/>
      <c r="Q522" s="36">
        <v>46054</v>
      </c>
      <c r="R522" s="35" t="s">
        <v>142</v>
      </c>
      <c r="S522" s="35" t="s">
        <v>697</v>
      </c>
      <c r="T522" s="35" t="s">
        <v>698</v>
      </c>
      <c r="U522" s="35" t="s">
        <v>88</v>
      </c>
      <c r="V522" s="35" t="s">
        <v>699</v>
      </c>
      <c r="W522" s="35" t="s">
        <v>123</v>
      </c>
      <c r="X522" s="35">
        <v>0</v>
      </c>
      <c r="Y522" s="35">
        <v>67.17</v>
      </c>
      <c r="Z522" s="35">
        <v>67.17</v>
      </c>
      <c r="AA522" s="35">
        <v>0</v>
      </c>
      <c r="AB522" s="35"/>
      <c r="AC522" s="35">
        <v>0</v>
      </c>
      <c r="AD522" s="35"/>
      <c r="AE522" s="35">
        <v>0</v>
      </c>
      <c r="AF522" s="35"/>
      <c r="AG522" s="35">
        <v>0</v>
      </c>
      <c r="AH522" s="35"/>
      <c r="AI522" s="37">
        <v>0</v>
      </c>
    </row>
    <row r="523" spans="1:35" x14ac:dyDescent="0.25">
      <c r="A523" s="38" t="s">
        <v>110</v>
      </c>
      <c r="B523" s="39" t="s">
        <v>1509</v>
      </c>
      <c r="C523" s="39" t="s">
        <v>1510</v>
      </c>
      <c r="D523" s="39">
        <v>32612</v>
      </c>
      <c r="E523" s="39" t="s">
        <v>1511</v>
      </c>
      <c r="F523" s="39" t="s">
        <v>1512</v>
      </c>
      <c r="G523" s="39" t="s">
        <v>174</v>
      </c>
      <c r="H523" s="39" t="s">
        <v>160</v>
      </c>
      <c r="I523" s="39" t="s">
        <v>217</v>
      </c>
      <c r="J523" s="39" t="s">
        <v>118</v>
      </c>
      <c r="K523" s="40">
        <v>46055</v>
      </c>
      <c r="L523" s="40">
        <v>46086</v>
      </c>
      <c r="M523" s="40">
        <v>46080</v>
      </c>
      <c r="N523" s="40"/>
      <c r="O523" s="40"/>
      <c r="P523" s="40"/>
      <c r="Q523" s="40"/>
      <c r="R523" s="39" t="s">
        <v>218</v>
      </c>
      <c r="S523" s="39" t="s">
        <v>718</v>
      </c>
      <c r="T523" s="39" t="s">
        <v>519</v>
      </c>
      <c r="U523" s="35" t="s">
        <v>86</v>
      </c>
      <c r="V523" s="39" t="s">
        <v>719</v>
      </c>
      <c r="W523" s="39" t="s">
        <v>123</v>
      </c>
      <c r="X523" s="39">
        <v>704</v>
      </c>
      <c r="Y523" s="39">
        <v>176</v>
      </c>
      <c r="Z523" s="39">
        <v>176</v>
      </c>
      <c r="AA523" s="39">
        <v>0</v>
      </c>
      <c r="AB523" s="39"/>
      <c r="AC523" s="39">
        <v>0</v>
      </c>
      <c r="AD523" s="39"/>
      <c r="AE523" s="39">
        <v>0</v>
      </c>
      <c r="AF523" s="39"/>
      <c r="AG523" s="39">
        <v>0</v>
      </c>
      <c r="AH523" s="39"/>
      <c r="AI523" s="41">
        <v>0</v>
      </c>
    </row>
    <row r="524" spans="1:35" x14ac:dyDescent="0.25">
      <c r="A524" s="34" t="s">
        <v>110</v>
      </c>
      <c r="B524" s="35" t="s">
        <v>1331</v>
      </c>
      <c r="C524" s="35" t="s">
        <v>1332</v>
      </c>
      <c r="D524" s="35">
        <v>28905</v>
      </c>
      <c r="E524" s="35"/>
      <c r="F524" s="35" t="s">
        <v>2118</v>
      </c>
      <c r="G524" s="35" t="s">
        <v>115</v>
      </c>
      <c r="H524" s="35" t="s">
        <v>160</v>
      </c>
      <c r="I524" s="35" t="s">
        <v>117</v>
      </c>
      <c r="J524" s="35" t="s">
        <v>118</v>
      </c>
      <c r="K524" s="36">
        <v>46055</v>
      </c>
      <c r="L524" s="36">
        <v>46023</v>
      </c>
      <c r="M524" s="36">
        <v>46069</v>
      </c>
      <c r="N524" s="36"/>
      <c r="O524" s="36"/>
      <c r="P524" s="36"/>
      <c r="Q524" s="36"/>
      <c r="R524" s="35" t="s">
        <v>119</v>
      </c>
      <c r="S524" s="35" t="s">
        <v>1329</v>
      </c>
      <c r="T524" s="35" t="s">
        <v>519</v>
      </c>
      <c r="U524" s="35" t="s">
        <v>86</v>
      </c>
      <c r="V524" s="35" t="s">
        <v>1330</v>
      </c>
      <c r="W524" s="35" t="s">
        <v>123</v>
      </c>
      <c r="X524" s="35">
        <v>1134.98</v>
      </c>
      <c r="Y524" s="35">
        <v>56.75</v>
      </c>
      <c r="Z524" s="35">
        <v>56.75</v>
      </c>
      <c r="AA524" s="35">
        <v>0</v>
      </c>
      <c r="AB524" s="35"/>
      <c r="AC524" s="35">
        <v>0</v>
      </c>
      <c r="AD524" s="35"/>
      <c r="AE524" s="35">
        <v>0</v>
      </c>
      <c r="AF524" s="35"/>
      <c r="AG524" s="35">
        <v>0</v>
      </c>
      <c r="AH524" s="35"/>
      <c r="AI524" s="37">
        <v>0</v>
      </c>
    </row>
    <row r="525" spans="1:35" x14ac:dyDescent="0.25">
      <c r="A525" s="38" t="s">
        <v>110</v>
      </c>
      <c r="B525" s="39" t="s">
        <v>2088</v>
      </c>
      <c r="C525" s="39" t="s">
        <v>2108</v>
      </c>
      <c r="D525" s="39">
        <v>28349</v>
      </c>
      <c r="E525" s="39"/>
      <c r="F525" s="39" t="s">
        <v>2115</v>
      </c>
      <c r="G525" s="39" t="s">
        <v>115</v>
      </c>
      <c r="H525" s="39" t="s">
        <v>160</v>
      </c>
      <c r="I525" s="39" t="s">
        <v>117</v>
      </c>
      <c r="J525" s="39" t="s">
        <v>2195</v>
      </c>
      <c r="K525" s="40">
        <v>46055</v>
      </c>
      <c r="L525" s="40">
        <v>46023</v>
      </c>
      <c r="M525" s="40"/>
      <c r="N525" s="40">
        <v>46082</v>
      </c>
      <c r="O525" s="40">
        <v>46068</v>
      </c>
      <c r="P525" s="40"/>
      <c r="Q525" s="40"/>
      <c r="R525" s="39" t="s">
        <v>119</v>
      </c>
      <c r="S525" s="39" t="s">
        <v>1329</v>
      </c>
      <c r="T525" s="39" t="s">
        <v>519</v>
      </c>
      <c r="U525" s="35" t="s">
        <v>86</v>
      </c>
      <c r="V525" s="39" t="s">
        <v>1330</v>
      </c>
      <c r="W525" s="39" t="s">
        <v>123</v>
      </c>
      <c r="X525" s="39">
        <v>962.22</v>
      </c>
      <c r="Y525" s="39">
        <v>48.11</v>
      </c>
      <c r="Z525" s="39">
        <v>48.11</v>
      </c>
      <c r="AA525" s="39">
        <v>0</v>
      </c>
      <c r="AB525" s="39"/>
      <c r="AC525" s="39">
        <v>0</v>
      </c>
      <c r="AD525" s="39"/>
      <c r="AE525" s="39">
        <v>0</v>
      </c>
      <c r="AF525" s="39"/>
      <c r="AG525" s="39">
        <v>0</v>
      </c>
      <c r="AH525" s="39"/>
      <c r="AI525" s="41">
        <v>0</v>
      </c>
    </row>
    <row r="526" spans="1:35" x14ac:dyDescent="0.25">
      <c r="A526" s="34" t="s">
        <v>110</v>
      </c>
      <c r="B526" s="35" t="s">
        <v>1344</v>
      </c>
      <c r="C526" s="35" t="s">
        <v>1345</v>
      </c>
      <c r="D526" s="35">
        <v>27414</v>
      </c>
      <c r="E526" s="35"/>
      <c r="F526" s="35" t="s">
        <v>1348</v>
      </c>
      <c r="G526" s="35" t="s">
        <v>115</v>
      </c>
      <c r="H526" s="35" t="s">
        <v>160</v>
      </c>
      <c r="I526" s="35" t="s">
        <v>117</v>
      </c>
      <c r="J526" s="35" t="s">
        <v>118</v>
      </c>
      <c r="K526" s="36">
        <v>46055</v>
      </c>
      <c r="L526" s="36">
        <v>46023</v>
      </c>
      <c r="M526" s="36">
        <v>46057</v>
      </c>
      <c r="N526" s="36"/>
      <c r="O526" s="36"/>
      <c r="P526" s="36"/>
      <c r="Q526" s="36">
        <v>46062</v>
      </c>
      <c r="R526" s="35" t="s">
        <v>142</v>
      </c>
      <c r="S526" s="35" t="s">
        <v>730</v>
      </c>
      <c r="T526" s="35" t="s">
        <v>730</v>
      </c>
      <c r="U526" s="35" t="s">
        <v>84</v>
      </c>
      <c r="V526" s="35" t="s">
        <v>699</v>
      </c>
      <c r="W526" s="35" t="s">
        <v>123</v>
      </c>
      <c r="X526" s="35">
        <v>1068</v>
      </c>
      <c r="Y526" s="35">
        <v>0</v>
      </c>
      <c r="Z526" s="35">
        <v>0</v>
      </c>
      <c r="AA526" s="35">
        <v>0</v>
      </c>
      <c r="AB526" s="35"/>
      <c r="AC526" s="35">
        <v>0</v>
      </c>
      <c r="AD526" s="35"/>
      <c r="AE526" s="35">
        <v>0</v>
      </c>
      <c r="AF526" s="35"/>
      <c r="AG526" s="35">
        <v>0</v>
      </c>
      <c r="AH526" s="35"/>
      <c r="AI526" s="37">
        <v>0</v>
      </c>
    </row>
    <row r="527" spans="1:35" x14ac:dyDescent="0.25">
      <c r="A527" s="38" t="s">
        <v>110</v>
      </c>
      <c r="B527" s="39" t="s">
        <v>1370</v>
      </c>
      <c r="C527" s="39" t="s">
        <v>1371</v>
      </c>
      <c r="D527" s="39">
        <v>27571</v>
      </c>
      <c r="E527" s="39" t="s">
        <v>1372</v>
      </c>
      <c r="F527" s="39" t="s">
        <v>1373</v>
      </c>
      <c r="G527" s="39" t="s">
        <v>174</v>
      </c>
      <c r="H527" s="39" t="s">
        <v>160</v>
      </c>
      <c r="I527" s="39" t="s">
        <v>217</v>
      </c>
      <c r="J527" s="39" t="s">
        <v>118</v>
      </c>
      <c r="K527" s="40">
        <v>46056</v>
      </c>
      <c r="L527" s="40">
        <v>46054</v>
      </c>
      <c r="M527" s="40">
        <v>46058</v>
      </c>
      <c r="N527" s="40"/>
      <c r="O527" s="40"/>
      <c r="P527" s="40"/>
      <c r="Q527" s="40">
        <v>46068</v>
      </c>
      <c r="R527" s="39" t="s">
        <v>218</v>
      </c>
      <c r="S527" s="39" t="s">
        <v>225</v>
      </c>
      <c r="T527" s="39" t="s">
        <v>225</v>
      </c>
      <c r="U527" s="35" t="s">
        <v>88</v>
      </c>
      <c r="V527" s="39" t="s">
        <v>226</v>
      </c>
      <c r="W527" s="39" t="s">
        <v>123</v>
      </c>
      <c r="X527" s="39">
        <v>1368</v>
      </c>
      <c r="Y527" s="39">
        <v>248.72</v>
      </c>
      <c r="Z527" s="39">
        <v>248.72</v>
      </c>
      <c r="AA527" s="39">
        <v>0</v>
      </c>
      <c r="AB527" s="39"/>
      <c r="AC527" s="39">
        <v>0</v>
      </c>
      <c r="AD527" s="39"/>
      <c r="AE527" s="39">
        <v>0</v>
      </c>
      <c r="AF527" s="39"/>
      <c r="AG527" s="39">
        <v>0</v>
      </c>
      <c r="AH527" s="39"/>
      <c r="AI527" s="41">
        <v>0</v>
      </c>
    </row>
    <row r="528" spans="1:35" x14ac:dyDescent="0.25">
      <c r="A528" s="34" t="s">
        <v>110</v>
      </c>
      <c r="B528" s="35" t="s">
        <v>2158</v>
      </c>
      <c r="C528" s="35" t="s">
        <v>2159</v>
      </c>
      <c r="D528" s="35">
        <v>27618</v>
      </c>
      <c r="E528" s="35" t="s">
        <v>2160</v>
      </c>
      <c r="F528" s="35" t="s">
        <v>2161</v>
      </c>
      <c r="G528" s="35" t="s">
        <v>174</v>
      </c>
      <c r="H528" s="35" t="s">
        <v>160</v>
      </c>
      <c r="I528" s="35" t="s">
        <v>217</v>
      </c>
      <c r="J528" s="35" t="s">
        <v>141</v>
      </c>
      <c r="K528" s="36">
        <v>46056</v>
      </c>
      <c r="L528" s="36">
        <v>46054</v>
      </c>
      <c r="M528" s="36"/>
      <c r="N528" s="36"/>
      <c r="O528" s="36"/>
      <c r="P528" s="36"/>
      <c r="Q528" s="36"/>
      <c r="R528" s="35" t="s">
        <v>218</v>
      </c>
      <c r="S528" s="35" t="s">
        <v>225</v>
      </c>
      <c r="T528" s="35" t="s">
        <v>225</v>
      </c>
      <c r="U528" s="35" t="s">
        <v>88</v>
      </c>
      <c r="V528" s="35" t="s">
        <v>226</v>
      </c>
      <c r="W528" s="35" t="s">
        <v>123</v>
      </c>
      <c r="X528" s="35">
        <v>24640</v>
      </c>
      <c r="Y528" s="35">
        <v>4480</v>
      </c>
      <c r="Z528" s="35">
        <v>4480</v>
      </c>
      <c r="AA528" s="35">
        <v>0</v>
      </c>
      <c r="AB528" s="35"/>
      <c r="AC528" s="35">
        <v>0</v>
      </c>
      <c r="AD528" s="35"/>
      <c r="AE528" s="35">
        <v>0</v>
      </c>
      <c r="AF528" s="35"/>
      <c r="AG528" s="35">
        <v>0</v>
      </c>
      <c r="AH528" s="35"/>
      <c r="AI528" s="37">
        <v>0</v>
      </c>
    </row>
    <row r="529" spans="1:35" x14ac:dyDescent="0.25">
      <c r="A529" s="38" t="s">
        <v>110</v>
      </c>
      <c r="B529" s="39" t="s">
        <v>243</v>
      </c>
      <c r="C529" s="39" t="s">
        <v>244</v>
      </c>
      <c r="D529" s="39">
        <v>30520</v>
      </c>
      <c r="E529" s="39" t="s">
        <v>245</v>
      </c>
      <c r="F529" s="39" t="s">
        <v>246</v>
      </c>
      <c r="G529" s="39" t="s">
        <v>174</v>
      </c>
      <c r="H529" s="39" t="s">
        <v>160</v>
      </c>
      <c r="I529" s="39" t="s">
        <v>217</v>
      </c>
      <c r="J529" s="39" t="s">
        <v>118</v>
      </c>
      <c r="K529" s="40">
        <v>46056</v>
      </c>
      <c r="L529" s="40">
        <v>46054</v>
      </c>
      <c r="M529" s="40">
        <v>46058</v>
      </c>
      <c r="N529" s="40"/>
      <c r="O529" s="40"/>
      <c r="P529" s="40"/>
      <c r="Q529" s="40">
        <v>46068</v>
      </c>
      <c r="R529" s="39" t="s">
        <v>218</v>
      </c>
      <c r="S529" s="39" t="s">
        <v>225</v>
      </c>
      <c r="T529" s="39" t="s">
        <v>225</v>
      </c>
      <c r="U529" s="35" t="s">
        <v>88</v>
      </c>
      <c r="V529" s="39" t="s">
        <v>226</v>
      </c>
      <c r="W529" s="39" t="s">
        <v>123</v>
      </c>
      <c r="X529" s="39">
        <v>3919.94</v>
      </c>
      <c r="Y529" s="39">
        <v>712.72</v>
      </c>
      <c r="Z529" s="39">
        <v>712.72</v>
      </c>
      <c r="AA529" s="39">
        <v>0</v>
      </c>
      <c r="AB529" s="39"/>
      <c r="AC529" s="39">
        <v>0</v>
      </c>
      <c r="AD529" s="39"/>
      <c r="AE529" s="39">
        <v>0</v>
      </c>
      <c r="AF529" s="39"/>
      <c r="AG529" s="39">
        <v>0</v>
      </c>
      <c r="AH529" s="39"/>
      <c r="AI529" s="41">
        <v>0</v>
      </c>
    </row>
    <row r="530" spans="1:35" x14ac:dyDescent="0.25">
      <c r="A530" s="34" t="s">
        <v>110</v>
      </c>
      <c r="B530" s="35" t="s">
        <v>243</v>
      </c>
      <c r="C530" s="35" t="s">
        <v>244</v>
      </c>
      <c r="D530" s="35">
        <v>30520</v>
      </c>
      <c r="E530" s="35" t="s">
        <v>247</v>
      </c>
      <c r="F530" s="35" t="s">
        <v>248</v>
      </c>
      <c r="G530" s="35" t="s">
        <v>174</v>
      </c>
      <c r="H530" s="35" t="s">
        <v>160</v>
      </c>
      <c r="I530" s="35" t="s">
        <v>217</v>
      </c>
      <c r="J530" s="35" t="s">
        <v>141</v>
      </c>
      <c r="K530" s="36">
        <v>46056</v>
      </c>
      <c r="L530" s="36">
        <v>46054</v>
      </c>
      <c r="M530" s="36"/>
      <c r="N530" s="36"/>
      <c r="O530" s="36"/>
      <c r="P530" s="36"/>
      <c r="Q530" s="36"/>
      <c r="R530" s="35" t="s">
        <v>218</v>
      </c>
      <c r="S530" s="35" t="s">
        <v>225</v>
      </c>
      <c r="T530" s="35" t="s">
        <v>225</v>
      </c>
      <c r="U530" s="35" t="s">
        <v>88</v>
      </c>
      <c r="V530" s="35" t="s">
        <v>226</v>
      </c>
      <c r="W530" s="35" t="s">
        <v>123</v>
      </c>
      <c r="X530" s="35">
        <v>3919.94</v>
      </c>
      <c r="Y530" s="35">
        <v>712.72</v>
      </c>
      <c r="Z530" s="35">
        <v>712.72</v>
      </c>
      <c r="AA530" s="35">
        <v>0</v>
      </c>
      <c r="AB530" s="35"/>
      <c r="AC530" s="35">
        <v>0</v>
      </c>
      <c r="AD530" s="35"/>
      <c r="AE530" s="35">
        <v>0</v>
      </c>
      <c r="AF530" s="35"/>
      <c r="AG530" s="35">
        <v>0</v>
      </c>
      <c r="AH530" s="35"/>
      <c r="AI530" s="37">
        <v>0</v>
      </c>
    </row>
    <row r="531" spans="1:35" x14ac:dyDescent="0.25">
      <c r="A531" s="38" t="s">
        <v>110</v>
      </c>
      <c r="B531" s="39" t="s">
        <v>1834</v>
      </c>
      <c r="C531" s="39" t="s">
        <v>1835</v>
      </c>
      <c r="D531" s="39">
        <v>31336</v>
      </c>
      <c r="E531" s="39" t="s">
        <v>1836</v>
      </c>
      <c r="F531" s="39" t="s">
        <v>1837</v>
      </c>
      <c r="G531" s="39" t="s">
        <v>174</v>
      </c>
      <c r="H531" s="39" t="s">
        <v>160</v>
      </c>
      <c r="I531" s="39" t="s">
        <v>217</v>
      </c>
      <c r="J531" s="39" t="s">
        <v>118</v>
      </c>
      <c r="K531" s="40">
        <v>46056</v>
      </c>
      <c r="L531" s="40">
        <v>45813</v>
      </c>
      <c r="M531" s="40">
        <v>46070</v>
      </c>
      <c r="N531" s="40"/>
      <c r="O531" s="40"/>
      <c r="P531" s="40"/>
      <c r="Q531" s="40"/>
      <c r="R531" s="39" t="s">
        <v>218</v>
      </c>
      <c r="S531" s="39" t="s">
        <v>1018</v>
      </c>
      <c r="T531" s="39" t="s">
        <v>1018</v>
      </c>
      <c r="U531" s="35" t="s">
        <v>82</v>
      </c>
      <c r="V531" s="39" t="s">
        <v>226</v>
      </c>
      <c r="W531" s="39" t="s">
        <v>123</v>
      </c>
      <c r="X531" s="39">
        <v>3483.59</v>
      </c>
      <c r="Y531" s="39">
        <v>633.38</v>
      </c>
      <c r="Z531" s="39">
        <v>633.38</v>
      </c>
      <c r="AA531" s="39">
        <v>0</v>
      </c>
      <c r="AB531" s="39"/>
      <c r="AC531" s="39">
        <v>0</v>
      </c>
      <c r="AD531" s="39"/>
      <c r="AE531" s="39">
        <v>0</v>
      </c>
      <c r="AF531" s="39"/>
      <c r="AG531" s="39">
        <v>0</v>
      </c>
      <c r="AH531" s="39"/>
      <c r="AI531" s="41">
        <v>0</v>
      </c>
    </row>
    <row r="532" spans="1:35" x14ac:dyDescent="0.25">
      <c r="A532" s="34" t="s">
        <v>110</v>
      </c>
      <c r="B532" s="35" t="s">
        <v>420</v>
      </c>
      <c r="C532" s="35" t="s">
        <v>1062</v>
      </c>
      <c r="D532" s="35">
        <v>32153</v>
      </c>
      <c r="E532" s="35" t="s">
        <v>1063</v>
      </c>
      <c r="F532" s="35" t="s">
        <v>1064</v>
      </c>
      <c r="G532" s="35" t="s">
        <v>174</v>
      </c>
      <c r="H532" s="35" t="s">
        <v>160</v>
      </c>
      <c r="I532" s="35" t="s">
        <v>217</v>
      </c>
      <c r="J532" s="35" t="s">
        <v>118</v>
      </c>
      <c r="K532" s="36">
        <v>46056</v>
      </c>
      <c r="L532" s="36">
        <v>45958</v>
      </c>
      <c r="M532" s="36">
        <v>46056</v>
      </c>
      <c r="N532" s="36"/>
      <c r="O532" s="36"/>
      <c r="P532" s="36"/>
      <c r="Q532" s="36"/>
      <c r="R532" s="35" t="s">
        <v>218</v>
      </c>
      <c r="S532" s="35" t="s">
        <v>1018</v>
      </c>
      <c r="T532" s="35" t="s">
        <v>1018</v>
      </c>
      <c r="U532" s="35" t="s">
        <v>82</v>
      </c>
      <c r="V532" s="35" t="s">
        <v>226</v>
      </c>
      <c r="W532" s="35" t="s">
        <v>123</v>
      </c>
      <c r="X532" s="35">
        <v>2166.31</v>
      </c>
      <c r="Y532" s="35">
        <v>393.88</v>
      </c>
      <c r="Z532" s="35">
        <v>393.88</v>
      </c>
      <c r="AA532" s="35">
        <v>0</v>
      </c>
      <c r="AB532" s="35"/>
      <c r="AC532" s="35">
        <v>0</v>
      </c>
      <c r="AD532" s="35"/>
      <c r="AE532" s="35">
        <v>0</v>
      </c>
      <c r="AF532" s="35"/>
      <c r="AG532" s="35">
        <v>0</v>
      </c>
      <c r="AH532" s="35"/>
      <c r="AI532" s="37">
        <v>0</v>
      </c>
    </row>
    <row r="533" spans="1:35" x14ac:dyDescent="0.25">
      <c r="A533" s="38" t="s">
        <v>110</v>
      </c>
      <c r="B533" s="39" t="s">
        <v>1073</v>
      </c>
      <c r="C533" s="39" t="s">
        <v>1074</v>
      </c>
      <c r="D533" s="39">
        <v>32516</v>
      </c>
      <c r="E533" s="39" t="s">
        <v>1894</v>
      </c>
      <c r="F533" s="39" t="s">
        <v>1895</v>
      </c>
      <c r="G533" s="39" t="s">
        <v>174</v>
      </c>
      <c r="H533" s="39" t="s">
        <v>160</v>
      </c>
      <c r="I533" s="39" t="s">
        <v>217</v>
      </c>
      <c r="J533" s="39" t="s">
        <v>141</v>
      </c>
      <c r="K533" s="40">
        <v>46056</v>
      </c>
      <c r="L533" s="40">
        <v>46024</v>
      </c>
      <c r="M533" s="40"/>
      <c r="N533" s="40"/>
      <c r="O533" s="40"/>
      <c r="P533" s="40"/>
      <c r="Q533" s="40"/>
      <c r="R533" s="39" t="s">
        <v>218</v>
      </c>
      <c r="S533" s="39" t="s">
        <v>1018</v>
      </c>
      <c r="T533" s="39" t="s">
        <v>1018</v>
      </c>
      <c r="U533" s="35" t="s">
        <v>82</v>
      </c>
      <c r="V533" s="39" t="s">
        <v>226</v>
      </c>
      <c r="W533" s="39" t="s">
        <v>123</v>
      </c>
      <c r="X533" s="39">
        <v>15261.22</v>
      </c>
      <c r="Y533" s="39">
        <v>2774.77</v>
      </c>
      <c r="Z533" s="39">
        <v>2774.77</v>
      </c>
      <c r="AA533" s="39">
        <v>0</v>
      </c>
      <c r="AB533" s="39"/>
      <c r="AC533" s="39">
        <v>0</v>
      </c>
      <c r="AD533" s="39"/>
      <c r="AE533" s="39">
        <v>0</v>
      </c>
      <c r="AF533" s="39"/>
      <c r="AG533" s="39">
        <v>0</v>
      </c>
      <c r="AH533" s="39"/>
      <c r="AI533" s="41">
        <v>0</v>
      </c>
    </row>
    <row r="534" spans="1:35" x14ac:dyDescent="0.25">
      <c r="A534" s="34" t="s">
        <v>110</v>
      </c>
      <c r="B534" s="35" t="s">
        <v>1073</v>
      </c>
      <c r="C534" s="35" t="s">
        <v>1074</v>
      </c>
      <c r="D534" s="35">
        <v>32516</v>
      </c>
      <c r="E534" s="35" t="s">
        <v>1896</v>
      </c>
      <c r="F534" s="35" t="s">
        <v>1897</v>
      </c>
      <c r="G534" s="35" t="s">
        <v>174</v>
      </c>
      <c r="H534" s="35" t="s">
        <v>160</v>
      </c>
      <c r="I534" s="35" t="s">
        <v>217</v>
      </c>
      <c r="J534" s="35" t="s">
        <v>141</v>
      </c>
      <c r="K534" s="36">
        <v>46056</v>
      </c>
      <c r="L534" s="36">
        <v>46024</v>
      </c>
      <c r="M534" s="36"/>
      <c r="N534" s="36"/>
      <c r="O534" s="36"/>
      <c r="P534" s="36"/>
      <c r="Q534" s="36"/>
      <c r="R534" s="35" t="s">
        <v>218</v>
      </c>
      <c r="S534" s="35" t="s">
        <v>1018</v>
      </c>
      <c r="T534" s="35" t="s">
        <v>1018</v>
      </c>
      <c r="U534" s="35" t="s">
        <v>82</v>
      </c>
      <c r="V534" s="35" t="s">
        <v>226</v>
      </c>
      <c r="W534" s="35" t="s">
        <v>123</v>
      </c>
      <c r="X534" s="35">
        <v>15261.22</v>
      </c>
      <c r="Y534" s="35">
        <v>2774.77</v>
      </c>
      <c r="Z534" s="35">
        <v>2774.77</v>
      </c>
      <c r="AA534" s="35">
        <v>0</v>
      </c>
      <c r="AB534" s="35"/>
      <c r="AC534" s="35">
        <v>0</v>
      </c>
      <c r="AD534" s="35"/>
      <c r="AE534" s="35">
        <v>0</v>
      </c>
      <c r="AF534" s="35"/>
      <c r="AG534" s="35">
        <v>0</v>
      </c>
      <c r="AH534" s="35"/>
      <c r="AI534" s="37">
        <v>0</v>
      </c>
    </row>
    <row r="535" spans="1:35" x14ac:dyDescent="0.25">
      <c r="A535" s="38" t="s">
        <v>110</v>
      </c>
      <c r="B535" s="39" t="s">
        <v>1081</v>
      </c>
      <c r="C535" s="39" t="s">
        <v>1082</v>
      </c>
      <c r="D535" s="39">
        <v>32244</v>
      </c>
      <c r="E535" s="39" t="s">
        <v>1898</v>
      </c>
      <c r="F535" s="39" t="s">
        <v>1899</v>
      </c>
      <c r="G535" s="39" t="s">
        <v>174</v>
      </c>
      <c r="H535" s="39" t="s">
        <v>160</v>
      </c>
      <c r="I535" s="39" t="s">
        <v>217</v>
      </c>
      <c r="J535" s="39" t="s">
        <v>118</v>
      </c>
      <c r="K535" s="40">
        <v>46056</v>
      </c>
      <c r="L535" s="40">
        <v>45981</v>
      </c>
      <c r="M535" s="40">
        <v>46079</v>
      </c>
      <c r="N535" s="40"/>
      <c r="O535" s="40"/>
      <c r="P535" s="40"/>
      <c r="Q535" s="40"/>
      <c r="R535" s="39" t="s">
        <v>218</v>
      </c>
      <c r="S535" s="39" t="s">
        <v>1018</v>
      </c>
      <c r="T535" s="39" t="s">
        <v>1018</v>
      </c>
      <c r="U535" s="35" t="s">
        <v>82</v>
      </c>
      <c r="V535" s="39" t="s">
        <v>226</v>
      </c>
      <c r="W535" s="39" t="s">
        <v>123</v>
      </c>
      <c r="X535" s="39">
        <v>7220.06</v>
      </c>
      <c r="Y535" s="39">
        <v>1312.74</v>
      </c>
      <c r="Z535" s="39">
        <v>1312.74</v>
      </c>
      <c r="AA535" s="39">
        <v>0</v>
      </c>
      <c r="AB535" s="39"/>
      <c r="AC535" s="39">
        <v>0</v>
      </c>
      <c r="AD535" s="39"/>
      <c r="AE535" s="39">
        <v>0</v>
      </c>
      <c r="AF535" s="39"/>
      <c r="AG535" s="39">
        <v>0</v>
      </c>
      <c r="AH535" s="39"/>
      <c r="AI535" s="41">
        <v>0</v>
      </c>
    </row>
    <row r="536" spans="1:35" x14ac:dyDescent="0.25">
      <c r="A536" s="34" t="s">
        <v>110</v>
      </c>
      <c r="B536" s="35" t="s">
        <v>1174</v>
      </c>
      <c r="C536" s="35" t="s">
        <v>1201</v>
      </c>
      <c r="D536" s="35">
        <v>32505</v>
      </c>
      <c r="E536" s="35" t="s">
        <v>1973</v>
      </c>
      <c r="F536" s="35" t="s">
        <v>1974</v>
      </c>
      <c r="G536" s="35" t="s">
        <v>174</v>
      </c>
      <c r="H536" s="35" t="s">
        <v>160</v>
      </c>
      <c r="I536" s="35" t="s">
        <v>217</v>
      </c>
      <c r="J536" s="35" t="s">
        <v>118</v>
      </c>
      <c r="K536" s="36">
        <v>46056</v>
      </c>
      <c r="L536" s="36">
        <v>46024</v>
      </c>
      <c r="M536" s="36">
        <v>46073</v>
      </c>
      <c r="N536" s="36"/>
      <c r="O536" s="36"/>
      <c r="P536" s="36"/>
      <c r="Q536" s="36"/>
      <c r="R536" s="35" t="s">
        <v>218</v>
      </c>
      <c r="S536" s="35" t="s">
        <v>1018</v>
      </c>
      <c r="T536" s="35" t="s">
        <v>1018</v>
      </c>
      <c r="U536" s="35" t="s">
        <v>82</v>
      </c>
      <c r="V536" s="35" t="s">
        <v>226</v>
      </c>
      <c r="W536" s="35" t="s">
        <v>123</v>
      </c>
      <c r="X536" s="35">
        <v>289.13</v>
      </c>
      <c r="Y536" s="35">
        <v>52.57</v>
      </c>
      <c r="Z536" s="35">
        <v>52.57</v>
      </c>
      <c r="AA536" s="35">
        <v>0</v>
      </c>
      <c r="AB536" s="35"/>
      <c r="AC536" s="35">
        <v>0</v>
      </c>
      <c r="AD536" s="35"/>
      <c r="AE536" s="35">
        <v>0</v>
      </c>
      <c r="AF536" s="35"/>
      <c r="AG536" s="35">
        <v>0</v>
      </c>
      <c r="AH536" s="35"/>
      <c r="AI536" s="37">
        <v>0</v>
      </c>
    </row>
    <row r="537" spans="1:35" x14ac:dyDescent="0.25">
      <c r="A537" s="38" t="s">
        <v>110</v>
      </c>
      <c r="B537" s="39" t="s">
        <v>383</v>
      </c>
      <c r="C537" s="39" t="s">
        <v>384</v>
      </c>
      <c r="D537" s="39">
        <v>32613</v>
      </c>
      <c r="E537" s="39" t="s">
        <v>385</v>
      </c>
      <c r="F537" s="39" t="s">
        <v>386</v>
      </c>
      <c r="G537" s="39" t="s">
        <v>174</v>
      </c>
      <c r="H537" s="39" t="s">
        <v>160</v>
      </c>
      <c r="I537" s="39" t="s">
        <v>217</v>
      </c>
      <c r="J537" s="39" t="s">
        <v>118</v>
      </c>
      <c r="K537" s="40">
        <v>46056</v>
      </c>
      <c r="L537" s="40">
        <v>46054</v>
      </c>
      <c r="M537" s="40">
        <v>46065</v>
      </c>
      <c r="N537" s="40"/>
      <c r="O537" s="40"/>
      <c r="P537" s="40">
        <v>46082</v>
      </c>
      <c r="Q537" s="40">
        <v>46068</v>
      </c>
      <c r="R537" s="39" t="s">
        <v>218</v>
      </c>
      <c r="S537" s="39" t="s">
        <v>225</v>
      </c>
      <c r="T537" s="39" t="s">
        <v>225</v>
      </c>
      <c r="U537" s="35" t="s">
        <v>88</v>
      </c>
      <c r="V537" s="39" t="s">
        <v>226</v>
      </c>
      <c r="W537" s="39" t="s">
        <v>123</v>
      </c>
      <c r="X537" s="39">
        <v>508.55</v>
      </c>
      <c r="Y537" s="39">
        <v>92.46</v>
      </c>
      <c r="Z537" s="39">
        <v>92.46</v>
      </c>
      <c r="AA537" s="39">
        <v>0</v>
      </c>
      <c r="AB537" s="39"/>
      <c r="AC537" s="39">
        <v>0</v>
      </c>
      <c r="AD537" s="39" t="s">
        <v>387</v>
      </c>
      <c r="AE537" s="39">
        <v>50.86</v>
      </c>
      <c r="AF537" s="39"/>
      <c r="AG537" s="39">
        <v>0</v>
      </c>
      <c r="AH537" s="39"/>
      <c r="AI537" s="41">
        <v>0</v>
      </c>
    </row>
    <row r="538" spans="1:35" x14ac:dyDescent="0.25">
      <c r="A538" s="34" t="s">
        <v>110</v>
      </c>
      <c r="B538" s="35" t="s">
        <v>420</v>
      </c>
      <c r="C538" s="35" t="s">
        <v>1314</v>
      </c>
      <c r="D538" s="35">
        <v>32614</v>
      </c>
      <c r="E538" s="35" t="s">
        <v>1315</v>
      </c>
      <c r="F538" s="35" t="s">
        <v>1316</v>
      </c>
      <c r="G538" s="35" t="s">
        <v>174</v>
      </c>
      <c r="H538" s="35" t="s">
        <v>160</v>
      </c>
      <c r="I538" s="35" t="s">
        <v>217</v>
      </c>
      <c r="J538" s="35" t="s">
        <v>118</v>
      </c>
      <c r="K538" s="36">
        <v>46056</v>
      </c>
      <c r="L538" s="36">
        <v>46052</v>
      </c>
      <c r="M538" s="36">
        <v>46056</v>
      </c>
      <c r="N538" s="36"/>
      <c r="O538" s="36"/>
      <c r="P538" s="36"/>
      <c r="Q538" s="36"/>
      <c r="R538" s="35" t="s">
        <v>218</v>
      </c>
      <c r="S538" s="35" t="s">
        <v>1018</v>
      </c>
      <c r="T538" s="35" t="s">
        <v>1018</v>
      </c>
      <c r="U538" s="35" t="s">
        <v>82</v>
      </c>
      <c r="V538" s="35" t="s">
        <v>226</v>
      </c>
      <c r="W538" s="35" t="s">
        <v>123</v>
      </c>
      <c r="X538" s="35">
        <v>9621.3700000000008</v>
      </c>
      <c r="Y538" s="35">
        <v>1749.34</v>
      </c>
      <c r="Z538" s="35">
        <v>1749.34</v>
      </c>
      <c r="AA538" s="35">
        <v>0</v>
      </c>
      <c r="AB538" s="35"/>
      <c r="AC538" s="35">
        <v>0</v>
      </c>
      <c r="AD538" s="35"/>
      <c r="AE538" s="35">
        <v>0</v>
      </c>
      <c r="AF538" s="35"/>
      <c r="AG538" s="35">
        <v>0</v>
      </c>
      <c r="AH538" s="35"/>
      <c r="AI538" s="37">
        <v>0</v>
      </c>
    </row>
    <row r="539" spans="1:35" x14ac:dyDescent="0.25">
      <c r="A539" s="38" t="s">
        <v>110</v>
      </c>
      <c r="B539" s="39" t="s">
        <v>388</v>
      </c>
      <c r="C539" s="39" t="s">
        <v>389</v>
      </c>
      <c r="D539" s="39">
        <v>32615</v>
      </c>
      <c r="E539" s="39" t="s">
        <v>390</v>
      </c>
      <c r="F539" s="39" t="s">
        <v>391</v>
      </c>
      <c r="G539" s="39" t="s">
        <v>174</v>
      </c>
      <c r="H539" s="39" t="s">
        <v>160</v>
      </c>
      <c r="I539" s="39" t="s">
        <v>217</v>
      </c>
      <c r="J539" s="39" t="s">
        <v>118</v>
      </c>
      <c r="K539" s="40">
        <v>46056</v>
      </c>
      <c r="L539" s="40">
        <v>46057</v>
      </c>
      <c r="M539" s="40">
        <v>46058</v>
      </c>
      <c r="N539" s="40"/>
      <c r="O539" s="40"/>
      <c r="P539" s="40"/>
      <c r="Q539" s="40">
        <v>46068</v>
      </c>
      <c r="R539" s="39" t="s">
        <v>218</v>
      </c>
      <c r="S539" s="39" t="s">
        <v>225</v>
      </c>
      <c r="T539" s="39" t="s">
        <v>225</v>
      </c>
      <c r="U539" s="35" t="s">
        <v>88</v>
      </c>
      <c r="V539" s="39" t="s">
        <v>226</v>
      </c>
      <c r="W539" s="39" t="s">
        <v>123</v>
      </c>
      <c r="X539" s="39">
        <v>554.79</v>
      </c>
      <c r="Y539" s="39">
        <v>100.87</v>
      </c>
      <c r="Z539" s="39">
        <v>100.87</v>
      </c>
      <c r="AA539" s="39">
        <v>0</v>
      </c>
      <c r="AB539" s="39"/>
      <c r="AC539" s="39">
        <v>0</v>
      </c>
      <c r="AD539" s="39"/>
      <c r="AE539" s="39">
        <v>0</v>
      </c>
      <c r="AF539" s="39"/>
      <c r="AG539" s="39">
        <v>0</v>
      </c>
      <c r="AH539" s="39"/>
      <c r="AI539" s="41">
        <v>0</v>
      </c>
    </row>
    <row r="540" spans="1:35" x14ac:dyDescent="0.25">
      <c r="A540" s="34" t="s">
        <v>110</v>
      </c>
      <c r="B540" s="35" t="s">
        <v>131</v>
      </c>
      <c r="C540" s="35" t="s">
        <v>132</v>
      </c>
      <c r="D540" s="35">
        <v>15454</v>
      </c>
      <c r="E540" s="35"/>
      <c r="F540" s="35" t="s">
        <v>133</v>
      </c>
      <c r="G540" s="35" t="s">
        <v>115</v>
      </c>
      <c r="H540" s="35" t="s">
        <v>116</v>
      </c>
      <c r="I540" s="35" t="s">
        <v>117</v>
      </c>
      <c r="J540" s="35" t="s">
        <v>118</v>
      </c>
      <c r="K540" s="36">
        <v>46056</v>
      </c>
      <c r="L540" s="36">
        <v>46023</v>
      </c>
      <c r="M540" s="36">
        <v>46051</v>
      </c>
      <c r="N540" s="36"/>
      <c r="O540" s="36"/>
      <c r="P540" s="36">
        <v>46082</v>
      </c>
      <c r="Q540" s="36">
        <v>46051</v>
      </c>
      <c r="R540" s="35" t="s">
        <v>119</v>
      </c>
      <c r="S540" s="35" t="s">
        <v>134</v>
      </c>
      <c r="T540" s="35" t="s">
        <v>135</v>
      </c>
      <c r="U540" s="35" t="s">
        <v>90</v>
      </c>
      <c r="V540" s="35" t="s">
        <v>136</v>
      </c>
      <c r="W540" s="35" t="s">
        <v>123</v>
      </c>
      <c r="X540" s="35">
        <v>548</v>
      </c>
      <c r="Y540" s="35">
        <v>82.19</v>
      </c>
      <c r="Z540" s="35">
        <v>82.19</v>
      </c>
      <c r="AA540" s="35">
        <v>0</v>
      </c>
      <c r="AB540" s="35"/>
      <c r="AC540" s="35">
        <v>0</v>
      </c>
      <c r="AD540" s="35" t="s">
        <v>130</v>
      </c>
      <c r="AE540" s="35">
        <v>0</v>
      </c>
      <c r="AF540" s="35"/>
      <c r="AG540" s="35">
        <v>0</v>
      </c>
      <c r="AH540" s="35"/>
      <c r="AI540" s="37">
        <v>0</v>
      </c>
    </row>
    <row r="541" spans="1:35" x14ac:dyDescent="0.25">
      <c r="A541" s="38" t="s">
        <v>110</v>
      </c>
      <c r="B541" s="39" t="s">
        <v>594</v>
      </c>
      <c r="C541" s="39" t="s">
        <v>1327</v>
      </c>
      <c r="D541" s="39">
        <v>27765</v>
      </c>
      <c r="E541" s="39"/>
      <c r="F541" s="39" t="s">
        <v>2093</v>
      </c>
      <c r="G541" s="39" t="s">
        <v>115</v>
      </c>
      <c r="H541" s="39" t="s">
        <v>160</v>
      </c>
      <c r="I541" s="39" t="s">
        <v>117</v>
      </c>
      <c r="J541" s="39" t="s">
        <v>141</v>
      </c>
      <c r="K541" s="40">
        <v>46056</v>
      </c>
      <c r="L541" s="40">
        <v>46023</v>
      </c>
      <c r="M541" s="40"/>
      <c r="N541" s="40"/>
      <c r="O541" s="40"/>
      <c r="P541" s="40"/>
      <c r="Q541" s="40"/>
      <c r="R541" s="39" t="s">
        <v>119</v>
      </c>
      <c r="S541" s="39" t="s">
        <v>1329</v>
      </c>
      <c r="T541" s="39" t="s">
        <v>519</v>
      </c>
      <c r="U541" s="35" t="s">
        <v>86</v>
      </c>
      <c r="V541" s="39" t="s">
        <v>1330</v>
      </c>
      <c r="W541" s="39" t="s">
        <v>123</v>
      </c>
      <c r="X541" s="39">
        <v>33.29</v>
      </c>
      <c r="Y541" s="39">
        <v>1.66</v>
      </c>
      <c r="Z541" s="39">
        <v>1.66</v>
      </c>
      <c r="AA541" s="39">
        <v>0</v>
      </c>
      <c r="AB541" s="39"/>
      <c r="AC541" s="39">
        <v>0</v>
      </c>
      <c r="AD541" s="39"/>
      <c r="AE541" s="39">
        <v>0</v>
      </c>
      <c r="AF541" s="39"/>
      <c r="AG541" s="39">
        <v>0</v>
      </c>
      <c r="AH541" s="39"/>
      <c r="AI541" s="41">
        <v>0</v>
      </c>
    </row>
    <row r="542" spans="1:35" x14ac:dyDescent="0.25">
      <c r="A542" s="34" t="s">
        <v>110</v>
      </c>
      <c r="B542" s="35" t="s">
        <v>488</v>
      </c>
      <c r="C542" s="35" t="s">
        <v>489</v>
      </c>
      <c r="D542" s="35">
        <v>32616</v>
      </c>
      <c r="E542" s="35" t="s">
        <v>490</v>
      </c>
      <c r="F542" s="35" t="s">
        <v>491</v>
      </c>
      <c r="G542" s="35" t="s">
        <v>174</v>
      </c>
      <c r="H542" s="35" t="s">
        <v>116</v>
      </c>
      <c r="I542" s="35" t="s">
        <v>117</v>
      </c>
      <c r="J542" s="35" t="s">
        <v>118</v>
      </c>
      <c r="K542" s="36">
        <v>46056</v>
      </c>
      <c r="L542" s="36">
        <v>46052</v>
      </c>
      <c r="M542" s="36">
        <v>46055</v>
      </c>
      <c r="N542" s="36"/>
      <c r="O542" s="36"/>
      <c r="P542" s="36"/>
      <c r="Q542" s="36"/>
      <c r="R542" s="35" t="s">
        <v>142</v>
      </c>
      <c r="S542" s="35" t="s">
        <v>492</v>
      </c>
      <c r="T542" s="35" t="s">
        <v>177</v>
      </c>
      <c r="U542" s="35" t="s">
        <v>81</v>
      </c>
      <c r="V542" s="35" t="s">
        <v>163</v>
      </c>
      <c r="W542" s="35" t="s">
        <v>123</v>
      </c>
      <c r="X542" s="35">
        <v>782.4</v>
      </c>
      <c r="Y542" s="35">
        <v>86.06</v>
      </c>
      <c r="Z542" s="35">
        <v>86.06</v>
      </c>
      <c r="AA542" s="35">
        <v>0</v>
      </c>
      <c r="AB542" s="35"/>
      <c r="AC542" s="35">
        <v>0</v>
      </c>
      <c r="AD542" s="35"/>
      <c r="AE542" s="35">
        <v>0</v>
      </c>
      <c r="AF542" s="35"/>
      <c r="AG542" s="35">
        <v>0</v>
      </c>
      <c r="AH542" s="35"/>
      <c r="AI542" s="37">
        <v>0</v>
      </c>
    </row>
    <row r="543" spans="1:35" x14ac:dyDescent="0.25">
      <c r="A543" s="38" t="s">
        <v>110</v>
      </c>
      <c r="B543" s="39" t="s">
        <v>467</v>
      </c>
      <c r="C543" s="39" t="s">
        <v>468</v>
      </c>
      <c r="D543" s="39">
        <v>26677</v>
      </c>
      <c r="E543" s="39" t="s">
        <v>469</v>
      </c>
      <c r="F543" s="39" t="s">
        <v>470</v>
      </c>
      <c r="G543" s="39" t="s">
        <v>115</v>
      </c>
      <c r="H543" s="39" t="s">
        <v>160</v>
      </c>
      <c r="I543" s="39" t="s">
        <v>117</v>
      </c>
      <c r="J543" s="39" t="s">
        <v>118</v>
      </c>
      <c r="K543" s="40">
        <v>46056</v>
      </c>
      <c r="L543" s="40">
        <v>45748</v>
      </c>
      <c r="M543" s="40">
        <v>46056</v>
      </c>
      <c r="N543" s="40"/>
      <c r="O543" s="40"/>
      <c r="P543" s="40"/>
      <c r="Q543" s="40">
        <v>46113</v>
      </c>
      <c r="R543" s="39" t="s">
        <v>142</v>
      </c>
      <c r="S543" s="39" t="s">
        <v>463</v>
      </c>
      <c r="T543" s="39" t="s">
        <v>177</v>
      </c>
      <c r="U543" s="35" t="s">
        <v>81</v>
      </c>
      <c r="V543" s="39" t="s">
        <v>163</v>
      </c>
      <c r="W543" s="39" t="s">
        <v>123</v>
      </c>
      <c r="X543" s="39">
        <v>-376.68</v>
      </c>
      <c r="Y543" s="39">
        <v>-30.13</v>
      </c>
      <c r="Z543" s="39">
        <v>-30.13</v>
      </c>
      <c r="AA543" s="39">
        <v>0</v>
      </c>
      <c r="AB543" s="39"/>
      <c r="AC543" s="39">
        <v>0</v>
      </c>
      <c r="AD543" s="39"/>
      <c r="AE543" s="39">
        <v>0</v>
      </c>
      <c r="AF543" s="39"/>
      <c r="AG543" s="39">
        <v>0</v>
      </c>
      <c r="AH543" s="39"/>
      <c r="AI543" s="41">
        <v>0</v>
      </c>
    </row>
    <row r="544" spans="1:35" x14ac:dyDescent="0.25">
      <c r="A544" s="34" t="s">
        <v>110</v>
      </c>
      <c r="B544" s="35" t="s">
        <v>493</v>
      </c>
      <c r="C544" s="35" t="s">
        <v>494</v>
      </c>
      <c r="D544" s="35">
        <v>5092</v>
      </c>
      <c r="E544" s="35" t="s">
        <v>500</v>
      </c>
      <c r="F544" s="35" t="s">
        <v>501</v>
      </c>
      <c r="G544" s="35" t="s">
        <v>192</v>
      </c>
      <c r="H544" s="35" t="s">
        <v>116</v>
      </c>
      <c r="I544" s="35" t="s">
        <v>117</v>
      </c>
      <c r="J544" s="35" t="s">
        <v>2195</v>
      </c>
      <c r="K544" s="36">
        <v>46056</v>
      </c>
      <c r="L544" s="36">
        <v>46054</v>
      </c>
      <c r="M544" s="36"/>
      <c r="N544" s="36"/>
      <c r="O544" s="36">
        <v>46065</v>
      </c>
      <c r="P544" s="36">
        <v>46082</v>
      </c>
      <c r="Q544" s="36"/>
      <c r="R544" s="35" t="s">
        <v>119</v>
      </c>
      <c r="S544" s="35" t="s">
        <v>497</v>
      </c>
      <c r="T544" s="35" t="s">
        <v>129</v>
      </c>
      <c r="U544" s="35" t="s">
        <v>90</v>
      </c>
      <c r="V544" s="35" t="s">
        <v>122</v>
      </c>
      <c r="W544" s="35" t="s">
        <v>123</v>
      </c>
      <c r="X544" s="35">
        <v>287.11</v>
      </c>
      <c r="Y544" s="35">
        <v>28.71</v>
      </c>
      <c r="Z544" s="35">
        <v>28.71</v>
      </c>
      <c r="AA544" s="35">
        <v>0</v>
      </c>
      <c r="AB544" s="35"/>
      <c r="AC544" s="35">
        <v>0</v>
      </c>
      <c r="AD544" s="35" t="s">
        <v>130</v>
      </c>
      <c r="AE544" s="35">
        <v>0</v>
      </c>
      <c r="AF544" s="35"/>
      <c r="AG544" s="35">
        <v>0</v>
      </c>
      <c r="AH544" s="35"/>
      <c r="AI544" s="37">
        <v>0</v>
      </c>
    </row>
    <row r="545" spans="1:35" x14ac:dyDescent="0.25">
      <c r="A545" s="38" t="s">
        <v>110</v>
      </c>
      <c r="B545" s="39" t="s">
        <v>156</v>
      </c>
      <c r="C545" s="39" t="s">
        <v>157</v>
      </c>
      <c r="D545" s="39">
        <v>1383</v>
      </c>
      <c r="E545" s="39" t="s">
        <v>158</v>
      </c>
      <c r="F545" s="39" t="s">
        <v>159</v>
      </c>
      <c r="G545" s="39" t="s">
        <v>115</v>
      </c>
      <c r="H545" s="39" t="s">
        <v>160</v>
      </c>
      <c r="I545" s="39" t="s">
        <v>117</v>
      </c>
      <c r="J545" s="39" t="s">
        <v>118</v>
      </c>
      <c r="K545" s="40">
        <v>46056</v>
      </c>
      <c r="L545" s="40">
        <v>45990</v>
      </c>
      <c r="M545" s="40">
        <v>46056</v>
      </c>
      <c r="N545" s="40"/>
      <c r="O545" s="40"/>
      <c r="P545" s="40"/>
      <c r="Q545" s="40">
        <v>46054</v>
      </c>
      <c r="R545" s="39" t="s">
        <v>142</v>
      </c>
      <c r="S545" s="39" t="s">
        <v>161</v>
      </c>
      <c r="T545" s="39" t="s">
        <v>162</v>
      </c>
      <c r="U545" s="35" t="s">
        <v>87</v>
      </c>
      <c r="V545" s="39" t="s">
        <v>163</v>
      </c>
      <c r="W545" s="39" t="s">
        <v>123</v>
      </c>
      <c r="X545" s="39">
        <v>0</v>
      </c>
      <c r="Y545" s="39">
        <v>671.73</v>
      </c>
      <c r="Z545" s="39">
        <v>671.73</v>
      </c>
      <c r="AA545" s="39">
        <v>0</v>
      </c>
      <c r="AB545" s="39"/>
      <c r="AC545" s="39">
        <v>0</v>
      </c>
      <c r="AD545" s="39"/>
      <c r="AE545" s="39">
        <v>0</v>
      </c>
      <c r="AF545" s="39"/>
      <c r="AG545" s="39">
        <v>0</v>
      </c>
      <c r="AH545" s="39"/>
      <c r="AI545" s="41">
        <v>0</v>
      </c>
    </row>
    <row r="546" spans="1:35" x14ac:dyDescent="0.25">
      <c r="A546" s="34" t="s">
        <v>110</v>
      </c>
      <c r="B546" s="35" t="s">
        <v>170</v>
      </c>
      <c r="C546" s="35" t="s">
        <v>201</v>
      </c>
      <c r="D546" s="35">
        <v>17727</v>
      </c>
      <c r="E546" s="35" t="s">
        <v>202</v>
      </c>
      <c r="F546" s="35" t="s">
        <v>203</v>
      </c>
      <c r="G546" s="35" t="s">
        <v>115</v>
      </c>
      <c r="H546" s="35" t="s">
        <v>160</v>
      </c>
      <c r="I546" s="35" t="s">
        <v>117</v>
      </c>
      <c r="J546" s="35" t="s">
        <v>118</v>
      </c>
      <c r="K546" s="36">
        <v>46056</v>
      </c>
      <c r="L546" s="36">
        <v>45992</v>
      </c>
      <c r="M546" s="36">
        <v>46056</v>
      </c>
      <c r="N546" s="36"/>
      <c r="O546" s="36"/>
      <c r="P546" s="36"/>
      <c r="Q546" s="36">
        <v>46054</v>
      </c>
      <c r="R546" s="35" t="s">
        <v>142</v>
      </c>
      <c r="S546" s="35" t="s">
        <v>204</v>
      </c>
      <c r="T546" s="35" t="s">
        <v>205</v>
      </c>
      <c r="U546" s="35" t="s">
        <v>89</v>
      </c>
      <c r="V546" s="35" t="s">
        <v>163</v>
      </c>
      <c r="W546" s="35" t="s">
        <v>123</v>
      </c>
      <c r="X546" s="35">
        <v>0</v>
      </c>
      <c r="Y546" s="35">
        <v>54.29</v>
      </c>
      <c r="Z546" s="35">
        <v>54.29</v>
      </c>
      <c r="AA546" s="35">
        <v>0</v>
      </c>
      <c r="AB546" s="35"/>
      <c r="AC546" s="35">
        <v>0</v>
      </c>
      <c r="AD546" s="35"/>
      <c r="AE546" s="35">
        <v>0</v>
      </c>
      <c r="AF546" s="35"/>
      <c r="AG546" s="35">
        <v>0</v>
      </c>
      <c r="AH546" s="35"/>
      <c r="AI546" s="37">
        <v>0</v>
      </c>
    </row>
    <row r="547" spans="1:35" x14ac:dyDescent="0.25">
      <c r="A547" s="38" t="s">
        <v>110</v>
      </c>
      <c r="B547" s="39" t="s">
        <v>178</v>
      </c>
      <c r="C547" s="39" t="s">
        <v>179</v>
      </c>
      <c r="D547" s="39">
        <v>12015</v>
      </c>
      <c r="E547" s="39" t="s">
        <v>180</v>
      </c>
      <c r="F547" s="39" t="s">
        <v>181</v>
      </c>
      <c r="G547" s="39" t="s">
        <v>115</v>
      </c>
      <c r="H547" s="39" t="s">
        <v>160</v>
      </c>
      <c r="I547" s="39" t="s">
        <v>117</v>
      </c>
      <c r="J547" s="39" t="s">
        <v>118</v>
      </c>
      <c r="K547" s="40">
        <v>46056</v>
      </c>
      <c r="L547" s="40">
        <v>46022</v>
      </c>
      <c r="M547" s="40">
        <v>46056</v>
      </c>
      <c r="N547" s="40"/>
      <c r="O547" s="40"/>
      <c r="P547" s="40"/>
      <c r="Q547" s="40">
        <v>46054</v>
      </c>
      <c r="R547" s="39" t="s">
        <v>142</v>
      </c>
      <c r="S547" s="39" t="s">
        <v>182</v>
      </c>
      <c r="T547" s="39" t="s">
        <v>183</v>
      </c>
      <c r="U547" s="35" t="s">
        <v>90</v>
      </c>
      <c r="V547" s="39" t="s">
        <v>163</v>
      </c>
      <c r="W547" s="39" t="s">
        <v>123</v>
      </c>
      <c r="X547" s="39">
        <v>0</v>
      </c>
      <c r="Y547" s="39">
        <v>23.8</v>
      </c>
      <c r="Z547" s="39">
        <v>23.8</v>
      </c>
      <c r="AA547" s="39">
        <v>0</v>
      </c>
      <c r="AB547" s="39"/>
      <c r="AC547" s="39">
        <v>0</v>
      </c>
      <c r="AD547" s="39"/>
      <c r="AE547" s="39">
        <v>0</v>
      </c>
      <c r="AF547" s="39"/>
      <c r="AG547" s="39">
        <v>0</v>
      </c>
      <c r="AH547" s="39"/>
      <c r="AI547" s="41">
        <v>0</v>
      </c>
    </row>
    <row r="548" spans="1:35" x14ac:dyDescent="0.25">
      <c r="A548" s="34" t="s">
        <v>110</v>
      </c>
      <c r="B548" s="35" t="s">
        <v>210</v>
      </c>
      <c r="C548" s="35" t="s">
        <v>211</v>
      </c>
      <c r="D548" s="35">
        <v>17990</v>
      </c>
      <c r="E548" s="35" t="s">
        <v>212</v>
      </c>
      <c r="F548" s="35" t="s">
        <v>213</v>
      </c>
      <c r="G548" s="35" t="s">
        <v>115</v>
      </c>
      <c r="H548" s="35" t="s">
        <v>160</v>
      </c>
      <c r="I548" s="35" t="s">
        <v>117</v>
      </c>
      <c r="J548" s="35" t="s">
        <v>118</v>
      </c>
      <c r="K548" s="36">
        <v>46056</v>
      </c>
      <c r="L548" s="36">
        <v>46022</v>
      </c>
      <c r="M548" s="36">
        <v>46056</v>
      </c>
      <c r="N548" s="36"/>
      <c r="O548" s="36"/>
      <c r="P548" s="36"/>
      <c r="Q548" s="36">
        <v>46054</v>
      </c>
      <c r="R548" s="35" t="s">
        <v>142</v>
      </c>
      <c r="S548" s="35" t="s">
        <v>182</v>
      </c>
      <c r="T548" s="35" t="s">
        <v>183</v>
      </c>
      <c r="U548" s="35" t="s">
        <v>90</v>
      </c>
      <c r="V548" s="35" t="s">
        <v>163</v>
      </c>
      <c r="W548" s="35" t="s">
        <v>123</v>
      </c>
      <c r="X548" s="35">
        <v>0</v>
      </c>
      <c r="Y548" s="35">
        <v>2.4300000000000002</v>
      </c>
      <c r="Z548" s="35">
        <v>2.4300000000000002</v>
      </c>
      <c r="AA548" s="35">
        <v>0</v>
      </c>
      <c r="AB548" s="35"/>
      <c r="AC548" s="35">
        <v>0</v>
      </c>
      <c r="AD548" s="35"/>
      <c r="AE548" s="35">
        <v>0</v>
      </c>
      <c r="AF548" s="35"/>
      <c r="AG548" s="35">
        <v>0</v>
      </c>
      <c r="AH548" s="35"/>
      <c r="AI548" s="37">
        <v>0</v>
      </c>
    </row>
    <row r="549" spans="1:35" x14ac:dyDescent="0.25">
      <c r="A549" s="38" t="s">
        <v>110</v>
      </c>
      <c r="B549" s="39" t="s">
        <v>2166</v>
      </c>
      <c r="C549" s="39" t="s">
        <v>2167</v>
      </c>
      <c r="D549" s="39">
        <v>27701</v>
      </c>
      <c r="E549" s="39" t="s">
        <v>2168</v>
      </c>
      <c r="F549" s="39" t="s">
        <v>2169</v>
      </c>
      <c r="G549" s="39" t="s">
        <v>174</v>
      </c>
      <c r="H549" s="39" t="s">
        <v>160</v>
      </c>
      <c r="I549" s="39" t="s">
        <v>217</v>
      </c>
      <c r="J549" s="39" t="s">
        <v>118</v>
      </c>
      <c r="K549" s="40">
        <v>46057</v>
      </c>
      <c r="L549" s="40">
        <v>46060</v>
      </c>
      <c r="M549" s="40">
        <v>46069</v>
      </c>
      <c r="N549" s="40"/>
      <c r="O549" s="40"/>
      <c r="P549" s="40">
        <v>46082</v>
      </c>
      <c r="Q549" s="40"/>
      <c r="R549" s="39" t="s">
        <v>218</v>
      </c>
      <c r="S549" s="39" t="s">
        <v>225</v>
      </c>
      <c r="T549" s="39" t="s">
        <v>225</v>
      </c>
      <c r="U549" s="35" t="s">
        <v>88</v>
      </c>
      <c r="V549" s="39" t="s">
        <v>226</v>
      </c>
      <c r="W549" s="39" t="s">
        <v>123</v>
      </c>
      <c r="X549" s="39">
        <v>693.48</v>
      </c>
      <c r="Y549" s="39">
        <v>126.08</v>
      </c>
      <c r="Z549" s="39">
        <v>126.08</v>
      </c>
      <c r="AA549" s="39">
        <v>0</v>
      </c>
      <c r="AB549" s="39"/>
      <c r="AC549" s="39">
        <v>0</v>
      </c>
      <c r="AD549" s="39" t="s">
        <v>2170</v>
      </c>
      <c r="AE549" s="39">
        <v>69.349999999999994</v>
      </c>
      <c r="AF549" s="39"/>
      <c r="AG549" s="39">
        <v>0</v>
      </c>
      <c r="AH549" s="39"/>
      <c r="AI549" s="41">
        <v>0</v>
      </c>
    </row>
    <row r="550" spans="1:35" x14ac:dyDescent="0.25">
      <c r="A550" s="34" t="s">
        <v>110</v>
      </c>
      <c r="B550" s="35" t="s">
        <v>2171</v>
      </c>
      <c r="C550" s="35" t="s">
        <v>2172</v>
      </c>
      <c r="D550" s="35">
        <v>27866</v>
      </c>
      <c r="E550" s="35" t="s">
        <v>2173</v>
      </c>
      <c r="F550" s="35" t="s">
        <v>2174</v>
      </c>
      <c r="G550" s="35" t="s">
        <v>174</v>
      </c>
      <c r="H550" s="35" t="s">
        <v>160</v>
      </c>
      <c r="I550" s="35" t="s">
        <v>217</v>
      </c>
      <c r="J550" s="35" t="s">
        <v>118</v>
      </c>
      <c r="K550" s="36">
        <v>46057</v>
      </c>
      <c r="L550" s="36">
        <v>46082</v>
      </c>
      <c r="M550" s="36">
        <v>46083</v>
      </c>
      <c r="N550" s="36"/>
      <c r="O550" s="36"/>
      <c r="P550" s="36"/>
      <c r="Q550" s="36"/>
      <c r="R550" s="35" t="s">
        <v>218</v>
      </c>
      <c r="S550" s="35" t="s">
        <v>225</v>
      </c>
      <c r="T550" s="35" t="s">
        <v>225</v>
      </c>
      <c r="U550" s="35" t="s">
        <v>88</v>
      </c>
      <c r="V550" s="35" t="s">
        <v>226</v>
      </c>
      <c r="W550" s="35" t="s">
        <v>123</v>
      </c>
      <c r="X550" s="35">
        <v>4824</v>
      </c>
      <c r="Y550" s="35">
        <v>877.1</v>
      </c>
      <c r="Z550" s="35">
        <v>877.1</v>
      </c>
      <c r="AA550" s="35">
        <v>0</v>
      </c>
      <c r="AB550" s="35"/>
      <c r="AC550" s="35">
        <v>0</v>
      </c>
      <c r="AD550" s="35"/>
      <c r="AE550" s="35">
        <v>0</v>
      </c>
      <c r="AF550" s="35"/>
      <c r="AG550" s="35">
        <v>0</v>
      </c>
      <c r="AH550" s="35"/>
      <c r="AI550" s="37">
        <v>0</v>
      </c>
    </row>
    <row r="551" spans="1:35" x14ac:dyDescent="0.25">
      <c r="A551" s="38" t="s">
        <v>110</v>
      </c>
      <c r="B551" s="39" t="s">
        <v>2179</v>
      </c>
      <c r="C551" s="39" t="s">
        <v>2180</v>
      </c>
      <c r="D551" s="39">
        <v>27869</v>
      </c>
      <c r="E551" s="39" t="s">
        <v>2181</v>
      </c>
      <c r="F551" s="39" t="s">
        <v>2182</v>
      </c>
      <c r="G551" s="39" t="s">
        <v>174</v>
      </c>
      <c r="H551" s="39" t="s">
        <v>160</v>
      </c>
      <c r="I551" s="39" t="s">
        <v>217</v>
      </c>
      <c r="J551" s="39" t="s">
        <v>118</v>
      </c>
      <c r="K551" s="40">
        <v>46057</v>
      </c>
      <c r="L551" s="40">
        <v>46082</v>
      </c>
      <c r="M551" s="40">
        <v>46083</v>
      </c>
      <c r="N551" s="40"/>
      <c r="O551" s="40"/>
      <c r="P551" s="40"/>
      <c r="Q551" s="40"/>
      <c r="R551" s="39" t="s">
        <v>218</v>
      </c>
      <c r="S551" s="39" t="s">
        <v>225</v>
      </c>
      <c r="T551" s="39" t="s">
        <v>225</v>
      </c>
      <c r="U551" s="35" t="s">
        <v>88</v>
      </c>
      <c r="V551" s="39" t="s">
        <v>226</v>
      </c>
      <c r="W551" s="39" t="s">
        <v>123</v>
      </c>
      <c r="X551" s="39">
        <v>4020</v>
      </c>
      <c r="Y551" s="39">
        <v>730.91</v>
      </c>
      <c r="Z551" s="39">
        <v>730.91</v>
      </c>
      <c r="AA551" s="39">
        <v>0</v>
      </c>
      <c r="AB551" s="39"/>
      <c r="AC551" s="39">
        <v>0</v>
      </c>
      <c r="AD551" s="39"/>
      <c r="AE551" s="39">
        <v>0</v>
      </c>
      <c r="AF551" s="39"/>
      <c r="AG551" s="39">
        <v>0</v>
      </c>
      <c r="AH551" s="39"/>
      <c r="AI551" s="41">
        <v>0</v>
      </c>
    </row>
    <row r="552" spans="1:35" x14ac:dyDescent="0.25">
      <c r="A552" s="34" t="s">
        <v>110</v>
      </c>
      <c r="B552" s="35" t="s">
        <v>2175</v>
      </c>
      <c r="C552" s="35" t="s">
        <v>2176</v>
      </c>
      <c r="D552" s="35">
        <v>27870</v>
      </c>
      <c r="E552" s="35" t="s">
        <v>2177</v>
      </c>
      <c r="F552" s="35" t="s">
        <v>2178</v>
      </c>
      <c r="G552" s="35" t="s">
        <v>174</v>
      </c>
      <c r="H552" s="35" t="s">
        <v>160</v>
      </c>
      <c r="I552" s="35" t="s">
        <v>217</v>
      </c>
      <c r="J552" s="35" t="s">
        <v>118</v>
      </c>
      <c r="K552" s="36">
        <v>46057</v>
      </c>
      <c r="L552" s="36">
        <v>46082</v>
      </c>
      <c r="M552" s="36">
        <v>46083</v>
      </c>
      <c r="N552" s="36"/>
      <c r="O552" s="36"/>
      <c r="P552" s="36"/>
      <c r="Q552" s="36"/>
      <c r="R552" s="35" t="s">
        <v>218</v>
      </c>
      <c r="S552" s="35" t="s">
        <v>225</v>
      </c>
      <c r="T552" s="35" t="s">
        <v>225</v>
      </c>
      <c r="U552" s="35" t="s">
        <v>88</v>
      </c>
      <c r="V552" s="35" t="s">
        <v>226</v>
      </c>
      <c r="W552" s="35" t="s">
        <v>123</v>
      </c>
      <c r="X552" s="35">
        <v>3350</v>
      </c>
      <c r="Y552" s="35">
        <v>609.1</v>
      </c>
      <c r="Z552" s="35">
        <v>609.1</v>
      </c>
      <c r="AA552" s="35">
        <v>0</v>
      </c>
      <c r="AB552" s="35"/>
      <c r="AC552" s="35">
        <v>0</v>
      </c>
      <c r="AD552" s="35"/>
      <c r="AE552" s="35">
        <v>0</v>
      </c>
      <c r="AF552" s="35"/>
      <c r="AG552" s="35">
        <v>0</v>
      </c>
      <c r="AH552" s="35"/>
      <c r="AI552" s="37">
        <v>0</v>
      </c>
    </row>
    <row r="553" spans="1:35" x14ac:dyDescent="0.25">
      <c r="A553" s="38" t="s">
        <v>110</v>
      </c>
      <c r="B553" s="39" t="s">
        <v>251</v>
      </c>
      <c r="C553" s="39" t="s">
        <v>252</v>
      </c>
      <c r="D553" s="39">
        <v>30509</v>
      </c>
      <c r="E553" s="39" t="s">
        <v>253</v>
      </c>
      <c r="F553" s="39" t="s">
        <v>254</v>
      </c>
      <c r="G553" s="39" t="s">
        <v>174</v>
      </c>
      <c r="H553" s="39" t="s">
        <v>160</v>
      </c>
      <c r="I553" s="39" t="s">
        <v>217</v>
      </c>
      <c r="J553" s="39" t="s">
        <v>118</v>
      </c>
      <c r="K553" s="40">
        <v>46057</v>
      </c>
      <c r="L553" s="40">
        <v>46082</v>
      </c>
      <c r="M553" s="40">
        <v>46083</v>
      </c>
      <c r="N553" s="40"/>
      <c r="O553" s="40"/>
      <c r="P553" s="40"/>
      <c r="Q553" s="40"/>
      <c r="R553" s="39" t="s">
        <v>218</v>
      </c>
      <c r="S553" s="39" t="s">
        <v>225</v>
      </c>
      <c r="T553" s="39" t="s">
        <v>225</v>
      </c>
      <c r="U553" s="35" t="s">
        <v>88</v>
      </c>
      <c r="V553" s="39" t="s">
        <v>226</v>
      </c>
      <c r="W553" s="39" t="s">
        <v>123</v>
      </c>
      <c r="X553" s="39">
        <v>4154</v>
      </c>
      <c r="Y553" s="39">
        <v>755.27</v>
      </c>
      <c r="Z553" s="39">
        <v>755.27</v>
      </c>
      <c r="AA553" s="39">
        <v>0</v>
      </c>
      <c r="AB553" s="39"/>
      <c r="AC553" s="39">
        <v>0</v>
      </c>
      <c r="AD553" s="39"/>
      <c r="AE553" s="39">
        <v>0</v>
      </c>
      <c r="AF553" s="39"/>
      <c r="AG553" s="39">
        <v>0</v>
      </c>
      <c r="AH553" s="39"/>
      <c r="AI553" s="41">
        <v>0</v>
      </c>
    </row>
    <row r="554" spans="1:35" x14ac:dyDescent="0.25">
      <c r="A554" s="34" t="s">
        <v>110</v>
      </c>
      <c r="B554" s="35" t="s">
        <v>263</v>
      </c>
      <c r="C554" s="35" t="s">
        <v>264</v>
      </c>
      <c r="D554" s="35">
        <v>30598</v>
      </c>
      <c r="E554" s="35" t="s">
        <v>265</v>
      </c>
      <c r="F554" s="35" t="s">
        <v>266</v>
      </c>
      <c r="G554" s="35" t="s">
        <v>174</v>
      </c>
      <c r="H554" s="35" t="s">
        <v>160</v>
      </c>
      <c r="I554" s="35" t="s">
        <v>217</v>
      </c>
      <c r="J554" s="35" t="s">
        <v>118</v>
      </c>
      <c r="K554" s="36">
        <v>46057</v>
      </c>
      <c r="L554" s="36">
        <v>46064</v>
      </c>
      <c r="M554" s="36">
        <v>46058</v>
      </c>
      <c r="N554" s="36"/>
      <c r="O554" s="36"/>
      <c r="P554" s="36"/>
      <c r="Q554" s="36">
        <v>46068</v>
      </c>
      <c r="R554" s="35" t="s">
        <v>218</v>
      </c>
      <c r="S554" s="35" t="s">
        <v>225</v>
      </c>
      <c r="T554" s="35" t="s">
        <v>225</v>
      </c>
      <c r="U554" s="35" t="s">
        <v>88</v>
      </c>
      <c r="V554" s="35" t="s">
        <v>226</v>
      </c>
      <c r="W554" s="35" t="s">
        <v>123</v>
      </c>
      <c r="X554" s="35">
        <v>920</v>
      </c>
      <c r="Y554" s="35">
        <v>167.27</v>
      </c>
      <c r="Z554" s="35">
        <v>167.27</v>
      </c>
      <c r="AA554" s="35">
        <v>0</v>
      </c>
      <c r="AB554" s="35"/>
      <c r="AC554" s="35">
        <v>0</v>
      </c>
      <c r="AD554" s="35"/>
      <c r="AE554" s="35">
        <v>0</v>
      </c>
      <c r="AF554" s="35"/>
      <c r="AG554" s="35">
        <v>0</v>
      </c>
      <c r="AH554" s="35"/>
      <c r="AI554" s="37">
        <v>0</v>
      </c>
    </row>
    <row r="555" spans="1:35" x14ac:dyDescent="0.25">
      <c r="A555" s="38" t="s">
        <v>110</v>
      </c>
      <c r="B555" s="39" t="s">
        <v>396</v>
      </c>
      <c r="C555" s="39" t="s">
        <v>397</v>
      </c>
      <c r="D555" s="39">
        <v>32617</v>
      </c>
      <c r="E555" s="39" t="s">
        <v>398</v>
      </c>
      <c r="F555" s="39" t="s">
        <v>399</v>
      </c>
      <c r="G555" s="39" t="s">
        <v>174</v>
      </c>
      <c r="H555" s="39" t="s">
        <v>160</v>
      </c>
      <c r="I555" s="39" t="s">
        <v>217</v>
      </c>
      <c r="J555" s="39" t="s">
        <v>118</v>
      </c>
      <c r="K555" s="40">
        <v>46057</v>
      </c>
      <c r="L555" s="40">
        <v>46056</v>
      </c>
      <c r="M555" s="40">
        <v>46056</v>
      </c>
      <c r="N555" s="40"/>
      <c r="O555" s="40"/>
      <c r="P555" s="40"/>
      <c r="Q555" s="40">
        <v>46068</v>
      </c>
      <c r="R555" s="39" t="s">
        <v>218</v>
      </c>
      <c r="S555" s="39" t="s">
        <v>225</v>
      </c>
      <c r="T555" s="39" t="s">
        <v>225</v>
      </c>
      <c r="U555" s="35" t="s">
        <v>88</v>
      </c>
      <c r="V555" s="39" t="s">
        <v>226</v>
      </c>
      <c r="W555" s="39" t="s">
        <v>123</v>
      </c>
      <c r="X555" s="39">
        <v>2088</v>
      </c>
      <c r="Y555" s="39">
        <v>379.64</v>
      </c>
      <c r="Z555" s="39">
        <v>379.64</v>
      </c>
      <c r="AA555" s="39">
        <v>0</v>
      </c>
      <c r="AB555" s="39"/>
      <c r="AC555" s="39">
        <v>0</v>
      </c>
      <c r="AD555" s="39"/>
      <c r="AE555" s="39">
        <v>0</v>
      </c>
      <c r="AF555" s="39"/>
      <c r="AG555" s="39">
        <v>0</v>
      </c>
      <c r="AH555" s="39"/>
      <c r="AI555" s="41">
        <v>0</v>
      </c>
    </row>
    <row r="556" spans="1:35" x14ac:dyDescent="0.25">
      <c r="A556" s="34" t="s">
        <v>110</v>
      </c>
      <c r="B556" s="35" t="s">
        <v>392</v>
      </c>
      <c r="C556" s="35" t="s">
        <v>393</v>
      </c>
      <c r="D556" s="35">
        <v>32619</v>
      </c>
      <c r="E556" s="35" t="s">
        <v>394</v>
      </c>
      <c r="F556" s="35" t="s">
        <v>395</v>
      </c>
      <c r="G556" s="35" t="s">
        <v>174</v>
      </c>
      <c r="H556" s="35" t="s">
        <v>160</v>
      </c>
      <c r="I556" s="35" t="s">
        <v>217</v>
      </c>
      <c r="J556" s="35" t="s">
        <v>118</v>
      </c>
      <c r="K556" s="36">
        <v>46057</v>
      </c>
      <c r="L556" s="36">
        <v>46077</v>
      </c>
      <c r="M556" s="36">
        <v>46077</v>
      </c>
      <c r="N556" s="36"/>
      <c r="O556" s="36"/>
      <c r="P556" s="36"/>
      <c r="Q556" s="36"/>
      <c r="R556" s="35" t="s">
        <v>218</v>
      </c>
      <c r="S556" s="35" t="s">
        <v>225</v>
      </c>
      <c r="T556" s="35" t="s">
        <v>225</v>
      </c>
      <c r="U556" s="35" t="s">
        <v>88</v>
      </c>
      <c r="V556" s="35" t="s">
        <v>226</v>
      </c>
      <c r="W556" s="35" t="s">
        <v>123</v>
      </c>
      <c r="X556" s="35">
        <v>693.48</v>
      </c>
      <c r="Y556" s="35">
        <v>126.08</v>
      </c>
      <c r="Z556" s="35">
        <v>126.08</v>
      </c>
      <c r="AA556" s="35">
        <v>0</v>
      </c>
      <c r="AB556" s="35"/>
      <c r="AC556" s="35">
        <v>0</v>
      </c>
      <c r="AD556" s="35"/>
      <c r="AE556" s="35">
        <v>0</v>
      </c>
      <c r="AF556" s="35"/>
      <c r="AG556" s="35">
        <v>0</v>
      </c>
      <c r="AH556" s="35"/>
      <c r="AI556" s="37">
        <v>0</v>
      </c>
    </row>
    <row r="557" spans="1:35" x14ac:dyDescent="0.25">
      <c r="A557" s="38" t="s">
        <v>110</v>
      </c>
      <c r="B557" s="39" t="s">
        <v>447</v>
      </c>
      <c r="C557" s="39" t="s">
        <v>471</v>
      </c>
      <c r="D557" s="39">
        <v>32259</v>
      </c>
      <c r="E557" s="39" t="s">
        <v>472</v>
      </c>
      <c r="F557" s="39" t="s">
        <v>473</v>
      </c>
      <c r="G557" s="39" t="s">
        <v>115</v>
      </c>
      <c r="H557" s="39" t="s">
        <v>160</v>
      </c>
      <c r="I557" s="39" t="s">
        <v>117</v>
      </c>
      <c r="J557" s="39" t="s">
        <v>118</v>
      </c>
      <c r="K557" s="40">
        <v>46057</v>
      </c>
      <c r="L557" s="40">
        <v>45992</v>
      </c>
      <c r="M557" s="40">
        <v>46057</v>
      </c>
      <c r="N557" s="40"/>
      <c r="O557" s="40"/>
      <c r="P557" s="40"/>
      <c r="Q557" s="40">
        <v>46057</v>
      </c>
      <c r="R557" s="39" t="s">
        <v>142</v>
      </c>
      <c r="S557" s="39" t="s">
        <v>463</v>
      </c>
      <c r="T557" s="39" t="s">
        <v>177</v>
      </c>
      <c r="U557" s="35" t="s">
        <v>81</v>
      </c>
      <c r="V557" s="39" t="s">
        <v>163</v>
      </c>
      <c r="W557" s="39" t="s">
        <v>123</v>
      </c>
      <c r="X557" s="39">
        <v>0</v>
      </c>
      <c r="Y557" s="39">
        <v>-6.95</v>
      </c>
      <c r="Z557" s="39">
        <v>-6.95</v>
      </c>
      <c r="AA557" s="39">
        <v>0</v>
      </c>
      <c r="AB557" s="39"/>
      <c r="AC557" s="39">
        <v>0</v>
      </c>
      <c r="AD557" s="39"/>
      <c r="AE557" s="39">
        <v>0</v>
      </c>
      <c r="AF557" s="39"/>
      <c r="AG557" s="39">
        <v>0</v>
      </c>
      <c r="AH557" s="39"/>
      <c r="AI557" s="41">
        <v>0</v>
      </c>
    </row>
    <row r="558" spans="1:35" x14ac:dyDescent="0.25">
      <c r="A558" s="34" t="s">
        <v>110</v>
      </c>
      <c r="B558" s="35" t="s">
        <v>2088</v>
      </c>
      <c r="C558" s="35" t="s">
        <v>2108</v>
      </c>
      <c r="D558" s="35">
        <v>28349</v>
      </c>
      <c r="E558" s="35"/>
      <c r="F558" s="35" t="s">
        <v>2116</v>
      </c>
      <c r="G558" s="35" t="s">
        <v>115</v>
      </c>
      <c r="H558" s="35" t="s">
        <v>160</v>
      </c>
      <c r="I558" s="35" t="s">
        <v>117</v>
      </c>
      <c r="J558" s="35" t="s">
        <v>2195</v>
      </c>
      <c r="K558" s="36">
        <v>46057</v>
      </c>
      <c r="L558" s="36">
        <v>46054</v>
      </c>
      <c r="M558" s="36"/>
      <c r="N558" s="36">
        <v>46082</v>
      </c>
      <c r="O558" s="36">
        <v>46068</v>
      </c>
      <c r="P558" s="36"/>
      <c r="Q558" s="36"/>
      <c r="R558" s="35" t="s">
        <v>119</v>
      </c>
      <c r="S558" s="35" t="s">
        <v>1329</v>
      </c>
      <c r="T558" s="35" t="s">
        <v>519</v>
      </c>
      <c r="U558" s="35" t="s">
        <v>86</v>
      </c>
      <c r="V558" s="35" t="s">
        <v>1330</v>
      </c>
      <c r="W558" s="35" t="s">
        <v>123</v>
      </c>
      <c r="X558" s="35">
        <v>979.34</v>
      </c>
      <c r="Y558" s="35">
        <v>48.97</v>
      </c>
      <c r="Z558" s="35">
        <v>48.97</v>
      </c>
      <c r="AA558" s="35">
        <v>0</v>
      </c>
      <c r="AB558" s="35"/>
      <c r="AC558" s="35">
        <v>0</v>
      </c>
      <c r="AD558" s="35"/>
      <c r="AE558" s="35">
        <v>0</v>
      </c>
      <c r="AF558" s="35"/>
      <c r="AG558" s="35">
        <v>0</v>
      </c>
      <c r="AH558" s="35"/>
      <c r="AI558" s="37">
        <v>0</v>
      </c>
    </row>
    <row r="559" spans="1:35" x14ac:dyDescent="0.25">
      <c r="A559" s="38" t="s">
        <v>110</v>
      </c>
      <c r="B559" s="39" t="s">
        <v>2088</v>
      </c>
      <c r="C559" s="39" t="s">
        <v>2108</v>
      </c>
      <c r="D559" s="39">
        <v>28349</v>
      </c>
      <c r="E559" s="39"/>
      <c r="F559" s="39" t="s">
        <v>2117</v>
      </c>
      <c r="G559" s="39" t="s">
        <v>115</v>
      </c>
      <c r="H559" s="39" t="s">
        <v>160</v>
      </c>
      <c r="I559" s="39" t="s">
        <v>117</v>
      </c>
      <c r="J559" s="39" t="s">
        <v>118</v>
      </c>
      <c r="K559" s="40">
        <v>46057</v>
      </c>
      <c r="L559" s="40">
        <v>46023</v>
      </c>
      <c r="M559" s="40">
        <v>46064</v>
      </c>
      <c r="N559" s="40"/>
      <c r="O559" s="40"/>
      <c r="P559" s="40"/>
      <c r="Q559" s="40"/>
      <c r="R559" s="39" t="s">
        <v>119</v>
      </c>
      <c r="S559" s="39" t="s">
        <v>1329</v>
      </c>
      <c r="T559" s="39" t="s">
        <v>519</v>
      </c>
      <c r="U559" s="35" t="s">
        <v>86</v>
      </c>
      <c r="V559" s="39" t="s">
        <v>1330</v>
      </c>
      <c r="W559" s="39" t="s">
        <v>123</v>
      </c>
      <c r="X559" s="39">
        <v>980.55</v>
      </c>
      <c r="Y559" s="39">
        <v>49.03</v>
      </c>
      <c r="Z559" s="39">
        <v>49.03</v>
      </c>
      <c r="AA559" s="39">
        <v>0</v>
      </c>
      <c r="AB559" s="39"/>
      <c r="AC559" s="39">
        <v>0</v>
      </c>
      <c r="AD559" s="39"/>
      <c r="AE559" s="39">
        <v>0</v>
      </c>
      <c r="AF559" s="39"/>
      <c r="AG559" s="39">
        <v>0</v>
      </c>
      <c r="AH559" s="39"/>
      <c r="AI559" s="41">
        <v>0</v>
      </c>
    </row>
    <row r="560" spans="1:35" x14ac:dyDescent="0.25">
      <c r="A560" s="34" t="s">
        <v>110</v>
      </c>
      <c r="B560" s="35" t="s">
        <v>334</v>
      </c>
      <c r="C560" s="35" t="s">
        <v>1513</v>
      </c>
      <c r="D560" s="35">
        <v>32620</v>
      </c>
      <c r="E560" s="35" t="s">
        <v>1514</v>
      </c>
      <c r="F560" s="35" t="s">
        <v>1515</v>
      </c>
      <c r="G560" s="35" t="s">
        <v>174</v>
      </c>
      <c r="H560" s="35" t="s">
        <v>160</v>
      </c>
      <c r="I560" s="35" t="s">
        <v>217</v>
      </c>
      <c r="J560" s="35" t="s">
        <v>118</v>
      </c>
      <c r="K560" s="36">
        <v>46059</v>
      </c>
      <c r="L560" s="36">
        <v>46079</v>
      </c>
      <c r="M560" s="36">
        <v>46073</v>
      </c>
      <c r="N560" s="36"/>
      <c r="O560" s="36"/>
      <c r="P560" s="36"/>
      <c r="Q560" s="36">
        <v>46082</v>
      </c>
      <c r="R560" s="35" t="s">
        <v>218</v>
      </c>
      <c r="S560" s="35" t="s">
        <v>718</v>
      </c>
      <c r="T560" s="35" t="s">
        <v>519</v>
      </c>
      <c r="U560" s="35" t="s">
        <v>86</v>
      </c>
      <c r="V560" s="35" t="s">
        <v>719</v>
      </c>
      <c r="W560" s="35" t="s">
        <v>123</v>
      </c>
      <c r="X560" s="35">
        <v>286.62</v>
      </c>
      <c r="Y560" s="35">
        <v>71.66</v>
      </c>
      <c r="Z560" s="35">
        <v>71.66</v>
      </c>
      <c r="AA560" s="35">
        <v>0</v>
      </c>
      <c r="AB560" s="35"/>
      <c r="AC560" s="35">
        <v>0</v>
      </c>
      <c r="AD560" s="35"/>
      <c r="AE560" s="35">
        <v>0</v>
      </c>
      <c r="AF560" s="35"/>
      <c r="AG560" s="35">
        <v>0</v>
      </c>
      <c r="AH560" s="35"/>
      <c r="AI560" s="37">
        <v>0</v>
      </c>
    </row>
    <row r="561" spans="1:35" x14ac:dyDescent="0.25">
      <c r="A561" s="38" t="s">
        <v>110</v>
      </c>
      <c r="B561" s="39" t="s">
        <v>1505</v>
      </c>
      <c r="C561" s="39" t="s">
        <v>1506</v>
      </c>
      <c r="D561" s="39">
        <v>27972</v>
      </c>
      <c r="E561" s="39" t="s">
        <v>1507</v>
      </c>
      <c r="F561" s="39" t="s">
        <v>1508</v>
      </c>
      <c r="G561" s="39" t="s">
        <v>192</v>
      </c>
      <c r="H561" s="39" t="s">
        <v>160</v>
      </c>
      <c r="I561" s="39" t="s">
        <v>117</v>
      </c>
      <c r="J561" s="39" t="s">
        <v>141</v>
      </c>
      <c r="K561" s="40">
        <v>46059</v>
      </c>
      <c r="L561" s="40">
        <v>46101</v>
      </c>
      <c r="M561" s="40"/>
      <c r="N561" s="40"/>
      <c r="O561" s="40"/>
      <c r="P561" s="40"/>
      <c r="Q561" s="40"/>
      <c r="R561" s="39" t="s">
        <v>142</v>
      </c>
      <c r="S561" s="39" t="s">
        <v>697</v>
      </c>
      <c r="T561" s="39" t="s">
        <v>698</v>
      </c>
      <c r="U561" s="35" t="s">
        <v>88</v>
      </c>
      <c r="V561" s="39" t="s">
        <v>699</v>
      </c>
      <c r="W561" s="39" t="s">
        <v>123</v>
      </c>
      <c r="X561" s="39">
        <v>432.61</v>
      </c>
      <c r="Y561" s="39">
        <v>108.17</v>
      </c>
      <c r="Z561" s="39">
        <v>108.17</v>
      </c>
      <c r="AA561" s="39">
        <v>0</v>
      </c>
      <c r="AB561" s="39"/>
      <c r="AC561" s="39">
        <v>0</v>
      </c>
      <c r="AD561" s="39"/>
      <c r="AE561" s="39">
        <v>0</v>
      </c>
      <c r="AF561" s="39"/>
      <c r="AG561" s="39">
        <v>0</v>
      </c>
      <c r="AH561" s="39"/>
      <c r="AI561" s="41">
        <v>0</v>
      </c>
    </row>
    <row r="562" spans="1:35" x14ac:dyDescent="0.25">
      <c r="A562" s="34" t="s">
        <v>110</v>
      </c>
      <c r="B562" s="35" t="s">
        <v>2136</v>
      </c>
      <c r="C562" s="35" t="s">
        <v>2137</v>
      </c>
      <c r="D562" s="35">
        <v>23299</v>
      </c>
      <c r="E562" s="35" t="s">
        <v>2138</v>
      </c>
      <c r="F562" s="35" t="s">
        <v>2139</v>
      </c>
      <c r="G562" s="35" t="s">
        <v>174</v>
      </c>
      <c r="H562" s="35" t="s">
        <v>160</v>
      </c>
      <c r="I562" s="35" t="s">
        <v>217</v>
      </c>
      <c r="J562" s="35" t="s">
        <v>141</v>
      </c>
      <c r="K562" s="36">
        <v>46059</v>
      </c>
      <c r="L562" s="36">
        <v>46100</v>
      </c>
      <c r="M562" s="36"/>
      <c r="N562" s="36"/>
      <c r="O562" s="36"/>
      <c r="P562" s="36"/>
      <c r="Q562" s="36"/>
      <c r="R562" s="35" t="s">
        <v>218</v>
      </c>
      <c r="S562" s="35" t="s">
        <v>225</v>
      </c>
      <c r="T562" s="35" t="s">
        <v>225</v>
      </c>
      <c r="U562" s="35" t="s">
        <v>88</v>
      </c>
      <c r="V562" s="35" t="s">
        <v>226</v>
      </c>
      <c r="W562" s="35" t="s">
        <v>123</v>
      </c>
      <c r="X562" s="35">
        <v>2281.5</v>
      </c>
      <c r="Y562" s="35">
        <v>414.82</v>
      </c>
      <c r="Z562" s="35">
        <v>414.82</v>
      </c>
      <c r="AA562" s="35">
        <v>0</v>
      </c>
      <c r="AB562" s="35"/>
      <c r="AC562" s="35">
        <v>0</v>
      </c>
      <c r="AD562" s="35"/>
      <c r="AE562" s="35">
        <v>0</v>
      </c>
      <c r="AF562" s="35"/>
      <c r="AG562" s="35">
        <v>0</v>
      </c>
      <c r="AH562" s="35"/>
      <c r="AI562" s="37">
        <v>0</v>
      </c>
    </row>
    <row r="563" spans="1:35" x14ac:dyDescent="0.25">
      <c r="A563" s="38" t="s">
        <v>110</v>
      </c>
      <c r="B563" s="39" t="s">
        <v>2140</v>
      </c>
      <c r="C563" s="39" t="s">
        <v>2141</v>
      </c>
      <c r="D563" s="39">
        <v>23292</v>
      </c>
      <c r="E563" s="39" t="s">
        <v>2142</v>
      </c>
      <c r="F563" s="39" t="s">
        <v>2143</v>
      </c>
      <c r="G563" s="39" t="s">
        <v>174</v>
      </c>
      <c r="H563" s="39" t="s">
        <v>160</v>
      </c>
      <c r="I563" s="39" t="s">
        <v>217</v>
      </c>
      <c r="J563" s="39" t="s">
        <v>141</v>
      </c>
      <c r="K563" s="40">
        <v>46059</v>
      </c>
      <c r="L563" s="40">
        <v>45724</v>
      </c>
      <c r="M563" s="40"/>
      <c r="N563" s="40"/>
      <c r="O563" s="40"/>
      <c r="P563" s="40"/>
      <c r="Q563" s="40"/>
      <c r="R563" s="39" t="s">
        <v>218</v>
      </c>
      <c r="S563" s="39" t="s">
        <v>225</v>
      </c>
      <c r="T563" s="39" t="s">
        <v>225</v>
      </c>
      <c r="U563" s="35" t="s">
        <v>88</v>
      </c>
      <c r="V563" s="39" t="s">
        <v>226</v>
      </c>
      <c r="W563" s="39" t="s">
        <v>123</v>
      </c>
      <c r="X563" s="39">
        <v>1596</v>
      </c>
      <c r="Y563" s="39">
        <v>290.18</v>
      </c>
      <c r="Z563" s="39">
        <v>290.18</v>
      </c>
      <c r="AA563" s="39">
        <v>0</v>
      </c>
      <c r="AB563" s="39"/>
      <c r="AC563" s="39">
        <v>0</v>
      </c>
      <c r="AD563" s="39"/>
      <c r="AE563" s="39">
        <v>0</v>
      </c>
      <c r="AF563" s="39"/>
      <c r="AG563" s="39">
        <v>0</v>
      </c>
      <c r="AH563" s="39"/>
      <c r="AI563" s="41">
        <v>0</v>
      </c>
    </row>
    <row r="564" spans="1:35" x14ac:dyDescent="0.25">
      <c r="A564" s="34" t="s">
        <v>110</v>
      </c>
      <c r="B564" s="35" t="s">
        <v>2162</v>
      </c>
      <c r="C564" s="35" t="s">
        <v>2163</v>
      </c>
      <c r="D564" s="35">
        <v>27711</v>
      </c>
      <c r="E564" s="35" t="s">
        <v>2164</v>
      </c>
      <c r="F564" s="35" t="s">
        <v>2165</v>
      </c>
      <c r="G564" s="35" t="s">
        <v>174</v>
      </c>
      <c r="H564" s="35" t="s">
        <v>160</v>
      </c>
      <c r="I564" s="35" t="s">
        <v>217</v>
      </c>
      <c r="J564" s="35" t="s">
        <v>141</v>
      </c>
      <c r="K564" s="36">
        <v>46059</v>
      </c>
      <c r="L564" s="36">
        <v>46061</v>
      </c>
      <c r="M564" s="36"/>
      <c r="N564" s="36"/>
      <c r="O564" s="36"/>
      <c r="P564" s="36"/>
      <c r="Q564" s="36"/>
      <c r="R564" s="35" t="s">
        <v>218</v>
      </c>
      <c r="S564" s="35" t="s">
        <v>225</v>
      </c>
      <c r="T564" s="35" t="s">
        <v>225</v>
      </c>
      <c r="U564" s="35" t="s">
        <v>88</v>
      </c>
      <c r="V564" s="35" t="s">
        <v>226</v>
      </c>
      <c r="W564" s="35" t="s">
        <v>123</v>
      </c>
      <c r="X564" s="35">
        <v>693.48</v>
      </c>
      <c r="Y564" s="35">
        <v>126.08</v>
      </c>
      <c r="Z564" s="35">
        <v>126.08</v>
      </c>
      <c r="AA564" s="35">
        <v>0</v>
      </c>
      <c r="AB564" s="35"/>
      <c r="AC564" s="35">
        <v>0</v>
      </c>
      <c r="AD564" s="35"/>
      <c r="AE564" s="35">
        <v>0</v>
      </c>
      <c r="AF564" s="35"/>
      <c r="AG564" s="35">
        <v>0</v>
      </c>
      <c r="AH564" s="35"/>
      <c r="AI564" s="37">
        <v>0</v>
      </c>
    </row>
    <row r="565" spans="1:35" x14ac:dyDescent="0.25">
      <c r="A565" s="38" t="s">
        <v>110</v>
      </c>
      <c r="B565" s="39" t="s">
        <v>1374</v>
      </c>
      <c r="C565" s="39" t="s">
        <v>1375</v>
      </c>
      <c r="D565" s="39">
        <v>28903</v>
      </c>
      <c r="E565" s="39" t="s">
        <v>1376</v>
      </c>
      <c r="F565" s="39" t="s">
        <v>1377</v>
      </c>
      <c r="G565" s="39" t="s">
        <v>174</v>
      </c>
      <c r="H565" s="39" t="s">
        <v>160</v>
      </c>
      <c r="I565" s="39" t="s">
        <v>217</v>
      </c>
      <c r="J565" s="39" t="s">
        <v>118</v>
      </c>
      <c r="K565" s="40">
        <v>46059</v>
      </c>
      <c r="L565" s="40">
        <v>45929</v>
      </c>
      <c r="M565" s="40">
        <v>46060</v>
      </c>
      <c r="N565" s="40"/>
      <c r="O565" s="40"/>
      <c r="P565" s="40"/>
      <c r="Q565" s="40">
        <v>46068</v>
      </c>
      <c r="R565" s="39" t="s">
        <v>218</v>
      </c>
      <c r="S565" s="39" t="s">
        <v>225</v>
      </c>
      <c r="T565" s="39" t="s">
        <v>225</v>
      </c>
      <c r="U565" s="35" t="s">
        <v>88</v>
      </c>
      <c r="V565" s="39" t="s">
        <v>226</v>
      </c>
      <c r="W565" s="39" t="s">
        <v>123</v>
      </c>
      <c r="X565" s="39">
        <v>-970.87</v>
      </c>
      <c r="Y565" s="39">
        <v>176.52</v>
      </c>
      <c r="Z565" s="39">
        <v>176.52</v>
      </c>
      <c r="AA565" s="39">
        <v>0</v>
      </c>
      <c r="AB565" s="39"/>
      <c r="AC565" s="39">
        <v>0</v>
      </c>
      <c r="AD565" s="39"/>
      <c r="AE565" s="39">
        <v>0</v>
      </c>
      <c r="AF565" s="39"/>
      <c r="AG565" s="39">
        <v>0</v>
      </c>
      <c r="AH565" s="39"/>
      <c r="AI565" s="41">
        <v>0</v>
      </c>
    </row>
    <row r="566" spans="1:35" x14ac:dyDescent="0.25">
      <c r="A566" s="34" t="s">
        <v>110</v>
      </c>
      <c r="B566" s="35" t="s">
        <v>227</v>
      </c>
      <c r="C566" s="35" t="s">
        <v>228</v>
      </c>
      <c r="D566" s="35">
        <v>30529</v>
      </c>
      <c r="E566" s="35" t="s">
        <v>229</v>
      </c>
      <c r="F566" s="35" t="s">
        <v>230</v>
      </c>
      <c r="G566" s="35" t="s">
        <v>174</v>
      </c>
      <c r="H566" s="35" t="s">
        <v>160</v>
      </c>
      <c r="I566" s="35" t="s">
        <v>217</v>
      </c>
      <c r="J566" s="35" t="s">
        <v>141</v>
      </c>
      <c r="K566" s="36">
        <v>46059</v>
      </c>
      <c r="L566" s="36">
        <v>46088</v>
      </c>
      <c r="M566" s="36"/>
      <c r="N566" s="36"/>
      <c r="O566" s="36"/>
      <c r="P566" s="36"/>
      <c r="Q566" s="36"/>
      <c r="R566" s="35" t="s">
        <v>218</v>
      </c>
      <c r="S566" s="35" t="s">
        <v>225</v>
      </c>
      <c r="T566" s="35" t="s">
        <v>225</v>
      </c>
      <c r="U566" s="35" t="s">
        <v>88</v>
      </c>
      <c r="V566" s="35" t="s">
        <v>226</v>
      </c>
      <c r="W566" s="35" t="s">
        <v>123</v>
      </c>
      <c r="X566" s="35">
        <v>693.48</v>
      </c>
      <c r="Y566" s="35">
        <v>126.08</v>
      </c>
      <c r="Z566" s="35">
        <v>126.08</v>
      </c>
      <c r="AA566" s="35">
        <v>0</v>
      </c>
      <c r="AB566" s="35"/>
      <c r="AC566" s="35">
        <v>0</v>
      </c>
      <c r="AD566" s="35"/>
      <c r="AE566" s="35">
        <v>0</v>
      </c>
      <c r="AF566" s="35"/>
      <c r="AG566" s="35">
        <v>0</v>
      </c>
      <c r="AH566" s="35"/>
      <c r="AI566" s="37">
        <v>0</v>
      </c>
    </row>
    <row r="567" spans="1:35" x14ac:dyDescent="0.25">
      <c r="A567" s="38" t="s">
        <v>110</v>
      </c>
      <c r="B567" s="39" t="s">
        <v>243</v>
      </c>
      <c r="C567" s="39" t="s">
        <v>244</v>
      </c>
      <c r="D567" s="39">
        <v>30520</v>
      </c>
      <c r="E567" s="39" t="s">
        <v>249</v>
      </c>
      <c r="F567" s="39" t="s">
        <v>250</v>
      </c>
      <c r="G567" s="39" t="s">
        <v>174</v>
      </c>
      <c r="H567" s="39" t="s">
        <v>160</v>
      </c>
      <c r="I567" s="39" t="s">
        <v>217</v>
      </c>
      <c r="J567" s="39" t="s">
        <v>118</v>
      </c>
      <c r="K567" s="40">
        <v>46059</v>
      </c>
      <c r="L567" s="40">
        <v>45689</v>
      </c>
      <c r="M567" s="40">
        <v>46065</v>
      </c>
      <c r="N567" s="40"/>
      <c r="O567" s="40"/>
      <c r="P567" s="40"/>
      <c r="Q567" s="40">
        <v>46068</v>
      </c>
      <c r="R567" s="39" t="s">
        <v>218</v>
      </c>
      <c r="S567" s="39" t="s">
        <v>225</v>
      </c>
      <c r="T567" s="39" t="s">
        <v>225</v>
      </c>
      <c r="U567" s="35" t="s">
        <v>88</v>
      </c>
      <c r="V567" s="39" t="s">
        <v>226</v>
      </c>
      <c r="W567" s="39" t="s">
        <v>123</v>
      </c>
      <c r="X567" s="39">
        <v>4014.61</v>
      </c>
      <c r="Y567" s="39">
        <v>729.93</v>
      </c>
      <c r="Z567" s="39">
        <v>729.93</v>
      </c>
      <c r="AA567" s="39">
        <v>0</v>
      </c>
      <c r="AB567" s="39"/>
      <c r="AC567" s="39">
        <v>0</v>
      </c>
      <c r="AD567" s="39"/>
      <c r="AE567" s="39">
        <v>0</v>
      </c>
      <c r="AF567" s="39"/>
      <c r="AG567" s="39">
        <v>0</v>
      </c>
      <c r="AH567" s="39"/>
      <c r="AI567" s="41">
        <v>0</v>
      </c>
    </row>
    <row r="568" spans="1:35" x14ac:dyDescent="0.25">
      <c r="A568" s="34" t="s">
        <v>110</v>
      </c>
      <c r="B568" s="35" t="s">
        <v>255</v>
      </c>
      <c r="C568" s="35" t="s">
        <v>256</v>
      </c>
      <c r="D568" s="35">
        <v>30559</v>
      </c>
      <c r="E568" s="35" t="s">
        <v>257</v>
      </c>
      <c r="F568" s="35" t="s">
        <v>258</v>
      </c>
      <c r="G568" s="35" t="s">
        <v>174</v>
      </c>
      <c r="H568" s="35" t="s">
        <v>160</v>
      </c>
      <c r="I568" s="35" t="s">
        <v>217</v>
      </c>
      <c r="J568" s="35" t="s">
        <v>118</v>
      </c>
      <c r="K568" s="36">
        <v>46059</v>
      </c>
      <c r="L568" s="36">
        <v>46072</v>
      </c>
      <c r="M568" s="36">
        <v>46058</v>
      </c>
      <c r="N568" s="36"/>
      <c r="O568" s="36"/>
      <c r="P568" s="36"/>
      <c r="Q568" s="36">
        <v>46068</v>
      </c>
      <c r="R568" s="35" t="s">
        <v>218</v>
      </c>
      <c r="S568" s="35" t="s">
        <v>225</v>
      </c>
      <c r="T568" s="35" t="s">
        <v>225</v>
      </c>
      <c r="U568" s="35" t="s">
        <v>88</v>
      </c>
      <c r="V568" s="35" t="s">
        <v>226</v>
      </c>
      <c r="W568" s="35" t="s">
        <v>123</v>
      </c>
      <c r="X568" s="35">
        <v>977.9</v>
      </c>
      <c r="Y568" s="35">
        <v>177.8</v>
      </c>
      <c r="Z568" s="35">
        <v>177.8</v>
      </c>
      <c r="AA568" s="35">
        <v>0</v>
      </c>
      <c r="AB568" s="35"/>
      <c r="AC568" s="35">
        <v>0</v>
      </c>
      <c r="AD568" s="35"/>
      <c r="AE568" s="35">
        <v>0</v>
      </c>
      <c r="AF568" s="35"/>
      <c r="AG568" s="35">
        <v>0</v>
      </c>
      <c r="AH568" s="35"/>
      <c r="AI568" s="37">
        <v>0</v>
      </c>
    </row>
    <row r="569" spans="1:35" x14ac:dyDescent="0.25">
      <c r="A569" s="38" t="s">
        <v>110</v>
      </c>
      <c r="B569" s="39" t="s">
        <v>275</v>
      </c>
      <c r="C569" s="39" t="s">
        <v>276</v>
      </c>
      <c r="D569" s="39">
        <v>30643</v>
      </c>
      <c r="E569" s="39" t="s">
        <v>277</v>
      </c>
      <c r="F569" s="39" t="s">
        <v>278</v>
      </c>
      <c r="G569" s="39" t="s">
        <v>174</v>
      </c>
      <c r="H569" s="39" t="s">
        <v>160</v>
      </c>
      <c r="I569" s="39" t="s">
        <v>217</v>
      </c>
      <c r="J569" s="39" t="s">
        <v>118</v>
      </c>
      <c r="K569" s="40">
        <v>46059</v>
      </c>
      <c r="L569" s="40">
        <v>46073</v>
      </c>
      <c r="M569" s="40">
        <v>46070</v>
      </c>
      <c r="N569" s="40"/>
      <c r="O569" s="40"/>
      <c r="P569" s="40"/>
      <c r="Q569" s="40"/>
      <c r="R569" s="39" t="s">
        <v>218</v>
      </c>
      <c r="S569" s="39" t="s">
        <v>225</v>
      </c>
      <c r="T569" s="39" t="s">
        <v>225</v>
      </c>
      <c r="U569" s="35" t="s">
        <v>88</v>
      </c>
      <c r="V569" s="39" t="s">
        <v>226</v>
      </c>
      <c r="W569" s="39" t="s">
        <v>123</v>
      </c>
      <c r="X569" s="39">
        <v>693.48</v>
      </c>
      <c r="Y569" s="39">
        <v>126.08</v>
      </c>
      <c r="Z569" s="39">
        <v>126.08</v>
      </c>
      <c r="AA569" s="39">
        <v>0</v>
      </c>
      <c r="AB569" s="39"/>
      <c r="AC569" s="39">
        <v>0</v>
      </c>
      <c r="AD569" s="39"/>
      <c r="AE569" s="39">
        <v>0</v>
      </c>
      <c r="AF569" s="39"/>
      <c r="AG569" s="39">
        <v>0</v>
      </c>
      <c r="AH569" s="39"/>
      <c r="AI569" s="41">
        <v>0</v>
      </c>
    </row>
    <row r="570" spans="1:35" x14ac:dyDescent="0.25">
      <c r="A570" s="34" t="s">
        <v>110</v>
      </c>
      <c r="B570" s="35" t="s">
        <v>283</v>
      </c>
      <c r="C570" s="35" t="s">
        <v>284</v>
      </c>
      <c r="D570" s="35">
        <v>30741</v>
      </c>
      <c r="E570" s="35" t="s">
        <v>285</v>
      </c>
      <c r="F570" s="35" t="s">
        <v>286</v>
      </c>
      <c r="G570" s="35" t="s">
        <v>174</v>
      </c>
      <c r="H570" s="35" t="s">
        <v>160</v>
      </c>
      <c r="I570" s="35" t="s">
        <v>217</v>
      </c>
      <c r="J570" s="35" t="s">
        <v>141</v>
      </c>
      <c r="K570" s="36">
        <v>46059</v>
      </c>
      <c r="L570" s="36">
        <v>46091</v>
      </c>
      <c r="M570" s="36"/>
      <c r="N570" s="36"/>
      <c r="O570" s="36"/>
      <c r="P570" s="36"/>
      <c r="Q570" s="36"/>
      <c r="R570" s="35" t="s">
        <v>218</v>
      </c>
      <c r="S570" s="35" t="s">
        <v>225</v>
      </c>
      <c r="T570" s="35" t="s">
        <v>225</v>
      </c>
      <c r="U570" s="35" t="s">
        <v>88</v>
      </c>
      <c r="V570" s="35" t="s">
        <v>226</v>
      </c>
      <c r="W570" s="35" t="s">
        <v>123</v>
      </c>
      <c r="X570" s="35">
        <v>6090</v>
      </c>
      <c r="Y570" s="35">
        <v>1107.28</v>
      </c>
      <c r="Z570" s="35">
        <v>1107.28</v>
      </c>
      <c r="AA570" s="35">
        <v>0</v>
      </c>
      <c r="AB570" s="35"/>
      <c r="AC570" s="35">
        <v>0</v>
      </c>
      <c r="AD570" s="35"/>
      <c r="AE570" s="35">
        <v>0</v>
      </c>
      <c r="AF570" s="35"/>
      <c r="AG570" s="35">
        <v>0</v>
      </c>
      <c r="AH570" s="35"/>
      <c r="AI570" s="37">
        <v>0</v>
      </c>
    </row>
    <row r="571" spans="1:35" x14ac:dyDescent="0.25">
      <c r="A571" s="38" t="s">
        <v>110</v>
      </c>
      <c r="B571" s="39" t="s">
        <v>283</v>
      </c>
      <c r="C571" s="39" t="s">
        <v>284</v>
      </c>
      <c r="D571" s="39">
        <v>30741</v>
      </c>
      <c r="E571" s="39" t="s">
        <v>287</v>
      </c>
      <c r="F571" s="39" t="s">
        <v>288</v>
      </c>
      <c r="G571" s="39" t="s">
        <v>174</v>
      </c>
      <c r="H571" s="39" t="s">
        <v>160</v>
      </c>
      <c r="I571" s="39" t="s">
        <v>217</v>
      </c>
      <c r="J571" s="39" t="s">
        <v>141</v>
      </c>
      <c r="K571" s="40">
        <v>46059</v>
      </c>
      <c r="L571" s="40">
        <v>46091</v>
      </c>
      <c r="M571" s="40"/>
      <c r="N571" s="40"/>
      <c r="O571" s="40"/>
      <c r="P571" s="40"/>
      <c r="Q571" s="40"/>
      <c r="R571" s="39" t="s">
        <v>218</v>
      </c>
      <c r="S571" s="39" t="s">
        <v>225</v>
      </c>
      <c r="T571" s="39" t="s">
        <v>225</v>
      </c>
      <c r="U571" s="35" t="s">
        <v>88</v>
      </c>
      <c r="V571" s="39" t="s">
        <v>226</v>
      </c>
      <c r="W571" s="39" t="s">
        <v>123</v>
      </c>
      <c r="X571" s="39">
        <v>6090</v>
      </c>
      <c r="Y571" s="39">
        <v>1107.28</v>
      </c>
      <c r="Z571" s="39">
        <v>1107.28</v>
      </c>
      <c r="AA571" s="39">
        <v>0</v>
      </c>
      <c r="AB571" s="39"/>
      <c r="AC571" s="39">
        <v>0</v>
      </c>
      <c r="AD571" s="39"/>
      <c r="AE571" s="39">
        <v>0</v>
      </c>
      <c r="AF571" s="39"/>
      <c r="AG571" s="39">
        <v>0</v>
      </c>
      <c r="AH571" s="39"/>
      <c r="AI571" s="41">
        <v>0</v>
      </c>
    </row>
    <row r="572" spans="1:35" x14ac:dyDescent="0.25">
      <c r="A572" s="34" t="s">
        <v>110</v>
      </c>
      <c r="B572" s="35" t="s">
        <v>283</v>
      </c>
      <c r="C572" s="35" t="s">
        <v>284</v>
      </c>
      <c r="D572" s="35">
        <v>30741</v>
      </c>
      <c r="E572" s="35" t="s">
        <v>289</v>
      </c>
      <c r="F572" s="35" t="s">
        <v>290</v>
      </c>
      <c r="G572" s="35" t="s">
        <v>174</v>
      </c>
      <c r="H572" s="35" t="s">
        <v>160</v>
      </c>
      <c r="I572" s="35" t="s">
        <v>217</v>
      </c>
      <c r="J572" s="35" t="s">
        <v>141</v>
      </c>
      <c r="K572" s="36">
        <v>46059</v>
      </c>
      <c r="L572" s="36">
        <v>46091</v>
      </c>
      <c r="M572" s="36"/>
      <c r="N572" s="36"/>
      <c r="O572" s="36"/>
      <c r="P572" s="36"/>
      <c r="Q572" s="36"/>
      <c r="R572" s="35" t="s">
        <v>218</v>
      </c>
      <c r="S572" s="35" t="s">
        <v>225</v>
      </c>
      <c r="T572" s="35" t="s">
        <v>225</v>
      </c>
      <c r="U572" s="35" t="s">
        <v>88</v>
      </c>
      <c r="V572" s="35" t="s">
        <v>226</v>
      </c>
      <c r="W572" s="35" t="s">
        <v>123</v>
      </c>
      <c r="X572" s="35">
        <v>6090</v>
      </c>
      <c r="Y572" s="35">
        <v>1107.28</v>
      </c>
      <c r="Z572" s="35">
        <v>1107.28</v>
      </c>
      <c r="AA572" s="35">
        <v>0</v>
      </c>
      <c r="AB572" s="35"/>
      <c r="AC572" s="35">
        <v>0</v>
      </c>
      <c r="AD572" s="35"/>
      <c r="AE572" s="35">
        <v>0</v>
      </c>
      <c r="AF572" s="35"/>
      <c r="AG572" s="35">
        <v>0</v>
      </c>
      <c r="AH572" s="35"/>
      <c r="AI572" s="37">
        <v>0</v>
      </c>
    </row>
    <row r="573" spans="1:35" x14ac:dyDescent="0.25">
      <c r="A573" s="38" t="s">
        <v>110</v>
      </c>
      <c r="B573" s="39" t="s">
        <v>283</v>
      </c>
      <c r="C573" s="39" t="s">
        <v>284</v>
      </c>
      <c r="D573" s="39">
        <v>30741</v>
      </c>
      <c r="E573" s="39" t="s">
        <v>291</v>
      </c>
      <c r="F573" s="39" t="s">
        <v>292</v>
      </c>
      <c r="G573" s="39" t="s">
        <v>174</v>
      </c>
      <c r="H573" s="39" t="s">
        <v>160</v>
      </c>
      <c r="I573" s="39" t="s">
        <v>217</v>
      </c>
      <c r="J573" s="39" t="s">
        <v>141</v>
      </c>
      <c r="K573" s="40">
        <v>46059</v>
      </c>
      <c r="L573" s="40">
        <v>46091</v>
      </c>
      <c r="M573" s="40"/>
      <c r="N573" s="40"/>
      <c r="O573" s="40"/>
      <c r="P573" s="40"/>
      <c r="Q573" s="40"/>
      <c r="R573" s="39" t="s">
        <v>218</v>
      </c>
      <c r="S573" s="39" t="s">
        <v>225</v>
      </c>
      <c r="T573" s="39" t="s">
        <v>225</v>
      </c>
      <c r="U573" s="35" t="s">
        <v>88</v>
      </c>
      <c r="V573" s="39" t="s">
        <v>226</v>
      </c>
      <c r="W573" s="39" t="s">
        <v>123</v>
      </c>
      <c r="X573" s="39">
        <v>6090</v>
      </c>
      <c r="Y573" s="39">
        <v>1107.28</v>
      </c>
      <c r="Z573" s="39">
        <v>1107.28</v>
      </c>
      <c r="AA573" s="39">
        <v>0</v>
      </c>
      <c r="AB573" s="39"/>
      <c r="AC573" s="39">
        <v>0</v>
      </c>
      <c r="AD573" s="39"/>
      <c r="AE573" s="39">
        <v>0</v>
      </c>
      <c r="AF573" s="39"/>
      <c r="AG573" s="39">
        <v>0</v>
      </c>
      <c r="AH573" s="39"/>
      <c r="AI573" s="41">
        <v>0</v>
      </c>
    </row>
    <row r="574" spans="1:35" x14ac:dyDescent="0.25">
      <c r="A574" s="34" t="s">
        <v>110</v>
      </c>
      <c r="B574" s="35" t="s">
        <v>1323</v>
      </c>
      <c r="C574" s="35" t="s">
        <v>1900</v>
      </c>
      <c r="D574" s="35">
        <v>32274</v>
      </c>
      <c r="E574" s="35" t="s">
        <v>1901</v>
      </c>
      <c r="F574" s="35" t="s">
        <v>1902</v>
      </c>
      <c r="G574" s="35" t="s">
        <v>174</v>
      </c>
      <c r="H574" s="35" t="s">
        <v>160</v>
      </c>
      <c r="I574" s="35" t="s">
        <v>217</v>
      </c>
      <c r="J574" s="35" t="s">
        <v>141</v>
      </c>
      <c r="K574" s="36">
        <v>46059</v>
      </c>
      <c r="L574" s="36">
        <v>45994</v>
      </c>
      <c r="M574" s="36"/>
      <c r="N574" s="36"/>
      <c r="O574" s="36"/>
      <c r="P574" s="36"/>
      <c r="Q574" s="36"/>
      <c r="R574" s="35" t="s">
        <v>218</v>
      </c>
      <c r="S574" s="35" t="s">
        <v>1018</v>
      </c>
      <c r="T574" s="35" t="s">
        <v>1018</v>
      </c>
      <c r="U574" s="35" t="s">
        <v>82</v>
      </c>
      <c r="V574" s="35" t="s">
        <v>226</v>
      </c>
      <c r="W574" s="35" t="s">
        <v>123</v>
      </c>
      <c r="X574" s="35">
        <v>1432.93</v>
      </c>
      <c r="Y574" s="35">
        <v>260.52999999999997</v>
      </c>
      <c r="Z574" s="35">
        <v>260.52999999999997</v>
      </c>
      <c r="AA574" s="35">
        <v>0</v>
      </c>
      <c r="AB574" s="35"/>
      <c r="AC574" s="35">
        <v>0</v>
      </c>
      <c r="AD574" s="35"/>
      <c r="AE574" s="35">
        <v>0</v>
      </c>
      <c r="AF574" s="35"/>
      <c r="AG574" s="35">
        <v>0</v>
      </c>
      <c r="AH574" s="35"/>
      <c r="AI574" s="37">
        <v>0</v>
      </c>
    </row>
    <row r="575" spans="1:35" x14ac:dyDescent="0.25">
      <c r="A575" s="38" t="s">
        <v>110</v>
      </c>
      <c r="B575" s="39" t="s">
        <v>1915</v>
      </c>
      <c r="C575" s="39" t="s">
        <v>1916</v>
      </c>
      <c r="D575" s="39">
        <v>32277</v>
      </c>
      <c r="E575" s="39" t="s">
        <v>1917</v>
      </c>
      <c r="F575" s="39" t="s">
        <v>1918</v>
      </c>
      <c r="G575" s="39" t="s">
        <v>174</v>
      </c>
      <c r="H575" s="39" t="s">
        <v>160</v>
      </c>
      <c r="I575" s="39" t="s">
        <v>217</v>
      </c>
      <c r="J575" s="39" t="s">
        <v>141</v>
      </c>
      <c r="K575" s="40">
        <v>46059</v>
      </c>
      <c r="L575" s="40">
        <v>45994</v>
      </c>
      <c r="M575" s="40"/>
      <c r="N575" s="40"/>
      <c r="O575" s="40"/>
      <c r="P575" s="40"/>
      <c r="Q575" s="40"/>
      <c r="R575" s="39" t="s">
        <v>218</v>
      </c>
      <c r="S575" s="39" t="s">
        <v>1018</v>
      </c>
      <c r="T575" s="39" t="s">
        <v>1018</v>
      </c>
      <c r="U575" s="35" t="s">
        <v>82</v>
      </c>
      <c r="V575" s="39" t="s">
        <v>226</v>
      </c>
      <c r="W575" s="39" t="s">
        <v>123</v>
      </c>
      <c r="X575" s="39">
        <v>291.8</v>
      </c>
      <c r="Y575" s="39">
        <v>53.06</v>
      </c>
      <c r="Z575" s="39">
        <v>53.06</v>
      </c>
      <c r="AA575" s="39">
        <v>0</v>
      </c>
      <c r="AB575" s="39"/>
      <c r="AC575" s="39">
        <v>0</v>
      </c>
      <c r="AD575" s="39"/>
      <c r="AE575" s="39">
        <v>0</v>
      </c>
      <c r="AF575" s="39"/>
      <c r="AG575" s="39">
        <v>0</v>
      </c>
      <c r="AH575" s="39"/>
      <c r="AI575" s="41">
        <v>0</v>
      </c>
    </row>
    <row r="576" spans="1:35" x14ac:dyDescent="0.25">
      <c r="A576" s="34" t="s">
        <v>110</v>
      </c>
      <c r="B576" s="35" t="s">
        <v>1919</v>
      </c>
      <c r="C576" s="35" t="s">
        <v>1920</v>
      </c>
      <c r="D576" s="35">
        <v>32279</v>
      </c>
      <c r="E576" s="35" t="s">
        <v>1921</v>
      </c>
      <c r="F576" s="35" t="s">
        <v>1922</v>
      </c>
      <c r="G576" s="35" t="s">
        <v>174</v>
      </c>
      <c r="H576" s="35" t="s">
        <v>160</v>
      </c>
      <c r="I576" s="35" t="s">
        <v>217</v>
      </c>
      <c r="J576" s="35" t="s">
        <v>141</v>
      </c>
      <c r="K576" s="36">
        <v>46059</v>
      </c>
      <c r="L576" s="36">
        <v>45994</v>
      </c>
      <c r="M576" s="36"/>
      <c r="N576" s="36"/>
      <c r="O576" s="36"/>
      <c r="P576" s="36"/>
      <c r="Q576" s="36"/>
      <c r="R576" s="35" t="s">
        <v>218</v>
      </c>
      <c r="S576" s="35" t="s">
        <v>1018</v>
      </c>
      <c r="T576" s="35" t="s">
        <v>1018</v>
      </c>
      <c r="U576" s="35" t="s">
        <v>82</v>
      </c>
      <c r="V576" s="35" t="s">
        <v>226</v>
      </c>
      <c r="W576" s="35" t="s">
        <v>123</v>
      </c>
      <c r="X576" s="35">
        <v>3576.13</v>
      </c>
      <c r="Y576" s="35">
        <v>650.20000000000005</v>
      </c>
      <c r="Z576" s="35">
        <v>650.20000000000005</v>
      </c>
      <c r="AA576" s="35">
        <v>0</v>
      </c>
      <c r="AB576" s="35"/>
      <c r="AC576" s="35">
        <v>0</v>
      </c>
      <c r="AD576" s="35"/>
      <c r="AE576" s="35">
        <v>0</v>
      </c>
      <c r="AF576" s="35"/>
      <c r="AG576" s="35">
        <v>0</v>
      </c>
      <c r="AH576" s="35"/>
      <c r="AI576" s="37">
        <v>0</v>
      </c>
    </row>
    <row r="577" spans="1:35" x14ac:dyDescent="0.25">
      <c r="A577" s="38" t="s">
        <v>110</v>
      </c>
      <c r="B577" s="39" t="s">
        <v>1109</v>
      </c>
      <c r="C577" s="39" t="s">
        <v>1934</v>
      </c>
      <c r="D577" s="39">
        <v>32618</v>
      </c>
      <c r="E577" s="39" t="s">
        <v>1935</v>
      </c>
      <c r="F577" s="39" t="s">
        <v>1936</v>
      </c>
      <c r="G577" s="39" t="s">
        <v>174</v>
      </c>
      <c r="H577" s="39" t="s">
        <v>160</v>
      </c>
      <c r="I577" s="39" t="s">
        <v>217</v>
      </c>
      <c r="J577" s="39" t="s">
        <v>118</v>
      </c>
      <c r="K577" s="40">
        <v>46059</v>
      </c>
      <c r="L577" s="40">
        <v>46056</v>
      </c>
      <c r="M577" s="40">
        <v>46072</v>
      </c>
      <c r="N577" s="40"/>
      <c r="O577" s="40"/>
      <c r="P577" s="40"/>
      <c r="Q577" s="40"/>
      <c r="R577" s="39" t="s">
        <v>218</v>
      </c>
      <c r="S577" s="39" t="s">
        <v>1018</v>
      </c>
      <c r="T577" s="39" t="s">
        <v>1018</v>
      </c>
      <c r="U577" s="35" t="s">
        <v>82</v>
      </c>
      <c r="V577" s="39" t="s">
        <v>226</v>
      </c>
      <c r="W577" s="39" t="s">
        <v>123</v>
      </c>
      <c r="X577" s="39">
        <v>4108</v>
      </c>
      <c r="Y577" s="39">
        <v>746.9</v>
      </c>
      <c r="Z577" s="39">
        <v>746.9</v>
      </c>
      <c r="AA577" s="39">
        <v>0</v>
      </c>
      <c r="AB577" s="39"/>
      <c r="AC577" s="39">
        <v>0</v>
      </c>
      <c r="AD577" s="39"/>
      <c r="AE577" s="39">
        <v>0</v>
      </c>
      <c r="AF577" s="39"/>
      <c r="AG577" s="39">
        <v>0</v>
      </c>
      <c r="AH577" s="39"/>
      <c r="AI577" s="41">
        <v>0</v>
      </c>
    </row>
    <row r="578" spans="1:35" x14ac:dyDescent="0.25">
      <c r="A578" s="34" t="s">
        <v>110</v>
      </c>
      <c r="B578" s="35" t="s">
        <v>1109</v>
      </c>
      <c r="C578" s="35" t="s">
        <v>1934</v>
      </c>
      <c r="D578" s="35">
        <v>32618</v>
      </c>
      <c r="E578" s="35" t="s">
        <v>1937</v>
      </c>
      <c r="F578" s="35" t="s">
        <v>1938</v>
      </c>
      <c r="G578" s="35" t="s">
        <v>174</v>
      </c>
      <c r="H578" s="35" t="s">
        <v>160</v>
      </c>
      <c r="I578" s="35" t="s">
        <v>217</v>
      </c>
      <c r="J578" s="35" t="s">
        <v>141</v>
      </c>
      <c r="K578" s="36">
        <v>46059</v>
      </c>
      <c r="L578" s="36">
        <v>46056</v>
      </c>
      <c r="M578" s="36"/>
      <c r="N578" s="36"/>
      <c r="O578" s="36"/>
      <c r="P578" s="36"/>
      <c r="Q578" s="36"/>
      <c r="R578" s="35" t="s">
        <v>218</v>
      </c>
      <c r="S578" s="35" t="s">
        <v>1018</v>
      </c>
      <c r="T578" s="35" t="s">
        <v>1018</v>
      </c>
      <c r="U578" s="35" t="s">
        <v>82</v>
      </c>
      <c r="V578" s="35" t="s">
        <v>226</v>
      </c>
      <c r="W578" s="35" t="s">
        <v>123</v>
      </c>
      <c r="X578" s="35">
        <v>4108</v>
      </c>
      <c r="Y578" s="35">
        <v>746.9</v>
      </c>
      <c r="Z578" s="35">
        <v>746.9</v>
      </c>
      <c r="AA578" s="35">
        <v>0</v>
      </c>
      <c r="AB578" s="35"/>
      <c r="AC578" s="35">
        <v>0</v>
      </c>
      <c r="AD578" s="35"/>
      <c r="AE578" s="35">
        <v>0</v>
      </c>
      <c r="AF578" s="35"/>
      <c r="AG578" s="35">
        <v>0</v>
      </c>
      <c r="AH578" s="35"/>
      <c r="AI578" s="37">
        <v>0</v>
      </c>
    </row>
    <row r="579" spans="1:35" x14ac:dyDescent="0.25">
      <c r="A579" s="38" t="s">
        <v>110</v>
      </c>
      <c r="B579" s="39" t="s">
        <v>2009</v>
      </c>
      <c r="C579" s="39" t="s">
        <v>2010</v>
      </c>
      <c r="D579" s="39">
        <v>32621</v>
      </c>
      <c r="E579" s="39" t="s">
        <v>2013</v>
      </c>
      <c r="F579" s="39" t="s">
        <v>2014</v>
      </c>
      <c r="G579" s="39" t="s">
        <v>174</v>
      </c>
      <c r="H579" s="39" t="s">
        <v>160</v>
      </c>
      <c r="I579" s="39" t="s">
        <v>217</v>
      </c>
      <c r="J579" s="39" t="s">
        <v>118</v>
      </c>
      <c r="K579" s="40">
        <v>46059</v>
      </c>
      <c r="L579" s="40">
        <v>46056</v>
      </c>
      <c r="M579" s="40">
        <v>46072</v>
      </c>
      <c r="N579" s="40"/>
      <c r="O579" s="40"/>
      <c r="P579" s="40"/>
      <c r="Q579" s="40"/>
      <c r="R579" s="39" t="s">
        <v>218</v>
      </c>
      <c r="S579" s="39" t="s">
        <v>1018</v>
      </c>
      <c r="T579" s="39" t="s">
        <v>1018</v>
      </c>
      <c r="U579" s="35" t="s">
        <v>82</v>
      </c>
      <c r="V579" s="39" t="s">
        <v>226</v>
      </c>
      <c r="W579" s="39" t="s">
        <v>123</v>
      </c>
      <c r="X579" s="39">
        <v>369.86</v>
      </c>
      <c r="Y579" s="39">
        <v>67.239999999999995</v>
      </c>
      <c r="Z579" s="39">
        <v>67.239999999999995</v>
      </c>
      <c r="AA579" s="39">
        <v>0</v>
      </c>
      <c r="AB579" s="39"/>
      <c r="AC579" s="39">
        <v>0</v>
      </c>
      <c r="AD579" s="39"/>
      <c r="AE579" s="39">
        <v>0</v>
      </c>
      <c r="AF579" s="39"/>
      <c r="AG579" s="39">
        <v>0</v>
      </c>
      <c r="AH579" s="39"/>
      <c r="AI579" s="41">
        <v>0</v>
      </c>
    </row>
    <row r="580" spans="1:35" x14ac:dyDescent="0.25">
      <c r="A580" s="34" t="s">
        <v>110</v>
      </c>
      <c r="B580" s="35" t="s">
        <v>2009</v>
      </c>
      <c r="C580" s="35" t="s">
        <v>2010</v>
      </c>
      <c r="D580" s="35">
        <v>32621</v>
      </c>
      <c r="E580" s="35" t="s">
        <v>2011</v>
      </c>
      <c r="F580" s="35" t="s">
        <v>2012</v>
      </c>
      <c r="G580" s="35" t="s">
        <v>174</v>
      </c>
      <c r="H580" s="35" t="s">
        <v>160</v>
      </c>
      <c r="I580" s="35" t="s">
        <v>217</v>
      </c>
      <c r="J580" s="35" t="s">
        <v>118</v>
      </c>
      <c r="K580" s="36">
        <v>46059</v>
      </c>
      <c r="L580" s="36">
        <v>46056</v>
      </c>
      <c r="M580" s="36">
        <v>46072</v>
      </c>
      <c r="N580" s="36"/>
      <c r="O580" s="36"/>
      <c r="P580" s="36"/>
      <c r="Q580" s="36"/>
      <c r="R580" s="35" t="s">
        <v>218</v>
      </c>
      <c r="S580" s="35" t="s">
        <v>1018</v>
      </c>
      <c r="T580" s="35" t="s">
        <v>1018</v>
      </c>
      <c r="U580" s="35" t="s">
        <v>82</v>
      </c>
      <c r="V580" s="35" t="s">
        <v>226</v>
      </c>
      <c r="W580" s="35" t="s">
        <v>123</v>
      </c>
      <c r="X580" s="35">
        <v>1811.47</v>
      </c>
      <c r="Y580" s="35">
        <v>329.36</v>
      </c>
      <c r="Z580" s="35">
        <v>329.36</v>
      </c>
      <c r="AA580" s="35">
        <v>0</v>
      </c>
      <c r="AB580" s="35"/>
      <c r="AC580" s="35">
        <v>0</v>
      </c>
      <c r="AD580" s="35"/>
      <c r="AE580" s="35">
        <v>0</v>
      </c>
      <c r="AF580" s="35"/>
      <c r="AG580" s="35">
        <v>0</v>
      </c>
      <c r="AH580" s="35"/>
      <c r="AI580" s="37">
        <v>0</v>
      </c>
    </row>
    <row r="581" spans="1:35" x14ac:dyDescent="0.25">
      <c r="A581" s="38" t="s">
        <v>110</v>
      </c>
      <c r="B581" s="39" t="s">
        <v>2015</v>
      </c>
      <c r="C581" s="39" t="s">
        <v>2016</v>
      </c>
      <c r="D581" s="39">
        <v>32622</v>
      </c>
      <c r="E581" s="39" t="s">
        <v>2017</v>
      </c>
      <c r="F581" s="39" t="s">
        <v>2018</v>
      </c>
      <c r="G581" s="39" t="s">
        <v>174</v>
      </c>
      <c r="H581" s="39" t="s">
        <v>160</v>
      </c>
      <c r="I581" s="39" t="s">
        <v>217</v>
      </c>
      <c r="J581" s="39" t="s">
        <v>141</v>
      </c>
      <c r="K581" s="40">
        <v>46059</v>
      </c>
      <c r="L581" s="40">
        <v>46056</v>
      </c>
      <c r="M581" s="40"/>
      <c r="N581" s="40"/>
      <c r="O581" s="40"/>
      <c r="P581" s="40"/>
      <c r="Q581" s="40"/>
      <c r="R581" s="39" t="s">
        <v>218</v>
      </c>
      <c r="S581" s="39" t="s">
        <v>1018</v>
      </c>
      <c r="T581" s="39" t="s">
        <v>1018</v>
      </c>
      <c r="U581" s="35" t="s">
        <v>82</v>
      </c>
      <c r="V581" s="39" t="s">
        <v>226</v>
      </c>
      <c r="W581" s="39" t="s">
        <v>123</v>
      </c>
      <c r="X581" s="39">
        <v>7588.73</v>
      </c>
      <c r="Y581" s="39">
        <v>1379.76</v>
      </c>
      <c r="Z581" s="39">
        <v>1379.76</v>
      </c>
      <c r="AA581" s="39">
        <v>0</v>
      </c>
      <c r="AB581" s="39"/>
      <c r="AC581" s="39">
        <v>0</v>
      </c>
      <c r="AD581" s="39"/>
      <c r="AE581" s="39">
        <v>0</v>
      </c>
      <c r="AF581" s="39"/>
      <c r="AG581" s="39">
        <v>0</v>
      </c>
      <c r="AH581" s="39"/>
      <c r="AI581" s="41">
        <v>0</v>
      </c>
    </row>
    <row r="582" spans="1:35" x14ac:dyDescent="0.25">
      <c r="A582" s="34" t="s">
        <v>110</v>
      </c>
      <c r="B582" s="35" t="s">
        <v>1174</v>
      </c>
      <c r="C582" s="35" t="s">
        <v>2049</v>
      </c>
      <c r="D582" s="35">
        <v>32623</v>
      </c>
      <c r="E582" s="35" t="s">
        <v>2050</v>
      </c>
      <c r="F582" s="35" t="s">
        <v>2051</v>
      </c>
      <c r="G582" s="35" t="s">
        <v>174</v>
      </c>
      <c r="H582" s="35" t="s">
        <v>160</v>
      </c>
      <c r="I582" s="35" t="s">
        <v>217</v>
      </c>
      <c r="J582" s="35" t="s">
        <v>118</v>
      </c>
      <c r="K582" s="36">
        <v>46059</v>
      </c>
      <c r="L582" s="36">
        <v>46058</v>
      </c>
      <c r="M582" s="36">
        <v>46073</v>
      </c>
      <c r="N582" s="36"/>
      <c r="O582" s="36"/>
      <c r="P582" s="36"/>
      <c r="Q582" s="36"/>
      <c r="R582" s="35" t="s">
        <v>218</v>
      </c>
      <c r="S582" s="35" t="s">
        <v>1018</v>
      </c>
      <c r="T582" s="35" t="s">
        <v>1018</v>
      </c>
      <c r="U582" s="35" t="s">
        <v>82</v>
      </c>
      <c r="V582" s="35" t="s">
        <v>226</v>
      </c>
      <c r="W582" s="35" t="s">
        <v>123</v>
      </c>
      <c r="X582" s="35">
        <v>1052.6099999999999</v>
      </c>
      <c r="Y582" s="35">
        <v>191.38</v>
      </c>
      <c r="Z582" s="35">
        <v>191.38</v>
      </c>
      <c r="AA582" s="35">
        <v>0</v>
      </c>
      <c r="AB582" s="35"/>
      <c r="AC582" s="35">
        <v>0</v>
      </c>
      <c r="AD582" s="35"/>
      <c r="AE582" s="35">
        <v>0</v>
      </c>
      <c r="AF582" s="35"/>
      <c r="AG582" s="35">
        <v>0</v>
      </c>
      <c r="AH582" s="35"/>
      <c r="AI582" s="37">
        <v>0</v>
      </c>
    </row>
    <row r="583" spans="1:35" x14ac:dyDescent="0.25">
      <c r="A583" s="38" t="s">
        <v>110</v>
      </c>
      <c r="B583" s="39" t="s">
        <v>1174</v>
      </c>
      <c r="C583" s="39" t="s">
        <v>2042</v>
      </c>
      <c r="D583" s="39">
        <v>32624</v>
      </c>
      <c r="E583" s="39" t="s">
        <v>2045</v>
      </c>
      <c r="F583" s="39" t="s">
        <v>2046</v>
      </c>
      <c r="G583" s="39" t="s">
        <v>174</v>
      </c>
      <c r="H583" s="39" t="s">
        <v>160</v>
      </c>
      <c r="I583" s="39" t="s">
        <v>217</v>
      </c>
      <c r="J583" s="39" t="s">
        <v>141</v>
      </c>
      <c r="K583" s="40">
        <v>46059</v>
      </c>
      <c r="L583" s="40">
        <v>46057</v>
      </c>
      <c r="M583" s="40"/>
      <c r="N583" s="40"/>
      <c r="O583" s="40"/>
      <c r="P583" s="40"/>
      <c r="Q583" s="40"/>
      <c r="R583" s="39" t="s">
        <v>218</v>
      </c>
      <c r="S583" s="39" t="s">
        <v>1018</v>
      </c>
      <c r="T583" s="39" t="s">
        <v>1018</v>
      </c>
      <c r="U583" s="35" t="s">
        <v>82</v>
      </c>
      <c r="V583" s="39" t="s">
        <v>226</v>
      </c>
      <c r="W583" s="39" t="s">
        <v>123</v>
      </c>
      <c r="X583" s="39">
        <v>6420.98</v>
      </c>
      <c r="Y583" s="39">
        <v>1167.46</v>
      </c>
      <c r="Z583" s="39">
        <v>1167.46</v>
      </c>
      <c r="AA583" s="39">
        <v>0</v>
      </c>
      <c r="AB583" s="39"/>
      <c r="AC583" s="39">
        <v>0</v>
      </c>
      <c r="AD583" s="39"/>
      <c r="AE583" s="39">
        <v>0</v>
      </c>
      <c r="AF583" s="39"/>
      <c r="AG583" s="39">
        <v>0</v>
      </c>
      <c r="AH583" s="39"/>
      <c r="AI583" s="41">
        <v>0</v>
      </c>
    </row>
    <row r="584" spans="1:35" x14ac:dyDescent="0.25">
      <c r="A584" s="34" t="s">
        <v>110</v>
      </c>
      <c r="B584" s="35" t="s">
        <v>1174</v>
      </c>
      <c r="C584" s="35" t="s">
        <v>2042</v>
      </c>
      <c r="D584" s="35">
        <v>32624</v>
      </c>
      <c r="E584" s="35" t="s">
        <v>2043</v>
      </c>
      <c r="F584" s="35" t="s">
        <v>2044</v>
      </c>
      <c r="G584" s="35" t="s">
        <v>174</v>
      </c>
      <c r="H584" s="35" t="s">
        <v>160</v>
      </c>
      <c r="I584" s="35" t="s">
        <v>217</v>
      </c>
      <c r="J584" s="35" t="s">
        <v>118</v>
      </c>
      <c r="K584" s="36">
        <v>46059</v>
      </c>
      <c r="L584" s="36">
        <v>46057</v>
      </c>
      <c r="M584" s="36">
        <v>46077</v>
      </c>
      <c r="N584" s="36"/>
      <c r="O584" s="36"/>
      <c r="P584" s="36"/>
      <c r="Q584" s="36"/>
      <c r="R584" s="35" t="s">
        <v>218</v>
      </c>
      <c r="S584" s="35" t="s">
        <v>1018</v>
      </c>
      <c r="T584" s="35" t="s">
        <v>1018</v>
      </c>
      <c r="U584" s="35" t="s">
        <v>82</v>
      </c>
      <c r="V584" s="35" t="s">
        <v>226</v>
      </c>
      <c r="W584" s="35" t="s">
        <v>123</v>
      </c>
      <c r="X584" s="35">
        <v>6420.98</v>
      </c>
      <c r="Y584" s="35">
        <v>1167.46</v>
      </c>
      <c r="Z584" s="35">
        <v>1167.46</v>
      </c>
      <c r="AA584" s="35">
        <v>0</v>
      </c>
      <c r="AB584" s="35"/>
      <c r="AC584" s="35">
        <v>0</v>
      </c>
      <c r="AD584" s="35"/>
      <c r="AE584" s="35">
        <v>0</v>
      </c>
      <c r="AF584" s="35"/>
      <c r="AG584" s="35">
        <v>0</v>
      </c>
      <c r="AH584" s="35"/>
      <c r="AI584" s="37">
        <v>0</v>
      </c>
    </row>
    <row r="585" spans="1:35" x14ac:dyDescent="0.25">
      <c r="A585" s="38" t="s">
        <v>110</v>
      </c>
      <c r="B585" s="39" t="s">
        <v>420</v>
      </c>
      <c r="C585" s="39" t="s">
        <v>1314</v>
      </c>
      <c r="D585" s="39">
        <v>32614</v>
      </c>
      <c r="E585" s="39" t="s">
        <v>2047</v>
      </c>
      <c r="F585" s="39" t="s">
        <v>2048</v>
      </c>
      <c r="G585" s="39" t="s">
        <v>174</v>
      </c>
      <c r="H585" s="39" t="s">
        <v>160</v>
      </c>
      <c r="I585" s="39" t="s">
        <v>217</v>
      </c>
      <c r="J585" s="39" t="s">
        <v>118</v>
      </c>
      <c r="K585" s="40">
        <v>46059</v>
      </c>
      <c r="L585" s="40">
        <v>46052</v>
      </c>
      <c r="M585" s="40">
        <v>46070</v>
      </c>
      <c r="N585" s="40"/>
      <c r="O585" s="40"/>
      <c r="P585" s="40"/>
      <c r="Q585" s="40"/>
      <c r="R585" s="39" t="s">
        <v>218</v>
      </c>
      <c r="S585" s="39" t="s">
        <v>1018</v>
      </c>
      <c r="T585" s="39" t="s">
        <v>1018</v>
      </c>
      <c r="U585" s="35" t="s">
        <v>82</v>
      </c>
      <c r="V585" s="39" t="s">
        <v>226</v>
      </c>
      <c r="W585" s="39" t="s">
        <v>123</v>
      </c>
      <c r="X585" s="39">
        <v>-3043.52</v>
      </c>
      <c r="Y585" s="39">
        <v>-553.36</v>
      </c>
      <c r="Z585" s="39">
        <v>-553.36</v>
      </c>
      <c r="AA585" s="39">
        <v>0</v>
      </c>
      <c r="AB585" s="39"/>
      <c r="AC585" s="39">
        <v>0</v>
      </c>
      <c r="AD585" s="39"/>
      <c r="AE585" s="39">
        <v>0</v>
      </c>
      <c r="AF585" s="39"/>
      <c r="AG585" s="39">
        <v>0</v>
      </c>
      <c r="AH585" s="39"/>
      <c r="AI585" s="41">
        <v>0</v>
      </c>
    </row>
    <row r="586" spans="1:35" x14ac:dyDescent="0.25">
      <c r="A586" s="34" t="s">
        <v>110</v>
      </c>
      <c r="B586" s="35" t="s">
        <v>2052</v>
      </c>
      <c r="C586" s="35" t="s">
        <v>2053</v>
      </c>
      <c r="D586" s="35">
        <v>32626</v>
      </c>
      <c r="E586" s="35" t="s">
        <v>2054</v>
      </c>
      <c r="F586" s="35" t="s">
        <v>2055</v>
      </c>
      <c r="G586" s="35" t="s">
        <v>174</v>
      </c>
      <c r="H586" s="35" t="s">
        <v>160</v>
      </c>
      <c r="I586" s="35" t="s">
        <v>217</v>
      </c>
      <c r="J586" s="35" t="s">
        <v>118</v>
      </c>
      <c r="K586" s="36">
        <v>46059</v>
      </c>
      <c r="L586" s="36">
        <v>46058</v>
      </c>
      <c r="M586" s="36">
        <v>46064</v>
      </c>
      <c r="N586" s="36"/>
      <c r="O586" s="36"/>
      <c r="P586" s="36"/>
      <c r="Q586" s="36">
        <v>46068</v>
      </c>
      <c r="R586" s="35" t="s">
        <v>218</v>
      </c>
      <c r="S586" s="35" t="s">
        <v>1018</v>
      </c>
      <c r="T586" s="35" t="s">
        <v>1018</v>
      </c>
      <c r="U586" s="35" t="s">
        <v>82</v>
      </c>
      <c r="V586" s="35" t="s">
        <v>226</v>
      </c>
      <c r="W586" s="35" t="s">
        <v>123</v>
      </c>
      <c r="X586" s="35">
        <v>4003.33</v>
      </c>
      <c r="Y586" s="35">
        <v>727.88</v>
      </c>
      <c r="Z586" s="35">
        <v>727.88</v>
      </c>
      <c r="AA586" s="35">
        <v>0</v>
      </c>
      <c r="AB586" s="35"/>
      <c r="AC586" s="35">
        <v>0</v>
      </c>
      <c r="AD586" s="35"/>
      <c r="AE586" s="35">
        <v>0</v>
      </c>
      <c r="AF586" s="35"/>
      <c r="AG586" s="35">
        <v>0</v>
      </c>
      <c r="AH586" s="35"/>
      <c r="AI586" s="37">
        <v>0</v>
      </c>
    </row>
    <row r="587" spans="1:35" x14ac:dyDescent="0.25">
      <c r="A587" s="38" t="s">
        <v>110</v>
      </c>
      <c r="B587" s="39" t="s">
        <v>400</v>
      </c>
      <c r="C587" s="39" t="s">
        <v>401</v>
      </c>
      <c r="D587" s="39">
        <v>32627</v>
      </c>
      <c r="E587" s="39" t="s">
        <v>402</v>
      </c>
      <c r="F587" s="39" t="s">
        <v>403</v>
      </c>
      <c r="G587" s="39" t="s">
        <v>174</v>
      </c>
      <c r="H587" s="39" t="s">
        <v>160</v>
      </c>
      <c r="I587" s="39" t="s">
        <v>217</v>
      </c>
      <c r="J587" s="39" t="s">
        <v>118</v>
      </c>
      <c r="K587" s="40">
        <v>46059</v>
      </c>
      <c r="L587" s="40">
        <v>46057</v>
      </c>
      <c r="M587" s="40">
        <v>46069</v>
      </c>
      <c r="N587" s="40"/>
      <c r="O587" s="40"/>
      <c r="P587" s="40"/>
      <c r="Q587" s="40"/>
      <c r="R587" s="39" t="s">
        <v>218</v>
      </c>
      <c r="S587" s="39" t="s">
        <v>225</v>
      </c>
      <c r="T587" s="39" t="s">
        <v>225</v>
      </c>
      <c r="U587" s="35" t="s">
        <v>88</v>
      </c>
      <c r="V587" s="39" t="s">
        <v>226</v>
      </c>
      <c r="W587" s="39" t="s">
        <v>123</v>
      </c>
      <c r="X587" s="39">
        <v>693.48</v>
      </c>
      <c r="Y587" s="39">
        <v>126.08</v>
      </c>
      <c r="Z587" s="39">
        <v>126.08</v>
      </c>
      <c r="AA587" s="39">
        <v>0</v>
      </c>
      <c r="AB587" s="39"/>
      <c r="AC587" s="39">
        <v>0</v>
      </c>
      <c r="AD587" s="39"/>
      <c r="AE587" s="39">
        <v>0</v>
      </c>
      <c r="AF587" s="39"/>
      <c r="AG587" s="39">
        <v>0</v>
      </c>
      <c r="AH587" s="39"/>
      <c r="AI587" s="41">
        <v>0</v>
      </c>
    </row>
    <row r="588" spans="1:35" x14ac:dyDescent="0.25">
      <c r="A588" s="34" t="s">
        <v>110</v>
      </c>
      <c r="B588" s="35" t="s">
        <v>1317</v>
      </c>
      <c r="C588" s="35" t="s">
        <v>1318</v>
      </c>
      <c r="D588" s="35">
        <v>32628</v>
      </c>
      <c r="E588" s="35" t="s">
        <v>1319</v>
      </c>
      <c r="F588" s="35" t="s">
        <v>1320</v>
      </c>
      <c r="G588" s="35" t="s">
        <v>174</v>
      </c>
      <c r="H588" s="35" t="s">
        <v>160</v>
      </c>
      <c r="I588" s="35" t="s">
        <v>217</v>
      </c>
      <c r="J588" s="35" t="s">
        <v>118</v>
      </c>
      <c r="K588" s="36">
        <v>46059</v>
      </c>
      <c r="L588" s="36">
        <v>46057</v>
      </c>
      <c r="M588" s="36">
        <v>46058</v>
      </c>
      <c r="N588" s="36"/>
      <c r="O588" s="36"/>
      <c r="P588" s="36"/>
      <c r="Q588" s="36">
        <v>46068</v>
      </c>
      <c r="R588" s="35" t="s">
        <v>218</v>
      </c>
      <c r="S588" s="35" t="s">
        <v>1018</v>
      </c>
      <c r="T588" s="35" t="s">
        <v>1018</v>
      </c>
      <c r="U588" s="35" t="s">
        <v>82</v>
      </c>
      <c r="V588" s="35" t="s">
        <v>226</v>
      </c>
      <c r="W588" s="35" t="s">
        <v>123</v>
      </c>
      <c r="X588" s="35">
        <v>598.07000000000005</v>
      </c>
      <c r="Y588" s="35">
        <v>108.74</v>
      </c>
      <c r="Z588" s="35">
        <v>108.74</v>
      </c>
      <c r="AA588" s="35">
        <v>0</v>
      </c>
      <c r="AB588" s="35"/>
      <c r="AC588" s="35">
        <v>0</v>
      </c>
      <c r="AD588" s="35"/>
      <c r="AE588" s="35">
        <v>0</v>
      </c>
      <c r="AF588" s="35"/>
      <c r="AG588" s="35">
        <v>0</v>
      </c>
      <c r="AH588" s="35"/>
      <c r="AI588" s="37">
        <v>0</v>
      </c>
    </row>
    <row r="589" spans="1:35" x14ac:dyDescent="0.25">
      <c r="A589" s="38" t="s">
        <v>110</v>
      </c>
      <c r="B589" s="39" t="s">
        <v>1317</v>
      </c>
      <c r="C589" s="39" t="s">
        <v>1318</v>
      </c>
      <c r="D589" s="39">
        <v>32628</v>
      </c>
      <c r="E589" s="39" t="s">
        <v>1321</v>
      </c>
      <c r="F589" s="39" t="s">
        <v>1322</v>
      </c>
      <c r="G589" s="39" t="s">
        <v>174</v>
      </c>
      <c r="H589" s="39" t="s">
        <v>160</v>
      </c>
      <c r="I589" s="39" t="s">
        <v>217</v>
      </c>
      <c r="J589" s="39" t="s">
        <v>118</v>
      </c>
      <c r="K589" s="40">
        <v>46059</v>
      </c>
      <c r="L589" s="40">
        <v>46057</v>
      </c>
      <c r="M589" s="40">
        <v>46058</v>
      </c>
      <c r="N589" s="40"/>
      <c r="O589" s="40"/>
      <c r="P589" s="40"/>
      <c r="Q589" s="40">
        <v>46068</v>
      </c>
      <c r="R589" s="39" t="s">
        <v>218</v>
      </c>
      <c r="S589" s="39" t="s">
        <v>1018</v>
      </c>
      <c r="T589" s="39" t="s">
        <v>1018</v>
      </c>
      <c r="U589" s="35" t="s">
        <v>82</v>
      </c>
      <c r="V589" s="39" t="s">
        <v>226</v>
      </c>
      <c r="W589" s="39" t="s">
        <v>123</v>
      </c>
      <c r="X589" s="39">
        <v>215.69</v>
      </c>
      <c r="Y589" s="39">
        <v>39.22</v>
      </c>
      <c r="Z589" s="39">
        <v>39.22</v>
      </c>
      <c r="AA589" s="39">
        <v>0</v>
      </c>
      <c r="AB589" s="39"/>
      <c r="AC589" s="39">
        <v>0</v>
      </c>
      <c r="AD589" s="39"/>
      <c r="AE589" s="39">
        <v>0</v>
      </c>
      <c r="AF589" s="39"/>
      <c r="AG589" s="39">
        <v>0</v>
      </c>
      <c r="AH589" s="39"/>
      <c r="AI589" s="41">
        <v>0</v>
      </c>
    </row>
    <row r="590" spans="1:35" x14ac:dyDescent="0.25">
      <c r="A590" s="34" t="s">
        <v>110</v>
      </c>
      <c r="B590" s="35" t="s">
        <v>2059</v>
      </c>
      <c r="C590" s="35" t="s">
        <v>2060</v>
      </c>
      <c r="D590" s="35">
        <v>32629</v>
      </c>
      <c r="E590" s="35" t="s">
        <v>2061</v>
      </c>
      <c r="F590" s="35" t="s">
        <v>2062</v>
      </c>
      <c r="G590" s="35" t="s">
        <v>174</v>
      </c>
      <c r="H590" s="35" t="s">
        <v>160</v>
      </c>
      <c r="I590" s="35" t="s">
        <v>217</v>
      </c>
      <c r="J590" s="35" t="s">
        <v>141</v>
      </c>
      <c r="K590" s="36">
        <v>46059</v>
      </c>
      <c r="L590" s="36">
        <v>46057</v>
      </c>
      <c r="M590" s="36"/>
      <c r="N590" s="36"/>
      <c r="O590" s="36"/>
      <c r="P590" s="36"/>
      <c r="Q590" s="36"/>
      <c r="R590" s="35" t="s">
        <v>218</v>
      </c>
      <c r="S590" s="35" t="s">
        <v>1018</v>
      </c>
      <c r="T590" s="35" t="s">
        <v>1018</v>
      </c>
      <c r="U590" s="35" t="s">
        <v>82</v>
      </c>
      <c r="V590" s="35" t="s">
        <v>226</v>
      </c>
      <c r="W590" s="35" t="s">
        <v>123</v>
      </c>
      <c r="X590" s="35">
        <v>1946.55</v>
      </c>
      <c r="Y590" s="35">
        <v>353.92</v>
      </c>
      <c r="Z590" s="35">
        <v>353.92</v>
      </c>
      <c r="AA590" s="35">
        <v>0</v>
      </c>
      <c r="AB590" s="35"/>
      <c r="AC590" s="35">
        <v>0</v>
      </c>
      <c r="AD590" s="35"/>
      <c r="AE590" s="35">
        <v>0</v>
      </c>
      <c r="AF590" s="35"/>
      <c r="AG590" s="35">
        <v>0</v>
      </c>
      <c r="AH590" s="35"/>
      <c r="AI590" s="37">
        <v>0</v>
      </c>
    </row>
    <row r="591" spans="1:35" x14ac:dyDescent="0.25">
      <c r="A591" s="38" t="s">
        <v>110</v>
      </c>
      <c r="B591" s="39" t="s">
        <v>404</v>
      </c>
      <c r="C591" s="39" t="s">
        <v>405</v>
      </c>
      <c r="D591" s="39">
        <v>32630</v>
      </c>
      <c r="E591" s="39" t="s">
        <v>406</v>
      </c>
      <c r="F591" s="39" t="s">
        <v>407</v>
      </c>
      <c r="G591" s="39" t="s">
        <v>174</v>
      </c>
      <c r="H591" s="39" t="s">
        <v>160</v>
      </c>
      <c r="I591" s="39" t="s">
        <v>217</v>
      </c>
      <c r="J591" s="39" t="s">
        <v>118</v>
      </c>
      <c r="K591" s="40">
        <v>46059</v>
      </c>
      <c r="L591" s="40">
        <v>46081</v>
      </c>
      <c r="M591" s="40">
        <v>46064</v>
      </c>
      <c r="N591" s="40"/>
      <c r="O591" s="40"/>
      <c r="P591" s="40"/>
      <c r="Q591" s="40">
        <v>46068</v>
      </c>
      <c r="R591" s="39" t="s">
        <v>218</v>
      </c>
      <c r="S591" s="39" t="s">
        <v>225</v>
      </c>
      <c r="T591" s="39" t="s">
        <v>225</v>
      </c>
      <c r="U591" s="35" t="s">
        <v>88</v>
      </c>
      <c r="V591" s="39" t="s">
        <v>226</v>
      </c>
      <c r="W591" s="39" t="s">
        <v>123</v>
      </c>
      <c r="X591" s="39">
        <v>693.48</v>
      </c>
      <c r="Y591" s="39">
        <v>126.08</v>
      </c>
      <c r="Z591" s="39">
        <v>126.08</v>
      </c>
      <c r="AA591" s="39">
        <v>0</v>
      </c>
      <c r="AB591" s="39"/>
      <c r="AC591" s="39">
        <v>0</v>
      </c>
      <c r="AD591" s="39"/>
      <c r="AE591" s="39">
        <v>0</v>
      </c>
      <c r="AF591" s="39"/>
      <c r="AG591" s="39">
        <v>0</v>
      </c>
      <c r="AH591" s="39"/>
      <c r="AI591" s="41">
        <v>0</v>
      </c>
    </row>
    <row r="592" spans="1:35" x14ac:dyDescent="0.25">
      <c r="A592" s="34" t="s">
        <v>110</v>
      </c>
      <c r="B592" s="35" t="s">
        <v>2063</v>
      </c>
      <c r="C592" s="35" t="s">
        <v>2064</v>
      </c>
      <c r="D592" s="35">
        <v>32631</v>
      </c>
      <c r="E592" s="35" t="s">
        <v>2065</v>
      </c>
      <c r="F592" s="35" t="s">
        <v>2066</v>
      </c>
      <c r="G592" s="35" t="s">
        <v>174</v>
      </c>
      <c r="H592" s="35" t="s">
        <v>160</v>
      </c>
      <c r="I592" s="35" t="s">
        <v>217</v>
      </c>
      <c r="J592" s="35" t="s">
        <v>118</v>
      </c>
      <c r="K592" s="36">
        <v>46059</v>
      </c>
      <c r="L592" s="36">
        <v>46057</v>
      </c>
      <c r="M592" s="36">
        <v>46070</v>
      </c>
      <c r="N592" s="36"/>
      <c r="O592" s="36"/>
      <c r="P592" s="36"/>
      <c r="Q592" s="36"/>
      <c r="R592" s="35" t="s">
        <v>218</v>
      </c>
      <c r="S592" s="35" t="s">
        <v>1018</v>
      </c>
      <c r="T592" s="35" t="s">
        <v>1018</v>
      </c>
      <c r="U592" s="35" t="s">
        <v>82</v>
      </c>
      <c r="V592" s="35" t="s">
        <v>226</v>
      </c>
      <c r="W592" s="35" t="s">
        <v>123</v>
      </c>
      <c r="X592" s="35">
        <v>5316.78</v>
      </c>
      <c r="Y592" s="35">
        <v>966.69</v>
      </c>
      <c r="Z592" s="35">
        <v>966.69</v>
      </c>
      <c r="AA592" s="35">
        <v>0</v>
      </c>
      <c r="AB592" s="35"/>
      <c r="AC592" s="35">
        <v>0</v>
      </c>
      <c r="AD592" s="35"/>
      <c r="AE592" s="35">
        <v>0</v>
      </c>
      <c r="AF592" s="35"/>
      <c r="AG592" s="35">
        <v>0</v>
      </c>
      <c r="AH592" s="35"/>
      <c r="AI592" s="37">
        <v>0</v>
      </c>
    </row>
    <row r="593" spans="1:35" x14ac:dyDescent="0.25">
      <c r="A593" s="38" t="s">
        <v>110</v>
      </c>
      <c r="B593" s="39" t="s">
        <v>408</v>
      </c>
      <c r="C593" s="39" t="s">
        <v>409</v>
      </c>
      <c r="D593" s="39">
        <v>32633</v>
      </c>
      <c r="E593" s="39" t="s">
        <v>410</v>
      </c>
      <c r="F593" s="39" t="s">
        <v>411</v>
      </c>
      <c r="G593" s="39" t="s">
        <v>174</v>
      </c>
      <c r="H593" s="39" t="s">
        <v>160</v>
      </c>
      <c r="I593" s="39" t="s">
        <v>217</v>
      </c>
      <c r="J593" s="39" t="s">
        <v>118</v>
      </c>
      <c r="K593" s="40">
        <v>46059</v>
      </c>
      <c r="L593" s="40">
        <v>46057</v>
      </c>
      <c r="M593" s="40">
        <v>46059</v>
      </c>
      <c r="N593" s="40"/>
      <c r="O593" s="40"/>
      <c r="P593" s="40"/>
      <c r="Q593" s="40">
        <v>46068</v>
      </c>
      <c r="R593" s="39" t="s">
        <v>218</v>
      </c>
      <c r="S593" s="39" t="s">
        <v>225</v>
      </c>
      <c r="T593" s="39" t="s">
        <v>225</v>
      </c>
      <c r="U593" s="35" t="s">
        <v>88</v>
      </c>
      <c r="V593" s="39" t="s">
        <v>226</v>
      </c>
      <c r="W593" s="39" t="s">
        <v>123</v>
      </c>
      <c r="X593" s="39">
        <v>1875</v>
      </c>
      <c r="Y593" s="39">
        <v>340.91</v>
      </c>
      <c r="Z593" s="39">
        <v>340.91</v>
      </c>
      <c r="AA593" s="39">
        <v>0</v>
      </c>
      <c r="AB593" s="39"/>
      <c r="AC593" s="39">
        <v>0</v>
      </c>
      <c r="AD593" s="39"/>
      <c r="AE593" s="39">
        <v>0</v>
      </c>
      <c r="AF593" s="39"/>
      <c r="AG593" s="39">
        <v>0</v>
      </c>
      <c r="AH593" s="39"/>
      <c r="AI593" s="41">
        <v>0</v>
      </c>
    </row>
    <row r="594" spans="1:35" x14ac:dyDescent="0.25">
      <c r="A594" s="34" t="s">
        <v>110</v>
      </c>
      <c r="B594" s="35" t="s">
        <v>1828</v>
      </c>
      <c r="C594" s="35" t="s">
        <v>1829</v>
      </c>
      <c r="D594" s="35">
        <v>30397</v>
      </c>
      <c r="E594" s="35" t="s">
        <v>1830</v>
      </c>
      <c r="F594" s="35" t="s">
        <v>1831</v>
      </c>
      <c r="G594" s="35" t="s">
        <v>174</v>
      </c>
      <c r="H594" s="35" t="s">
        <v>160</v>
      </c>
      <c r="I594" s="35" t="s">
        <v>217</v>
      </c>
      <c r="J594" s="35" t="s">
        <v>141</v>
      </c>
      <c r="K594" s="36">
        <v>46060</v>
      </c>
      <c r="L594" s="36">
        <v>45665</v>
      </c>
      <c r="M594" s="36"/>
      <c r="N594" s="36"/>
      <c r="O594" s="36"/>
      <c r="P594" s="36"/>
      <c r="Q594" s="36"/>
      <c r="R594" s="35" t="s">
        <v>218</v>
      </c>
      <c r="S594" s="35" t="s">
        <v>1018</v>
      </c>
      <c r="T594" s="35" t="s">
        <v>1018</v>
      </c>
      <c r="U594" s="35" t="s">
        <v>82</v>
      </c>
      <c r="V594" s="35" t="s">
        <v>226</v>
      </c>
      <c r="W594" s="35" t="s">
        <v>123</v>
      </c>
      <c r="X594" s="35">
        <v>7216.67</v>
      </c>
      <c r="Y594" s="35">
        <v>1312.12</v>
      </c>
      <c r="Z594" s="35">
        <v>1312.12</v>
      </c>
      <c r="AA594" s="35">
        <v>0</v>
      </c>
      <c r="AB594" s="35"/>
      <c r="AC594" s="35">
        <v>0</v>
      </c>
      <c r="AD594" s="35"/>
      <c r="AE594" s="35">
        <v>0</v>
      </c>
      <c r="AF594" s="35"/>
      <c r="AG594" s="35">
        <v>0</v>
      </c>
      <c r="AH594" s="35"/>
      <c r="AI594" s="37">
        <v>0</v>
      </c>
    </row>
    <row r="595" spans="1:35" x14ac:dyDescent="0.25">
      <c r="A595" s="38" t="s">
        <v>110</v>
      </c>
      <c r="B595" s="39" t="s">
        <v>1828</v>
      </c>
      <c r="C595" s="39" t="s">
        <v>1829</v>
      </c>
      <c r="D595" s="39">
        <v>30397</v>
      </c>
      <c r="E595" s="39" t="s">
        <v>1832</v>
      </c>
      <c r="F595" s="39" t="s">
        <v>1833</v>
      </c>
      <c r="G595" s="39" t="s">
        <v>174</v>
      </c>
      <c r="H595" s="39" t="s">
        <v>160</v>
      </c>
      <c r="I595" s="39" t="s">
        <v>217</v>
      </c>
      <c r="J595" s="39" t="s">
        <v>141</v>
      </c>
      <c r="K595" s="40">
        <v>46060</v>
      </c>
      <c r="L595" s="40">
        <v>45665</v>
      </c>
      <c r="M595" s="40"/>
      <c r="N595" s="40"/>
      <c r="O595" s="40"/>
      <c r="P595" s="40"/>
      <c r="Q595" s="40"/>
      <c r="R595" s="39" t="s">
        <v>218</v>
      </c>
      <c r="S595" s="39" t="s">
        <v>1018</v>
      </c>
      <c r="T595" s="39" t="s">
        <v>1018</v>
      </c>
      <c r="U595" s="35" t="s">
        <v>82</v>
      </c>
      <c r="V595" s="39" t="s">
        <v>226</v>
      </c>
      <c r="W595" s="39" t="s">
        <v>123</v>
      </c>
      <c r="X595" s="39">
        <v>7216.67</v>
      </c>
      <c r="Y595" s="39">
        <v>1312.12</v>
      </c>
      <c r="Z595" s="39">
        <v>1312.12</v>
      </c>
      <c r="AA595" s="39">
        <v>0</v>
      </c>
      <c r="AB595" s="39"/>
      <c r="AC595" s="39">
        <v>0</v>
      </c>
      <c r="AD595" s="39"/>
      <c r="AE595" s="39">
        <v>0</v>
      </c>
      <c r="AF595" s="39"/>
      <c r="AG595" s="39">
        <v>0</v>
      </c>
      <c r="AH595" s="39"/>
      <c r="AI595" s="41">
        <v>0</v>
      </c>
    </row>
    <row r="596" spans="1:35" x14ac:dyDescent="0.25">
      <c r="A596" s="34" t="s">
        <v>110</v>
      </c>
      <c r="B596" s="35" t="s">
        <v>1277</v>
      </c>
      <c r="C596" s="35" t="s">
        <v>2056</v>
      </c>
      <c r="D596" s="35">
        <v>32625</v>
      </c>
      <c r="E596" s="35" t="s">
        <v>2057</v>
      </c>
      <c r="F596" s="35" t="s">
        <v>2058</v>
      </c>
      <c r="G596" s="35" t="s">
        <v>174</v>
      </c>
      <c r="H596" s="35" t="s">
        <v>160</v>
      </c>
      <c r="I596" s="35" t="s">
        <v>217</v>
      </c>
      <c r="J596" s="35" t="s">
        <v>118</v>
      </c>
      <c r="K596" s="36">
        <v>46060</v>
      </c>
      <c r="L596" s="36">
        <v>46058</v>
      </c>
      <c r="M596" s="36">
        <v>46076</v>
      </c>
      <c r="N596" s="36"/>
      <c r="O596" s="36"/>
      <c r="P596" s="36"/>
      <c r="Q596" s="36"/>
      <c r="R596" s="35" t="s">
        <v>218</v>
      </c>
      <c r="S596" s="35" t="s">
        <v>1018</v>
      </c>
      <c r="T596" s="35" t="s">
        <v>1018</v>
      </c>
      <c r="U596" s="35" t="s">
        <v>82</v>
      </c>
      <c r="V596" s="35" t="s">
        <v>226</v>
      </c>
      <c r="W596" s="35" t="s">
        <v>123</v>
      </c>
      <c r="X596" s="35">
        <v>2427.1799999999998</v>
      </c>
      <c r="Y596" s="35">
        <v>441.31</v>
      </c>
      <c r="Z596" s="35">
        <v>441.31</v>
      </c>
      <c r="AA596" s="35">
        <v>0</v>
      </c>
      <c r="AB596" s="35"/>
      <c r="AC596" s="35">
        <v>0</v>
      </c>
      <c r="AD596" s="35"/>
      <c r="AE596" s="35">
        <v>0</v>
      </c>
      <c r="AF596" s="35"/>
      <c r="AG596" s="35">
        <v>0</v>
      </c>
      <c r="AH596" s="35"/>
      <c r="AI596" s="37">
        <v>0</v>
      </c>
    </row>
    <row r="597" spans="1:35" x14ac:dyDescent="0.25">
      <c r="A597" s="38" t="s">
        <v>110</v>
      </c>
      <c r="B597" s="39" t="s">
        <v>1232</v>
      </c>
      <c r="C597" s="39" t="s">
        <v>2070</v>
      </c>
      <c r="D597" s="39">
        <v>32632</v>
      </c>
      <c r="E597" s="39" t="s">
        <v>2071</v>
      </c>
      <c r="F597" s="39" t="s">
        <v>2072</v>
      </c>
      <c r="G597" s="39" t="s">
        <v>174</v>
      </c>
      <c r="H597" s="39" t="s">
        <v>160</v>
      </c>
      <c r="I597" s="39" t="s">
        <v>217</v>
      </c>
      <c r="J597" s="39" t="s">
        <v>118</v>
      </c>
      <c r="K597" s="40">
        <v>46060</v>
      </c>
      <c r="L597" s="40">
        <v>46058</v>
      </c>
      <c r="M597" s="40">
        <v>46073</v>
      </c>
      <c r="N597" s="40"/>
      <c r="O597" s="40"/>
      <c r="P597" s="40"/>
      <c r="Q597" s="40"/>
      <c r="R597" s="39" t="s">
        <v>218</v>
      </c>
      <c r="S597" s="39" t="s">
        <v>1018</v>
      </c>
      <c r="T597" s="39" t="s">
        <v>1018</v>
      </c>
      <c r="U597" s="35" t="s">
        <v>82</v>
      </c>
      <c r="V597" s="39" t="s">
        <v>226</v>
      </c>
      <c r="W597" s="39" t="s">
        <v>123</v>
      </c>
      <c r="X597" s="39">
        <v>7309.13</v>
      </c>
      <c r="Y597" s="39">
        <v>1328.94</v>
      </c>
      <c r="Z597" s="39">
        <v>1328.94</v>
      </c>
      <c r="AA597" s="39">
        <v>0</v>
      </c>
      <c r="AB597" s="39"/>
      <c r="AC597" s="39">
        <v>0</v>
      </c>
      <c r="AD597" s="39"/>
      <c r="AE597" s="39">
        <v>0</v>
      </c>
      <c r="AF597" s="39"/>
      <c r="AG597" s="39">
        <v>0</v>
      </c>
      <c r="AH597" s="39"/>
      <c r="AI597" s="41">
        <v>0</v>
      </c>
    </row>
    <row r="598" spans="1:35" x14ac:dyDescent="0.25">
      <c r="A598" s="34" t="s">
        <v>110</v>
      </c>
      <c r="B598" s="35" t="s">
        <v>1323</v>
      </c>
      <c r="C598" s="35" t="s">
        <v>1324</v>
      </c>
      <c r="D598" s="35">
        <v>32634</v>
      </c>
      <c r="E598" s="35" t="s">
        <v>1325</v>
      </c>
      <c r="F598" s="35" t="s">
        <v>1326</v>
      </c>
      <c r="G598" s="35" t="s">
        <v>174</v>
      </c>
      <c r="H598" s="35" t="s">
        <v>160</v>
      </c>
      <c r="I598" s="35" t="s">
        <v>217</v>
      </c>
      <c r="J598" s="35" t="s">
        <v>118</v>
      </c>
      <c r="K598" s="36">
        <v>46060</v>
      </c>
      <c r="L598" s="36">
        <v>46058</v>
      </c>
      <c r="M598" s="36">
        <v>46060</v>
      </c>
      <c r="N598" s="36"/>
      <c r="O598" s="36"/>
      <c r="P598" s="36"/>
      <c r="Q598" s="36">
        <v>46068</v>
      </c>
      <c r="R598" s="35" t="s">
        <v>218</v>
      </c>
      <c r="S598" s="35" t="s">
        <v>1018</v>
      </c>
      <c r="T598" s="35" t="s">
        <v>1018</v>
      </c>
      <c r="U598" s="35" t="s">
        <v>82</v>
      </c>
      <c r="V598" s="35" t="s">
        <v>226</v>
      </c>
      <c r="W598" s="35" t="s">
        <v>123</v>
      </c>
      <c r="X598" s="35">
        <v>847.98</v>
      </c>
      <c r="Y598" s="35">
        <v>154.18</v>
      </c>
      <c r="Z598" s="35">
        <v>154.18</v>
      </c>
      <c r="AA598" s="35">
        <v>0</v>
      </c>
      <c r="AB598" s="35"/>
      <c r="AC598" s="35">
        <v>0</v>
      </c>
      <c r="AD598" s="35"/>
      <c r="AE598" s="35">
        <v>0</v>
      </c>
      <c r="AF598" s="35"/>
      <c r="AG598" s="35">
        <v>0</v>
      </c>
      <c r="AH598" s="35"/>
      <c r="AI598" s="37">
        <v>0</v>
      </c>
    </row>
    <row r="599" spans="1:35" x14ac:dyDescent="0.25">
      <c r="A599" s="38" t="s">
        <v>110</v>
      </c>
      <c r="B599" s="39" t="s">
        <v>1541</v>
      </c>
      <c r="C599" s="39" t="s">
        <v>1542</v>
      </c>
      <c r="D599" s="39">
        <v>32305</v>
      </c>
      <c r="E599" s="39" t="s">
        <v>1543</v>
      </c>
      <c r="F599" s="39" t="s">
        <v>1544</v>
      </c>
      <c r="G599" s="39" t="s">
        <v>174</v>
      </c>
      <c r="H599" s="39" t="s">
        <v>116</v>
      </c>
      <c r="I599" s="39" t="s">
        <v>117</v>
      </c>
      <c r="J599" s="39" t="s">
        <v>141</v>
      </c>
      <c r="K599" s="40">
        <v>46060</v>
      </c>
      <c r="L599" s="40">
        <v>46092</v>
      </c>
      <c r="M599" s="40"/>
      <c r="N599" s="40"/>
      <c r="O599" s="40"/>
      <c r="P599" s="40"/>
      <c r="Q599" s="40"/>
      <c r="R599" s="39" t="s">
        <v>187</v>
      </c>
      <c r="S599" s="39" t="s">
        <v>743</v>
      </c>
      <c r="T599" s="39" t="s">
        <v>744</v>
      </c>
      <c r="U599" s="35" t="s">
        <v>88</v>
      </c>
      <c r="V599" s="39" t="s">
        <v>509</v>
      </c>
      <c r="W599" s="39" t="s">
        <v>123</v>
      </c>
      <c r="X599" s="39">
        <v>940.46</v>
      </c>
      <c r="Y599" s="39">
        <v>188.09</v>
      </c>
      <c r="Z599" s="39">
        <v>188.09</v>
      </c>
      <c r="AA599" s="39">
        <v>0</v>
      </c>
      <c r="AB599" s="39"/>
      <c r="AC599" s="39">
        <v>0</v>
      </c>
      <c r="AD599" s="39"/>
      <c r="AE599" s="39">
        <v>0</v>
      </c>
      <c r="AF599" s="39"/>
      <c r="AG599" s="39">
        <v>0</v>
      </c>
      <c r="AH599" s="39"/>
      <c r="AI599" s="41">
        <v>0</v>
      </c>
    </row>
    <row r="600" spans="1:35" x14ac:dyDescent="0.25">
      <c r="A600" s="34" t="s">
        <v>110</v>
      </c>
      <c r="B600" s="35" t="s">
        <v>1541</v>
      </c>
      <c r="C600" s="35" t="s">
        <v>1764</v>
      </c>
      <c r="D600" s="35">
        <v>32306</v>
      </c>
      <c r="E600" s="35" t="s">
        <v>1765</v>
      </c>
      <c r="F600" s="35" t="s">
        <v>1766</v>
      </c>
      <c r="G600" s="35" t="s">
        <v>174</v>
      </c>
      <c r="H600" s="35" t="s">
        <v>116</v>
      </c>
      <c r="I600" s="35" t="s">
        <v>117</v>
      </c>
      <c r="J600" s="35" t="s">
        <v>141</v>
      </c>
      <c r="K600" s="36">
        <v>46060</v>
      </c>
      <c r="L600" s="36">
        <v>46092</v>
      </c>
      <c r="M600" s="36"/>
      <c r="N600" s="36"/>
      <c r="O600" s="36"/>
      <c r="P600" s="36"/>
      <c r="Q600" s="36"/>
      <c r="R600" s="35" t="s">
        <v>187</v>
      </c>
      <c r="S600" s="35" t="s">
        <v>1767</v>
      </c>
      <c r="T600" s="35" t="s">
        <v>162</v>
      </c>
      <c r="U600" s="35" t="s">
        <v>87</v>
      </c>
      <c r="V600" s="35" t="s">
        <v>509</v>
      </c>
      <c r="W600" s="35" t="s">
        <v>123</v>
      </c>
      <c r="X600" s="35">
        <v>2589.0700000000002</v>
      </c>
      <c r="Y600" s="35">
        <v>517.82000000000005</v>
      </c>
      <c r="Z600" s="35">
        <v>517.82000000000005</v>
      </c>
      <c r="AA600" s="35">
        <v>0</v>
      </c>
      <c r="AB600" s="35"/>
      <c r="AC600" s="35">
        <v>0</v>
      </c>
      <c r="AD600" s="35"/>
      <c r="AE600" s="35">
        <v>0</v>
      </c>
      <c r="AF600" s="35"/>
      <c r="AG600" s="35">
        <v>0</v>
      </c>
      <c r="AH600" s="35"/>
      <c r="AI600" s="37">
        <v>0</v>
      </c>
    </row>
    <row r="601" spans="1:35" x14ac:dyDescent="0.25">
      <c r="A601" s="38" t="s">
        <v>110</v>
      </c>
      <c r="B601" s="39" t="s">
        <v>993</v>
      </c>
      <c r="C601" s="39" t="s">
        <v>1005</v>
      </c>
      <c r="D601" s="39">
        <v>30423</v>
      </c>
      <c r="E601" s="39" t="s">
        <v>1006</v>
      </c>
      <c r="F601" s="39" t="s">
        <v>1007</v>
      </c>
      <c r="G601" s="39" t="s">
        <v>115</v>
      </c>
      <c r="H601" s="39" t="s">
        <v>160</v>
      </c>
      <c r="I601" s="39" t="s">
        <v>117</v>
      </c>
      <c r="J601" s="39" t="s">
        <v>118</v>
      </c>
      <c r="K601" s="40">
        <v>46060</v>
      </c>
      <c r="L601" s="40">
        <v>46082</v>
      </c>
      <c r="M601" s="40">
        <v>46082</v>
      </c>
      <c r="N601" s="40"/>
      <c r="O601" s="40"/>
      <c r="P601" s="40"/>
      <c r="Q601" s="40"/>
      <c r="R601" s="39" t="s">
        <v>187</v>
      </c>
      <c r="S601" s="39" t="s">
        <v>997</v>
      </c>
      <c r="T601" s="39" t="s">
        <v>998</v>
      </c>
      <c r="U601" s="35" t="s">
        <v>91</v>
      </c>
      <c r="V601" s="39" t="s">
        <v>509</v>
      </c>
      <c r="W601" s="39" t="s">
        <v>123</v>
      </c>
      <c r="X601" s="39">
        <v>185.4</v>
      </c>
      <c r="Y601" s="39">
        <v>14.83</v>
      </c>
      <c r="Z601" s="39">
        <v>14.83</v>
      </c>
      <c r="AA601" s="39">
        <v>0</v>
      </c>
      <c r="AB601" s="39"/>
      <c r="AC601" s="39">
        <v>0</v>
      </c>
      <c r="AD601" s="39"/>
      <c r="AE601" s="39">
        <v>0</v>
      </c>
      <c r="AF601" s="39"/>
      <c r="AG601" s="39">
        <v>0</v>
      </c>
      <c r="AH601" s="39"/>
      <c r="AI601" s="41">
        <v>0</v>
      </c>
    </row>
    <row r="602" spans="1:35" x14ac:dyDescent="0.25">
      <c r="A602" s="34" t="s">
        <v>110</v>
      </c>
      <c r="B602" s="35" t="s">
        <v>993</v>
      </c>
      <c r="C602" s="35" t="s">
        <v>1008</v>
      </c>
      <c r="D602" s="35">
        <v>30424</v>
      </c>
      <c r="E602" s="35" t="s">
        <v>1009</v>
      </c>
      <c r="F602" s="35" t="s">
        <v>1010</v>
      </c>
      <c r="G602" s="35" t="s">
        <v>115</v>
      </c>
      <c r="H602" s="35" t="s">
        <v>160</v>
      </c>
      <c r="I602" s="35" t="s">
        <v>117</v>
      </c>
      <c r="J602" s="35" t="s">
        <v>118</v>
      </c>
      <c r="K602" s="36">
        <v>46060</v>
      </c>
      <c r="L602" s="36">
        <v>46082</v>
      </c>
      <c r="M602" s="36">
        <v>46082</v>
      </c>
      <c r="N602" s="36"/>
      <c r="O602" s="36"/>
      <c r="P602" s="36"/>
      <c r="Q602" s="36"/>
      <c r="R602" s="35" t="s">
        <v>187</v>
      </c>
      <c r="S602" s="35" t="s">
        <v>997</v>
      </c>
      <c r="T602" s="35" t="s">
        <v>998</v>
      </c>
      <c r="U602" s="35" t="s">
        <v>91</v>
      </c>
      <c r="V602" s="35" t="s">
        <v>509</v>
      </c>
      <c r="W602" s="35" t="s">
        <v>123</v>
      </c>
      <c r="X602" s="35">
        <v>185.4</v>
      </c>
      <c r="Y602" s="35">
        <v>14.83</v>
      </c>
      <c r="Z602" s="35">
        <v>14.83</v>
      </c>
      <c r="AA602" s="35">
        <v>0</v>
      </c>
      <c r="AB602" s="35"/>
      <c r="AC602" s="35">
        <v>0</v>
      </c>
      <c r="AD602" s="35"/>
      <c r="AE602" s="35">
        <v>0</v>
      </c>
      <c r="AF602" s="35"/>
      <c r="AG602" s="35">
        <v>0</v>
      </c>
      <c r="AH602" s="35"/>
      <c r="AI602" s="37">
        <v>0</v>
      </c>
    </row>
    <row r="603" spans="1:35" x14ac:dyDescent="0.25">
      <c r="A603" s="38" t="s">
        <v>110</v>
      </c>
      <c r="B603" s="39" t="s">
        <v>993</v>
      </c>
      <c r="C603" s="39" t="s">
        <v>1011</v>
      </c>
      <c r="D603" s="39">
        <v>31364</v>
      </c>
      <c r="E603" s="39" t="s">
        <v>1012</v>
      </c>
      <c r="F603" s="39" t="s">
        <v>1013</v>
      </c>
      <c r="G603" s="39" t="s">
        <v>115</v>
      </c>
      <c r="H603" s="39" t="s">
        <v>160</v>
      </c>
      <c r="I603" s="39" t="s">
        <v>117</v>
      </c>
      <c r="J603" s="39" t="s">
        <v>118</v>
      </c>
      <c r="K603" s="40">
        <v>46060</v>
      </c>
      <c r="L603" s="40">
        <v>46082</v>
      </c>
      <c r="M603" s="40">
        <v>46082</v>
      </c>
      <c r="N603" s="40"/>
      <c r="O603" s="40"/>
      <c r="P603" s="40"/>
      <c r="Q603" s="40"/>
      <c r="R603" s="39" t="s">
        <v>187</v>
      </c>
      <c r="S603" s="39" t="s">
        <v>997</v>
      </c>
      <c r="T603" s="39" t="s">
        <v>998</v>
      </c>
      <c r="U603" s="35" t="s">
        <v>91</v>
      </c>
      <c r="V603" s="39" t="s">
        <v>509</v>
      </c>
      <c r="W603" s="39" t="s">
        <v>123</v>
      </c>
      <c r="X603" s="39">
        <v>288.39999999999998</v>
      </c>
      <c r="Y603" s="39">
        <v>23.07</v>
      </c>
      <c r="Z603" s="39">
        <v>23.07</v>
      </c>
      <c r="AA603" s="39">
        <v>0</v>
      </c>
      <c r="AB603" s="39"/>
      <c r="AC603" s="39">
        <v>0</v>
      </c>
      <c r="AD603" s="39"/>
      <c r="AE603" s="39">
        <v>0</v>
      </c>
      <c r="AF603" s="39"/>
      <c r="AG603" s="39">
        <v>0</v>
      </c>
      <c r="AH603" s="39"/>
      <c r="AI603" s="41">
        <v>0</v>
      </c>
    </row>
    <row r="604" spans="1:35" x14ac:dyDescent="0.25">
      <c r="A604" s="34" t="s">
        <v>110</v>
      </c>
      <c r="B604" s="35" t="s">
        <v>544</v>
      </c>
      <c r="C604" s="35" t="s">
        <v>545</v>
      </c>
      <c r="D604" s="35">
        <v>29657</v>
      </c>
      <c r="E604" s="35" t="s">
        <v>546</v>
      </c>
      <c r="F604" s="35" t="s">
        <v>547</v>
      </c>
      <c r="G604" s="35" t="s">
        <v>440</v>
      </c>
      <c r="H604" s="35" t="s">
        <v>160</v>
      </c>
      <c r="I604" s="35" t="s">
        <v>117</v>
      </c>
      <c r="J604" s="35" t="s">
        <v>118</v>
      </c>
      <c r="K604" s="36">
        <v>46060</v>
      </c>
      <c r="L604" s="36">
        <v>46054</v>
      </c>
      <c r="M604" s="36">
        <v>46060</v>
      </c>
      <c r="N604" s="36"/>
      <c r="O604" s="36"/>
      <c r="P604" s="36"/>
      <c r="Q604" s="36">
        <v>46113</v>
      </c>
      <c r="R604" s="35" t="s">
        <v>187</v>
      </c>
      <c r="S604" s="35" t="s">
        <v>543</v>
      </c>
      <c r="T604" s="35" t="s">
        <v>177</v>
      </c>
      <c r="U604" s="35" t="s">
        <v>81</v>
      </c>
      <c r="V604" s="35" t="s">
        <v>509</v>
      </c>
      <c r="W604" s="35" t="s">
        <v>123</v>
      </c>
      <c r="X604" s="35">
        <v>-244.62</v>
      </c>
      <c r="Y604" s="35">
        <v>-9.7899999999999991</v>
      </c>
      <c r="Z604" s="35">
        <v>-9.7899999999999991</v>
      </c>
      <c r="AA604" s="35">
        <v>0</v>
      </c>
      <c r="AB604" s="35"/>
      <c r="AC604" s="35">
        <v>0</v>
      </c>
      <c r="AD604" s="35"/>
      <c r="AE604" s="35">
        <v>0</v>
      </c>
      <c r="AF604" s="35"/>
      <c r="AG604" s="35">
        <v>0</v>
      </c>
      <c r="AH604" s="35"/>
      <c r="AI604" s="37">
        <v>0</v>
      </c>
    </row>
    <row r="605" spans="1:35" x14ac:dyDescent="0.25">
      <c r="A605" s="38" t="s">
        <v>110</v>
      </c>
      <c r="B605" s="39" t="s">
        <v>1497</v>
      </c>
      <c r="C605" s="39" t="s">
        <v>1498</v>
      </c>
      <c r="D605" s="39">
        <v>32636</v>
      </c>
      <c r="E605" s="39" t="s">
        <v>1499</v>
      </c>
      <c r="F605" s="39" t="s">
        <v>1500</v>
      </c>
      <c r="G605" s="39" t="s">
        <v>174</v>
      </c>
      <c r="H605" s="39" t="s">
        <v>116</v>
      </c>
      <c r="I605" s="39" t="s">
        <v>217</v>
      </c>
      <c r="J605" s="39" t="s">
        <v>118</v>
      </c>
      <c r="K605" s="40">
        <v>46060</v>
      </c>
      <c r="L605" s="40">
        <v>46060</v>
      </c>
      <c r="M605" s="40">
        <v>46064</v>
      </c>
      <c r="N605" s="40"/>
      <c r="O605" s="40"/>
      <c r="P605" s="40"/>
      <c r="Q605" s="40"/>
      <c r="R605" s="39" t="s">
        <v>218</v>
      </c>
      <c r="S605" s="39" t="s">
        <v>684</v>
      </c>
      <c r="T605" s="39" t="s">
        <v>205</v>
      </c>
      <c r="U605" s="35" t="s">
        <v>89</v>
      </c>
      <c r="V605" s="39" t="s">
        <v>509</v>
      </c>
      <c r="W605" s="39" t="s">
        <v>123</v>
      </c>
      <c r="X605" s="39">
        <v>111.52</v>
      </c>
      <c r="Y605" s="39">
        <v>20.079999999999998</v>
      </c>
      <c r="Z605" s="39">
        <v>20.079999999999998</v>
      </c>
      <c r="AA605" s="39">
        <v>0</v>
      </c>
      <c r="AB605" s="39"/>
      <c r="AC605" s="39">
        <v>0</v>
      </c>
      <c r="AD605" s="39"/>
      <c r="AE605" s="39">
        <v>0</v>
      </c>
      <c r="AF605" s="39"/>
      <c r="AG605" s="39">
        <v>0</v>
      </c>
      <c r="AH605" s="39"/>
      <c r="AI605" s="41">
        <v>0</v>
      </c>
    </row>
    <row r="606" spans="1:35" x14ac:dyDescent="0.25">
      <c r="A606" s="34" t="s">
        <v>110</v>
      </c>
      <c r="B606" s="35" t="s">
        <v>178</v>
      </c>
      <c r="C606" s="35" t="s">
        <v>1382</v>
      </c>
      <c r="D606" s="35">
        <v>32637</v>
      </c>
      <c r="E606" s="35" t="s">
        <v>1383</v>
      </c>
      <c r="F606" s="35" t="s">
        <v>1384</v>
      </c>
      <c r="G606" s="35" t="s">
        <v>174</v>
      </c>
      <c r="H606" s="35" t="s">
        <v>160</v>
      </c>
      <c r="I606" s="35" t="s">
        <v>217</v>
      </c>
      <c r="J606" s="35" t="s">
        <v>118</v>
      </c>
      <c r="K606" s="36">
        <v>46060</v>
      </c>
      <c r="L606" s="36">
        <v>46031</v>
      </c>
      <c r="M606" s="36">
        <v>46076</v>
      </c>
      <c r="N606" s="36"/>
      <c r="O606" s="36"/>
      <c r="P606" s="36"/>
      <c r="Q606" s="36">
        <v>46113</v>
      </c>
      <c r="R606" s="35" t="s">
        <v>218</v>
      </c>
      <c r="S606" s="35" t="s">
        <v>219</v>
      </c>
      <c r="T606" s="35" t="s">
        <v>220</v>
      </c>
      <c r="U606" s="35" t="s">
        <v>91</v>
      </c>
      <c r="V606" s="35" t="s">
        <v>163</v>
      </c>
      <c r="W606" s="35" t="s">
        <v>123</v>
      </c>
      <c r="X606" s="35">
        <v>147.34</v>
      </c>
      <c r="Y606" s="35">
        <v>25.78</v>
      </c>
      <c r="Z606" s="35">
        <v>25.78</v>
      </c>
      <c r="AA606" s="35">
        <v>0</v>
      </c>
      <c r="AB606" s="35"/>
      <c r="AC606" s="35">
        <v>0</v>
      </c>
      <c r="AD606" s="35"/>
      <c r="AE606" s="35">
        <v>0</v>
      </c>
      <c r="AF606" s="35"/>
      <c r="AG606" s="35">
        <v>0</v>
      </c>
      <c r="AH606" s="35"/>
      <c r="AI606" s="37">
        <v>0</v>
      </c>
    </row>
    <row r="607" spans="1:35" x14ac:dyDescent="0.25">
      <c r="A607" s="38" t="s">
        <v>110</v>
      </c>
      <c r="B607" s="39" t="s">
        <v>1772</v>
      </c>
      <c r="C607" s="39" t="s">
        <v>1773</v>
      </c>
      <c r="D607" s="39">
        <v>32638</v>
      </c>
      <c r="E607" s="39" t="s">
        <v>1774</v>
      </c>
      <c r="F607" s="39" t="s">
        <v>1775</v>
      </c>
      <c r="G607" s="39" t="s">
        <v>174</v>
      </c>
      <c r="H607" s="39" t="s">
        <v>160</v>
      </c>
      <c r="I607" s="39" t="s">
        <v>117</v>
      </c>
      <c r="J607" s="39" t="s">
        <v>118</v>
      </c>
      <c r="K607" s="40">
        <v>46060</v>
      </c>
      <c r="L607" s="40">
        <v>46056</v>
      </c>
      <c r="M607" s="40">
        <v>46064</v>
      </c>
      <c r="N607" s="40"/>
      <c r="O607" s="40"/>
      <c r="P607" s="40"/>
      <c r="Q607" s="40">
        <v>46113</v>
      </c>
      <c r="R607" s="39" t="s">
        <v>142</v>
      </c>
      <c r="S607" s="39" t="s">
        <v>933</v>
      </c>
      <c r="T607" s="39" t="s">
        <v>162</v>
      </c>
      <c r="U607" s="35" t="s">
        <v>87</v>
      </c>
      <c r="V607" s="39" t="s">
        <v>509</v>
      </c>
      <c r="W607" s="39" t="s">
        <v>123</v>
      </c>
      <c r="X607" s="39">
        <v>1265.72</v>
      </c>
      <c r="Y607" s="39">
        <v>253.14</v>
      </c>
      <c r="Z607" s="39">
        <v>253.14</v>
      </c>
      <c r="AA607" s="39">
        <v>0</v>
      </c>
      <c r="AB607" s="39"/>
      <c r="AC607" s="39">
        <v>0</v>
      </c>
      <c r="AD607" s="39"/>
      <c r="AE607" s="39">
        <v>0</v>
      </c>
      <c r="AF607" s="39"/>
      <c r="AG607" s="39">
        <v>0</v>
      </c>
      <c r="AH607" s="39"/>
      <c r="AI607" s="41">
        <v>0</v>
      </c>
    </row>
    <row r="608" spans="1:35" x14ac:dyDescent="0.25">
      <c r="A608" s="34" t="s">
        <v>110</v>
      </c>
      <c r="B608" s="35" t="s">
        <v>983</v>
      </c>
      <c r="C608" s="35" t="s">
        <v>1534</v>
      </c>
      <c r="D608" s="35">
        <v>21857</v>
      </c>
      <c r="E608" s="35" t="s">
        <v>1535</v>
      </c>
      <c r="F608" s="35" t="s">
        <v>1536</v>
      </c>
      <c r="G608" s="35" t="s">
        <v>192</v>
      </c>
      <c r="H608" s="35" t="s">
        <v>160</v>
      </c>
      <c r="I608" s="35" t="s">
        <v>117</v>
      </c>
      <c r="J608" s="35" t="s">
        <v>118</v>
      </c>
      <c r="K608" s="36">
        <v>46060</v>
      </c>
      <c r="L608" s="36">
        <v>45657</v>
      </c>
      <c r="M608" s="36">
        <v>46076</v>
      </c>
      <c r="N608" s="36"/>
      <c r="O608" s="36"/>
      <c r="P608" s="36"/>
      <c r="Q608" s="36">
        <v>46113</v>
      </c>
      <c r="R608" s="35" t="s">
        <v>175</v>
      </c>
      <c r="S608" s="35" t="s">
        <v>88</v>
      </c>
      <c r="T608" s="35" t="s">
        <v>744</v>
      </c>
      <c r="U608" s="35" t="s">
        <v>88</v>
      </c>
      <c r="V608" s="35" t="s">
        <v>509</v>
      </c>
      <c r="W608" s="35" t="s">
        <v>123</v>
      </c>
      <c r="X608" s="35">
        <v>82.6</v>
      </c>
      <c r="Y608" s="35">
        <v>16.52</v>
      </c>
      <c r="Z608" s="35">
        <v>16.52</v>
      </c>
      <c r="AA608" s="35">
        <v>0</v>
      </c>
      <c r="AB608" s="35"/>
      <c r="AC608" s="35">
        <v>0</v>
      </c>
      <c r="AD608" s="35"/>
      <c r="AE608" s="35">
        <v>0</v>
      </c>
      <c r="AF608" s="35"/>
      <c r="AG608" s="35">
        <v>0</v>
      </c>
      <c r="AH608" s="35"/>
      <c r="AI608" s="37">
        <v>0</v>
      </c>
    </row>
    <row r="609" spans="1:35" x14ac:dyDescent="0.25">
      <c r="A609" s="38" t="s">
        <v>110</v>
      </c>
      <c r="B609" s="39" t="s">
        <v>1795</v>
      </c>
      <c r="C609" s="39" t="s">
        <v>1796</v>
      </c>
      <c r="D609" s="39">
        <v>22920</v>
      </c>
      <c r="E609" s="39" t="s">
        <v>1797</v>
      </c>
      <c r="F609" s="39" t="s">
        <v>1798</v>
      </c>
      <c r="G609" s="39" t="s">
        <v>192</v>
      </c>
      <c r="H609" s="39" t="s">
        <v>160</v>
      </c>
      <c r="I609" s="39" t="s">
        <v>117</v>
      </c>
      <c r="J609" s="39" t="s">
        <v>141</v>
      </c>
      <c r="K609" s="40">
        <v>46060</v>
      </c>
      <c r="L609" s="40">
        <v>45962</v>
      </c>
      <c r="M609" s="40"/>
      <c r="N609" s="40"/>
      <c r="O609" s="40"/>
      <c r="P609" s="40"/>
      <c r="Q609" s="40"/>
      <c r="R609" s="39" t="s">
        <v>119</v>
      </c>
      <c r="S609" s="39" t="s">
        <v>987</v>
      </c>
      <c r="T609" s="39" t="s">
        <v>974</v>
      </c>
      <c r="U609" s="35" t="s">
        <v>91</v>
      </c>
      <c r="V609" s="39" t="s">
        <v>509</v>
      </c>
      <c r="W609" s="39" t="s">
        <v>123</v>
      </c>
      <c r="X609" s="39">
        <v>1178.8699999999999</v>
      </c>
      <c r="Y609" s="39">
        <v>235.77</v>
      </c>
      <c r="Z609" s="39">
        <v>235.77</v>
      </c>
      <c r="AA609" s="39">
        <v>0</v>
      </c>
      <c r="AB609" s="39"/>
      <c r="AC609" s="39">
        <v>0</v>
      </c>
      <c r="AD609" s="39"/>
      <c r="AE609" s="39">
        <v>0</v>
      </c>
      <c r="AF609" s="39"/>
      <c r="AG609" s="39">
        <v>0</v>
      </c>
      <c r="AH609" s="39"/>
      <c r="AI609" s="41">
        <v>0</v>
      </c>
    </row>
    <row r="610" spans="1:35" x14ac:dyDescent="0.25">
      <c r="A610" s="34" t="s">
        <v>110</v>
      </c>
      <c r="B610" s="35" t="s">
        <v>1795</v>
      </c>
      <c r="C610" s="35" t="s">
        <v>1796</v>
      </c>
      <c r="D610" s="35">
        <v>22920</v>
      </c>
      <c r="E610" s="35" t="s">
        <v>1799</v>
      </c>
      <c r="F610" s="35" t="s">
        <v>1800</v>
      </c>
      <c r="G610" s="35" t="s">
        <v>192</v>
      </c>
      <c r="H610" s="35" t="s">
        <v>160</v>
      </c>
      <c r="I610" s="35" t="s">
        <v>117</v>
      </c>
      <c r="J610" s="35" t="s">
        <v>141</v>
      </c>
      <c r="K610" s="36">
        <v>46060</v>
      </c>
      <c r="L610" s="36">
        <v>45992</v>
      </c>
      <c r="M610" s="36"/>
      <c r="N610" s="36"/>
      <c r="O610" s="36"/>
      <c r="P610" s="36"/>
      <c r="Q610" s="36"/>
      <c r="R610" s="35" t="s">
        <v>119</v>
      </c>
      <c r="S610" s="35" t="s">
        <v>987</v>
      </c>
      <c r="T610" s="35" t="s">
        <v>974</v>
      </c>
      <c r="U610" s="35" t="s">
        <v>91</v>
      </c>
      <c r="V610" s="35" t="s">
        <v>509</v>
      </c>
      <c r="W610" s="35" t="s">
        <v>123</v>
      </c>
      <c r="X610" s="35">
        <v>1103.08</v>
      </c>
      <c r="Y610" s="35">
        <v>220.62</v>
      </c>
      <c r="Z610" s="35">
        <v>220.62</v>
      </c>
      <c r="AA610" s="35">
        <v>0</v>
      </c>
      <c r="AB610" s="35"/>
      <c r="AC610" s="35">
        <v>0</v>
      </c>
      <c r="AD610" s="35"/>
      <c r="AE610" s="35">
        <v>0</v>
      </c>
      <c r="AF610" s="35"/>
      <c r="AG610" s="35">
        <v>0</v>
      </c>
      <c r="AH610" s="35"/>
      <c r="AI610" s="37">
        <v>0</v>
      </c>
    </row>
    <row r="611" spans="1:35" x14ac:dyDescent="0.25">
      <c r="A611" s="38" t="s">
        <v>110</v>
      </c>
      <c r="B611" s="39" t="s">
        <v>1801</v>
      </c>
      <c r="C611" s="39" t="s">
        <v>1802</v>
      </c>
      <c r="D611" s="39">
        <v>22921</v>
      </c>
      <c r="E611" s="39" t="s">
        <v>1813</v>
      </c>
      <c r="F611" s="39" t="s">
        <v>1814</v>
      </c>
      <c r="G611" s="39" t="s">
        <v>192</v>
      </c>
      <c r="H611" s="39" t="s">
        <v>160</v>
      </c>
      <c r="I611" s="39" t="s">
        <v>117</v>
      </c>
      <c r="J611" s="39" t="s">
        <v>141</v>
      </c>
      <c r="K611" s="40">
        <v>46060</v>
      </c>
      <c r="L611" s="40">
        <v>46023</v>
      </c>
      <c r="M611" s="40"/>
      <c r="N611" s="40"/>
      <c r="O611" s="40"/>
      <c r="P611" s="40"/>
      <c r="Q611" s="40"/>
      <c r="R611" s="39" t="s">
        <v>142</v>
      </c>
      <c r="S611" s="39" t="s">
        <v>987</v>
      </c>
      <c r="T611" s="39" t="s">
        <v>974</v>
      </c>
      <c r="U611" s="35" t="s">
        <v>91</v>
      </c>
      <c r="V611" s="39" t="s">
        <v>509</v>
      </c>
      <c r="W611" s="39" t="s">
        <v>123</v>
      </c>
      <c r="X611" s="39">
        <v>563.63</v>
      </c>
      <c r="Y611" s="39">
        <v>112.73</v>
      </c>
      <c r="Z611" s="39">
        <v>112.73</v>
      </c>
      <c r="AA611" s="39">
        <v>0</v>
      </c>
      <c r="AB611" s="39"/>
      <c r="AC611" s="39">
        <v>0</v>
      </c>
      <c r="AD611" s="39"/>
      <c r="AE611" s="39">
        <v>0</v>
      </c>
      <c r="AF611" s="39"/>
      <c r="AG611" s="39">
        <v>0</v>
      </c>
      <c r="AH611" s="39"/>
      <c r="AI611" s="41">
        <v>0</v>
      </c>
    </row>
    <row r="612" spans="1:35" x14ac:dyDescent="0.25">
      <c r="A612" s="38" t="s">
        <v>110</v>
      </c>
      <c r="B612" s="39" t="s">
        <v>1344</v>
      </c>
      <c r="C612" s="39" t="s">
        <v>1345</v>
      </c>
      <c r="D612" s="39">
        <v>27414</v>
      </c>
      <c r="E612" s="39" t="s">
        <v>1346</v>
      </c>
      <c r="F612" s="39" t="s">
        <v>1347</v>
      </c>
      <c r="G612" s="39" t="s">
        <v>115</v>
      </c>
      <c r="H612" s="39" t="s">
        <v>160</v>
      </c>
      <c r="I612" s="39" t="s">
        <v>117</v>
      </c>
      <c r="J612" s="39" t="s">
        <v>118</v>
      </c>
      <c r="K612" s="40">
        <v>46062</v>
      </c>
      <c r="L612" s="40">
        <v>46023</v>
      </c>
      <c r="M612" s="40">
        <v>46062</v>
      </c>
      <c r="N612" s="40"/>
      <c r="O612" s="40"/>
      <c r="P612" s="40"/>
      <c r="Q612" s="40">
        <v>46062</v>
      </c>
      <c r="R612" s="39" t="s">
        <v>142</v>
      </c>
      <c r="S612" s="39" t="s">
        <v>730</v>
      </c>
      <c r="T612" s="39" t="s">
        <v>730</v>
      </c>
      <c r="U612" s="35" t="s">
        <v>84</v>
      </c>
      <c r="V612" s="39" t="s">
        <v>699</v>
      </c>
      <c r="W612" s="39" t="s">
        <v>123</v>
      </c>
      <c r="X612" s="39">
        <v>0</v>
      </c>
      <c r="Y612" s="39">
        <v>267</v>
      </c>
      <c r="Z612" s="39">
        <v>267</v>
      </c>
      <c r="AA612" s="39">
        <v>0</v>
      </c>
      <c r="AB612" s="39"/>
      <c r="AC612" s="39">
        <v>0</v>
      </c>
      <c r="AD612" s="39"/>
      <c r="AE612" s="39">
        <v>0</v>
      </c>
      <c r="AF612" s="39"/>
      <c r="AG612" s="39">
        <v>0</v>
      </c>
      <c r="AH612" s="39"/>
      <c r="AI612" s="41">
        <v>0</v>
      </c>
    </row>
    <row r="613" spans="1:35" x14ac:dyDescent="0.25">
      <c r="A613" s="34" t="s">
        <v>110</v>
      </c>
      <c r="B613" s="35" t="s">
        <v>818</v>
      </c>
      <c r="C613" s="35" t="s">
        <v>819</v>
      </c>
      <c r="D613" s="35">
        <v>5117</v>
      </c>
      <c r="E613" s="35" t="s">
        <v>822</v>
      </c>
      <c r="F613" s="35" t="s">
        <v>823</v>
      </c>
      <c r="G613" s="35" t="s">
        <v>115</v>
      </c>
      <c r="H613" s="35" t="s">
        <v>116</v>
      </c>
      <c r="I613" s="35" t="s">
        <v>117</v>
      </c>
      <c r="J613" s="35" t="s">
        <v>118</v>
      </c>
      <c r="K613" s="36">
        <v>46062</v>
      </c>
      <c r="L613" s="36">
        <v>46054</v>
      </c>
      <c r="M613" s="36">
        <v>46054</v>
      </c>
      <c r="N613" s="36"/>
      <c r="O613" s="36"/>
      <c r="P613" s="36">
        <v>46082</v>
      </c>
      <c r="Q613" s="36"/>
      <c r="R613" s="35" t="s">
        <v>119</v>
      </c>
      <c r="S613" s="35" t="s">
        <v>817</v>
      </c>
      <c r="T613" s="35" t="s">
        <v>607</v>
      </c>
      <c r="U613" s="35" t="s">
        <v>89</v>
      </c>
      <c r="V613" s="35" t="s">
        <v>569</v>
      </c>
      <c r="W613" s="35" t="s">
        <v>123</v>
      </c>
      <c r="X613" s="35">
        <v>552.38</v>
      </c>
      <c r="Y613" s="35">
        <v>44.19</v>
      </c>
      <c r="Z613" s="35">
        <v>44.19</v>
      </c>
      <c r="AA613" s="35">
        <v>0</v>
      </c>
      <c r="AB613" s="35"/>
      <c r="AC613" s="35">
        <v>0</v>
      </c>
      <c r="AD613" s="35" t="s">
        <v>130</v>
      </c>
      <c r="AE613" s="35">
        <v>0</v>
      </c>
      <c r="AF613" s="35"/>
      <c r="AG613" s="35">
        <v>0</v>
      </c>
      <c r="AH613" s="35"/>
      <c r="AI613" s="37">
        <v>0</v>
      </c>
    </row>
    <row r="614" spans="1:35" x14ac:dyDescent="0.25">
      <c r="A614" s="38" t="s">
        <v>110</v>
      </c>
      <c r="B614" s="39" t="s">
        <v>828</v>
      </c>
      <c r="C614" s="39" t="s">
        <v>829</v>
      </c>
      <c r="D614" s="39">
        <v>5137</v>
      </c>
      <c r="E614" s="39" t="s">
        <v>832</v>
      </c>
      <c r="F614" s="39" t="s">
        <v>833</v>
      </c>
      <c r="G614" s="39" t="s">
        <v>115</v>
      </c>
      <c r="H614" s="39" t="s">
        <v>116</v>
      </c>
      <c r="I614" s="39" t="s">
        <v>117</v>
      </c>
      <c r="J614" s="39" t="s">
        <v>118</v>
      </c>
      <c r="K614" s="40">
        <v>46062</v>
      </c>
      <c r="L614" s="40">
        <v>46054</v>
      </c>
      <c r="M614" s="40">
        <v>46054</v>
      </c>
      <c r="N614" s="40"/>
      <c r="O614" s="40"/>
      <c r="P614" s="40">
        <v>46082</v>
      </c>
      <c r="Q614" s="40"/>
      <c r="R614" s="39" t="s">
        <v>119</v>
      </c>
      <c r="S614" s="39" t="s">
        <v>817</v>
      </c>
      <c r="T614" s="39" t="s">
        <v>607</v>
      </c>
      <c r="U614" s="35" t="s">
        <v>89</v>
      </c>
      <c r="V614" s="39" t="s">
        <v>569</v>
      </c>
      <c r="W614" s="39" t="s">
        <v>123</v>
      </c>
      <c r="X614" s="39">
        <v>201.38</v>
      </c>
      <c r="Y614" s="39">
        <v>16.11</v>
      </c>
      <c r="Z614" s="39">
        <v>16.11</v>
      </c>
      <c r="AA614" s="39">
        <v>0</v>
      </c>
      <c r="AB614" s="39"/>
      <c r="AC614" s="39">
        <v>0</v>
      </c>
      <c r="AD614" s="39" t="s">
        <v>130</v>
      </c>
      <c r="AE614" s="39">
        <v>0</v>
      </c>
      <c r="AF614" s="39"/>
      <c r="AG614" s="39">
        <v>0</v>
      </c>
      <c r="AH614" s="39"/>
      <c r="AI614" s="41">
        <v>0</v>
      </c>
    </row>
    <row r="615" spans="1:35" x14ac:dyDescent="0.25">
      <c r="A615" s="34" t="s">
        <v>110</v>
      </c>
      <c r="B615" s="35" t="s">
        <v>868</v>
      </c>
      <c r="C615" s="35" t="s">
        <v>869</v>
      </c>
      <c r="D615" s="35">
        <v>13160</v>
      </c>
      <c r="E615" s="35" t="s">
        <v>872</v>
      </c>
      <c r="F615" s="35" t="s">
        <v>873</v>
      </c>
      <c r="G615" s="35" t="s">
        <v>115</v>
      </c>
      <c r="H615" s="35" t="s">
        <v>116</v>
      </c>
      <c r="I615" s="35" t="s">
        <v>117</v>
      </c>
      <c r="J615" s="35" t="s">
        <v>118</v>
      </c>
      <c r="K615" s="36">
        <v>46062</v>
      </c>
      <c r="L615" s="36">
        <v>46054</v>
      </c>
      <c r="M615" s="36">
        <v>46054</v>
      </c>
      <c r="N615" s="36"/>
      <c r="O615" s="36"/>
      <c r="P615" s="36"/>
      <c r="Q615" s="36"/>
      <c r="R615" s="35" t="s">
        <v>119</v>
      </c>
      <c r="S615" s="35" t="s">
        <v>574</v>
      </c>
      <c r="T615" s="35" t="s">
        <v>129</v>
      </c>
      <c r="U615" s="35" t="s">
        <v>90</v>
      </c>
      <c r="V615" s="35" t="s">
        <v>569</v>
      </c>
      <c r="W615" s="35" t="s">
        <v>123</v>
      </c>
      <c r="X615" s="35">
        <v>202.27</v>
      </c>
      <c r="Y615" s="35">
        <v>18.2</v>
      </c>
      <c r="Z615" s="35">
        <v>18.2</v>
      </c>
      <c r="AA615" s="35">
        <v>0</v>
      </c>
      <c r="AB615" s="35"/>
      <c r="AC615" s="35">
        <v>0</v>
      </c>
      <c r="AD615" s="35"/>
      <c r="AE615" s="35">
        <v>0</v>
      </c>
      <c r="AF615" s="35"/>
      <c r="AG615" s="35">
        <v>0</v>
      </c>
      <c r="AH615" s="35"/>
      <c r="AI615" s="37">
        <v>0</v>
      </c>
    </row>
    <row r="616" spans="1:35" x14ac:dyDescent="0.25">
      <c r="A616" s="38" t="s">
        <v>110</v>
      </c>
      <c r="B616" s="39" t="s">
        <v>895</v>
      </c>
      <c r="C616" s="39" t="s">
        <v>896</v>
      </c>
      <c r="D616" s="39">
        <v>20804</v>
      </c>
      <c r="E616" s="39" t="s">
        <v>900</v>
      </c>
      <c r="F616" s="39" t="s">
        <v>901</v>
      </c>
      <c r="G616" s="39" t="s">
        <v>115</v>
      </c>
      <c r="H616" s="39" t="s">
        <v>116</v>
      </c>
      <c r="I616" s="39" t="s">
        <v>117</v>
      </c>
      <c r="J616" s="39" t="s">
        <v>118</v>
      </c>
      <c r="K616" s="40">
        <v>46062</v>
      </c>
      <c r="L616" s="40">
        <v>46054</v>
      </c>
      <c r="M616" s="40">
        <v>46054</v>
      </c>
      <c r="N616" s="40"/>
      <c r="O616" s="40"/>
      <c r="P616" s="40"/>
      <c r="Q616" s="40"/>
      <c r="R616" s="39" t="s">
        <v>119</v>
      </c>
      <c r="S616" s="39" t="s">
        <v>899</v>
      </c>
      <c r="T616" s="39" t="s">
        <v>129</v>
      </c>
      <c r="U616" s="35" t="s">
        <v>90</v>
      </c>
      <c r="V616" s="39" t="s">
        <v>569</v>
      </c>
      <c r="W616" s="39" t="s">
        <v>123</v>
      </c>
      <c r="X616" s="39">
        <v>310.85000000000002</v>
      </c>
      <c r="Y616" s="39">
        <v>27.97</v>
      </c>
      <c r="Z616" s="39">
        <v>27.97</v>
      </c>
      <c r="AA616" s="39">
        <v>0</v>
      </c>
      <c r="AB616" s="39"/>
      <c r="AC616" s="39">
        <v>0</v>
      </c>
      <c r="AD616" s="39"/>
      <c r="AE616" s="39">
        <v>0</v>
      </c>
      <c r="AF616" s="39"/>
      <c r="AG616" s="39">
        <v>0</v>
      </c>
      <c r="AH616" s="39"/>
      <c r="AI616" s="41">
        <v>0</v>
      </c>
    </row>
    <row r="617" spans="1:35" x14ac:dyDescent="0.25">
      <c r="A617" s="34" t="s">
        <v>110</v>
      </c>
      <c r="B617" s="35" t="s">
        <v>862</v>
      </c>
      <c r="C617" s="35" t="s">
        <v>863</v>
      </c>
      <c r="D617" s="35">
        <v>12698</v>
      </c>
      <c r="E617" s="35" t="s">
        <v>866</v>
      </c>
      <c r="F617" s="35" t="s">
        <v>867</v>
      </c>
      <c r="G617" s="35" t="s">
        <v>115</v>
      </c>
      <c r="H617" s="35" t="s">
        <v>116</v>
      </c>
      <c r="I617" s="35" t="s">
        <v>117</v>
      </c>
      <c r="J617" s="35" t="s">
        <v>118</v>
      </c>
      <c r="K617" s="36">
        <v>46062</v>
      </c>
      <c r="L617" s="36">
        <v>46054</v>
      </c>
      <c r="M617" s="36">
        <v>46054</v>
      </c>
      <c r="N617" s="36"/>
      <c r="O617" s="36"/>
      <c r="P617" s="36"/>
      <c r="Q617" s="36"/>
      <c r="R617" s="35" t="s">
        <v>119</v>
      </c>
      <c r="S617" s="35" t="s">
        <v>568</v>
      </c>
      <c r="T617" s="35" t="s">
        <v>568</v>
      </c>
      <c r="U617" s="35" t="s">
        <v>90</v>
      </c>
      <c r="V617" s="35" t="s">
        <v>569</v>
      </c>
      <c r="W617" s="35" t="s">
        <v>123</v>
      </c>
      <c r="X617" s="35">
        <v>33.020000000000003</v>
      </c>
      <c r="Y617" s="35">
        <v>2.97</v>
      </c>
      <c r="Z617" s="35">
        <v>2.97</v>
      </c>
      <c r="AA617" s="35">
        <v>0</v>
      </c>
      <c r="AB617" s="35"/>
      <c r="AC617" s="35">
        <v>0</v>
      </c>
      <c r="AD617" s="35"/>
      <c r="AE617" s="35">
        <v>0</v>
      </c>
      <c r="AF617" s="35"/>
      <c r="AG617" s="35">
        <v>0</v>
      </c>
      <c r="AH617" s="35"/>
      <c r="AI617" s="37">
        <v>0</v>
      </c>
    </row>
    <row r="618" spans="1:35" x14ac:dyDescent="0.25">
      <c r="A618" s="38" t="s">
        <v>110</v>
      </c>
      <c r="B618" s="39" t="s">
        <v>588</v>
      </c>
      <c r="C618" s="39" t="s">
        <v>589</v>
      </c>
      <c r="D618" s="39">
        <v>19150</v>
      </c>
      <c r="E618" s="39" t="s">
        <v>592</v>
      </c>
      <c r="F618" s="39" t="s">
        <v>593</v>
      </c>
      <c r="G618" s="39" t="s">
        <v>115</v>
      </c>
      <c r="H618" s="39" t="s">
        <v>116</v>
      </c>
      <c r="I618" s="39" t="s">
        <v>117</v>
      </c>
      <c r="J618" s="39" t="s">
        <v>118</v>
      </c>
      <c r="K618" s="40">
        <v>46062</v>
      </c>
      <c r="L618" s="40">
        <v>46054</v>
      </c>
      <c r="M618" s="40">
        <v>46054</v>
      </c>
      <c r="N618" s="40"/>
      <c r="O618" s="40"/>
      <c r="P618" s="40"/>
      <c r="Q618" s="40"/>
      <c r="R618" s="39" t="s">
        <v>119</v>
      </c>
      <c r="S618" s="39" t="s">
        <v>579</v>
      </c>
      <c r="T618" s="39" t="s">
        <v>129</v>
      </c>
      <c r="U618" s="35" t="s">
        <v>90</v>
      </c>
      <c r="V618" s="39" t="s">
        <v>569</v>
      </c>
      <c r="W618" s="39" t="s">
        <v>123</v>
      </c>
      <c r="X618" s="39">
        <v>36.68</v>
      </c>
      <c r="Y618" s="39">
        <v>3.3</v>
      </c>
      <c r="Z618" s="39">
        <v>3.3</v>
      </c>
      <c r="AA618" s="39">
        <v>0</v>
      </c>
      <c r="AB618" s="39"/>
      <c r="AC618" s="39">
        <v>0</v>
      </c>
      <c r="AD618" s="39"/>
      <c r="AE618" s="39">
        <v>0</v>
      </c>
      <c r="AF618" s="39"/>
      <c r="AG618" s="39">
        <v>0</v>
      </c>
      <c r="AH618" s="39"/>
      <c r="AI618" s="41">
        <v>0</v>
      </c>
    </row>
    <row r="619" spans="1:35" x14ac:dyDescent="0.25">
      <c r="A619" s="34" t="s">
        <v>110</v>
      </c>
      <c r="B619" s="35" t="s">
        <v>856</v>
      </c>
      <c r="C619" s="35" t="s">
        <v>857</v>
      </c>
      <c r="D619" s="35">
        <v>13993</v>
      </c>
      <c r="E619" s="35" t="s">
        <v>860</v>
      </c>
      <c r="F619" s="35" t="s">
        <v>861</v>
      </c>
      <c r="G619" s="35" t="s">
        <v>115</v>
      </c>
      <c r="H619" s="35" t="s">
        <v>116</v>
      </c>
      <c r="I619" s="35" t="s">
        <v>117</v>
      </c>
      <c r="J619" s="35" t="s">
        <v>118</v>
      </c>
      <c r="K619" s="36">
        <v>46062</v>
      </c>
      <c r="L619" s="36">
        <v>46054</v>
      </c>
      <c r="M619" s="36">
        <v>46054</v>
      </c>
      <c r="N619" s="36"/>
      <c r="O619" s="36"/>
      <c r="P619" s="36"/>
      <c r="Q619" s="36"/>
      <c r="R619" s="35" t="s">
        <v>119</v>
      </c>
      <c r="S619" s="35" t="s">
        <v>574</v>
      </c>
      <c r="T619" s="35" t="s">
        <v>129</v>
      </c>
      <c r="U619" s="35" t="s">
        <v>90</v>
      </c>
      <c r="V619" s="35" t="s">
        <v>569</v>
      </c>
      <c r="W619" s="35" t="s">
        <v>123</v>
      </c>
      <c r="X619" s="35">
        <v>491.64</v>
      </c>
      <c r="Y619" s="35">
        <v>0</v>
      </c>
      <c r="Z619" s="35">
        <v>0</v>
      </c>
      <c r="AA619" s="35">
        <v>0</v>
      </c>
      <c r="AB619" s="35"/>
      <c r="AC619" s="35">
        <v>0</v>
      </c>
      <c r="AD619" s="35"/>
      <c r="AE619" s="35">
        <v>0</v>
      </c>
      <c r="AF619" s="35"/>
      <c r="AG619" s="35">
        <v>0</v>
      </c>
      <c r="AH619" s="35"/>
      <c r="AI619" s="37">
        <v>0</v>
      </c>
    </row>
    <row r="620" spans="1:35" x14ac:dyDescent="0.25">
      <c r="A620" s="38" t="s">
        <v>110</v>
      </c>
      <c r="B620" s="39" t="s">
        <v>874</v>
      </c>
      <c r="C620" s="39" t="s">
        <v>875</v>
      </c>
      <c r="D620" s="39">
        <v>13398</v>
      </c>
      <c r="E620" s="39" t="s">
        <v>878</v>
      </c>
      <c r="F620" s="39" t="s">
        <v>879</v>
      </c>
      <c r="G620" s="39" t="s">
        <v>115</v>
      </c>
      <c r="H620" s="39" t="s">
        <v>116</v>
      </c>
      <c r="I620" s="39" t="s">
        <v>117</v>
      </c>
      <c r="J620" s="39" t="s">
        <v>118</v>
      </c>
      <c r="K620" s="40">
        <v>46062</v>
      </c>
      <c r="L620" s="40">
        <v>46054</v>
      </c>
      <c r="M620" s="40">
        <v>46054</v>
      </c>
      <c r="N620" s="40"/>
      <c r="O620" s="40"/>
      <c r="P620" s="40"/>
      <c r="Q620" s="40"/>
      <c r="R620" s="39" t="s">
        <v>119</v>
      </c>
      <c r="S620" s="39" t="s">
        <v>574</v>
      </c>
      <c r="T620" s="39" t="s">
        <v>129</v>
      </c>
      <c r="U620" s="35" t="s">
        <v>90</v>
      </c>
      <c r="V620" s="39" t="s">
        <v>569</v>
      </c>
      <c r="W620" s="39" t="s">
        <v>123</v>
      </c>
      <c r="X620" s="39">
        <v>367.7</v>
      </c>
      <c r="Y620" s="39">
        <v>33.090000000000003</v>
      </c>
      <c r="Z620" s="39">
        <v>33.090000000000003</v>
      </c>
      <c r="AA620" s="39">
        <v>0</v>
      </c>
      <c r="AB620" s="39"/>
      <c r="AC620" s="39">
        <v>0</v>
      </c>
      <c r="AD620" s="39"/>
      <c r="AE620" s="39">
        <v>0</v>
      </c>
      <c r="AF620" s="39"/>
      <c r="AG620" s="39">
        <v>0</v>
      </c>
      <c r="AH620" s="39"/>
      <c r="AI620" s="41">
        <v>0</v>
      </c>
    </row>
    <row r="621" spans="1:35" x14ac:dyDescent="0.25">
      <c r="A621" s="34" t="s">
        <v>110</v>
      </c>
      <c r="B621" s="35" t="s">
        <v>582</v>
      </c>
      <c r="C621" s="35" t="s">
        <v>583</v>
      </c>
      <c r="D621" s="35">
        <v>12619</v>
      </c>
      <c r="E621" s="35" t="s">
        <v>586</v>
      </c>
      <c r="F621" s="35" t="s">
        <v>587</v>
      </c>
      <c r="G621" s="35" t="s">
        <v>115</v>
      </c>
      <c r="H621" s="35" t="s">
        <v>116</v>
      </c>
      <c r="I621" s="35" t="s">
        <v>117</v>
      </c>
      <c r="J621" s="35" t="s">
        <v>118</v>
      </c>
      <c r="K621" s="36">
        <v>46062</v>
      </c>
      <c r="L621" s="36">
        <v>46054</v>
      </c>
      <c r="M621" s="36">
        <v>46054</v>
      </c>
      <c r="N621" s="36"/>
      <c r="O621" s="36"/>
      <c r="P621" s="36"/>
      <c r="Q621" s="36"/>
      <c r="R621" s="35" t="s">
        <v>119</v>
      </c>
      <c r="S621" s="35" t="s">
        <v>574</v>
      </c>
      <c r="T621" s="35" t="s">
        <v>129</v>
      </c>
      <c r="U621" s="35" t="s">
        <v>90</v>
      </c>
      <c r="V621" s="35" t="s">
        <v>569</v>
      </c>
      <c r="W621" s="35" t="s">
        <v>123</v>
      </c>
      <c r="X621" s="35">
        <v>72.930000000000007</v>
      </c>
      <c r="Y621" s="35">
        <v>3.65</v>
      </c>
      <c r="Z621" s="35">
        <v>3.65</v>
      </c>
      <c r="AA621" s="35">
        <v>0</v>
      </c>
      <c r="AB621" s="35"/>
      <c r="AC621" s="35">
        <v>0</v>
      </c>
      <c r="AD621" s="35"/>
      <c r="AE621" s="35">
        <v>0</v>
      </c>
      <c r="AF621" s="35"/>
      <c r="AG621" s="35">
        <v>0</v>
      </c>
      <c r="AH621" s="35"/>
      <c r="AI621" s="37">
        <v>0</v>
      </c>
    </row>
    <row r="622" spans="1:35" x14ac:dyDescent="0.25">
      <c r="A622" s="38" t="s">
        <v>110</v>
      </c>
      <c r="B622" s="39" t="s">
        <v>834</v>
      </c>
      <c r="C622" s="39" t="s">
        <v>835</v>
      </c>
      <c r="D622" s="39">
        <v>5157</v>
      </c>
      <c r="E622" s="39" t="s">
        <v>838</v>
      </c>
      <c r="F622" s="39" t="s">
        <v>839</v>
      </c>
      <c r="G622" s="39" t="s">
        <v>115</v>
      </c>
      <c r="H622" s="39" t="s">
        <v>116</v>
      </c>
      <c r="I622" s="39" t="s">
        <v>117</v>
      </c>
      <c r="J622" s="39" t="s">
        <v>118</v>
      </c>
      <c r="K622" s="40">
        <v>46062</v>
      </c>
      <c r="L622" s="40">
        <v>46054</v>
      </c>
      <c r="M622" s="40">
        <v>46054</v>
      </c>
      <c r="N622" s="40"/>
      <c r="O622" s="40"/>
      <c r="P622" s="40"/>
      <c r="Q622" s="40"/>
      <c r="R622" s="39" t="s">
        <v>119</v>
      </c>
      <c r="S622" s="39" t="s">
        <v>817</v>
      </c>
      <c r="T622" s="39" t="s">
        <v>607</v>
      </c>
      <c r="U622" s="35" t="s">
        <v>89</v>
      </c>
      <c r="V622" s="39" t="s">
        <v>569</v>
      </c>
      <c r="W622" s="39" t="s">
        <v>123</v>
      </c>
      <c r="X622" s="39">
        <v>69.900000000000006</v>
      </c>
      <c r="Y622" s="39">
        <v>5.59</v>
      </c>
      <c r="Z622" s="39">
        <v>5.59</v>
      </c>
      <c r="AA622" s="39">
        <v>0</v>
      </c>
      <c r="AB622" s="39"/>
      <c r="AC622" s="39">
        <v>0</v>
      </c>
      <c r="AD622" s="39"/>
      <c r="AE622" s="39">
        <v>0</v>
      </c>
      <c r="AF622" s="39"/>
      <c r="AG622" s="39">
        <v>0</v>
      </c>
      <c r="AH622" s="39"/>
      <c r="AI622" s="41">
        <v>0</v>
      </c>
    </row>
    <row r="623" spans="1:35" x14ac:dyDescent="0.25">
      <c r="A623" s="34" t="s">
        <v>110</v>
      </c>
      <c r="B623" s="35" t="s">
        <v>575</v>
      </c>
      <c r="C623" s="35" t="s">
        <v>576</v>
      </c>
      <c r="D623" s="35">
        <v>15477</v>
      </c>
      <c r="E623" s="35" t="s">
        <v>580</v>
      </c>
      <c r="F623" s="35" t="s">
        <v>581</v>
      </c>
      <c r="G623" s="35" t="s">
        <v>115</v>
      </c>
      <c r="H623" s="35" t="s">
        <v>116</v>
      </c>
      <c r="I623" s="35" t="s">
        <v>117</v>
      </c>
      <c r="J623" s="35" t="s">
        <v>118</v>
      </c>
      <c r="K623" s="36">
        <v>46062</v>
      </c>
      <c r="L623" s="36">
        <v>46054</v>
      </c>
      <c r="M623" s="36">
        <v>46054</v>
      </c>
      <c r="N623" s="36"/>
      <c r="O623" s="36"/>
      <c r="P623" s="36"/>
      <c r="Q623" s="36"/>
      <c r="R623" s="35" t="s">
        <v>119</v>
      </c>
      <c r="S623" s="35" t="s">
        <v>579</v>
      </c>
      <c r="T623" s="35" t="s">
        <v>129</v>
      </c>
      <c r="U623" s="35" t="s">
        <v>90</v>
      </c>
      <c r="V623" s="35" t="s">
        <v>569</v>
      </c>
      <c r="W623" s="35" t="s">
        <v>123</v>
      </c>
      <c r="X623" s="35">
        <v>373.24</v>
      </c>
      <c r="Y623" s="35">
        <v>33.590000000000003</v>
      </c>
      <c r="Z623" s="35">
        <v>33.590000000000003</v>
      </c>
      <c r="AA623" s="35">
        <v>0</v>
      </c>
      <c r="AB623" s="35"/>
      <c r="AC623" s="35">
        <v>0</v>
      </c>
      <c r="AD623" s="35"/>
      <c r="AE623" s="35">
        <v>0</v>
      </c>
      <c r="AF623" s="35"/>
      <c r="AG623" s="35">
        <v>0</v>
      </c>
      <c r="AH623" s="35"/>
      <c r="AI623" s="37">
        <v>0</v>
      </c>
    </row>
    <row r="624" spans="1:35" x14ac:dyDescent="0.25">
      <c r="A624" s="38" t="s">
        <v>110</v>
      </c>
      <c r="B624" s="39" t="s">
        <v>880</v>
      </c>
      <c r="C624" s="39" t="s">
        <v>881</v>
      </c>
      <c r="D624" s="39">
        <v>14503</v>
      </c>
      <c r="E624" s="39" t="s">
        <v>884</v>
      </c>
      <c r="F624" s="39" t="s">
        <v>885</v>
      </c>
      <c r="G624" s="39" t="s">
        <v>115</v>
      </c>
      <c r="H624" s="39" t="s">
        <v>116</v>
      </c>
      <c r="I624" s="39" t="s">
        <v>117</v>
      </c>
      <c r="J624" s="39" t="s">
        <v>118</v>
      </c>
      <c r="K624" s="40">
        <v>46062</v>
      </c>
      <c r="L624" s="40">
        <v>46054</v>
      </c>
      <c r="M624" s="40">
        <v>46054</v>
      </c>
      <c r="N624" s="40"/>
      <c r="O624" s="40"/>
      <c r="P624" s="40"/>
      <c r="Q624" s="40"/>
      <c r="R624" s="39" t="s">
        <v>119</v>
      </c>
      <c r="S624" s="39" t="s">
        <v>574</v>
      </c>
      <c r="T624" s="39" t="s">
        <v>129</v>
      </c>
      <c r="U624" s="35" t="s">
        <v>90</v>
      </c>
      <c r="V624" s="39" t="s">
        <v>569</v>
      </c>
      <c r="W624" s="39" t="s">
        <v>123</v>
      </c>
      <c r="X624" s="39">
        <v>122.04</v>
      </c>
      <c r="Y624" s="39">
        <v>10.98</v>
      </c>
      <c r="Z624" s="39">
        <v>10.98</v>
      </c>
      <c r="AA624" s="39">
        <v>0</v>
      </c>
      <c r="AB624" s="39"/>
      <c r="AC624" s="39">
        <v>0</v>
      </c>
      <c r="AD624" s="39"/>
      <c r="AE624" s="39">
        <v>0</v>
      </c>
      <c r="AF624" s="39"/>
      <c r="AG624" s="39">
        <v>0</v>
      </c>
      <c r="AH624" s="39"/>
      <c r="AI624" s="41">
        <v>0</v>
      </c>
    </row>
    <row r="625" spans="1:35" x14ac:dyDescent="0.25">
      <c r="A625" s="34" t="s">
        <v>110</v>
      </c>
      <c r="B625" s="35" t="s">
        <v>293</v>
      </c>
      <c r="C625" s="35" t="s">
        <v>294</v>
      </c>
      <c r="D625" s="35">
        <v>30758</v>
      </c>
      <c r="E625" s="35" t="s">
        <v>295</v>
      </c>
      <c r="F625" s="35" t="s">
        <v>296</v>
      </c>
      <c r="G625" s="35" t="s">
        <v>174</v>
      </c>
      <c r="H625" s="35" t="s">
        <v>160</v>
      </c>
      <c r="I625" s="35" t="s">
        <v>217</v>
      </c>
      <c r="J625" s="35" t="s">
        <v>118</v>
      </c>
      <c r="K625" s="36">
        <v>46062</v>
      </c>
      <c r="L625" s="36">
        <v>46088</v>
      </c>
      <c r="M625" s="36">
        <v>46062</v>
      </c>
      <c r="N625" s="36"/>
      <c r="O625" s="36"/>
      <c r="P625" s="36">
        <v>46082</v>
      </c>
      <c r="Q625" s="36"/>
      <c r="R625" s="35" t="s">
        <v>218</v>
      </c>
      <c r="S625" s="35" t="s">
        <v>225</v>
      </c>
      <c r="T625" s="35" t="s">
        <v>225</v>
      </c>
      <c r="U625" s="35" t="s">
        <v>88</v>
      </c>
      <c r="V625" s="35" t="s">
        <v>226</v>
      </c>
      <c r="W625" s="35" t="s">
        <v>123</v>
      </c>
      <c r="X625" s="35">
        <v>920</v>
      </c>
      <c r="Y625" s="35">
        <v>167.27</v>
      </c>
      <c r="Z625" s="35">
        <v>167.27</v>
      </c>
      <c r="AA625" s="35">
        <v>0</v>
      </c>
      <c r="AB625" s="35"/>
      <c r="AC625" s="35">
        <v>0</v>
      </c>
      <c r="AD625" s="35" t="s">
        <v>297</v>
      </c>
      <c r="AE625" s="35">
        <v>92</v>
      </c>
      <c r="AF625" s="35"/>
      <c r="AG625" s="35">
        <v>0</v>
      </c>
      <c r="AH625" s="35"/>
      <c r="AI625" s="37">
        <v>0</v>
      </c>
    </row>
    <row r="626" spans="1:35" x14ac:dyDescent="0.25">
      <c r="A626" s="38" t="s">
        <v>110</v>
      </c>
      <c r="B626" s="39" t="s">
        <v>293</v>
      </c>
      <c r="C626" s="39" t="s">
        <v>294</v>
      </c>
      <c r="D626" s="39">
        <v>30758</v>
      </c>
      <c r="E626" s="39" t="s">
        <v>298</v>
      </c>
      <c r="F626" s="39" t="s">
        <v>299</v>
      </c>
      <c r="G626" s="39" t="s">
        <v>174</v>
      </c>
      <c r="H626" s="39" t="s">
        <v>160</v>
      </c>
      <c r="I626" s="39" t="s">
        <v>217</v>
      </c>
      <c r="J626" s="39" t="s">
        <v>118</v>
      </c>
      <c r="K626" s="40">
        <v>46062</v>
      </c>
      <c r="L626" s="40">
        <v>46088</v>
      </c>
      <c r="M626" s="40">
        <v>46062</v>
      </c>
      <c r="N626" s="40"/>
      <c r="O626" s="40"/>
      <c r="P626" s="40">
        <v>46082</v>
      </c>
      <c r="Q626" s="40"/>
      <c r="R626" s="39" t="s">
        <v>218</v>
      </c>
      <c r="S626" s="39" t="s">
        <v>225</v>
      </c>
      <c r="T626" s="39" t="s">
        <v>225</v>
      </c>
      <c r="U626" s="35" t="s">
        <v>88</v>
      </c>
      <c r="V626" s="39" t="s">
        <v>226</v>
      </c>
      <c r="W626" s="39" t="s">
        <v>123</v>
      </c>
      <c r="X626" s="39">
        <v>-920</v>
      </c>
      <c r="Y626" s="39">
        <v>-167.27</v>
      </c>
      <c r="Z626" s="39">
        <v>-167.27</v>
      </c>
      <c r="AA626" s="39">
        <v>0</v>
      </c>
      <c r="AB626" s="39"/>
      <c r="AC626" s="39">
        <v>0</v>
      </c>
      <c r="AD626" s="39" t="s">
        <v>297</v>
      </c>
      <c r="AE626" s="39">
        <v>-92</v>
      </c>
      <c r="AF626" s="39"/>
      <c r="AG626" s="39">
        <v>0</v>
      </c>
      <c r="AH626" s="39"/>
      <c r="AI626" s="41">
        <v>0</v>
      </c>
    </row>
    <row r="627" spans="1:35" x14ac:dyDescent="0.25">
      <c r="A627" s="34" t="s">
        <v>110</v>
      </c>
      <c r="B627" s="35" t="s">
        <v>1545</v>
      </c>
      <c r="C627" s="35" t="s">
        <v>1546</v>
      </c>
      <c r="D627" s="35">
        <v>32639</v>
      </c>
      <c r="E627" s="35" t="s">
        <v>1547</v>
      </c>
      <c r="F627" s="35" t="s">
        <v>1548</v>
      </c>
      <c r="G627" s="35" t="s">
        <v>174</v>
      </c>
      <c r="H627" s="35" t="s">
        <v>160</v>
      </c>
      <c r="I627" s="35" t="s">
        <v>217</v>
      </c>
      <c r="J627" s="35" t="s">
        <v>118</v>
      </c>
      <c r="K627" s="36">
        <v>46062</v>
      </c>
      <c r="L627" s="36">
        <v>46059</v>
      </c>
      <c r="M627" s="36">
        <v>46069</v>
      </c>
      <c r="N627" s="36"/>
      <c r="O627" s="36"/>
      <c r="P627" s="36"/>
      <c r="Q627" s="36">
        <v>46082</v>
      </c>
      <c r="R627" s="35" t="s">
        <v>218</v>
      </c>
      <c r="S627" s="35" t="s">
        <v>718</v>
      </c>
      <c r="T627" s="35" t="s">
        <v>519</v>
      </c>
      <c r="U627" s="35" t="s">
        <v>86</v>
      </c>
      <c r="V627" s="35" t="s">
        <v>719</v>
      </c>
      <c r="W627" s="35" t="s">
        <v>123</v>
      </c>
      <c r="X627" s="35">
        <v>15675.52</v>
      </c>
      <c r="Y627" s="35">
        <v>3918.88</v>
      </c>
      <c r="Z627" s="35">
        <v>3918.88</v>
      </c>
      <c r="AA627" s="35">
        <v>0</v>
      </c>
      <c r="AB627" s="35"/>
      <c r="AC627" s="35">
        <v>0</v>
      </c>
      <c r="AD627" s="35"/>
      <c r="AE627" s="35">
        <v>0</v>
      </c>
      <c r="AF627" s="35"/>
      <c r="AG627" s="35">
        <v>0</v>
      </c>
      <c r="AH627" s="35"/>
      <c r="AI627" s="37">
        <v>0</v>
      </c>
    </row>
    <row r="628" spans="1:35" x14ac:dyDescent="0.25">
      <c r="A628" s="38" t="s">
        <v>110</v>
      </c>
      <c r="B628" s="39" t="s">
        <v>2131</v>
      </c>
      <c r="C628" s="39" t="s">
        <v>2132</v>
      </c>
      <c r="D628" s="39">
        <v>1776</v>
      </c>
      <c r="E628" s="39" t="s">
        <v>2133</v>
      </c>
      <c r="F628" s="39" t="s">
        <v>2134</v>
      </c>
      <c r="G628" s="39" t="s">
        <v>115</v>
      </c>
      <c r="H628" s="39" t="s">
        <v>116</v>
      </c>
      <c r="I628" s="39" t="s">
        <v>117</v>
      </c>
      <c r="J628" s="39" t="s">
        <v>141</v>
      </c>
      <c r="K628" s="40">
        <v>46062</v>
      </c>
      <c r="L628" s="40">
        <v>46089</v>
      </c>
      <c r="M628" s="40"/>
      <c r="N628" s="40"/>
      <c r="O628" s="40"/>
      <c r="P628" s="40"/>
      <c r="Q628" s="40"/>
      <c r="R628" s="39" t="s">
        <v>142</v>
      </c>
      <c r="S628" s="39" t="s">
        <v>2135</v>
      </c>
      <c r="T628" s="39" t="s">
        <v>129</v>
      </c>
      <c r="U628" s="35" t="s">
        <v>90</v>
      </c>
      <c r="V628" s="39" t="s">
        <v>443</v>
      </c>
      <c r="W628" s="39" t="s">
        <v>123</v>
      </c>
      <c r="X628" s="39">
        <v>14754.68</v>
      </c>
      <c r="Y628" s="39">
        <v>2334.02</v>
      </c>
      <c r="Z628" s="39">
        <v>2334.02</v>
      </c>
      <c r="AA628" s="39">
        <v>0</v>
      </c>
      <c r="AB628" s="39"/>
      <c r="AC628" s="39">
        <v>0</v>
      </c>
      <c r="AD628" s="39"/>
      <c r="AE628" s="39">
        <v>0</v>
      </c>
      <c r="AF628" s="39"/>
      <c r="AG628" s="39">
        <v>0</v>
      </c>
      <c r="AH628" s="39"/>
      <c r="AI628" s="41">
        <v>0</v>
      </c>
    </row>
    <row r="629" spans="1:35" x14ac:dyDescent="0.25">
      <c r="A629" s="34" t="s">
        <v>110</v>
      </c>
      <c r="B629" s="35" t="s">
        <v>193</v>
      </c>
      <c r="C629" s="35" t="s">
        <v>194</v>
      </c>
      <c r="D629" s="35">
        <v>16731</v>
      </c>
      <c r="E629" s="35" t="s">
        <v>199</v>
      </c>
      <c r="F629" s="35" t="s">
        <v>200</v>
      </c>
      <c r="G629" s="35" t="s">
        <v>115</v>
      </c>
      <c r="H629" s="35" t="s">
        <v>116</v>
      </c>
      <c r="I629" s="35" t="s">
        <v>117</v>
      </c>
      <c r="J629" s="35" t="s">
        <v>141</v>
      </c>
      <c r="K629" s="36">
        <v>46062</v>
      </c>
      <c r="L629" s="36">
        <v>46135</v>
      </c>
      <c r="M629" s="36"/>
      <c r="N629" s="36"/>
      <c r="O629" s="36"/>
      <c r="P629" s="36"/>
      <c r="Q629" s="36"/>
      <c r="R629" s="35" t="s">
        <v>119</v>
      </c>
      <c r="S629" s="35" t="s">
        <v>197</v>
      </c>
      <c r="T629" s="35" t="s">
        <v>198</v>
      </c>
      <c r="U629" s="35" t="s">
        <v>94</v>
      </c>
      <c r="V629" s="35" t="s">
        <v>163</v>
      </c>
      <c r="W629" s="35" t="s">
        <v>123</v>
      </c>
      <c r="X629" s="35">
        <v>103.21</v>
      </c>
      <c r="Y629" s="35">
        <v>21.05</v>
      </c>
      <c r="Z629" s="35">
        <v>21.05</v>
      </c>
      <c r="AA629" s="35">
        <v>0</v>
      </c>
      <c r="AB629" s="35"/>
      <c r="AC629" s="35">
        <v>0</v>
      </c>
      <c r="AD629" s="35"/>
      <c r="AE629" s="35">
        <v>0</v>
      </c>
      <c r="AF629" s="35"/>
      <c r="AG629" s="35">
        <v>0</v>
      </c>
      <c r="AH629" s="35"/>
      <c r="AI629" s="37">
        <v>0</v>
      </c>
    </row>
    <row r="630" spans="1:35" x14ac:dyDescent="0.25">
      <c r="A630" s="38" t="s">
        <v>110</v>
      </c>
      <c r="B630" s="39" t="s">
        <v>313</v>
      </c>
      <c r="C630" s="39" t="s">
        <v>314</v>
      </c>
      <c r="D630" s="39">
        <v>31780</v>
      </c>
      <c r="E630" s="39" t="s">
        <v>315</v>
      </c>
      <c r="F630" s="39" t="s">
        <v>316</v>
      </c>
      <c r="G630" s="39" t="s">
        <v>174</v>
      </c>
      <c r="H630" s="39" t="s">
        <v>160</v>
      </c>
      <c r="I630" s="39" t="s">
        <v>217</v>
      </c>
      <c r="J630" s="39" t="s">
        <v>118</v>
      </c>
      <c r="K630" s="40">
        <v>46062</v>
      </c>
      <c r="L630" s="40">
        <v>45969</v>
      </c>
      <c r="M630" s="40">
        <v>46062</v>
      </c>
      <c r="N630" s="40"/>
      <c r="O630" s="40"/>
      <c r="P630" s="40"/>
      <c r="Q630" s="40">
        <v>46062</v>
      </c>
      <c r="R630" s="39" t="s">
        <v>218</v>
      </c>
      <c r="S630" s="39" t="s">
        <v>225</v>
      </c>
      <c r="T630" s="39" t="s">
        <v>225</v>
      </c>
      <c r="U630" s="35" t="s">
        <v>88</v>
      </c>
      <c r="V630" s="39" t="s">
        <v>226</v>
      </c>
      <c r="W630" s="39" t="s">
        <v>123</v>
      </c>
      <c r="X630" s="39">
        <v>-3.25</v>
      </c>
      <c r="Y630" s="39">
        <v>-184.92</v>
      </c>
      <c r="Z630" s="39">
        <v>-184.92</v>
      </c>
      <c r="AA630" s="39">
        <v>0</v>
      </c>
      <c r="AB630" s="39"/>
      <c r="AC630" s="39">
        <v>0</v>
      </c>
      <c r="AD630" s="39"/>
      <c r="AE630" s="39">
        <v>0</v>
      </c>
      <c r="AF630" s="39"/>
      <c r="AG630" s="39">
        <v>0</v>
      </c>
      <c r="AH630" s="39"/>
      <c r="AI630" s="41">
        <v>0</v>
      </c>
    </row>
    <row r="631" spans="1:35" x14ac:dyDescent="0.25">
      <c r="A631" s="34" t="s">
        <v>110</v>
      </c>
      <c r="B631" s="35" t="s">
        <v>231</v>
      </c>
      <c r="C631" s="35" t="s">
        <v>232</v>
      </c>
      <c r="D631" s="35">
        <v>29175</v>
      </c>
      <c r="E631" s="35" t="s">
        <v>233</v>
      </c>
      <c r="F631" s="35" t="s">
        <v>234</v>
      </c>
      <c r="G631" s="35" t="s">
        <v>174</v>
      </c>
      <c r="H631" s="35" t="s">
        <v>160</v>
      </c>
      <c r="I631" s="35" t="s">
        <v>217</v>
      </c>
      <c r="J631" s="35" t="s">
        <v>118</v>
      </c>
      <c r="K631" s="36">
        <v>46062</v>
      </c>
      <c r="L631" s="36">
        <v>45970</v>
      </c>
      <c r="M631" s="36">
        <v>46062</v>
      </c>
      <c r="N631" s="36"/>
      <c r="O631" s="36"/>
      <c r="P631" s="36"/>
      <c r="Q631" s="36">
        <v>46062</v>
      </c>
      <c r="R631" s="35" t="s">
        <v>218</v>
      </c>
      <c r="S631" s="35" t="s">
        <v>225</v>
      </c>
      <c r="T631" s="35" t="s">
        <v>225</v>
      </c>
      <c r="U631" s="35" t="s">
        <v>88</v>
      </c>
      <c r="V631" s="35" t="s">
        <v>226</v>
      </c>
      <c r="W631" s="35" t="s">
        <v>123</v>
      </c>
      <c r="X631" s="35">
        <v>0</v>
      </c>
      <c r="Y631" s="35">
        <v>-365.08</v>
      </c>
      <c r="Z631" s="35">
        <v>-365.08</v>
      </c>
      <c r="AA631" s="35">
        <v>0</v>
      </c>
      <c r="AB631" s="35"/>
      <c r="AC631" s="35">
        <v>0</v>
      </c>
      <c r="AD631" s="35"/>
      <c r="AE631" s="35">
        <v>0</v>
      </c>
      <c r="AF631" s="35"/>
      <c r="AG631" s="35">
        <v>0</v>
      </c>
      <c r="AH631" s="35"/>
      <c r="AI631" s="37">
        <v>0</v>
      </c>
    </row>
    <row r="632" spans="1:35" x14ac:dyDescent="0.25">
      <c r="A632" s="38" t="s">
        <v>110</v>
      </c>
      <c r="B632" s="39" t="s">
        <v>428</v>
      </c>
      <c r="C632" s="39" t="s">
        <v>429</v>
      </c>
      <c r="D632" s="39">
        <v>22587</v>
      </c>
      <c r="E632" s="39" t="s">
        <v>432</v>
      </c>
      <c r="F632" s="39" t="s">
        <v>433</v>
      </c>
      <c r="G632" s="39" t="s">
        <v>174</v>
      </c>
      <c r="H632" s="39" t="s">
        <v>160</v>
      </c>
      <c r="I632" s="39" t="s">
        <v>217</v>
      </c>
      <c r="J632" s="39" t="s">
        <v>118</v>
      </c>
      <c r="K632" s="40">
        <v>46063</v>
      </c>
      <c r="L632" s="40">
        <v>46072</v>
      </c>
      <c r="M632" s="40">
        <v>46072</v>
      </c>
      <c r="N632" s="40"/>
      <c r="O632" s="40"/>
      <c r="P632" s="40"/>
      <c r="Q632" s="40"/>
      <c r="R632" s="39" t="s">
        <v>218</v>
      </c>
      <c r="S632" s="39" t="s">
        <v>225</v>
      </c>
      <c r="T632" s="39" t="s">
        <v>225</v>
      </c>
      <c r="U632" s="35" t="s">
        <v>88</v>
      </c>
      <c r="V632" s="39" t="s">
        <v>226</v>
      </c>
      <c r="W632" s="39" t="s">
        <v>123</v>
      </c>
      <c r="X632" s="39">
        <v>3127.5</v>
      </c>
      <c r="Y632" s="39">
        <v>568.64</v>
      </c>
      <c r="Z632" s="39">
        <v>568.64</v>
      </c>
      <c r="AA632" s="39">
        <v>0</v>
      </c>
      <c r="AB632" s="39"/>
      <c r="AC632" s="39">
        <v>0</v>
      </c>
      <c r="AD632" s="39"/>
      <c r="AE632" s="39">
        <v>0</v>
      </c>
      <c r="AF632" s="39"/>
      <c r="AG632" s="39">
        <v>0</v>
      </c>
      <c r="AH632" s="39"/>
      <c r="AI632" s="41">
        <v>0</v>
      </c>
    </row>
    <row r="633" spans="1:35" x14ac:dyDescent="0.25">
      <c r="A633" s="34" t="s">
        <v>110</v>
      </c>
      <c r="B633" s="35" t="s">
        <v>428</v>
      </c>
      <c r="C633" s="35" t="s">
        <v>429</v>
      </c>
      <c r="D633" s="35">
        <v>22587</v>
      </c>
      <c r="E633" s="35" t="s">
        <v>434</v>
      </c>
      <c r="F633" s="35" t="s">
        <v>435</v>
      </c>
      <c r="G633" s="35" t="s">
        <v>174</v>
      </c>
      <c r="H633" s="35" t="s">
        <v>160</v>
      </c>
      <c r="I633" s="35" t="s">
        <v>217</v>
      </c>
      <c r="J633" s="35" t="s">
        <v>141</v>
      </c>
      <c r="K633" s="36">
        <v>46063</v>
      </c>
      <c r="L633" s="36">
        <v>46072</v>
      </c>
      <c r="M633" s="36"/>
      <c r="N633" s="36"/>
      <c r="O633" s="36"/>
      <c r="P633" s="36"/>
      <c r="Q633" s="36"/>
      <c r="R633" s="35" t="s">
        <v>218</v>
      </c>
      <c r="S633" s="35" t="s">
        <v>225</v>
      </c>
      <c r="T633" s="35" t="s">
        <v>225</v>
      </c>
      <c r="U633" s="35" t="s">
        <v>88</v>
      </c>
      <c r="V633" s="35" t="s">
        <v>226</v>
      </c>
      <c r="W633" s="35" t="s">
        <v>123</v>
      </c>
      <c r="X633" s="35">
        <v>3127.5</v>
      </c>
      <c r="Y633" s="35">
        <v>568.64</v>
      </c>
      <c r="Z633" s="35">
        <v>568.64</v>
      </c>
      <c r="AA633" s="35">
        <v>0</v>
      </c>
      <c r="AB633" s="35"/>
      <c r="AC633" s="35">
        <v>0</v>
      </c>
      <c r="AD633" s="35"/>
      <c r="AE633" s="35">
        <v>0</v>
      </c>
      <c r="AF633" s="35"/>
      <c r="AG633" s="35">
        <v>0</v>
      </c>
      <c r="AH633" s="35"/>
      <c r="AI633" s="37">
        <v>0</v>
      </c>
    </row>
    <row r="634" spans="1:35" x14ac:dyDescent="0.25">
      <c r="A634" s="38" t="s">
        <v>110</v>
      </c>
      <c r="B634" s="39" t="s">
        <v>2148</v>
      </c>
      <c r="C634" s="39" t="s">
        <v>2149</v>
      </c>
      <c r="D634" s="39">
        <v>26059</v>
      </c>
      <c r="E634" s="39" t="s">
        <v>2152</v>
      </c>
      <c r="F634" s="39" t="s">
        <v>2153</v>
      </c>
      <c r="G634" s="39" t="s">
        <v>174</v>
      </c>
      <c r="H634" s="39" t="s">
        <v>160</v>
      </c>
      <c r="I634" s="39" t="s">
        <v>217</v>
      </c>
      <c r="J634" s="39" t="s">
        <v>118</v>
      </c>
      <c r="K634" s="40">
        <v>46063</v>
      </c>
      <c r="L634" s="40">
        <v>45332</v>
      </c>
      <c r="M634" s="40">
        <v>46077</v>
      </c>
      <c r="N634" s="40"/>
      <c r="O634" s="40"/>
      <c r="P634" s="40"/>
      <c r="Q634" s="40"/>
      <c r="R634" s="39" t="s">
        <v>218</v>
      </c>
      <c r="S634" s="39" t="s">
        <v>225</v>
      </c>
      <c r="T634" s="39" t="s">
        <v>225</v>
      </c>
      <c r="U634" s="35" t="s">
        <v>88</v>
      </c>
      <c r="V634" s="39" t="s">
        <v>226</v>
      </c>
      <c r="W634" s="39" t="s">
        <v>123</v>
      </c>
      <c r="X634" s="39">
        <v>178.76</v>
      </c>
      <c r="Y634" s="39">
        <v>32.51</v>
      </c>
      <c r="Z634" s="39">
        <v>32.51</v>
      </c>
      <c r="AA634" s="39">
        <v>0</v>
      </c>
      <c r="AB634" s="39"/>
      <c r="AC634" s="39">
        <v>0</v>
      </c>
      <c r="AD634" s="39"/>
      <c r="AE634" s="39">
        <v>0</v>
      </c>
      <c r="AF634" s="39"/>
      <c r="AG634" s="39">
        <v>0</v>
      </c>
      <c r="AH634" s="39"/>
      <c r="AI634" s="41">
        <v>0</v>
      </c>
    </row>
    <row r="635" spans="1:35" x14ac:dyDescent="0.25">
      <c r="A635" s="34" t="s">
        <v>110</v>
      </c>
      <c r="B635" s="35" t="s">
        <v>2183</v>
      </c>
      <c r="C635" s="35" t="s">
        <v>2184</v>
      </c>
      <c r="D635" s="35">
        <v>27885</v>
      </c>
      <c r="E635" s="35" t="s">
        <v>2185</v>
      </c>
      <c r="F635" s="35" t="s">
        <v>2186</v>
      </c>
      <c r="G635" s="35" t="s">
        <v>174</v>
      </c>
      <c r="H635" s="35" t="s">
        <v>160</v>
      </c>
      <c r="I635" s="35" t="s">
        <v>217</v>
      </c>
      <c r="J635" s="35" t="s">
        <v>141</v>
      </c>
      <c r="K635" s="36">
        <v>46063</v>
      </c>
      <c r="L635" s="36">
        <v>46089</v>
      </c>
      <c r="M635" s="36"/>
      <c r="N635" s="36"/>
      <c r="O635" s="36"/>
      <c r="P635" s="36"/>
      <c r="Q635" s="36"/>
      <c r="R635" s="35" t="s">
        <v>218</v>
      </c>
      <c r="S635" s="35" t="s">
        <v>225</v>
      </c>
      <c r="T635" s="35" t="s">
        <v>225</v>
      </c>
      <c r="U635" s="35" t="s">
        <v>88</v>
      </c>
      <c r="V635" s="35" t="s">
        <v>226</v>
      </c>
      <c r="W635" s="35" t="s">
        <v>123</v>
      </c>
      <c r="X635" s="35">
        <v>1872</v>
      </c>
      <c r="Y635" s="35">
        <v>340.36</v>
      </c>
      <c r="Z635" s="35">
        <v>340.36</v>
      </c>
      <c r="AA635" s="35">
        <v>0</v>
      </c>
      <c r="AB635" s="35"/>
      <c r="AC635" s="35">
        <v>0</v>
      </c>
      <c r="AD635" s="35"/>
      <c r="AE635" s="35">
        <v>0</v>
      </c>
      <c r="AF635" s="35"/>
      <c r="AG635" s="35">
        <v>0</v>
      </c>
      <c r="AH635" s="35"/>
      <c r="AI635" s="37">
        <v>0</v>
      </c>
    </row>
    <row r="636" spans="1:35" x14ac:dyDescent="0.25">
      <c r="A636" s="38" t="s">
        <v>110</v>
      </c>
      <c r="B636" s="39" t="s">
        <v>300</v>
      </c>
      <c r="C636" s="39" t="s">
        <v>301</v>
      </c>
      <c r="D636" s="39">
        <v>30889</v>
      </c>
      <c r="E636" s="39" t="s">
        <v>302</v>
      </c>
      <c r="F636" s="39" t="s">
        <v>303</v>
      </c>
      <c r="G636" s="39" t="s">
        <v>174</v>
      </c>
      <c r="H636" s="39" t="s">
        <v>160</v>
      </c>
      <c r="I636" s="39" t="s">
        <v>217</v>
      </c>
      <c r="J636" s="39" t="s">
        <v>118</v>
      </c>
      <c r="K636" s="40">
        <v>46063</v>
      </c>
      <c r="L636" s="40">
        <v>46109</v>
      </c>
      <c r="M636" s="40">
        <v>46062</v>
      </c>
      <c r="N636" s="40"/>
      <c r="O636" s="40"/>
      <c r="P636" s="40"/>
      <c r="Q636" s="40"/>
      <c r="R636" s="39" t="s">
        <v>218</v>
      </c>
      <c r="S636" s="39" t="s">
        <v>225</v>
      </c>
      <c r="T636" s="39" t="s">
        <v>225</v>
      </c>
      <c r="U636" s="35" t="s">
        <v>88</v>
      </c>
      <c r="V636" s="39" t="s">
        <v>226</v>
      </c>
      <c r="W636" s="39" t="s">
        <v>123</v>
      </c>
      <c r="X636" s="39">
        <v>508.55</v>
      </c>
      <c r="Y636" s="39">
        <v>92.46</v>
      </c>
      <c r="Z636" s="39">
        <v>92.46</v>
      </c>
      <c r="AA636" s="39">
        <v>0</v>
      </c>
      <c r="AB636" s="39"/>
      <c r="AC636" s="39">
        <v>0</v>
      </c>
      <c r="AD636" s="39"/>
      <c r="AE636" s="39">
        <v>0</v>
      </c>
      <c r="AF636" s="39"/>
      <c r="AG636" s="39">
        <v>0</v>
      </c>
      <c r="AH636" s="39"/>
      <c r="AI636" s="41">
        <v>0</v>
      </c>
    </row>
    <row r="637" spans="1:35" x14ac:dyDescent="0.25">
      <c r="A637" s="34" t="s">
        <v>110</v>
      </c>
      <c r="B637" s="35" t="s">
        <v>1844</v>
      </c>
      <c r="C637" s="35" t="s">
        <v>1845</v>
      </c>
      <c r="D637" s="35">
        <v>32640</v>
      </c>
      <c r="E637" s="35" t="s">
        <v>1846</v>
      </c>
      <c r="F637" s="35" t="s">
        <v>1847</v>
      </c>
      <c r="G637" s="35" t="s">
        <v>174</v>
      </c>
      <c r="H637" s="35" t="s">
        <v>160</v>
      </c>
      <c r="I637" s="35" t="s">
        <v>217</v>
      </c>
      <c r="J637" s="35" t="s">
        <v>141</v>
      </c>
      <c r="K637" s="36">
        <v>46063</v>
      </c>
      <c r="L637" s="36">
        <v>46059</v>
      </c>
      <c r="M637" s="36"/>
      <c r="N637" s="36"/>
      <c r="O637" s="36"/>
      <c r="P637" s="36"/>
      <c r="Q637" s="36"/>
      <c r="R637" s="35" t="s">
        <v>218</v>
      </c>
      <c r="S637" s="35" t="s">
        <v>1018</v>
      </c>
      <c r="T637" s="35" t="s">
        <v>1018</v>
      </c>
      <c r="U637" s="35" t="s">
        <v>82</v>
      </c>
      <c r="V637" s="35" t="s">
        <v>226</v>
      </c>
      <c r="W637" s="35" t="s">
        <v>123</v>
      </c>
      <c r="X637" s="35">
        <v>10824.46</v>
      </c>
      <c r="Y637" s="35">
        <v>1968.08</v>
      </c>
      <c r="Z637" s="35">
        <v>1968.08</v>
      </c>
      <c r="AA637" s="35">
        <v>0</v>
      </c>
      <c r="AB637" s="35"/>
      <c r="AC637" s="35">
        <v>0</v>
      </c>
      <c r="AD637" s="35"/>
      <c r="AE637" s="35">
        <v>0</v>
      </c>
      <c r="AF637" s="35"/>
      <c r="AG637" s="35">
        <v>0</v>
      </c>
      <c r="AH637" s="35"/>
      <c r="AI637" s="37">
        <v>0</v>
      </c>
    </row>
    <row r="638" spans="1:35" x14ac:dyDescent="0.25">
      <c r="A638" s="38" t="s">
        <v>110</v>
      </c>
      <c r="B638" s="39" t="s">
        <v>1844</v>
      </c>
      <c r="C638" s="39" t="s">
        <v>1845</v>
      </c>
      <c r="D638" s="39">
        <v>32640</v>
      </c>
      <c r="E638" s="39" t="s">
        <v>1848</v>
      </c>
      <c r="F638" s="39" t="s">
        <v>1849</v>
      </c>
      <c r="G638" s="39" t="s">
        <v>174</v>
      </c>
      <c r="H638" s="39" t="s">
        <v>160</v>
      </c>
      <c r="I638" s="39" t="s">
        <v>217</v>
      </c>
      <c r="J638" s="39" t="s">
        <v>141</v>
      </c>
      <c r="K638" s="40">
        <v>46063</v>
      </c>
      <c r="L638" s="40">
        <v>46059</v>
      </c>
      <c r="M638" s="40"/>
      <c r="N638" s="40"/>
      <c r="O638" s="40"/>
      <c r="P638" s="40"/>
      <c r="Q638" s="40"/>
      <c r="R638" s="39" t="s">
        <v>218</v>
      </c>
      <c r="S638" s="39" t="s">
        <v>1018</v>
      </c>
      <c r="T638" s="39" t="s">
        <v>1018</v>
      </c>
      <c r="U638" s="35" t="s">
        <v>82</v>
      </c>
      <c r="V638" s="39" t="s">
        <v>226</v>
      </c>
      <c r="W638" s="39" t="s">
        <v>123</v>
      </c>
      <c r="X638" s="39">
        <v>-2164.92</v>
      </c>
      <c r="Y638" s="39">
        <v>-393.62</v>
      </c>
      <c r="Z638" s="39">
        <v>-393.62</v>
      </c>
      <c r="AA638" s="39">
        <v>0</v>
      </c>
      <c r="AB638" s="39"/>
      <c r="AC638" s="39">
        <v>0</v>
      </c>
      <c r="AD638" s="39"/>
      <c r="AE638" s="39">
        <v>0</v>
      </c>
      <c r="AF638" s="39"/>
      <c r="AG638" s="39">
        <v>0</v>
      </c>
      <c r="AH638" s="39"/>
      <c r="AI638" s="41">
        <v>0</v>
      </c>
    </row>
    <row r="639" spans="1:35" x14ac:dyDescent="0.25">
      <c r="A639" s="34" t="s">
        <v>110</v>
      </c>
      <c r="B639" s="35" t="s">
        <v>1030</v>
      </c>
      <c r="C639" s="35" t="s">
        <v>2085</v>
      </c>
      <c r="D639" s="35">
        <v>32641</v>
      </c>
      <c r="E639" s="35" t="s">
        <v>2086</v>
      </c>
      <c r="F639" s="35" t="s">
        <v>2087</v>
      </c>
      <c r="G639" s="35" t="s">
        <v>174</v>
      </c>
      <c r="H639" s="35" t="s">
        <v>160</v>
      </c>
      <c r="I639" s="35" t="s">
        <v>217</v>
      </c>
      <c r="J639" s="35" t="s">
        <v>118</v>
      </c>
      <c r="K639" s="36">
        <v>46063</v>
      </c>
      <c r="L639" s="36">
        <v>46059</v>
      </c>
      <c r="M639" s="36">
        <v>46073</v>
      </c>
      <c r="N639" s="36"/>
      <c r="O639" s="36"/>
      <c r="P639" s="36"/>
      <c r="Q639" s="36"/>
      <c r="R639" s="35" t="s">
        <v>218</v>
      </c>
      <c r="S639" s="35" t="s">
        <v>1018</v>
      </c>
      <c r="T639" s="35" t="s">
        <v>1018</v>
      </c>
      <c r="U639" s="35" t="s">
        <v>82</v>
      </c>
      <c r="V639" s="35" t="s">
        <v>226</v>
      </c>
      <c r="W639" s="35" t="s">
        <v>123</v>
      </c>
      <c r="X639" s="35">
        <v>1524.24</v>
      </c>
      <c r="Y639" s="35">
        <v>277.14</v>
      </c>
      <c r="Z639" s="35">
        <v>277.14</v>
      </c>
      <c r="AA639" s="35">
        <v>0</v>
      </c>
      <c r="AB639" s="35"/>
      <c r="AC639" s="35">
        <v>0</v>
      </c>
      <c r="AD639" s="35"/>
      <c r="AE639" s="35">
        <v>0</v>
      </c>
      <c r="AF639" s="35"/>
      <c r="AG639" s="35">
        <v>0</v>
      </c>
      <c r="AH639" s="35"/>
      <c r="AI639" s="37">
        <v>0</v>
      </c>
    </row>
    <row r="640" spans="1:35" x14ac:dyDescent="0.25">
      <c r="A640" s="38" t="s">
        <v>110</v>
      </c>
      <c r="B640" s="39" t="s">
        <v>243</v>
      </c>
      <c r="C640" s="39" t="s">
        <v>2067</v>
      </c>
      <c r="D640" s="39">
        <v>32642</v>
      </c>
      <c r="E640" s="39" t="s">
        <v>2068</v>
      </c>
      <c r="F640" s="39" t="s">
        <v>2069</v>
      </c>
      <c r="G640" s="39" t="s">
        <v>174</v>
      </c>
      <c r="H640" s="39" t="s">
        <v>160</v>
      </c>
      <c r="I640" s="39" t="s">
        <v>217</v>
      </c>
      <c r="J640" s="39" t="s">
        <v>118</v>
      </c>
      <c r="K640" s="40">
        <v>46063</v>
      </c>
      <c r="L640" s="40">
        <v>46062</v>
      </c>
      <c r="M640" s="40">
        <v>46065</v>
      </c>
      <c r="N640" s="40"/>
      <c r="O640" s="40"/>
      <c r="P640" s="40"/>
      <c r="Q640" s="40">
        <v>46068</v>
      </c>
      <c r="R640" s="39" t="s">
        <v>218</v>
      </c>
      <c r="S640" s="39" t="s">
        <v>1018</v>
      </c>
      <c r="T640" s="39" t="s">
        <v>1018</v>
      </c>
      <c r="U640" s="35" t="s">
        <v>82</v>
      </c>
      <c r="V640" s="39" t="s">
        <v>226</v>
      </c>
      <c r="W640" s="39" t="s">
        <v>123</v>
      </c>
      <c r="X640" s="39">
        <v>3724.57</v>
      </c>
      <c r="Y640" s="39">
        <v>677.2</v>
      </c>
      <c r="Z640" s="39">
        <v>677.2</v>
      </c>
      <c r="AA640" s="39">
        <v>0</v>
      </c>
      <c r="AB640" s="39"/>
      <c r="AC640" s="39">
        <v>0</v>
      </c>
      <c r="AD640" s="39"/>
      <c r="AE640" s="39">
        <v>0</v>
      </c>
      <c r="AF640" s="39"/>
      <c r="AG640" s="39">
        <v>0</v>
      </c>
      <c r="AH640" s="39"/>
      <c r="AI640" s="41">
        <v>0</v>
      </c>
    </row>
    <row r="641" spans="1:35" x14ac:dyDescent="0.25">
      <c r="A641" s="34" t="s">
        <v>110</v>
      </c>
      <c r="B641" s="35" t="s">
        <v>412</v>
      </c>
      <c r="C641" s="35" t="s">
        <v>413</v>
      </c>
      <c r="D641" s="35">
        <v>32643</v>
      </c>
      <c r="E641" s="35" t="s">
        <v>414</v>
      </c>
      <c r="F641" s="35" t="s">
        <v>415</v>
      </c>
      <c r="G641" s="35" t="s">
        <v>174</v>
      </c>
      <c r="H641" s="35" t="s">
        <v>160</v>
      </c>
      <c r="I641" s="35" t="s">
        <v>217</v>
      </c>
      <c r="J641" s="35" t="s">
        <v>118</v>
      </c>
      <c r="K641" s="36">
        <v>46063</v>
      </c>
      <c r="L641" s="36">
        <v>46063</v>
      </c>
      <c r="M641" s="36">
        <v>46069</v>
      </c>
      <c r="N641" s="36"/>
      <c r="O641" s="36"/>
      <c r="P641" s="36"/>
      <c r="Q641" s="36"/>
      <c r="R641" s="35" t="s">
        <v>218</v>
      </c>
      <c r="S641" s="35" t="s">
        <v>225</v>
      </c>
      <c r="T641" s="35" t="s">
        <v>225</v>
      </c>
      <c r="U641" s="35" t="s">
        <v>88</v>
      </c>
      <c r="V641" s="35" t="s">
        <v>226</v>
      </c>
      <c r="W641" s="35" t="s">
        <v>123</v>
      </c>
      <c r="X641" s="35">
        <v>693.48</v>
      </c>
      <c r="Y641" s="35">
        <v>126.08</v>
      </c>
      <c r="Z641" s="35">
        <v>126.08</v>
      </c>
      <c r="AA641" s="35">
        <v>0</v>
      </c>
      <c r="AB641" s="35"/>
      <c r="AC641" s="35">
        <v>0</v>
      </c>
      <c r="AD641" s="35"/>
      <c r="AE641" s="35">
        <v>0</v>
      </c>
      <c r="AF641" s="35"/>
      <c r="AG641" s="35">
        <v>0</v>
      </c>
      <c r="AH641" s="35"/>
      <c r="AI641" s="37">
        <v>0</v>
      </c>
    </row>
    <row r="642" spans="1:35" x14ac:dyDescent="0.25">
      <c r="A642" s="38" t="s">
        <v>110</v>
      </c>
      <c r="B642" s="39" t="s">
        <v>2073</v>
      </c>
      <c r="C642" s="39" t="s">
        <v>2074</v>
      </c>
      <c r="D642" s="39">
        <v>32644</v>
      </c>
      <c r="E642" s="39" t="s">
        <v>2077</v>
      </c>
      <c r="F642" s="39" t="s">
        <v>2078</v>
      </c>
      <c r="G642" s="39" t="s">
        <v>174</v>
      </c>
      <c r="H642" s="39" t="s">
        <v>160</v>
      </c>
      <c r="I642" s="39" t="s">
        <v>217</v>
      </c>
      <c r="J642" s="39" t="s">
        <v>118</v>
      </c>
      <c r="K642" s="40">
        <v>46063</v>
      </c>
      <c r="L642" s="40">
        <v>46059</v>
      </c>
      <c r="M642" s="40">
        <v>46076</v>
      </c>
      <c r="N642" s="40"/>
      <c r="O642" s="40"/>
      <c r="P642" s="40"/>
      <c r="Q642" s="40"/>
      <c r="R642" s="39" t="s">
        <v>218</v>
      </c>
      <c r="S642" s="39" t="s">
        <v>1018</v>
      </c>
      <c r="T642" s="39" t="s">
        <v>1018</v>
      </c>
      <c r="U642" s="35" t="s">
        <v>82</v>
      </c>
      <c r="V642" s="39" t="s">
        <v>226</v>
      </c>
      <c r="W642" s="39" t="s">
        <v>123</v>
      </c>
      <c r="X642" s="39">
        <v>184.93</v>
      </c>
      <c r="Y642" s="39">
        <v>33.619999999999997</v>
      </c>
      <c r="Z642" s="39">
        <v>33.619999999999997</v>
      </c>
      <c r="AA642" s="39">
        <v>0</v>
      </c>
      <c r="AB642" s="39"/>
      <c r="AC642" s="39">
        <v>0</v>
      </c>
      <c r="AD642" s="39"/>
      <c r="AE642" s="39">
        <v>0</v>
      </c>
      <c r="AF642" s="39"/>
      <c r="AG642" s="39">
        <v>0</v>
      </c>
      <c r="AH642" s="39"/>
      <c r="AI642" s="41">
        <v>0</v>
      </c>
    </row>
    <row r="643" spans="1:35" x14ac:dyDescent="0.25">
      <c r="A643" s="34" t="s">
        <v>110</v>
      </c>
      <c r="B643" s="35" t="s">
        <v>2073</v>
      </c>
      <c r="C643" s="35" t="s">
        <v>2074</v>
      </c>
      <c r="D643" s="35">
        <v>32644</v>
      </c>
      <c r="E643" s="35" t="s">
        <v>2075</v>
      </c>
      <c r="F643" s="35" t="s">
        <v>2076</v>
      </c>
      <c r="G643" s="35" t="s">
        <v>174</v>
      </c>
      <c r="H643" s="35" t="s">
        <v>160</v>
      </c>
      <c r="I643" s="35" t="s">
        <v>217</v>
      </c>
      <c r="J643" s="35" t="s">
        <v>118</v>
      </c>
      <c r="K643" s="36">
        <v>46063</v>
      </c>
      <c r="L643" s="36">
        <v>46059</v>
      </c>
      <c r="M643" s="36">
        <v>46076</v>
      </c>
      <c r="N643" s="36"/>
      <c r="O643" s="36"/>
      <c r="P643" s="36"/>
      <c r="Q643" s="36"/>
      <c r="R643" s="35" t="s">
        <v>218</v>
      </c>
      <c r="S643" s="35" t="s">
        <v>1018</v>
      </c>
      <c r="T643" s="35" t="s">
        <v>1018</v>
      </c>
      <c r="U643" s="35" t="s">
        <v>82</v>
      </c>
      <c r="V643" s="35" t="s">
        <v>226</v>
      </c>
      <c r="W643" s="35" t="s">
        <v>123</v>
      </c>
      <c r="X643" s="35">
        <v>661.12</v>
      </c>
      <c r="Y643" s="35">
        <v>120.2</v>
      </c>
      <c r="Z643" s="35">
        <v>120.2</v>
      </c>
      <c r="AA643" s="35">
        <v>0</v>
      </c>
      <c r="AB643" s="35"/>
      <c r="AC643" s="35">
        <v>0</v>
      </c>
      <c r="AD643" s="35"/>
      <c r="AE643" s="35">
        <v>0</v>
      </c>
      <c r="AF643" s="35"/>
      <c r="AG643" s="35">
        <v>0</v>
      </c>
      <c r="AH643" s="35"/>
      <c r="AI643" s="37">
        <v>0</v>
      </c>
    </row>
    <row r="644" spans="1:35" x14ac:dyDescent="0.25">
      <c r="A644" s="38" t="s">
        <v>110</v>
      </c>
      <c r="B644" s="39" t="s">
        <v>420</v>
      </c>
      <c r="C644" s="39" t="s">
        <v>2079</v>
      </c>
      <c r="D644" s="39">
        <v>32645</v>
      </c>
      <c r="E644" s="39" t="s">
        <v>2080</v>
      </c>
      <c r="F644" s="39" t="s">
        <v>2081</v>
      </c>
      <c r="G644" s="39" t="s">
        <v>174</v>
      </c>
      <c r="H644" s="39" t="s">
        <v>160</v>
      </c>
      <c r="I644" s="39" t="s">
        <v>217</v>
      </c>
      <c r="J644" s="39" t="s">
        <v>118</v>
      </c>
      <c r="K644" s="40">
        <v>46063</v>
      </c>
      <c r="L644" s="40">
        <v>46059</v>
      </c>
      <c r="M644" s="40">
        <v>46070</v>
      </c>
      <c r="N644" s="40"/>
      <c r="O644" s="40"/>
      <c r="P644" s="40"/>
      <c r="Q644" s="40"/>
      <c r="R644" s="39" t="s">
        <v>218</v>
      </c>
      <c r="S644" s="39" t="s">
        <v>1018</v>
      </c>
      <c r="T644" s="39" t="s">
        <v>1018</v>
      </c>
      <c r="U644" s="35" t="s">
        <v>82</v>
      </c>
      <c r="V644" s="39" t="s">
        <v>226</v>
      </c>
      <c r="W644" s="39" t="s">
        <v>123</v>
      </c>
      <c r="X644" s="39">
        <v>22016.27</v>
      </c>
      <c r="Y644" s="39">
        <v>4002.96</v>
      </c>
      <c r="Z644" s="39">
        <v>4002.96</v>
      </c>
      <c r="AA644" s="39">
        <v>0</v>
      </c>
      <c r="AB644" s="39"/>
      <c r="AC644" s="39">
        <v>0</v>
      </c>
      <c r="AD644" s="39"/>
      <c r="AE644" s="39">
        <v>0</v>
      </c>
      <c r="AF644" s="39"/>
      <c r="AG644" s="39">
        <v>0</v>
      </c>
      <c r="AH644" s="39"/>
      <c r="AI644" s="41">
        <v>0</v>
      </c>
    </row>
    <row r="645" spans="1:35" x14ac:dyDescent="0.25">
      <c r="A645" s="34" t="s">
        <v>110</v>
      </c>
      <c r="B645" s="35" t="s">
        <v>420</v>
      </c>
      <c r="C645" s="35" t="s">
        <v>2082</v>
      </c>
      <c r="D645" s="35">
        <v>32646</v>
      </c>
      <c r="E645" s="35" t="s">
        <v>2083</v>
      </c>
      <c r="F645" s="35" t="s">
        <v>2084</v>
      </c>
      <c r="G645" s="35" t="s">
        <v>174</v>
      </c>
      <c r="H645" s="35" t="s">
        <v>160</v>
      </c>
      <c r="I645" s="35" t="s">
        <v>217</v>
      </c>
      <c r="J645" s="35" t="s">
        <v>118</v>
      </c>
      <c r="K645" s="36">
        <v>46063</v>
      </c>
      <c r="L645" s="36">
        <v>46059</v>
      </c>
      <c r="M645" s="36">
        <v>46070</v>
      </c>
      <c r="N645" s="36"/>
      <c r="O645" s="36"/>
      <c r="P645" s="36"/>
      <c r="Q645" s="36"/>
      <c r="R645" s="35" t="s">
        <v>218</v>
      </c>
      <c r="S645" s="35" t="s">
        <v>1018</v>
      </c>
      <c r="T645" s="35" t="s">
        <v>1018</v>
      </c>
      <c r="U645" s="35" t="s">
        <v>82</v>
      </c>
      <c r="V645" s="35" t="s">
        <v>226</v>
      </c>
      <c r="W645" s="35" t="s">
        <v>123</v>
      </c>
      <c r="X645" s="35">
        <v>2438.6</v>
      </c>
      <c r="Y645" s="35">
        <v>443.38</v>
      </c>
      <c r="Z645" s="35">
        <v>443.38</v>
      </c>
      <c r="AA645" s="35">
        <v>0</v>
      </c>
      <c r="AB645" s="35"/>
      <c r="AC645" s="35">
        <v>0</v>
      </c>
      <c r="AD645" s="35"/>
      <c r="AE645" s="35">
        <v>0</v>
      </c>
      <c r="AF645" s="35"/>
      <c r="AG645" s="35">
        <v>0</v>
      </c>
      <c r="AH645" s="35"/>
      <c r="AI645" s="37">
        <v>0</v>
      </c>
    </row>
    <row r="646" spans="1:35" x14ac:dyDescent="0.25">
      <c r="A646" s="38" t="s">
        <v>110</v>
      </c>
      <c r="B646" s="39" t="s">
        <v>1019</v>
      </c>
      <c r="C646" s="39" t="s">
        <v>1875</v>
      </c>
      <c r="D646" s="39">
        <v>32647</v>
      </c>
      <c r="E646" s="39" t="s">
        <v>1876</v>
      </c>
      <c r="F646" s="39" t="s">
        <v>1877</v>
      </c>
      <c r="G646" s="39" t="s">
        <v>174</v>
      </c>
      <c r="H646" s="39" t="s">
        <v>160</v>
      </c>
      <c r="I646" s="39" t="s">
        <v>217</v>
      </c>
      <c r="J646" s="39" t="s">
        <v>118</v>
      </c>
      <c r="K646" s="40">
        <v>46063</v>
      </c>
      <c r="L646" s="40">
        <v>46059</v>
      </c>
      <c r="M646" s="40">
        <v>46083</v>
      </c>
      <c r="N646" s="40"/>
      <c r="O646" s="40"/>
      <c r="P646" s="40"/>
      <c r="Q646" s="40"/>
      <c r="R646" s="39" t="s">
        <v>218</v>
      </c>
      <c r="S646" s="39" t="s">
        <v>1018</v>
      </c>
      <c r="T646" s="39" t="s">
        <v>1018</v>
      </c>
      <c r="U646" s="35" t="s">
        <v>82</v>
      </c>
      <c r="V646" s="39" t="s">
        <v>226</v>
      </c>
      <c r="W646" s="39" t="s">
        <v>123</v>
      </c>
      <c r="X646" s="39">
        <v>1552.02</v>
      </c>
      <c r="Y646" s="39">
        <v>282.18</v>
      </c>
      <c r="Z646" s="39">
        <v>282.18</v>
      </c>
      <c r="AA646" s="39">
        <v>0</v>
      </c>
      <c r="AB646" s="39"/>
      <c r="AC646" s="39">
        <v>0</v>
      </c>
      <c r="AD646" s="39"/>
      <c r="AE646" s="39">
        <v>0</v>
      </c>
      <c r="AF646" s="39"/>
      <c r="AG646" s="39">
        <v>0</v>
      </c>
      <c r="AH646" s="39"/>
      <c r="AI646" s="41">
        <v>0</v>
      </c>
    </row>
    <row r="647" spans="1:35" x14ac:dyDescent="0.25">
      <c r="A647" s="34" t="s">
        <v>110</v>
      </c>
      <c r="B647" s="35" t="s">
        <v>1019</v>
      </c>
      <c r="C647" s="35" t="s">
        <v>1875</v>
      </c>
      <c r="D647" s="35">
        <v>32647</v>
      </c>
      <c r="E647" s="35" t="s">
        <v>1878</v>
      </c>
      <c r="F647" s="35" t="s">
        <v>1879</v>
      </c>
      <c r="G647" s="35" t="s">
        <v>174</v>
      </c>
      <c r="H647" s="35" t="s">
        <v>160</v>
      </c>
      <c r="I647" s="35" t="s">
        <v>217</v>
      </c>
      <c r="J647" s="35" t="s">
        <v>141</v>
      </c>
      <c r="K647" s="36">
        <v>46063</v>
      </c>
      <c r="L647" s="36">
        <v>46059</v>
      </c>
      <c r="M647" s="36"/>
      <c r="N647" s="36"/>
      <c r="O647" s="36"/>
      <c r="P647" s="36"/>
      <c r="Q647" s="36"/>
      <c r="R647" s="35" t="s">
        <v>218</v>
      </c>
      <c r="S647" s="35" t="s">
        <v>1018</v>
      </c>
      <c r="T647" s="35" t="s">
        <v>1018</v>
      </c>
      <c r="U647" s="35" t="s">
        <v>82</v>
      </c>
      <c r="V647" s="35" t="s">
        <v>226</v>
      </c>
      <c r="W647" s="35" t="s">
        <v>123</v>
      </c>
      <c r="X647" s="35">
        <v>-310.41000000000003</v>
      </c>
      <c r="Y647" s="35">
        <v>-56.44</v>
      </c>
      <c r="Z647" s="35">
        <v>-56.44</v>
      </c>
      <c r="AA647" s="35">
        <v>0</v>
      </c>
      <c r="AB647" s="35"/>
      <c r="AC647" s="35">
        <v>0</v>
      </c>
      <c r="AD647" s="35"/>
      <c r="AE647" s="35">
        <v>0</v>
      </c>
      <c r="AF647" s="35"/>
      <c r="AG647" s="35">
        <v>0</v>
      </c>
      <c r="AH647" s="35"/>
      <c r="AI647" s="37">
        <v>0</v>
      </c>
    </row>
    <row r="648" spans="1:35" x14ac:dyDescent="0.25">
      <c r="A648" s="38" t="s">
        <v>110</v>
      </c>
      <c r="B648" s="39" t="s">
        <v>436</v>
      </c>
      <c r="C648" s="39" t="s">
        <v>437</v>
      </c>
      <c r="D648" s="39">
        <v>28086</v>
      </c>
      <c r="E648" s="39" t="s">
        <v>438</v>
      </c>
      <c r="F648" s="39" t="s">
        <v>439</v>
      </c>
      <c r="G648" s="39" t="s">
        <v>440</v>
      </c>
      <c r="H648" s="39" t="s">
        <v>160</v>
      </c>
      <c r="I648" s="39" t="s">
        <v>117</v>
      </c>
      <c r="J648" s="39" t="s">
        <v>118</v>
      </c>
      <c r="K648" s="40">
        <v>46063</v>
      </c>
      <c r="L648" s="40">
        <v>45945</v>
      </c>
      <c r="M648" s="40">
        <v>46063</v>
      </c>
      <c r="N648" s="40"/>
      <c r="O648" s="40"/>
      <c r="P648" s="40"/>
      <c r="Q648" s="40">
        <v>46063</v>
      </c>
      <c r="R648" s="39" t="s">
        <v>142</v>
      </c>
      <c r="S648" s="39" t="s">
        <v>441</v>
      </c>
      <c r="T648" s="39" t="s">
        <v>442</v>
      </c>
      <c r="U648" s="35" t="s">
        <v>81</v>
      </c>
      <c r="V648" s="39" t="s">
        <v>443</v>
      </c>
      <c r="W648" s="39" t="s">
        <v>123</v>
      </c>
      <c r="X648" s="39">
        <v>-434.57</v>
      </c>
      <c r="Y648" s="39">
        <v>-52.15</v>
      </c>
      <c r="Z648" s="39">
        <v>-52.15</v>
      </c>
      <c r="AA648" s="39">
        <v>0</v>
      </c>
      <c r="AB648" s="39"/>
      <c r="AC648" s="39">
        <v>0</v>
      </c>
      <c r="AD648" s="39"/>
      <c r="AE648" s="39">
        <v>0</v>
      </c>
      <c r="AF648" s="39"/>
      <c r="AG648" s="39">
        <v>0</v>
      </c>
      <c r="AH648" s="39"/>
      <c r="AI648" s="41">
        <v>0</v>
      </c>
    </row>
    <row r="649" spans="1:35" x14ac:dyDescent="0.25">
      <c r="A649" s="34" t="s">
        <v>110</v>
      </c>
      <c r="B649" s="35" t="s">
        <v>156</v>
      </c>
      <c r="C649" s="35" t="s">
        <v>1349</v>
      </c>
      <c r="D649" s="35">
        <v>1621</v>
      </c>
      <c r="E649" s="35" t="s">
        <v>1353</v>
      </c>
      <c r="F649" s="35" t="s">
        <v>1354</v>
      </c>
      <c r="G649" s="35" t="s">
        <v>115</v>
      </c>
      <c r="H649" s="35" t="s">
        <v>160</v>
      </c>
      <c r="I649" s="35" t="s">
        <v>117</v>
      </c>
      <c r="J649" s="35" t="s">
        <v>118</v>
      </c>
      <c r="K649" s="36">
        <v>46063</v>
      </c>
      <c r="L649" s="36">
        <v>44609</v>
      </c>
      <c r="M649" s="36">
        <v>46070</v>
      </c>
      <c r="N649" s="36"/>
      <c r="O649" s="36"/>
      <c r="P649" s="36"/>
      <c r="Q649" s="36">
        <v>46063</v>
      </c>
      <c r="R649" s="35" t="s">
        <v>142</v>
      </c>
      <c r="S649" s="35" t="s">
        <v>1352</v>
      </c>
      <c r="T649" s="35" t="s">
        <v>183</v>
      </c>
      <c r="U649" s="35" t="s">
        <v>90</v>
      </c>
      <c r="V649" s="35" t="s">
        <v>443</v>
      </c>
      <c r="W649" s="35" t="s">
        <v>123</v>
      </c>
      <c r="X649" s="35">
        <v>-607.03</v>
      </c>
      <c r="Y649" s="35">
        <v>-136.59</v>
      </c>
      <c r="Z649" s="35">
        <v>-136.59</v>
      </c>
      <c r="AA649" s="35">
        <v>0</v>
      </c>
      <c r="AB649" s="35"/>
      <c r="AC649" s="35">
        <v>0</v>
      </c>
      <c r="AD649" s="35"/>
      <c r="AE649" s="35">
        <v>0</v>
      </c>
      <c r="AF649" s="35"/>
      <c r="AG649" s="35">
        <v>0</v>
      </c>
      <c r="AH649" s="35"/>
      <c r="AI649" s="37">
        <v>0</v>
      </c>
    </row>
    <row r="650" spans="1:35" x14ac:dyDescent="0.25">
      <c r="A650" s="38" t="s">
        <v>110</v>
      </c>
      <c r="B650" s="39" t="s">
        <v>156</v>
      </c>
      <c r="C650" s="39" t="s">
        <v>1349</v>
      </c>
      <c r="D650" s="39">
        <v>1621</v>
      </c>
      <c r="E650" s="39" t="s">
        <v>1350</v>
      </c>
      <c r="F650" s="39" t="s">
        <v>1351</v>
      </c>
      <c r="G650" s="39" t="s">
        <v>115</v>
      </c>
      <c r="H650" s="39" t="s">
        <v>160</v>
      </c>
      <c r="I650" s="39" t="s">
        <v>117</v>
      </c>
      <c r="J650" s="39" t="s">
        <v>118</v>
      </c>
      <c r="K650" s="40">
        <v>46063</v>
      </c>
      <c r="L650" s="40">
        <v>46070</v>
      </c>
      <c r="M650" s="40">
        <v>46070</v>
      </c>
      <c r="N650" s="40"/>
      <c r="O650" s="40"/>
      <c r="P650" s="40"/>
      <c r="Q650" s="40">
        <v>46063</v>
      </c>
      <c r="R650" s="39" t="s">
        <v>142</v>
      </c>
      <c r="S650" s="39" t="s">
        <v>1352</v>
      </c>
      <c r="T650" s="39" t="s">
        <v>183</v>
      </c>
      <c r="U650" s="35" t="s">
        <v>90</v>
      </c>
      <c r="V650" s="39" t="s">
        <v>443</v>
      </c>
      <c r="W650" s="39" t="s">
        <v>123</v>
      </c>
      <c r="X650" s="39">
        <v>1951.36</v>
      </c>
      <c r="Y650" s="39">
        <v>439.05</v>
      </c>
      <c r="Z650" s="39">
        <v>439.05</v>
      </c>
      <c r="AA650" s="39">
        <v>0</v>
      </c>
      <c r="AB650" s="39"/>
      <c r="AC650" s="39">
        <v>0</v>
      </c>
      <c r="AD650" s="39"/>
      <c r="AE650" s="39">
        <v>0</v>
      </c>
      <c r="AF650" s="39"/>
      <c r="AG650" s="39">
        <v>0</v>
      </c>
      <c r="AH650" s="39"/>
      <c r="AI650" s="41">
        <v>0</v>
      </c>
    </row>
    <row r="651" spans="1:35" x14ac:dyDescent="0.25">
      <c r="A651" s="34" t="s">
        <v>110</v>
      </c>
      <c r="B651" s="35" t="s">
        <v>1549</v>
      </c>
      <c r="C651" s="35" t="s">
        <v>1550</v>
      </c>
      <c r="D651" s="35">
        <v>32648</v>
      </c>
      <c r="E651" s="35" t="s">
        <v>1551</v>
      </c>
      <c r="F651" s="35" t="s">
        <v>1552</v>
      </c>
      <c r="G651" s="35" t="s">
        <v>174</v>
      </c>
      <c r="H651" s="35" t="s">
        <v>160</v>
      </c>
      <c r="I651" s="35" t="s">
        <v>217</v>
      </c>
      <c r="J651" s="35" t="s">
        <v>118</v>
      </c>
      <c r="K651" s="36">
        <v>46063</v>
      </c>
      <c r="L651" s="36">
        <v>46063</v>
      </c>
      <c r="M651" s="36">
        <v>46069</v>
      </c>
      <c r="N651" s="36"/>
      <c r="O651" s="36"/>
      <c r="P651" s="36"/>
      <c r="Q651" s="36">
        <v>46082</v>
      </c>
      <c r="R651" s="35" t="s">
        <v>218</v>
      </c>
      <c r="S651" s="35" t="s">
        <v>718</v>
      </c>
      <c r="T651" s="35" t="s">
        <v>519</v>
      </c>
      <c r="U651" s="35" t="s">
        <v>86</v>
      </c>
      <c r="V651" s="35" t="s">
        <v>719</v>
      </c>
      <c r="W651" s="35" t="s">
        <v>123</v>
      </c>
      <c r="X651" s="35">
        <v>31.8</v>
      </c>
      <c r="Y651" s="35">
        <v>7.95</v>
      </c>
      <c r="Z651" s="35">
        <v>7.95</v>
      </c>
      <c r="AA651" s="35">
        <v>0</v>
      </c>
      <c r="AB651" s="35"/>
      <c r="AC651" s="35">
        <v>0</v>
      </c>
      <c r="AD651" s="35"/>
      <c r="AE651" s="35">
        <v>0</v>
      </c>
      <c r="AF651" s="35"/>
      <c r="AG651" s="35">
        <v>0</v>
      </c>
      <c r="AH651" s="35"/>
      <c r="AI651" s="37">
        <v>0</v>
      </c>
    </row>
    <row r="652" spans="1:35" x14ac:dyDescent="0.25">
      <c r="A652" s="38" t="s">
        <v>110</v>
      </c>
      <c r="B652" s="39" t="s">
        <v>2874</v>
      </c>
      <c r="C652" s="39" t="s">
        <v>2663</v>
      </c>
      <c r="D652" s="39">
        <v>27785</v>
      </c>
      <c r="E652" s="39" t="s">
        <v>3039</v>
      </c>
      <c r="F652" s="39" t="s">
        <v>3040</v>
      </c>
      <c r="G652" s="39" t="s">
        <v>192</v>
      </c>
      <c r="H652" s="39" t="s">
        <v>160</v>
      </c>
      <c r="I652" s="39" t="s">
        <v>117</v>
      </c>
      <c r="J652" s="39" t="s">
        <v>141</v>
      </c>
      <c r="K652" s="40">
        <v>46064</v>
      </c>
      <c r="L652" s="40">
        <v>46070</v>
      </c>
      <c r="M652" s="40"/>
      <c r="N652" s="40"/>
      <c r="O652" s="40"/>
      <c r="P652" s="40"/>
      <c r="Q652" s="40"/>
      <c r="R652" s="39" t="s">
        <v>142</v>
      </c>
      <c r="S652" s="39" t="s">
        <v>697</v>
      </c>
      <c r="T652" s="39" t="s">
        <v>698</v>
      </c>
      <c r="U652" s="35" t="s">
        <v>88</v>
      </c>
      <c r="V652" s="39" t="s">
        <v>699</v>
      </c>
      <c r="W652" s="39" t="s">
        <v>123</v>
      </c>
      <c r="X652" s="39">
        <v>829.22</v>
      </c>
      <c r="Y652" s="39">
        <v>207.32</v>
      </c>
      <c r="Z652" s="39">
        <v>207.32</v>
      </c>
      <c r="AA652" s="39">
        <v>0</v>
      </c>
      <c r="AB652" s="39"/>
      <c r="AC652" s="39">
        <v>0</v>
      </c>
      <c r="AD652" s="39"/>
      <c r="AE652" s="39">
        <v>0</v>
      </c>
      <c r="AF652" s="39"/>
      <c r="AG652" s="39">
        <v>0</v>
      </c>
      <c r="AH652" s="39"/>
      <c r="AI652" s="41">
        <v>0</v>
      </c>
    </row>
    <row r="653" spans="1:35" x14ac:dyDescent="0.25">
      <c r="A653" s="34" t="s">
        <v>110</v>
      </c>
      <c r="B653" s="35" t="s">
        <v>2442</v>
      </c>
      <c r="C653" s="35" t="s">
        <v>2443</v>
      </c>
      <c r="D653" s="35">
        <v>27738</v>
      </c>
      <c r="E653" s="35" t="s">
        <v>3041</v>
      </c>
      <c r="F653" s="35" t="s">
        <v>3042</v>
      </c>
      <c r="G653" s="35" t="s">
        <v>174</v>
      </c>
      <c r="H653" s="35" t="s">
        <v>160</v>
      </c>
      <c r="I653" s="35" t="s">
        <v>217</v>
      </c>
      <c r="J653" s="35" t="s">
        <v>141</v>
      </c>
      <c r="K653" s="36">
        <v>46064</v>
      </c>
      <c r="L653" s="36">
        <v>46093</v>
      </c>
      <c r="M653" s="36"/>
      <c r="N653" s="36"/>
      <c r="O653" s="36"/>
      <c r="P653" s="36"/>
      <c r="Q653" s="36"/>
      <c r="R653" s="35" t="s">
        <v>218</v>
      </c>
      <c r="S653" s="35" t="s">
        <v>225</v>
      </c>
      <c r="T653" s="35" t="s">
        <v>225</v>
      </c>
      <c r="U653" s="35" t="s">
        <v>88</v>
      </c>
      <c r="V653" s="35" t="s">
        <v>226</v>
      </c>
      <c r="W653" s="35" t="s">
        <v>123</v>
      </c>
      <c r="X653" s="35">
        <v>1364</v>
      </c>
      <c r="Y653" s="35">
        <v>248</v>
      </c>
      <c r="Z653" s="35">
        <v>248</v>
      </c>
      <c r="AA653" s="35">
        <v>0</v>
      </c>
      <c r="AB653" s="35"/>
      <c r="AC653" s="35">
        <v>0</v>
      </c>
      <c r="AD653" s="35"/>
      <c r="AE653" s="35">
        <v>0</v>
      </c>
      <c r="AF653" s="35"/>
      <c r="AG653" s="35">
        <v>0</v>
      </c>
      <c r="AH653" s="35"/>
      <c r="AI653" s="37">
        <v>0</v>
      </c>
    </row>
    <row r="654" spans="1:35" x14ac:dyDescent="0.25">
      <c r="A654" s="38" t="s">
        <v>110</v>
      </c>
      <c r="B654" s="39" t="s">
        <v>2831</v>
      </c>
      <c r="C654" s="39" t="s">
        <v>2906</v>
      </c>
      <c r="D654" s="39">
        <v>30866</v>
      </c>
      <c r="E654" s="39" t="s">
        <v>3043</v>
      </c>
      <c r="F654" s="39" t="s">
        <v>3044</v>
      </c>
      <c r="G654" s="39" t="s">
        <v>174</v>
      </c>
      <c r="H654" s="39" t="s">
        <v>160</v>
      </c>
      <c r="I654" s="39" t="s">
        <v>217</v>
      </c>
      <c r="J654" s="39" t="s">
        <v>141</v>
      </c>
      <c r="K654" s="40">
        <v>46064</v>
      </c>
      <c r="L654" s="40">
        <v>46107</v>
      </c>
      <c r="M654" s="40"/>
      <c r="N654" s="40"/>
      <c r="O654" s="40"/>
      <c r="P654" s="40"/>
      <c r="Q654" s="40"/>
      <c r="R654" s="39" t="s">
        <v>218</v>
      </c>
      <c r="S654" s="39" t="s">
        <v>225</v>
      </c>
      <c r="T654" s="39" t="s">
        <v>225</v>
      </c>
      <c r="U654" s="35" t="s">
        <v>88</v>
      </c>
      <c r="V654" s="39" t="s">
        <v>226</v>
      </c>
      <c r="W654" s="39" t="s">
        <v>123</v>
      </c>
      <c r="X654" s="39">
        <v>508.55</v>
      </c>
      <c r="Y654" s="39">
        <v>92.46</v>
      </c>
      <c r="Z654" s="39">
        <v>92.46</v>
      </c>
      <c r="AA654" s="39">
        <v>0</v>
      </c>
      <c r="AB654" s="39"/>
      <c r="AC654" s="39">
        <v>0</v>
      </c>
      <c r="AD654" s="39"/>
      <c r="AE654" s="39">
        <v>0</v>
      </c>
      <c r="AF654" s="39"/>
      <c r="AG654" s="39">
        <v>0</v>
      </c>
      <c r="AH654" s="39"/>
      <c r="AI654" s="41">
        <v>0</v>
      </c>
    </row>
    <row r="655" spans="1:35" x14ac:dyDescent="0.25">
      <c r="A655" s="34" t="s">
        <v>110</v>
      </c>
      <c r="B655" s="35" t="s">
        <v>2897</v>
      </c>
      <c r="C655" s="35" t="s">
        <v>2898</v>
      </c>
      <c r="D655" s="35">
        <v>30774</v>
      </c>
      <c r="E655" s="35" t="s">
        <v>3045</v>
      </c>
      <c r="F655" s="35" t="s">
        <v>3046</v>
      </c>
      <c r="G655" s="35" t="s">
        <v>174</v>
      </c>
      <c r="H655" s="35" t="s">
        <v>160</v>
      </c>
      <c r="I655" s="35" t="s">
        <v>217</v>
      </c>
      <c r="J655" s="35" t="s">
        <v>141</v>
      </c>
      <c r="K655" s="36">
        <v>46064</v>
      </c>
      <c r="L655" s="36">
        <v>46093</v>
      </c>
      <c r="M655" s="36"/>
      <c r="N655" s="36"/>
      <c r="O655" s="36"/>
      <c r="P655" s="36"/>
      <c r="Q655" s="36"/>
      <c r="R655" s="35" t="s">
        <v>218</v>
      </c>
      <c r="S655" s="35" t="s">
        <v>225</v>
      </c>
      <c r="T655" s="35" t="s">
        <v>225</v>
      </c>
      <c r="U655" s="35" t="s">
        <v>88</v>
      </c>
      <c r="V655" s="35" t="s">
        <v>226</v>
      </c>
      <c r="W655" s="35" t="s">
        <v>123</v>
      </c>
      <c r="X655" s="35">
        <v>693.48</v>
      </c>
      <c r="Y655" s="35">
        <v>126.08</v>
      </c>
      <c r="Z655" s="35">
        <v>126.08</v>
      </c>
      <c r="AA655" s="35">
        <v>0</v>
      </c>
      <c r="AB655" s="35"/>
      <c r="AC655" s="35">
        <v>0</v>
      </c>
      <c r="AD655" s="35"/>
      <c r="AE655" s="35">
        <v>0</v>
      </c>
      <c r="AF655" s="35"/>
      <c r="AG655" s="35">
        <v>0</v>
      </c>
      <c r="AH655" s="35"/>
      <c r="AI655" s="37">
        <v>0</v>
      </c>
    </row>
    <row r="656" spans="1:35" x14ac:dyDescent="0.25">
      <c r="A656" s="38" t="s">
        <v>110</v>
      </c>
      <c r="B656" s="39" t="s">
        <v>2904</v>
      </c>
      <c r="C656" s="39" t="s">
        <v>3047</v>
      </c>
      <c r="D656" s="39">
        <v>32649</v>
      </c>
      <c r="E656" s="39" t="s">
        <v>3048</v>
      </c>
      <c r="F656" s="39" t="s">
        <v>3049</v>
      </c>
      <c r="G656" s="39" t="s">
        <v>174</v>
      </c>
      <c r="H656" s="39" t="s">
        <v>160</v>
      </c>
      <c r="I656" s="39" t="s">
        <v>217</v>
      </c>
      <c r="J656" s="39" t="s">
        <v>118</v>
      </c>
      <c r="K656" s="40">
        <v>46064</v>
      </c>
      <c r="L656" s="40">
        <v>46062</v>
      </c>
      <c r="M656" s="40">
        <v>46069</v>
      </c>
      <c r="N656" s="40"/>
      <c r="O656" s="40"/>
      <c r="P656" s="40"/>
      <c r="Q656" s="40"/>
      <c r="R656" s="39" t="s">
        <v>218</v>
      </c>
      <c r="S656" s="39" t="s">
        <v>1018</v>
      </c>
      <c r="T656" s="39" t="s">
        <v>1018</v>
      </c>
      <c r="U656" s="35" t="s">
        <v>82</v>
      </c>
      <c r="V656" s="39" t="s">
        <v>226</v>
      </c>
      <c r="W656" s="39" t="s">
        <v>123</v>
      </c>
      <c r="X656" s="39">
        <v>13743.42</v>
      </c>
      <c r="Y656" s="39">
        <v>2498.8000000000002</v>
      </c>
      <c r="Z656" s="39">
        <v>2498.8000000000002</v>
      </c>
      <c r="AA656" s="39">
        <v>0</v>
      </c>
      <c r="AB656" s="39"/>
      <c r="AC656" s="39">
        <v>0</v>
      </c>
      <c r="AD656" s="39"/>
      <c r="AE656" s="39">
        <v>0</v>
      </c>
      <c r="AF656" s="39"/>
      <c r="AG656" s="39">
        <v>0</v>
      </c>
      <c r="AH656" s="39"/>
      <c r="AI656" s="41">
        <v>0</v>
      </c>
    </row>
    <row r="657" spans="1:35" x14ac:dyDescent="0.25">
      <c r="A657" s="34" t="s">
        <v>110</v>
      </c>
      <c r="B657" s="35" t="s">
        <v>2410</v>
      </c>
      <c r="C657" s="35" t="s">
        <v>3050</v>
      </c>
      <c r="D657" s="35">
        <v>32650</v>
      </c>
      <c r="E657" s="35" t="s">
        <v>3051</v>
      </c>
      <c r="F657" s="35" t="s">
        <v>3052</v>
      </c>
      <c r="G657" s="35" t="s">
        <v>174</v>
      </c>
      <c r="H657" s="35" t="s">
        <v>160</v>
      </c>
      <c r="I657" s="35" t="s">
        <v>217</v>
      </c>
      <c r="J657" s="35" t="s">
        <v>118</v>
      </c>
      <c r="K657" s="36">
        <v>46064</v>
      </c>
      <c r="L657" s="36">
        <v>46062</v>
      </c>
      <c r="M657" s="36">
        <v>46084</v>
      </c>
      <c r="N657" s="36"/>
      <c r="O657" s="36"/>
      <c r="P657" s="36"/>
      <c r="Q657" s="36"/>
      <c r="R657" s="35" t="s">
        <v>218</v>
      </c>
      <c r="S657" s="35" t="s">
        <v>1018</v>
      </c>
      <c r="T657" s="35" t="s">
        <v>1018</v>
      </c>
      <c r="U657" s="35" t="s">
        <v>82</v>
      </c>
      <c r="V657" s="35" t="s">
        <v>226</v>
      </c>
      <c r="W657" s="35" t="s">
        <v>123</v>
      </c>
      <c r="X657" s="35">
        <v>5690.13</v>
      </c>
      <c r="Y657" s="35">
        <v>1034.57</v>
      </c>
      <c r="Z657" s="35">
        <v>1034.57</v>
      </c>
      <c r="AA657" s="35">
        <v>0</v>
      </c>
      <c r="AB657" s="35"/>
      <c r="AC657" s="35">
        <v>0</v>
      </c>
      <c r="AD657" s="35"/>
      <c r="AE657" s="35">
        <v>0</v>
      </c>
      <c r="AF657" s="35"/>
      <c r="AG657" s="35">
        <v>0</v>
      </c>
      <c r="AH657" s="35"/>
      <c r="AI657" s="37">
        <v>0</v>
      </c>
    </row>
    <row r="658" spans="1:35" x14ac:dyDescent="0.25">
      <c r="A658" s="38" t="s">
        <v>110</v>
      </c>
      <c r="B658" s="39" t="s">
        <v>2410</v>
      </c>
      <c r="C658" s="39" t="s">
        <v>3050</v>
      </c>
      <c r="D658" s="39">
        <v>32650</v>
      </c>
      <c r="E658" s="39" t="s">
        <v>3053</v>
      </c>
      <c r="F658" s="39" t="s">
        <v>3054</v>
      </c>
      <c r="G658" s="39" t="s">
        <v>174</v>
      </c>
      <c r="H658" s="39" t="s">
        <v>160</v>
      </c>
      <c r="I658" s="39" t="s">
        <v>217</v>
      </c>
      <c r="J658" s="39" t="s">
        <v>141</v>
      </c>
      <c r="K658" s="40">
        <v>46064</v>
      </c>
      <c r="L658" s="40">
        <v>46062</v>
      </c>
      <c r="M658" s="40"/>
      <c r="N658" s="40"/>
      <c r="O658" s="40"/>
      <c r="P658" s="40"/>
      <c r="Q658" s="40"/>
      <c r="R658" s="39" t="s">
        <v>218</v>
      </c>
      <c r="S658" s="39" t="s">
        <v>1018</v>
      </c>
      <c r="T658" s="39" t="s">
        <v>1018</v>
      </c>
      <c r="U658" s="35" t="s">
        <v>82</v>
      </c>
      <c r="V658" s="39" t="s">
        <v>226</v>
      </c>
      <c r="W658" s="39" t="s">
        <v>123</v>
      </c>
      <c r="X658" s="39">
        <v>5690.13</v>
      </c>
      <c r="Y658" s="39">
        <v>1034.57</v>
      </c>
      <c r="Z658" s="39">
        <v>1034.57</v>
      </c>
      <c r="AA658" s="39">
        <v>0</v>
      </c>
      <c r="AB658" s="39"/>
      <c r="AC658" s="39">
        <v>0</v>
      </c>
      <c r="AD658" s="39"/>
      <c r="AE658" s="39">
        <v>0</v>
      </c>
      <c r="AF658" s="39"/>
      <c r="AG658" s="39">
        <v>0</v>
      </c>
      <c r="AH658" s="39"/>
      <c r="AI658" s="41">
        <v>0</v>
      </c>
    </row>
    <row r="659" spans="1:35" x14ac:dyDescent="0.25">
      <c r="A659" s="34" t="s">
        <v>110</v>
      </c>
      <c r="B659" s="35" t="s">
        <v>1323</v>
      </c>
      <c r="C659" s="35" t="s">
        <v>3055</v>
      </c>
      <c r="D659" s="35">
        <v>32651</v>
      </c>
      <c r="E659" s="35" t="s">
        <v>3056</v>
      </c>
      <c r="F659" s="35" t="s">
        <v>3057</v>
      </c>
      <c r="G659" s="35" t="s">
        <v>174</v>
      </c>
      <c r="H659" s="35" t="s">
        <v>160</v>
      </c>
      <c r="I659" s="35" t="s">
        <v>217</v>
      </c>
      <c r="J659" s="35" t="s">
        <v>118</v>
      </c>
      <c r="K659" s="36">
        <v>46064</v>
      </c>
      <c r="L659" s="36">
        <v>46062</v>
      </c>
      <c r="M659" s="36">
        <v>46077</v>
      </c>
      <c r="N659" s="36"/>
      <c r="O659" s="36"/>
      <c r="P659" s="36"/>
      <c r="Q659" s="36"/>
      <c r="R659" s="35" t="s">
        <v>218</v>
      </c>
      <c r="S659" s="35" t="s">
        <v>1018</v>
      </c>
      <c r="T659" s="35" t="s">
        <v>1018</v>
      </c>
      <c r="U659" s="35" t="s">
        <v>82</v>
      </c>
      <c r="V659" s="35" t="s">
        <v>226</v>
      </c>
      <c r="W659" s="35" t="s">
        <v>123</v>
      </c>
      <c r="X659" s="35">
        <v>3339.8</v>
      </c>
      <c r="Y659" s="35">
        <v>607.24</v>
      </c>
      <c r="Z659" s="35">
        <v>607.24</v>
      </c>
      <c r="AA659" s="35">
        <v>0</v>
      </c>
      <c r="AB659" s="35"/>
      <c r="AC659" s="35">
        <v>0</v>
      </c>
      <c r="AD659" s="35"/>
      <c r="AE659" s="35">
        <v>0</v>
      </c>
      <c r="AF659" s="35"/>
      <c r="AG659" s="35">
        <v>0</v>
      </c>
      <c r="AH659" s="35"/>
      <c r="AI659" s="37">
        <v>0</v>
      </c>
    </row>
    <row r="660" spans="1:35" x14ac:dyDescent="0.25">
      <c r="A660" s="38" t="s">
        <v>110</v>
      </c>
      <c r="B660" s="39" t="s">
        <v>1323</v>
      </c>
      <c r="C660" s="39" t="s">
        <v>3058</v>
      </c>
      <c r="D660" s="39">
        <v>32652</v>
      </c>
      <c r="E660" s="39" t="s">
        <v>3059</v>
      </c>
      <c r="F660" s="39" t="s">
        <v>3060</v>
      </c>
      <c r="G660" s="39" t="s">
        <v>174</v>
      </c>
      <c r="H660" s="39" t="s">
        <v>160</v>
      </c>
      <c r="I660" s="39" t="s">
        <v>217</v>
      </c>
      <c r="J660" s="39" t="s">
        <v>118</v>
      </c>
      <c r="K660" s="40">
        <v>46064</v>
      </c>
      <c r="L660" s="40">
        <v>46062</v>
      </c>
      <c r="M660" s="40">
        <v>46077</v>
      </c>
      <c r="N660" s="40"/>
      <c r="O660" s="40"/>
      <c r="P660" s="40"/>
      <c r="Q660" s="40"/>
      <c r="R660" s="39" t="s">
        <v>218</v>
      </c>
      <c r="S660" s="39" t="s">
        <v>1018</v>
      </c>
      <c r="T660" s="39" t="s">
        <v>1018</v>
      </c>
      <c r="U660" s="35" t="s">
        <v>82</v>
      </c>
      <c r="V660" s="39" t="s">
        <v>226</v>
      </c>
      <c r="W660" s="39" t="s">
        <v>123</v>
      </c>
      <c r="X660" s="39">
        <v>945.81</v>
      </c>
      <c r="Y660" s="39">
        <v>171.96</v>
      </c>
      <c r="Z660" s="39">
        <v>171.96</v>
      </c>
      <c r="AA660" s="39">
        <v>0</v>
      </c>
      <c r="AB660" s="39"/>
      <c r="AC660" s="39">
        <v>0</v>
      </c>
      <c r="AD660" s="39"/>
      <c r="AE660" s="39">
        <v>0</v>
      </c>
      <c r="AF660" s="39"/>
      <c r="AG660" s="39">
        <v>0</v>
      </c>
      <c r="AH660" s="39"/>
      <c r="AI660" s="41">
        <v>0</v>
      </c>
    </row>
    <row r="661" spans="1:35" x14ac:dyDescent="0.25">
      <c r="A661" s="34" t="s">
        <v>110</v>
      </c>
      <c r="B661" s="35" t="s">
        <v>1323</v>
      </c>
      <c r="C661" s="35" t="s">
        <v>3061</v>
      </c>
      <c r="D661" s="35">
        <v>32653</v>
      </c>
      <c r="E661" s="35" t="s">
        <v>3062</v>
      </c>
      <c r="F661" s="35" t="s">
        <v>3063</v>
      </c>
      <c r="G661" s="35" t="s">
        <v>174</v>
      </c>
      <c r="H661" s="35" t="s">
        <v>160</v>
      </c>
      <c r="I661" s="35" t="s">
        <v>217</v>
      </c>
      <c r="J661" s="35" t="s">
        <v>118</v>
      </c>
      <c r="K661" s="36">
        <v>46064</v>
      </c>
      <c r="L661" s="36">
        <v>46062</v>
      </c>
      <c r="M661" s="36">
        <v>46076</v>
      </c>
      <c r="N661" s="36"/>
      <c r="O661" s="36"/>
      <c r="P661" s="36"/>
      <c r="Q661" s="36"/>
      <c r="R661" s="35" t="s">
        <v>218</v>
      </c>
      <c r="S661" s="35" t="s">
        <v>1018</v>
      </c>
      <c r="T661" s="35" t="s">
        <v>1018</v>
      </c>
      <c r="U661" s="35" t="s">
        <v>82</v>
      </c>
      <c r="V661" s="35" t="s">
        <v>226</v>
      </c>
      <c r="W661" s="35" t="s">
        <v>123</v>
      </c>
      <c r="X661" s="35">
        <v>986.93</v>
      </c>
      <c r="Y661" s="35">
        <v>179.44</v>
      </c>
      <c r="Z661" s="35">
        <v>179.44</v>
      </c>
      <c r="AA661" s="35">
        <v>0</v>
      </c>
      <c r="AB661" s="35"/>
      <c r="AC661" s="35">
        <v>0</v>
      </c>
      <c r="AD661" s="35"/>
      <c r="AE661" s="35">
        <v>0</v>
      </c>
      <c r="AF661" s="35"/>
      <c r="AG661" s="35">
        <v>0</v>
      </c>
      <c r="AH661" s="35"/>
      <c r="AI661" s="37">
        <v>0</v>
      </c>
    </row>
    <row r="662" spans="1:35" x14ac:dyDescent="0.25">
      <c r="A662" s="38" t="s">
        <v>110</v>
      </c>
      <c r="B662" s="39" t="s">
        <v>1323</v>
      </c>
      <c r="C662" s="39" t="s">
        <v>3064</v>
      </c>
      <c r="D662" s="39">
        <v>32654</v>
      </c>
      <c r="E662" s="39" t="s">
        <v>3065</v>
      </c>
      <c r="F662" s="39" t="s">
        <v>3066</v>
      </c>
      <c r="G662" s="39" t="s">
        <v>174</v>
      </c>
      <c r="H662" s="39" t="s">
        <v>160</v>
      </c>
      <c r="I662" s="39" t="s">
        <v>217</v>
      </c>
      <c r="J662" s="39" t="s">
        <v>118</v>
      </c>
      <c r="K662" s="40">
        <v>46064</v>
      </c>
      <c r="L662" s="40">
        <v>46062</v>
      </c>
      <c r="M662" s="40">
        <v>46076</v>
      </c>
      <c r="N662" s="40"/>
      <c r="O662" s="40"/>
      <c r="P662" s="40"/>
      <c r="Q662" s="40"/>
      <c r="R662" s="39" t="s">
        <v>218</v>
      </c>
      <c r="S662" s="39" t="s">
        <v>1018</v>
      </c>
      <c r="T662" s="39" t="s">
        <v>1018</v>
      </c>
      <c r="U662" s="35" t="s">
        <v>82</v>
      </c>
      <c r="V662" s="39" t="s">
        <v>226</v>
      </c>
      <c r="W662" s="39" t="s">
        <v>123</v>
      </c>
      <c r="X662" s="39">
        <v>1140.07</v>
      </c>
      <c r="Y662" s="39">
        <v>207.28</v>
      </c>
      <c r="Z662" s="39">
        <v>207.28</v>
      </c>
      <c r="AA662" s="39">
        <v>0</v>
      </c>
      <c r="AB662" s="39"/>
      <c r="AC662" s="39">
        <v>0</v>
      </c>
      <c r="AD662" s="39"/>
      <c r="AE662" s="39">
        <v>0</v>
      </c>
      <c r="AF662" s="39"/>
      <c r="AG662" s="39">
        <v>0</v>
      </c>
      <c r="AH662" s="39"/>
      <c r="AI662" s="41">
        <v>0</v>
      </c>
    </row>
    <row r="663" spans="1:35" x14ac:dyDescent="0.25">
      <c r="A663" s="34" t="s">
        <v>110</v>
      </c>
      <c r="B663" s="35" t="s">
        <v>1915</v>
      </c>
      <c r="C663" s="35" t="s">
        <v>3067</v>
      </c>
      <c r="D663" s="35">
        <v>32655</v>
      </c>
      <c r="E663" s="35" t="s">
        <v>3068</v>
      </c>
      <c r="F663" s="35" t="s">
        <v>3069</v>
      </c>
      <c r="G663" s="35" t="s">
        <v>174</v>
      </c>
      <c r="H663" s="35" t="s">
        <v>160</v>
      </c>
      <c r="I663" s="35" t="s">
        <v>217</v>
      </c>
      <c r="J663" s="35" t="s">
        <v>118</v>
      </c>
      <c r="K663" s="36">
        <v>46064</v>
      </c>
      <c r="L663" s="36">
        <v>46062</v>
      </c>
      <c r="M663" s="36">
        <v>46076</v>
      </c>
      <c r="N663" s="36"/>
      <c r="O663" s="36"/>
      <c r="P663" s="36"/>
      <c r="Q663" s="36"/>
      <c r="R663" s="35" t="s">
        <v>218</v>
      </c>
      <c r="S663" s="35" t="s">
        <v>1018</v>
      </c>
      <c r="T663" s="35" t="s">
        <v>1018</v>
      </c>
      <c r="U663" s="35" t="s">
        <v>82</v>
      </c>
      <c r="V663" s="35" t="s">
        <v>226</v>
      </c>
      <c r="W663" s="35" t="s">
        <v>123</v>
      </c>
      <c r="X663" s="35">
        <v>2017.53</v>
      </c>
      <c r="Y663" s="35">
        <v>366.82</v>
      </c>
      <c r="Z663" s="35">
        <v>366.82</v>
      </c>
      <c r="AA663" s="35">
        <v>0</v>
      </c>
      <c r="AB663" s="35"/>
      <c r="AC663" s="35">
        <v>0</v>
      </c>
      <c r="AD663" s="35"/>
      <c r="AE663" s="35">
        <v>0</v>
      </c>
      <c r="AF663" s="35"/>
      <c r="AG663" s="35">
        <v>0</v>
      </c>
      <c r="AH663" s="35"/>
      <c r="AI663" s="37">
        <v>0</v>
      </c>
    </row>
    <row r="664" spans="1:35" x14ac:dyDescent="0.25">
      <c r="A664" s="38" t="s">
        <v>110</v>
      </c>
      <c r="B664" s="39" t="s">
        <v>1135</v>
      </c>
      <c r="C664" s="39" t="s">
        <v>3070</v>
      </c>
      <c r="D664" s="39">
        <v>32656</v>
      </c>
      <c r="E664" s="39" t="s">
        <v>3071</v>
      </c>
      <c r="F664" s="39" t="s">
        <v>3072</v>
      </c>
      <c r="G664" s="39" t="s">
        <v>174</v>
      </c>
      <c r="H664" s="39" t="s">
        <v>160</v>
      </c>
      <c r="I664" s="39" t="s">
        <v>217</v>
      </c>
      <c r="J664" s="39" t="s">
        <v>118</v>
      </c>
      <c r="K664" s="40">
        <v>46064</v>
      </c>
      <c r="L664" s="40">
        <v>46062</v>
      </c>
      <c r="M664" s="40">
        <v>46076</v>
      </c>
      <c r="N664" s="40"/>
      <c r="O664" s="40"/>
      <c r="P664" s="40"/>
      <c r="Q664" s="40"/>
      <c r="R664" s="39" t="s">
        <v>218</v>
      </c>
      <c r="S664" s="39" t="s">
        <v>1018</v>
      </c>
      <c r="T664" s="39" t="s">
        <v>1018</v>
      </c>
      <c r="U664" s="35" t="s">
        <v>82</v>
      </c>
      <c r="V664" s="39" t="s">
        <v>226</v>
      </c>
      <c r="W664" s="39" t="s">
        <v>123</v>
      </c>
      <c r="X664" s="39">
        <v>1003.05</v>
      </c>
      <c r="Y664" s="39">
        <v>182.38</v>
      </c>
      <c r="Z664" s="39">
        <v>182.38</v>
      </c>
      <c r="AA664" s="39">
        <v>0</v>
      </c>
      <c r="AB664" s="39"/>
      <c r="AC664" s="39">
        <v>0</v>
      </c>
      <c r="AD664" s="39"/>
      <c r="AE664" s="39">
        <v>0</v>
      </c>
      <c r="AF664" s="39"/>
      <c r="AG664" s="39">
        <v>0</v>
      </c>
      <c r="AH664" s="39"/>
      <c r="AI664" s="41">
        <v>0</v>
      </c>
    </row>
    <row r="665" spans="1:35" x14ac:dyDescent="0.25">
      <c r="A665" s="34" t="s">
        <v>110</v>
      </c>
      <c r="B665" s="35" t="s">
        <v>1768</v>
      </c>
      <c r="C665" s="35" t="s">
        <v>1769</v>
      </c>
      <c r="D665" s="35">
        <v>32571</v>
      </c>
      <c r="E665" s="35" t="s">
        <v>3073</v>
      </c>
      <c r="F665" s="35" t="s">
        <v>3074</v>
      </c>
      <c r="G665" s="35" t="s">
        <v>192</v>
      </c>
      <c r="H665" s="35" t="s">
        <v>160</v>
      </c>
      <c r="I665" s="35" t="s">
        <v>117</v>
      </c>
      <c r="J665" s="35" t="s">
        <v>141</v>
      </c>
      <c r="K665" s="36">
        <v>46064</v>
      </c>
      <c r="L665" s="36">
        <v>46056</v>
      </c>
      <c r="M665" s="36"/>
      <c r="N665" s="36"/>
      <c r="O665" s="36"/>
      <c r="P665" s="36"/>
      <c r="Q665" s="36"/>
      <c r="R665" s="35" t="s">
        <v>142</v>
      </c>
      <c r="S665" s="35" t="s">
        <v>933</v>
      </c>
      <c r="T665" s="35" t="s">
        <v>162</v>
      </c>
      <c r="U665" s="35" t="s">
        <v>87</v>
      </c>
      <c r="V665" s="35" t="s">
        <v>509</v>
      </c>
      <c r="W665" s="35" t="s">
        <v>123</v>
      </c>
      <c r="X665" s="35">
        <v>1800.67</v>
      </c>
      <c r="Y665" s="35">
        <v>360.14</v>
      </c>
      <c r="Z665" s="35">
        <v>360.14</v>
      </c>
      <c r="AA665" s="35">
        <v>0</v>
      </c>
      <c r="AB665" s="35"/>
      <c r="AC665" s="35">
        <v>0</v>
      </c>
      <c r="AD665" s="35"/>
      <c r="AE665" s="35">
        <v>0</v>
      </c>
      <c r="AF665" s="35"/>
      <c r="AG665" s="35">
        <v>0</v>
      </c>
      <c r="AH665" s="35"/>
      <c r="AI665" s="37">
        <v>0</v>
      </c>
    </row>
    <row r="666" spans="1:35" x14ac:dyDescent="0.25">
      <c r="A666" s="38" t="s">
        <v>110</v>
      </c>
      <c r="B666" s="39" t="s">
        <v>1768</v>
      </c>
      <c r="C666" s="39" t="s">
        <v>2811</v>
      </c>
      <c r="D666" s="39">
        <v>28294</v>
      </c>
      <c r="E666" s="39" t="s">
        <v>3075</v>
      </c>
      <c r="F666" s="39" t="s">
        <v>3076</v>
      </c>
      <c r="G666" s="39" t="s">
        <v>440</v>
      </c>
      <c r="H666" s="39" t="s">
        <v>160</v>
      </c>
      <c r="I666" s="39" t="s">
        <v>117</v>
      </c>
      <c r="J666" s="39" t="s">
        <v>141</v>
      </c>
      <c r="K666" s="40">
        <v>46064</v>
      </c>
      <c r="L666" s="40">
        <v>46056</v>
      </c>
      <c r="M666" s="40"/>
      <c r="N666" s="40"/>
      <c r="O666" s="40"/>
      <c r="P666" s="40"/>
      <c r="Q666" s="40"/>
      <c r="R666" s="39" t="s">
        <v>142</v>
      </c>
      <c r="S666" s="39" t="s">
        <v>803</v>
      </c>
      <c r="T666" s="39" t="s">
        <v>804</v>
      </c>
      <c r="U666" s="35" t="s">
        <v>87</v>
      </c>
      <c r="V666" s="39" t="s">
        <v>509</v>
      </c>
      <c r="W666" s="39" t="s">
        <v>123</v>
      </c>
      <c r="X666" s="39">
        <v>-562.33000000000004</v>
      </c>
      <c r="Y666" s="39">
        <v>-140.57</v>
      </c>
      <c r="Z666" s="39">
        <v>-140.57</v>
      </c>
      <c r="AA666" s="39">
        <v>0</v>
      </c>
      <c r="AB666" s="39"/>
      <c r="AC666" s="39">
        <v>0</v>
      </c>
      <c r="AD666" s="39"/>
      <c r="AE666" s="39">
        <v>0</v>
      </c>
      <c r="AF666" s="39"/>
      <c r="AG666" s="39">
        <v>0</v>
      </c>
      <c r="AH666" s="39"/>
      <c r="AI666" s="41">
        <v>0</v>
      </c>
    </row>
    <row r="667" spans="1:35" x14ac:dyDescent="0.25">
      <c r="A667" s="34" t="s">
        <v>110</v>
      </c>
      <c r="B667" s="35" t="s">
        <v>1795</v>
      </c>
      <c r="C667" s="35" t="s">
        <v>1796</v>
      </c>
      <c r="D667" s="35">
        <v>22920</v>
      </c>
      <c r="E667" s="35" t="s">
        <v>3077</v>
      </c>
      <c r="F667" s="35" t="s">
        <v>3078</v>
      </c>
      <c r="G667" s="35" t="s">
        <v>192</v>
      </c>
      <c r="H667" s="35" t="s">
        <v>160</v>
      </c>
      <c r="I667" s="35" t="s">
        <v>117</v>
      </c>
      <c r="J667" s="35" t="s">
        <v>141</v>
      </c>
      <c r="K667" s="36">
        <v>46064</v>
      </c>
      <c r="L667" s="36">
        <v>46023</v>
      </c>
      <c r="M667" s="36"/>
      <c r="N667" s="36"/>
      <c r="O667" s="36"/>
      <c r="P667" s="36"/>
      <c r="Q667" s="36"/>
      <c r="R667" s="35" t="s">
        <v>119</v>
      </c>
      <c r="S667" s="35" t="s">
        <v>987</v>
      </c>
      <c r="T667" s="35" t="s">
        <v>974</v>
      </c>
      <c r="U667" s="35" t="s">
        <v>91</v>
      </c>
      <c r="V667" s="35" t="s">
        <v>509</v>
      </c>
      <c r="W667" s="35" t="s">
        <v>123</v>
      </c>
      <c r="X667" s="35">
        <v>863.34</v>
      </c>
      <c r="Y667" s="35">
        <v>172.67</v>
      </c>
      <c r="Z667" s="35">
        <v>172.67</v>
      </c>
      <c r="AA667" s="35">
        <v>0</v>
      </c>
      <c r="AB667" s="35"/>
      <c r="AC667" s="35">
        <v>0</v>
      </c>
      <c r="AD667" s="35"/>
      <c r="AE667" s="35">
        <v>0</v>
      </c>
      <c r="AF667" s="35"/>
      <c r="AG667" s="35">
        <v>0</v>
      </c>
      <c r="AH667" s="35"/>
      <c r="AI667" s="37">
        <v>0</v>
      </c>
    </row>
    <row r="668" spans="1:35" x14ac:dyDescent="0.25">
      <c r="A668" s="38" t="s">
        <v>110</v>
      </c>
      <c r="B668" s="39" t="s">
        <v>2759</v>
      </c>
      <c r="C668" s="39" t="s">
        <v>2760</v>
      </c>
      <c r="D668" s="39">
        <v>5604</v>
      </c>
      <c r="E668" s="39" t="s">
        <v>3079</v>
      </c>
      <c r="F668" s="39" t="s">
        <v>3080</v>
      </c>
      <c r="G668" s="39" t="s">
        <v>115</v>
      </c>
      <c r="H668" s="39" t="s">
        <v>116</v>
      </c>
      <c r="I668" s="39" t="s">
        <v>117</v>
      </c>
      <c r="J668" s="39" t="s">
        <v>141</v>
      </c>
      <c r="K668" s="40">
        <v>46064</v>
      </c>
      <c r="L668" s="40">
        <v>46107</v>
      </c>
      <c r="M668" s="40"/>
      <c r="N668" s="40"/>
      <c r="O668" s="40"/>
      <c r="P668" s="40"/>
      <c r="Q668" s="40"/>
      <c r="R668" s="39" t="s">
        <v>142</v>
      </c>
      <c r="S668" s="39" t="s">
        <v>2704</v>
      </c>
      <c r="T668" s="39" t="s">
        <v>225</v>
      </c>
      <c r="U668" s="35" t="s">
        <v>88</v>
      </c>
      <c r="V668" s="39" t="s">
        <v>122</v>
      </c>
      <c r="W668" s="39" t="s">
        <v>123</v>
      </c>
      <c r="X668" s="39">
        <v>917.3</v>
      </c>
      <c r="Y668" s="39">
        <v>201.8</v>
      </c>
      <c r="Z668" s="39">
        <v>183.45</v>
      </c>
      <c r="AA668" s="39">
        <v>0</v>
      </c>
      <c r="AB668" s="39"/>
      <c r="AC668" s="39">
        <v>0</v>
      </c>
      <c r="AD668" s="39"/>
      <c r="AE668" s="39">
        <v>0</v>
      </c>
      <c r="AF668" s="39"/>
      <c r="AG668" s="39">
        <v>0</v>
      </c>
      <c r="AH668" s="39"/>
      <c r="AI668" s="41">
        <v>0</v>
      </c>
    </row>
    <row r="669" spans="1:35" x14ac:dyDescent="0.25">
      <c r="A669" s="34" t="s">
        <v>110</v>
      </c>
      <c r="B669" s="35" t="s">
        <v>2425</v>
      </c>
      <c r="C669" s="35" t="s">
        <v>2454</v>
      </c>
      <c r="D669" s="35">
        <v>26176</v>
      </c>
      <c r="E669" s="35" t="s">
        <v>3081</v>
      </c>
      <c r="F669" s="35" t="s">
        <v>3082</v>
      </c>
      <c r="G669" s="35" t="s">
        <v>115</v>
      </c>
      <c r="H669" s="35" t="s">
        <v>160</v>
      </c>
      <c r="I669" s="35" t="s">
        <v>117</v>
      </c>
      <c r="J669" s="35" t="s">
        <v>141</v>
      </c>
      <c r="K669" s="36">
        <v>46064</v>
      </c>
      <c r="L669" s="36">
        <v>46090</v>
      </c>
      <c r="M669" s="36"/>
      <c r="N669" s="36"/>
      <c r="O669" s="36"/>
      <c r="P669" s="36"/>
      <c r="Q669" s="36"/>
      <c r="R669" s="35" t="s">
        <v>142</v>
      </c>
      <c r="S669" s="35" t="s">
        <v>2455</v>
      </c>
      <c r="T669" s="35" t="s">
        <v>162</v>
      </c>
      <c r="U669" s="35" t="s">
        <v>87</v>
      </c>
      <c r="V669" s="35" t="s">
        <v>122</v>
      </c>
      <c r="W669" s="35" t="s">
        <v>123</v>
      </c>
      <c r="X669" s="35">
        <v>1213.43</v>
      </c>
      <c r="Y669" s="35">
        <v>266.93</v>
      </c>
      <c r="Z669" s="35">
        <v>242.66</v>
      </c>
      <c r="AA669" s="35">
        <v>0</v>
      </c>
      <c r="AB669" s="35"/>
      <c r="AC669" s="35">
        <v>0</v>
      </c>
      <c r="AD669" s="35"/>
      <c r="AE669" s="35">
        <v>0</v>
      </c>
      <c r="AF669" s="35"/>
      <c r="AG669" s="35">
        <v>0</v>
      </c>
      <c r="AH669" s="35"/>
      <c r="AI669" s="37">
        <v>0</v>
      </c>
    </row>
    <row r="670" spans="1:35" x14ac:dyDescent="0.25">
      <c r="A670" s="38" t="s">
        <v>110</v>
      </c>
      <c r="B670" s="39" t="s">
        <v>2702</v>
      </c>
      <c r="C670" s="39" t="s">
        <v>2703</v>
      </c>
      <c r="D670" s="39">
        <v>27850</v>
      </c>
      <c r="E670" s="39" t="s">
        <v>3083</v>
      </c>
      <c r="F670" s="39" t="s">
        <v>3084</v>
      </c>
      <c r="G670" s="39" t="s">
        <v>115</v>
      </c>
      <c r="H670" s="39" t="s">
        <v>160</v>
      </c>
      <c r="I670" s="39" t="s">
        <v>117</v>
      </c>
      <c r="J670" s="39" t="s">
        <v>141</v>
      </c>
      <c r="K670" s="40">
        <v>46064</v>
      </c>
      <c r="L670" s="40">
        <v>46082</v>
      </c>
      <c r="M670" s="40"/>
      <c r="N670" s="40"/>
      <c r="O670" s="40"/>
      <c r="P670" s="40"/>
      <c r="Q670" s="40"/>
      <c r="R670" s="39" t="s">
        <v>142</v>
      </c>
      <c r="S670" s="39" t="s">
        <v>2704</v>
      </c>
      <c r="T670" s="39" t="s">
        <v>225</v>
      </c>
      <c r="U670" s="35" t="s">
        <v>88</v>
      </c>
      <c r="V670" s="39" t="s">
        <v>122</v>
      </c>
      <c r="W670" s="39" t="s">
        <v>123</v>
      </c>
      <c r="X670" s="39">
        <v>3811.37</v>
      </c>
      <c r="Y670" s="39">
        <v>838.53</v>
      </c>
      <c r="Z670" s="39">
        <v>762.3</v>
      </c>
      <c r="AA670" s="39">
        <v>0</v>
      </c>
      <c r="AB670" s="39"/>
      <c r="AC670" s="39">
        <v>0</v>
      </c>
      <c r="AD670" s="39"/>
      <c r="AE670" s="39">
        <v>0</v>
      </c>
      <c r="AF670" s="39"/>
      <c r="AG670" s="39">
        <v>0</v>
      </c>
      <c r="AH670" s="39"/>
      <c r="AI670" s="41">
        <v>0</v>
      </c>
    </row>
    <row r="671" spans="1:35" x14ac:dyDescent="0.25">
      <c r="A671" s="34" t="s">
        <v>110</v>
      </c>
      <c r="B671" s="35" t="s">
        <v>2759</v>
      </c>
      <c r="C671" s="35" t="s">
        <v>2761</v>
      </c>
      <c r="D671" s="35">
        <v>2635</v>
      </c>
      <c r="E671" s="35" t="s">
        <v>3085</v>
      </c>
      <c r="F671" s="35" t="s">
        <v>3086</v>
      </c>
      <c r="G671" s="35" t="s">
        <v>115</v>
      </c>
      <c r="H671" s="35" t="s">
        <v>116</v>
      </c>
      <c r="I671" s="35" t="s">
        <v>117</v>
      </c>
      <c r="J671" s="35" t="s">
        <v>141</v>
      </c>
      <c r="K671" s="36">
        <v>46064</v>
      </c>
      <c r="L671" s="36">
        <v>46107</v>
      </c>
      <c r="M671" s="36"/>
      <c r="N671" s="36"/>
      <c r="O671" s="36"/>
      <c r="P671" s="36"/>
      <c r="Q671" s="36"/>
      <c r="R671" s="35" t="s">
        <v>142</v>
      </c>
      <c r="S671" s="35" t="s">
        <v>2455</v>
      </c>
      <c r="T671" s="35" t="s">
        <v>162</v>
      </c>
      <c r="U671" s="35" t="s">
        <v>87</v>
      </c>
      <c r="V671" s="35" t="s">
        <v>122</v>
      </c>
      <c r="W671" s="35" t="s">
        <v>123</v>
      </c>
      <c r="X671" s="35">
        <v>1434.68</v>
      </c>
      <c r="Y671" s="35">
        <v>315.62</v>
      </c>
      <c r="Z671" s="35">
        <v>286.93</v>
      </c>
      <c r="AA671" s="35">
        <v>0</v>
      </c>
      <c r="AB671" s="35"/>
      <c r="AC671" s="35">
        <v>0</v>
      </c>
      <c r="AD671" s="35"/>
      <c r="AE671" s="35">
        <v>0</v>
      </c>
      <c r="AF671" s="35"/>
      <c r="AG671" s="35">
        <v>0</v>
      </c>
      <c r="AH671" s="35"/>
      <c r="AI671" s="37">
        <v>0</v>
      </c>
    </row>
    <row r="672" spans="1:35" x14ac:dyDescent="0.25">
      <c r="A672" s="38" t="s">
        <v>110</v>
      </c>
      <c r="B672" s="39" t="s">
        <v>111</v>
      </c>
      <c r="C672" s="39" t="s">
        <v>112</v>
      </c>
      <c r="D672" s="39">
        <v>16643</v>
      </c>
      <c r="E672" s="39" t="s">
        <v>3087</v>
      </c>
      <c r="F672" s="39" t="s">
        <v>3088</v>
      </c>
      <c r="G672" s="39" t="s">
        <v>115</v>
      </c>
      <c r="H672" s="39" t="s">
        <v>116</v>
      </c>
      <c r="I672" s="39" t="s">
        <v>117</v>
      </c>
      <c r="J672" s="39" t="s">
        <v>141</v>
      </c>
      <c r="K672" s="40">
        <v>46064</v>
      </c>
      <c r="L672" s="40">
        <v>46082</v>
      </c>
      <c r="M672" s="40"/>
      <c r="N672" s="40"/>
      <c r="O672" s="40"/>
      <c r="P672" s="40"/>
      <c r="Q672" s="40"/>
      <c r="R672" s="39" t="s">
        <v>119</v>
      </c>
      <c r="S672" s="39" t="s">
        <v>120</v>
      </c>
      <c r="T672" s="39" t="s">
        <v>121</v>
      </c>
      <c r="U672" s="35" t="s">
        <v>90</v>
      </c>
      <c r="V672" s="39" t="s">
        <v>122</v>
      </c>
      <c r="W672" s="39" t="s">
        <v>123</v>
      </c>
      <c r="X672" s="39">
        <v>1147.0999999999999</v>
      </c>
      <c r="Y672" s="39">
        <v>117.19</v>
      </c>
      <c r="Z672" s="39">
        <v>94.25</v>
      </c>
      <c r="AA672" s="39">
        <v>0</v>
      </c>
      <c r="AB672" s="39"/>
      <c r="AC672" s="39">
        <v>0</v>
      </c>
      <c r="AD672" s="39"/>
      <c r="AE672" s="39">
        <v>0</v>
      </c>
      <c r="AF672" s="39"/>
      <c r="AG672" s="39">
        <v>0</v>
      </c>
      <c r="AH672" s="39"/>
      <c r="AI672" s="41">
        <v>0</v>
      </c>
    </row>
    <row r="673" spans="1:35" x14ac:dyDescent="0.25">
      <c r="A673" s="34" t="s">
        <v>110</v>
      </c>
      <c r="B673" s="35" t="s">
        <v>946</v>
      </c>
      <c r="C673" s="35" t="s">
        <v>947</v>
      </c>
      <c r="D673" s="35">
        <v>11223</v>
      </c>
      <c r="E673" s="35" t="s">
        <v>3089</v>
      </c>
      <c r="F673" s="35" t="s">
        <v>3090</v>
      </c>
      <c r="G673" s="35" t="s">
        <v>115</v>
      </c>
      <c r="H673" s="35" t="s">
        <v>116</v>
      </c>
      <c r="I673" s="35" t="s">
        <v>117</v>
      </c>
      <c r="J673" s="35" t="s">
        <v>141</v>
      </c>
      <c r="K673" s="36">
        <v>46064</v>
      </c>
      <c r="L673" s="36">
        <v>46082</v>
      </c>
      <c r="M673" s="36"/>
      <c r="N673" s="36"/>
      <c r="O673" s="36"/>
      <c r="P673" s="36"/>
      <c r="Q673" s="36"/>
      <c r="R673" s="35" t="s">
        <v>119</v>
      </c>
      <c r="S673" s="35" t="s">
        <v>950</v>
      </c>
      <c r="T673" s="35" t="s">
        <v>129</v>
      </c>
      <c r="U673" s="35" t="s">
        <v>90</v>
      </c>
      <c r="V673" s="35" t="s">
        <v>122</v>
      </c>
      <c r="W673" s="35" t="s">
        <v>123</v>
      </c>
      <c r="X673" s="35">
        <v>292.45999999999998</v>
      </c>
      <c r="Y673" s="35">
        <v>27.93</v>
      </c>
      <c r="Z673" s="35">
        <v>22.08</v>
      </c>
      <c r="AA673" s="35">
        <v>0</v>
      </c>
      <c r="AB673" s="35"/>
      <c r="AC673" s="35">
        <v>0</v>
      </c>
      <c r="AD673" s="35"/>
      <c r="AE673" s="35">
        <v>0</v>
      </c>
      <c r="AF673" s="35"/>
      <c r="AG673" s="35">
        <v>0</v>
      </c>
      <c r="AH673" s="35"/>
      <c r="AI673" s="37">
        <v>0</v>
      </c>
    </row>
    <row r="674" spans="1:35" x14ac:dyDescent="0.25">
      <c r="A674" s="38" t="s">
        <v>110</v>
      </c>
      <c r="B674" s="39" t="s">
        <v>1483</v>
      </c>
      <c r="C674" s="39" t="s">
        <v>2450</v>
      </c>
      <c r="D674" s="39">
        <v>17919</v>
      </c>
      <c r="E674" s="39" t="s">
        <v>3091</v>
      </c>
      <c r="F674" s="39" t="s">
        <v>3092</v>
      </c>
      <c r="G674" s="39" t="s">
        <v>115</v>
      </c>
      <c r="H674" s="39" t="s">
        <v>116</v>
      </c>
      <c r="I674" s="39" t="s">
        <v>117</v>
      </c>
      <c r="J674" s="39" t="s">
        <v>141</v>
      </c>
      <c r="K674" s="40">
        <v>46064</v>
      </c>
      <c r="L674" s="40">
        <v>46082</v>
      </c>
      <c r="M674" s="40"/>
      <c r="N674" s="40"/>
      <c r="O674" s="40"/>
      <c r="P674" s="40"/>
      <c r="Q674" s="40"/>
      <c r="R674" s="39" t="s">
        <v>142</v>
      </c>
      <c r="S674" s="39" t="s">
        <v>2451</v>
      </c>
      <c r="T674" s="39" t="s">
        <v>135</v>
      </c>
      <c r="U674" s="35" t="s">
        <v>90</v>
      </c>
      <c r="V674" s="39" t="s">
        <v>122</v>
      </c>
      <c r="W674" s="39" t="s">
        <v>123</v>
      </c>
      <c r="X674" s="39">
        <v>3147</v>
      </c>
      <c r="Y674" s="39">
        <v>314.70999999999998</v>
      </c>
      <c r="Z674" s="39">
        <v>251.77</v>
      </c>
      <c r="AA674" s="39">
        <v>0</v>
      </c>
      <c r="AB674" s="39"/>
      <c r="AC674" s="39">
        <v>0</v>
      </c>
      <c r="AD674" s="39"/>
      <c r="AE674" s="39">
        <v>0</v>
      </c>
      <c r="AF674" s="39"/>
      <c r="AG674" s="39">
        <v>0</v>
      </c>
      <c r="AH674" s="39"/>
      <c r="AI674" s="41">
        <v>0</v>
      </c>
    </row>
    <row r="675" spans="1:35" x14ac:dyDescent="0.25">
      <c r="A675" s="34" t="s">
        <v>110</v>
      </c>
      <c r="B675" s="35" t="s">
        <v>954</v>
      </c>
      <c r="C675" s="35" t="s">
        <v>955</v>
      </c>
      <c r="D675" s="35">
        <v>16581</v>
      </c>
      <c r="E675" s="35" t="s">
        <v>3093</v>
      </c>
      <c r="F675" s="35" t="s">
        <v>3094</v>
      </c>
      <c r="G675" s="35" t="s">
        <v>115</v>
      </c>
      <c r="H675" s="35" t="s">
        <v>116</v>
      </c>
      <c r="I675" s="35" t="s">
        <v>117</v>
      </c>
      <c r="J675" s="35" t="s">
        <v>141</v>
      </c>
      <c r="K675" s="36">
        <v>46064</v>
      </c>
      <c r="L675" s="36">
        <v>46082</v>
      </c>
      <c r="M675" s="36"/>
      <c r="N675" s="36"/>
      <c r="O675" s="36"/>
      <c r="P675" s="36"/>
      <c r="Q675" s="36"/>
      <c r="R675" s="35" t="s">
        <v>119</v>
      </c>
      <c r="S675" s="35" t="s">
        <v>120</v>
      </c>
      <c r="T675" s="35" t="s">
        <v>121</v>
      </c>
      <c r="U675" s="35" t="s">
        <v>90</v>
      </c>
      <c r="V675" s="35" t="s">
        <v>122</v>
      </c>
      <c r="W675" s="35" t="s">
        <v>123</v>
      </c>
      <c r="X675" s="35">
        <v>1204.3599999999999</v>
      </c>
      <c r="Y675" s="35">
        <v>110.88</v>
      </c>
      <c r="Z675" s="35">
        <v>86.79</v>
      </c>
      <c r="AA675" s="35">
        <v>0</v>
      </c>
      <c r="AB675" s="35"/>
      <c r="AC675" s="35">
        <v>0</v>
      </c>
      <c r="AD675" s="35"/>
      <c r="AE675" s="35">
        <v>0</v>
      </c>
      <c r="AF675" s="35"/>
      <c r="AG675" s="35">
        <v>0</v>
      </c>
      <c r="AH675" s="35"/>
      <c r="AI675" s="37">
        <v>0</v>
      </c>
    </row>
    <row r="676" spans="1:35" x14ac:dyDescent="0.25">
      <c r="A676" s="38" t="s">
        <v>110</v>
      </c>
      <c r="B676" s="39" t="s">
        <v>2452</v>
      </c>
      <c r="C676" s="39" t="s">
        <v>2453</v>
      </c>
      <c r="D676" s="39">
        <v>18997</v>
      </c>
      <c r="E676" s="39" t="s">
        <v>3095</v>
      </c>
      <c r="F676" s="39" t="s">
        <v>3096</v>
      </c>
      <c r="G676" s="39" t="s">
        <v>115</v>
      </c>
      <c r="H676" s="39" t="s">
        <v>116</v>
      </c>
      <c r="I676" s="39" t="s">
        <v>117</v>
      </c>
      <c r="J676" s="39" t="s">
        <v>141</v>
      </c>
      <c r="K676" s="40">
        <v>46064</v>
      </c>
      <c r="L676" s="40">
        <v>46082</v>
      </c>
      <c r="M676" s="40"/>
      <c r="N676" s="40"/>
      <c r="O676" s="40"/>
      <c r="P676" s="40"/>
      <c r="Q676" s="40"/>
      <c r="R676" s="39" t="s">
        <v>142</v>
      </c>
      <c r="S676" s="39" t="s">
        <v>2451</v>
      </c>
      <c r="T676" s="39" t="s">
        <v>135</v>
      </c>
      <c r="U676" s="35" t="s">
        <v>90</v>
      </c>
      <c r="V676" s="39" t="s">
        <v>122</v>
      </c>
      <c r="W676" s="39" t="s">
        <v>123</v>
      </c>
      <c r="X676" s="39">
        <v>3872.4</v>
      </c>
      <c r="Y676" s="39">
        <v>387.23</v>
      </c>
      <c r="Z676" s="39">
        <v>309.77999999999997</v>
      </c>
      <c r="AA676" s="39">
        <v>0</v>
      </c>
      <c r="AB676" s="39"/>
      <c r="AC676" s="39">
        <v>0</v>
      </c>
      <c r="AD676" s="39"/>
      <c r="AE676" s="39">
        <v>0</v>
      </c>
      <c r="AF676" s="39"/>
      <c r="AG676" s="39">
        <v>0</v>
      </c>
      <c r="AH676" s="39"/>
      <c r="AI676" s="41">
        <v>0</v>
      </c>
    </row>
    <row r="677" spans="1:35" x14ac:dyDescent="0.25">
      <c r="A677" s="34" t="s">
        <v>110</v>
      </c>
      <c r="B677" s="35" t="s">
        <v>966</v>
      </c>
      <c r="C677" s="35" t="s">
        <v>967</v>
      </c>
      <c r="D677" s="35">
        <v>23206</v>
      </c>
      <c r="E677" s="35" t="s">
        <v>3097</v>
      </c>
      <c r="F677" s="35" t="s">
        <v>3098</v>
      </c>
      <c r="G677" s="35" t="s">
        <v>115</v>
      </c>
      <c r="H677" s="35" t="s">
        <v>116</v>
      </c>
      <c r="I677" s="35" t="s">
        <v>117</v>
      </c>
      <c r="J677" s="35" t="s">
        <v>141</v>
      </c>
      <c r="K677" s="36">
        <v>46064</v>
      </c>
      <c r="L677" s="36">
        <v>46082</v>
      </c>
      <c r="M677" s="36"/>
      <c r="N677" s="36"/>
      <c r="O677" s="36"/>
      <c r="P677" s="36"/>
      <c r="Q677" s="36"/>
      <c r="R677" s="35" t="s">
        <v>119</v>
      </c>
      <c r="S677" s="35" t="s">
        <v>120</v>
      </c>
      <c r="T677" s="35" t="s">
        <v>121</v>
      </c>
      <c r="U677" s="35" t="s">
        <v>90</v>
      </c>
      <c r="V677" s="35" t="s">
        <v>122</v>
      </c>
      <c r="W677" s="35" t="s">
        <v>123</v>
      </c>
      <c r="X677" s="35">
        <v>338.32</v>
      </c>
      <c r="Y677" s="35">
        <v>32.299999999999997</v>
      </c>
      <c r="Z677" s="35">
        <v>25.53</v>
      </c>
      <c r="AA677" s="35">
        <v>0</v>
      </c>
      <c r="AB677" s="35"/>
      <c r="AC677" s="35">
        <v>0</v>
      </c>
      <c r="AD677" s="35"/>
      <c r="AE677" s="35">
        <v>0</v>
      </c>
      <c r="AF677" s="35"/>
      <c r="AG677" s="35">
        <v>0</v>
      </c>
      <c r="AH677" s="35"/>
      <c r="AI677" s="37">
        <v>0</v>
      </c>
    </row>
    <row r="678" spans="1:35" x14ac:dyDescent="0.25">
      <c r="A678" s="38" t="s">
        <v>110</v>
      </c>
      <c r="B678" s="39" t="s">
        <v>124</v>
      </c>
      <c r="C678" s="39" t="s">
        <v>125</v>
      </c>
      <c r="D678" s="39">
        <v>5050</v>
      </c>
      <c r="E678" s="39" t="s">
        <v>3099</v>
      </c>
      <c r="F678" s="39" t="s">
        <v>3100</v>
      </c>
      <c r="G678" s="39" t="s">
        <v>115</v>
      </c>
      <c r="H678" s="39" t="s">
        <v>116</v>
      </c>
      <c r="I678" s="39" t="s">
        <v>117</v>
      </c>
      <c r="J678" s="39" t="s">
        <v>141</v>
      </c>
      <c r="K678" s="40">
        <v>46064</v>
      </c>
      <c r="L678" s="40">
        <v>46082</v>
      </c>
      <c r="M678" s="40"/>
      <c r="N678" s="40"/>
      <c r="O678" s="40"/>
      <c r="P678" s="40"/>
      <c r="Q678" s="40"/>
      <c r="R678" s="39" t="s">
        <v>119</v>
      </c>
      <c r="S678" s="39" t="s">
        <v>128</v>
      </c>
      <c r="T678" s="39" t="s">
        <v>129</v>
      </c>
      <c r="U678" s="35" t="s">
        <v>90</v>
      </c>
      <c r="V678" s="39" t="s">
        <v>122</v>
      </c>
      <c r="W678" s="39" t="s">
        <v>123</v>
      </c>
      <c r="X678" s="39">
        <v>91.92</v>
      </c>
      <c r="Y678" s="39">
        <v>10.51</v>
      </c>
      <c r="Z678" s="39">
        <v>8.67</v>
      </c>
      <c r="AA678" s="39">
        <v>0</v>
      </c>
      <c r="AB678" s="39"/>
      <c r="AC678" s="39">
        <v>0</v>
      </c>
      <c r="AD678" s="39" t="s">
        <v>130</v>
      </c>
      <c r="AE678" s="39">
        <v>0</v>
      </c>
      <c r="AF678" s="39"/>
      <c r="AG678" s="39">
        <v>0</v>
      </c>
      <c r="AH678" s="39"/>
      <c r="AI678" s="41">
        <v>0</v>
      </c>
    </row>
    <row r="679" spans="1:35" x14ac:dyDescent="0.25">
      <c r="A679" s="34" t="s">
        <v>110</v>
      </c>
      <c r="B679" s="35" t="s">
        <v>958</v>
      </c>
      <c r="C679" s="35" t="s">
        <v>959</v>
      </c>
      <c r="D679" s="35">
        <v>17370</v>
      </c>
      <c r="E679" s="35" t="s">
        <v>3101</v>
      </c>
      <c r="F679" s="35" t="s">
        <v>3102</v>
      </c>
      <c r="G679" s="35" t="s">
        <v>115</v>
      </c>
      <c r="H679" s="35" t="s">
        <v>116</v>
      </c>
      <c r="I679" s="35" t="s">
        <v>117</v>
      </c>
      <c r="J679" s="35" t="s">
        <v>141</v>
      </c>
      <c r="K679" s="36">
        <v>46064</v>
      </c>
      <c r="L679" s="36">
        <v>46082</v>
      </c>
      <c r="M679" s="36"/>
      <c r="N679" s="36"/>
      <c r="O679" s="36"/>
      <c r="P679" s="36"/>
      <c r="Q679" s="36"/>
      <c r="R679" s="35" t="s">
        <v>119</v>
      </c>
      <c r="S679" s="35" t="s">
        <v>950</v>
      </c>
      <c r="T679" s="35" t="s">
        <v>129</v>
      </c>
      <c r="U679" s="35" t="s">
        <v>90</v>
      </c>
      <c r="V679" s="35" t="s">
        <v>122</v>
      </c>
      <c r="W679" s="35" t="s">
        <v>123</v>
      </c>
      <c r="X679" s="35">
        <v>121.62</v>
      </c>
      <c r="Y679" s="35">
        <v>11.61</v>
      </c>
      <c r="Z679" s="35">
        <v>9.18</v>
      </c>
      <c r="AA679" s="35">
        <v>0</v>
      </c>
      <c r="AB679" s="35"/>
      <c r="AC679" s="35">
        <v>0</v>
      </c>
      <c r="AD679" s="35"/>
      <c r="AE679" s="35">
        <v>0</v>
      </c>
      <c r="AF679" s="35"/>
      <c r="AG679" s="35">
        <v>0</v>
      </c>
      <c r="AH679" s="35"/>
      <c r="AI679" s="37">
        <v>0</v>
      </c>
    </row>
    <row r="680" spans="1:35" x14ac:dyDescent="0.25">
      <c r="A680" s="38" t="s">
        <v>110</v>
      </c>
      <c r="B680" s="39" t="s">
        <v>962</v>
      </c>
      <c r="C680" s="39" t="s">
        <v>963</v>
      </c>
      <c r="D680" s="39">
        <v>18507</v>
      </c>
      <c r="E680" s="39" t="s">
        <v>3103</v>
      </c>
      <c r="F680" s="39" t="s">
        <v>3104</v>
      </c>
      <c r="G680" s="39" t="s">
        <v>115</v>
      </c>
      <c r="H680" s="39" t="s">
        <v>116</v>
      </c>
      <c r="I680" s="39" t="s">
        <v>117</v>
      </c>
      <c r="J680" s="39" t="s">
        <v>141</v>
      </c>
      <c r="K680" s="40">
        <v>46064</v>
      </c>
      <c r="L680" s="40">
        <v>46082</v>
      </c>
      <c r="M680" s="40"/>
      <c r="N680" s="40"/>
      <c r="O680" s="40"/>
      <c r="P680" s="40"/>
      <c r="Q680" s="40"/>
      <c r="R680" s="39" t="s">
        <v>119</v>
      </c>
      <c r="S680" s="39" t="s">
        <v>950</v>
      </c>
      <c r="T680" s="39" t="s">
        <v>129</v>
      </c>
      <c r="U680" s="35" t="s">
        <v>90</v>
      </c>
      <c r="V680" s="39" t="s">
        <v>122</v>
      </c>
      <c r="W680" s="39" t="s">
        <v>123</v>
      </c>
      <c r="X680" s="39">
        <v>269.99</v>
      </c>
      <c r="Y680" s="39">
        <v>25.78</v>
      </c>
      <c r="Z680" s="39">
        <v>20.38</v>
      </c>
      <c r="AA680" s="39">
        <v>0</v>
      </c>
      <c r="AB680" s="39"/>
      <c r="AC680" s="39">
        <v>0</v>
      </c>
      <c r="AD680" s="39"/>
      <c r="AE680" s="39">
        <v>0</v>
      </c>
      <c r="AF680" s="39"/>
      <c r="AG680" s="39">
        <v>0</v>
      </c>
      <c r="AH680" s="39"/>
      <c r="AI680" s="41">
        <v>0</v>
      </c>
    </row>
    <row r="681" spans="1:35" x14ac:dyDescent="0.25">
      <c r="A681" s="34" t="s">
        <v>110</v>
      </c>
      <c r="B681" s="35" t="s">
        <v>493</v>
      </c>
      <c r="C681" s="35" t="s">
        <v>494</v>
      </c>
      <c r="D681" s="35">
        <v>5092</v>
      </c>
      <c r="E681" s="35" t="s">
        <v>3105</v>
      </c>
      <c r="F681" s="35" t="s">
        <v>3106</v>
      </c>
      <c r="G681" s="35" t="s">
        <v>115</v>
      </c>
      <c r="H681" s="35" t="s">
        <v>116</v>
      </c>
      <c r="I681" s="35" t="s">
        <v>117</v>
      </c>
      <c r="J681" s="35" t="s">
        <v>141</v>
      </c>
      <c r="K681" s="36">
        <v>46064</v>
      </c>
      <c r="L681" s="36">
        <v>46082</v>
      </c>
      <c r="M681" s="36"/>
      <c r="N681" s="36"/>
      <c r="O681" s="36"/>
      <c r="P681" s="36"/>
      <c r="Q681" s="36"/>
      <c r="R681" s="35" t="s">
        <v>119</v>
      </c>
      <c r="S681" s="35" t="s">
        <v>497</v>
      </c>
      <c r="T681" s="35" t="s">
        <v>129</v>
      </c>
      <c r="U681" s="35" t="s">
        <v>90</v>
      </c>
      <c r="V681" s="35" t="s">
        <v>122</v>
      </c>
      <c r="W681" s="35" t="s">
        <v>123</v>
      </c>
      <c r="X681" s="35">
        <v>287.10000000000002</v>
      </c>
      <c r="Y681" s="35">
        <v>28.71</v>
      </c>
      <c r="Z681" s="35">
        <v>28.71</v>
      </c>
      <c r="AA681" s="35">
        <v>0</v>
      </c>
      <c r="AB681" s="35"/>
      <c r="AC681" s="35">
        <v>0</v>
      </c>
      <c r="AD681" s="35" t="s">
        <v>130</v>
      </c>
      <c r="AE681" s="35">
        <v>0</v>
      </c>
      <c r="AF681" s="35"/>
      <c r="AG681" s="35">
        <v>0</v>
      </c>
      <c r="AH681" s="35"/>
      <c r="AI681" s="37">
        <v>0</v>
      </c>
    </row>
    <row r="682" spans="1:35" x14ac:dyDescent="0.25">
      <c r="A682" s="38" t="s">
        <v>110</v>
      </c>
      <c r="B682" s="39" t="s">
        <v>1676</v>
      </c>
      <c r="C682" s="39" t="s">
        <v>3107</v>
      </c>
      <c r="D682" s="39">
        <v>32657</v>
      </c>
      <c r="E682" s="39" t="s">
        <v>3108</v>
      </c>
      <c r="F682" s="39" t="s">
        <v>3109</v>
      </c>
      <c r="G682" s="39" t="s">
        <v>174</v>
      </c>
      <c r="H682" s="39" t="s">
        <v>160</v>
      </c>
      <c r="I682" s="39" t="s">
        <v>117</v>
      </c>
      <c r="J682" s="39" t="s">
        <v>118</v>
      </c>
      <c r="K682" s="40">
        <v>46064</v>
      </c>
      <c r="L682" s="40">
        <v>46062</v>
      </c>
      <c r="M682" s="40">
        <v>46078</v>
      </c>
      <c r="N682" s="40"/>
      <c r="O682" s="40"/>
      <c r="P682" s="40"/>
      <c r="Q682" s="40">
        <v>46082</v>
      </c>
      <c r="R682" s="39" t="s">
        <v>142</v>
      </c>
      <c r="S682" s="39" t="s">
        <v>1675</v>
      </c>
      <c r="T682" s="39" t="s">
        <v>177</v>
      </c>
      <c r="U682" s="35" t="s">
        <v>81</v>
      </c>
      <c r="V682" s="39" t="s">
        <v>845</v>
      </c>
      <c r="W682" s="39" t="s">
        <v>123</v>
      </c>
      <c r="X682" s="39">
        <v>226.18</v>
      </c>
      <c r="Y682" s="39">
        <v>27.14</v>
      </c>
      <c r="Z682" s="39">
        <v>27.14</v>
      </c>
      <c r="AA682" s="39">
        <v>0</v>
      </c>
      <c r="AB682" s="39"/>
      <c r="AC682" s="39">
        <v>0</v>
      </c>
      <c r="AD682" s="39"/>
      <c r="AE682" s="39">
        <v>0</v>
      </c>
      <c r="AF682" s="39"/>
      <c r="AG682" s="39">
        <v>0</v>
      </c>
      <c r="AH682" s="39"/>
      <c r="AI682" s="41">
        <v>0</v>
      </c>
    </row>
    <row r="683" spans="1:35" x14ac:dyDescent="0.25">
      <c r="A683" s="34" t="s">
        <v>110</v>
      </c>
      <c r="B683" s="35" t="s">
        <v>1563</v>
      </c>
      <c r="C683" s="35" t="s">
        <v>3110</v>
      </c>
      <c r="D683" s="35">
        <v>32658</v>
      </c>
      <c r="E683" s="35"/>
      <c r="F683" s="35" t="s">
        <v>3111</v>
      </c>
      <c r="G683" s="35" t="s">
        <v>174</v>
      </c>
      <c r="H683" s="35" t="s">
        <v>116</v>
      </c>
      <c r="I683" s="35" t="s">
        <v>117</v>
      </c>
      <c r="J683" s="35" t="s">
        <v>141</v>
      </c>
      <c r="K683" s="36">
        <v>46064</v>
      </c>
      <c r="L683" s="36">
        <v>46052</v>
      </c>
      <c r="M683" s="36"/>
      <c r="N683" s="36"/>
      <c r="O683" s="36"/>
      <c r="P683" s="36"/>
      <c r="Q683" s="36"/>
      <c r="R683" s="35" t="s">
        <v>142</v>
      </c>
      <c r="S683" s="35" t="s">
        <v>83</v>
      </c>
      <c r="T683" s="35" t="s">
        <v>83</v>
      </c>
      <c r="U683" s="35" t="s">
        <v>83</v>
      </c>
      <c r="V683" s="35" t="s">
        <v>3112</v>
      </c>
      <c r="W683" s="35" t="s">
        <v>123</v>
      </c>
      <c r="X683" s="35">
        <v>165.4</v>
      </c>
      <c r="Y683" s="35">
        <v>16.55</v>
      </c>
      <c r="Z683" s="35">
        <v>16.55</v>
      </c>
      <c r="AA683" s="35">
        <v>0</v>
      </c>
      <c r="AB683" s="35"/>
      <c r="AC683" s="35">
        <v>0</v>
      </c>
      <c r="AD683" s="35"/>
      <c r="AE683" s="35">
        <v>0</v>
      </c>
      <c r="AF683" s="35"/>
      <c r="AG683" s="35">
        <v>0</v>
      </c>
      <c r="AH683" s="35"/>
      <c r="AI683" s="37">
        <v>0</v>
      </c>
    </row>
    <row r="684" spans="1:35" x14ac:dyDescent="0.25">
      <c r="A684" s="38" t="s">
        <v>110</v>
      </c>
      <c r="B684" s="39" t="s">
        <v>1563</v>
      </c>
      <c r="C684" s="39" t="s">
        <v>3113</v>
      </c>
      <c r="D684" s="39">
        <v>32659</v>
      </c>
      <c r="E684" s="39"/>
      <c r="F684" s="39" t="s">
        <v>3114</v>
      </c>
      <c r="G684" s="39" t="s">
        <v>174</v>
      </c>
      <c r="H684" s="39" t="s">
        <v>116</v>
      </c>
      <c r="I684" s="39" t="s">
        <v>117</v>
      </c>
      <c r="J684" s="39" t="s">
        <v>141</v>
      </c>
      <c r="K684" s="40">
        <v>46064</v>
      </c>
      <c r="L684" s="40">
        <v>46052</v>
      </c>
      <c r="M684" s="40"/>
      <c r="N684" s="40"/>
      <c r="O684" s="40"/>
      <c r="P684" s="40"/>
      <c r="Q684" s="40"/>
      <c r="R684" s="39" t="s">
        <v>142</v>
      </c>
      <c r="S684" s="39" t="s">
        <v>83</v>
      </c>
      <c r="T684" s="39" t="s">
        <v>83</v>
      </c>
      <c r="U684" s="35" t="s">
        <v>83</v>
      </c>
      <c r="V684" s="39" t="s">
        <v>3112</v>
      </c>
      <c r="W684" s="39" t="s">
        <v>123</v>
      </c>
      <c r="X684" s="39">
        <v>189.66</v>
      </c>
      <c r="Y684" s="39">
        <v>18.96</v>
      </c>
      <c r="Z684" s="39">
        <v>18.96</v>
      </c>
      <c r="AA684" s="39">
        <v>0</v>
      </c>
      <c r="AB684" s="39"/>
      <c r="AC684" s="39">
        <v>0</v>
      </c>
      <c r="AD684" s="39"/>
      <c r="AE684" s="39">
        <v>0</v>
      </c>
      <c r="AF684" s="39"/>
      <c r="AG684" s="39">
        <v>0</v>
      </c>
      <c r="AH684" s="39"/>
      <c r="AI684" s="41">
        <v>0</v>
      </c>
    </row>
    <row r="685" spans="1:35" x14ac:dyDescent="0.25">
      <c r="A685" s="34" t="s">
        <v>110</v>
      </c>
      <c r="B685" s="35" t="s">
        <v>2435</v>
      </c>
      <c r="C685" s="35" t="s">
        <v>2436</v>
      </c>
      <c r="D685" s="35">
        <v>27658</v>
      </c>
      <c r="E685" s="35" t="s">
        <v>3115</v>
      </c>
      <c r="F685" s="35" t="s">
        <v>3116</v>
      </c>
      <c r="G685" s="35" t="s">
        <v>174</v>
      </c>
      <c r="H685" s="35" t="s">
        <v>160</v>
      </c>
      <c r="I685" s="35" t="s">
        <v>217</v>
      </c>
      <c r="J685" s="35" t="s">
        <v>118</v>
      </c>
      <c r="K685" s="36">
        <v>46065</v>
      </c>
      <c r="L685" s="36">
        <v>46094</v>
      </c>
      <c r="M685" s="36">
        <v>46065</v>
      </c>
      <c r="N685" s="36"/>
      <c r="O685" s="36"/>
      <c r="P685" s="36">
        <v>46082</v>
      </c>
      <c r="Q685" s="36"/>
      <c r="R685" s="35" t="s">
        <v>218</v>
      </c>
      <c r="S685" s="35" t="s">
        <v>225</v>
      </c>
      <c r="T685" s="35" t="s">
        <v>225</v>
      </c>
      <c r="U685" s="35" t="s">
        <v>88</v>
      </c>
      <c r="V685" s="35" t="s">
        <v>226</v>
      </c>
      <c r="W685" s="35" t="s">
        <v>123</v>
      </c>
      <c r="X685" s="35">
        <v>693.48</v>
      </c>
      <c r="Y685" s="35">
        <v>126.08</v>
      </c>
      <c r="Z685" s="35">
        <v>126.08</v>
      </c>
      <c r="AA685" s="35">
        <v>0</v>
      </c>
      <c r="AB685" s="35"/>
      <c r="AC685" s="35">
        <v>0</v>
      </c>
      <c r="AD685" s="35" t="s">
        <v>297</v>
      </c>
      <c r="AE685" s="35">
        <v>69.349999999999994</v>
      </c>
      <c r="AF685" s="35"/>
      <c r="AG685" s="35">
        <v>0</v>
      </c>
      <c r="AH685" s="35"/>
      <c r="AI685" s="37">
        <v>0</v>
      </c>
    </row>
    <row r="686" spans="1:35" x14ac:dyDescent="0.25">
      <c r="A686" s="38" t="s">
        <v>110</v>
      </c>
      <c r="B686" s="39" t="s">
        <v>2448</v>
      </c>
      <c r="C686" s="39" t="s">
        <v>2449</v>
      </c>
      <c r="D686" s="39">
        <v>27743</v>
      </c>
      <c r="E686" s="39" t="s">
        <v>3117</v>
      </c>
      <c r="F686" s="39" t="s">
        <v>3118</v>
      </c>
      <c r="G686" s="39" t="s">
        <v>174</v>
      </c>
      <c r="H686" s="39" t="s">
        <v>160</v>
      </c>
      <c r="I686" s="39" t="s">
        <v>217</v>
      </c>
      <c r="J686" s="39" t="s">
        <v>118</v>
      </c>
      <c r="K686" s="40">
        <v>46065</v>
      </c>
      <c r="L686" s="40">
        <v>46082</v>
      </c>
      <c r="M686" s="40">
        <v>46083</v>
      </c>
      <c r="N686" s="40"/>
      <c r="O686" s="40"/>
      <c r="P686" s="40"/>
      <c r="Q686" s="40"/>
      <c r="R686" s="39" t="s">
        <v>218</v>
      </c>
      <c r="S686" s="39" t="s">
        <v>225</v>
      </c>
      <c r="T686" s="39" t="s">
        <v>225</v>
      </c>
      <c r="U686" s="35" t="s">
        <v>88</v>
      </c>
      <c r="V686" s="39" t="s">
        <v>226</v>
      </c>
      <c r="W686" s="39" t="s">
        <v>123</v>
      </c>
      <c r="X686" s="39">
        <v>610.26</v>
      </c>
      <c r="Y686" s="39">
        <v>110.96</v>
      </c>
      <c r="Z686" s="39">
        <v>110.96</v>
      </c>
      <c r="AA686" s="39">
        <v>0</v>
      </c>
      <c r="AB686" s="39"/>
      <c r="AC686" s="39">
        <v>0</v>
      </c>
      <c r="AD686" s="39"/>
      <c r="AE686" s="39">
        <v>0</v>
      </c>
      <c r="AF686" s="39"/>
      <c r="AG686" s="39">
        <v>0</v>
      </c>
      <c r="AH686" s="39"/>
      <c r="AI686" s="41">
        <v>0</v>
      </c>
    </row>
    <row r="687" spans="1:35" x14ac:dyDescent="0.25">
      <c r="A687" s="34" t="s">
        <v>110</v>
      </c>
      <c r="B687" s="35" t="s">
        <v>2712</v>
      </c>
      <c r="C687" s="35" t="s">
        <v>2713</v>
      </c>
      <c r="D687" s="35">
        <v>27889</v>
      </c>
      <c r="E687" s="35" t="s">
        <v>3119</v>
      </c>
      <c r="F687" s="35" t="s">
        <v>3120</v>
      </c>
      <c r="G687" s="35" t="s">
        <v>174</v>
      </c>
      <c r="H687" s="35" t="s">
        <v>160</v>
      </c>
      <c r="I687" s="35" t="s">
        <v>217</v>
      </c>
      <c r="J687" s="35" t="s">
        <v>141</v>
      </c>
      <c r="K687" s="36">
        <v>46065</v>
      </c>
      <c r="L687" s="36">
        <v>46103</v>
      </c>
      <c r="M687" s="36"/>
      <c r="N687" s="36"/>
      <c r="O687" s="36"/>
      <c r="P687" s="36"/>
      <c r="Q687" s="36"/>
      <c r="R687" s="35" t="s">
        <v>218</v>
      </c>
      <c r="S687" s="35" t="s">
        <v>225</v>
      </c>
      <c r="T687" s="35" t="s">
        <v>225</v>
      </c>
      <c r="U687" s="35" t="s">
        <v>88</v>
      </c>
      <c r="V687" s="35" t="s">
        <v>226</v>
      </c>
      <c r="W687" s="35" t="s">
        <v>123</v>
      </c>
      <c r="X687" s="35">
        <v>1180</v>
      </c>
      <c r="Y687" s="35">
        <v>214.55</v>
      </c>
      <c r="Z687" s="35">
        <v>214.55</v>
      </c>
      <c r="AA687" s="35">
        <v>0</v>
      </c>
      <c r="AB687" s="35"/>
      <c r="AC687" s="35">
        <v>0</v>
      </c>
      <c r="AD687" s="35" t="s">
        <v>2714</v>
      </c>
      <c r="AE687" s="35">
        <v>118</v>
      </c>
      <c r="AF687" s="35"/>
      <c r="AG687" s="35">
        <v>0</v>
      </c>
      <c r="AH687" s="35"/>
      <c r="AI687" s="37">
        <v>0</v>
      </c>
    </row>
    <row r="688" spans="1:35" x14ac:dyDescent="0.25">
      <c r="A688" s="38" t="s">
        <v>110</v>
      </c>
      <c r="B688" s="39" t="s">
        <v>2888</v>
      </c>
      <c r="C688" s="39" t="s">
        <v>2889</v>
      </c>
      <c r="D688" s="39">
        <v>30623</v>
      </c>
      <c r="E688" s="39" t="s">
        <v>3121</v>
      </c>
      <c r="F688" s="39" t="s">
        <v>3122</v>
      </c>
      <c r="G688" s="39" t="s">
        <v>174</v>
      </c>
      <c r="H688" s="39" t="s">
        <v>160</v>
      </c>
      <c r="I688" s="39" t="s">
        <v>217</v>
      </c>
      <c r="J688" s="39" t="s">
        <v>118</v>
      </c>
      <c r="K688" s="40">
        <v>46065</v>
      </c>
      <c r="L688" s="40">
        <v>46068</v>
      </c>
      <c r="M688" s="40">
        <v>46076</v>
      </c>
      <c r="N688" s="40"/>
      <c r="O688" s="40"/>
      <c r="P688" s="40"/>
      <c r="Q688" s="40"/>
      <c r="R688" s="39" t="s">
        <v>218</v>
      </c>
      <c r="S688" s="39" t="s">
        <v>225</v>
      </c>
      <c r="T688" s="39" t="s">
        <v>225</v>
      </c>
      <c r="U688" s="35" t="s">
        <v>88</v>
      </c>
      <c r="V688" s="39" t="s">
        <v>226</v>
      </c>
      <c r="W688" s="39" t="s">
        <v>123</v>
      </c>
      <c r="X688" s="39">
        <v>508.55</v>
      </c>
      <c r="Y688" s="39">
        <v>92.46</v>
      </c>
      <c r="Z688" s="39">
        <v>92.46</v>
      </c>
      <c r="AA688" s="39">
        <v>0</v>
      </c>
      <c r="AB688" s="39"/>
      <c r="AC688" s="39">
        <v>0</v>
      </c>
      <c r="AD688" s="39"/>
      <c r="AE688" s="39">
        <v>0</v>
      </c>
      <c r="AF688" s="39"/>
      <c r="AG688" s="39">
        <v>0</v>
      </c>
      <c r="AH688" s="39"/>
      <c r="AI688" s="41">
        <v>0</v>
      </c>
    </row>
    <row r="689" spans="1:35" x14ac:dyDescent="0.25">
      <c r="A689" s="34" t="s">
        <v>110</v>
      </c>
      <c r="B689" s="35" t="s">
        <v>2661</v>
      </c>
      <c r="C689" s="35" t="s">
        <v>3123</v>
      </c>
      <c r="D689" s="35">
        <v>32660</v>
      </c>
      <c r="E689" s="35" t="s">
        <v>3124</v>
      </c>
      <c r="F689" s="35" t="s">
        <v>3125</v>
      </c>
      <c r="G689" s="35" t="s">
        <v>174</v>
      </c>
      <c r="H689" s="35" t="s">
        <v>160</v>
      </c>
      <c r="I689" s="35" t="s">
        <v>217</v>
      </c>
      <c r="J689" s="35" t="s">
        <v>141</v>
      </c>
      <c r="K689" s="36">
        <v>46065</v>
      </c>
      <c r="L689" s="36">
        <v>46063</v>
      </c>
      <c r="M689" s="36"/>
      <c r="N689" s="36"/>
      <c r="O689" s="36"/>
      <c r="P689" s="36"/>
      <c r="Q689" s="36"/>
      <c r="R689" s="35" t="s">
        <v>218</v>
      </c>
      <c r="S689" s="35" t="s">
        <v>1018</v>
      </c>
      <c r="T689" s="35" t="s">
        <v>1018</v>
      </c>
      <c r="U689" s="35" t="s">
        <v>82</v>
      </c>
      <c r="V689" s="35" t="s">
        <v>226</v>
      </c>
      <c r="W689" s="35" t="s">
        <v>123</v>
      </c>
      <c r="X689" s="35">
        <v>47487.3</v>
      </c>
      <c r="Y689" s="35">
        <v>8634.06</v>
      </c>
      <c r="Z689" s="35">
        <v>8634.06</v>
      </c>
      <c r="AA689" s="35">
        <v>0</v>
      </c>
      <c r="AB689" s="35"/>
      <c r="AC689" s="35">
        <v>0</v>
      </c>
      <c r="AD689" s="35"/>
      <c r="AE689" s="35">
        <v>0</v>
      </c>
      <c r="AF689" s="35"/>
      <c r="AG689" s="35">
        <v>0</v>
      </c>
      <c r="AH689" s="35"/>
      <c r="AI689" s="37">
        <v>0</v>
      </c>
    </row>
    <row r="690" spans="1:35" x14ac:dyDescent="0.25">
      <c r="A690" s="38" t="s">
        <v>110</v>
      </c>
      <c r="B690" s="39" t="s">
        <v>2900</v>
      </c>
      <c r="C690" s="39" t="s">
        <v>3126</v>
      </c>
      <c r="D690" s="39">
        <v>32661</v>
      </c>
      <c r="E690" s="39" t="s">
        <v>3127</v>
      </c>
      <c r="F690" s="39" t="s">
        <v>3128</v>
      </c>
      <c r="G690" s="39" t="s">
        <v>174</v>
      </c>
      <c r="H690" s="39" t="s">
        <v>160</v>
      </c>
      <c r="I690" s="39" t="s">
        <v>217</v>
      </c>
      <c r="J690" s="39" t="s">
        <v>118</v>
      </c>
      <c r="K690" s="40">
        <v>46065</v>
      </c>
      <c r="L690" s="40">
        <v>46063</v>
      </c>
      <c r="M690" s="40">
        <v>46070</v>
      </c>
      <c r="N690" s="40"/>
      <c r="O690" s="40"/>
      <c r="P690" s="40"/>
      <c r="Q690" s="40"/>
      <c r="R690" s="39" t="s">
        <v>218</v>
      </c>
      <c r="S690" s="39" t="s">
        <v>1018</v>
      </c>
      <c r="T690" s="39" t="s">
        <v>1018</v>
      </c>
      <c r="U690" s="35" t="s">
        <v>82</v>
      </c>
      <c r="V690" s="39" t="s">
        <v>226</v>
      </c>
      <c r="W690" s="39" t="s">
        <v>123</v>
      </c>
      <c r="X690" s="39">
        <v>2661.58</v>
      </c>
      <c r="Y690" s="39">
        <v>483.92</v>
      </c>
      <c r="Z690" s="39">
        <v>483.92</v>
      </c>
      <c r="AA690" s="39">
        <v>0</v>
      </c>
      <c r="AB690" s="39"/>
      <c r="AC690" s="39">
        <v>0</v>
      </c>
      <c r="AD690" s="39"/>
      <c r="AE690" s="39">
        <v>0</v>
      </c>
      <c r="AF690" s="39"/>
      <c r="AG690" s="39">
        <v>0</v>
      </c>
      <c r="AH690" s="39"/>
      <c r="AI690" s="41">
        <v>0</v>
      </c>
    </row>
    <row r="691" spans="1:35" x14ac:dyDescent="0.25">
      <c r="A691" s="34" t="s">
        <v>110</v>
      </c>
      <c r="B691" s="35" t="s">
        <v>3129</v>
      </c>
      <c r="C691" s="35" t="s">
        <v>3130</v>
      </c>
      <c r="D691" s="35">
        <v>32662</v>
      </c>
      <c r="E691" s="35" t="s">
        <v>3131</v>
      </c>
      <c r="F691" s="35" t="s">
        <v>3132</v>
      </c>
      <c r="G691" s="35" t="s">
        <v>174</v>
      </c>
      <c r="H691" s="35" t="s">
        <v>160</v>
      </c>
      <c r="I691" s="35" t="s">
        <v>217</v>
      </c>
      <c r="J691" s="35" t="s">
        <v>118</v>
      </c>
      <c r="K691" s="36">
        <v>46065</v>
      </c>
      <c r="L691" s="36">
        <v>46066</v>
      </c>
      <c r="M691" s="36">
        <v>46076</v>
      </c>
      <c r="N691" s="36"/>
      <c r="O691" s="36"/>
      <c r="P691" s="36"/>
      <c r="Q691" s="36"/>
      <c r="R691" s="35" t="s">
        <v>218</v>
      </c>
      <c r="S691" s="35" t="s">
        <v>225</v>
      </c>
      <c r="T691" s="35" t="s">
        <v>225</v>
      </c>
      <c r="U691" s="35" t="s">
        <v>88</v>
      </c>
      <c r="V691" s="35" t="s">
        <v>226</v>
      </c>
      <c r="W691" s="35" t="s">
        <v>123</v>
      </c>
      <c r="X691" s="35">
        <v>693.48</v>
      </c>
      <c r="Y691" s="35">
        <v>126.08</v>
      </c>
      <c r="Z691" s="35">
        <v>126.08</v>
      </c>
      <c r="AA691" s="35">
        <v>0</v>
      </c>
      <c r="AB691" s="35"/>
      <c r="AC691" s="35">
        <v>0</v>
      </c>
      <c r="AD691" s="35"/>
      <c r="AE691" s="35">
        <v>0</v>
      </c>
      <c r="AF691" s="35"/>
      <c r="AG691" s="35">
        <v>0</v>
      </c>
      <c r="AH691" s="35"/>
      <c r="AI691" s="37">
        <v>0</v>
      </c>
    </row>
    <row r="692" spans="1:35" x14ac:dyDescent="0.25">
      <c r="A692" s="38" t="s">
        <v>110</v>
      </c>
      <c r="B692" s="39" t="s">
        <v>1281</v>
      </c>
      <c r="C692" s="39" t="s">
        <v>3133</v>
      </c>
      <c r="D692" s="39">
        <v>32663</v>
      </c>
      <c r="E692" s="39" t="s">
        <v>3134</v>
      </c>
      <c r="F692" s="39" t="s">
        <v>3135</v>
      </c>
      <c r="G692" s="39" t="s">
        <v>174</v>
      </c>
      <c r="H692" s="39" t="s">
        <v>160</v>
      </c>
      <c r="I692" s="39" t="s">
        <v>217</v>
      </c>
      <c r="J692" s="39" t="s">
        <v>118</v>
      </c>
      <c r="K692" s="40">
        <v>46065</v>
      </c>
      <c r="L692" s="40">
        <v>46063</v>
      </c>
      <c r="M692" s="40">
        <v>46066</v>
      </c>
      <c r="N692" s="40"/>
      <c r="O692" s="40"/>
      <c r="P692" s="40"/>
      <c r="Q692" s="40"/>
      <c r="R692" s="39" t="s">
        <v>218</v>
      </c>
      <c r="S692" s="39" t="s">
        <v>1018</v>
      </c>
      <c r="T692" s="39" t="s">
        <v>1018</v>
      </c>
      <c r="U692" s="35" t="s">
        <v>82</v>
      </c>
      <c r="V692" s="39" t="s">
        <v>226</v>
      </c>
      <c r="W692" s="39" t="s">
        <v>123</v>
      </c>
      <c r="X692" s="39">
        <v>1941.92</v>
      </c>
      <c r="Y692" s="39">
        <v>353.08</v>
      </c>
      <c r="Z692" s="39">
        <v>353.08</v>
      </c>
      <c r="AA692" s="39">
        <v>0</v>
      </c>
      <c r="AB692" s="39"/>
      <c r="AC692" s="39">
        <v>0</v>
      </c>
      <c r="AD692" s="39"/>
      <c r="AE692" s="39">
        <v>0</v>
      </c>
      <c r="AF692" s="39"/>
      <c r="AG692" s="39">
        <v>0</v>
      </c>
      <c r="AH692" s="39"/>
      <c r="AI692" s="41">
        <v>0</v>
      </c>
    </row>
    <row r="693" spans="1:35" x14ac:dyDescent="0.25">
      <c r="A693" s="34" t="s">
        <v>110</v>
      </c>
      <c r="B693" s="35" t="s">
        <v>2899</v>
      </c>
      <c r="C693" s="35" t="s">
        <v>3136</v>
      </c>
      <c r="D693" s="35">
        <v>32664</v>
      </c>
      <c r="E693" s="35" t="s">
        <v>3137</v>
      </c>
      <c r="F693" s="35" t="s">
        <v>3138</v>
      </c>
      <c r="G693" s="35" t="s">
        <v>174</v>
      </c>
      <c r="H693" s="35" t="s">
        <v>160</v>
      </c>
      <c r="I693" s="35" t="s">
        <v>217</v>
      </c>
      <c r="J693" s="35" t="s">
        <v>141</v>
      </c>
      <c r="K693" s="36">
        <v>46065</v>
      </c>
      <c r="L693" s="36">
        <v>46093</v>
      </c>
      <c r="M693" s="36"/>
      <c r="N693" s="36"/>
      <c r="O693" s="36"/>
      <c r="P693" s="36"/>
      <c r="Q693" s="36"/>
      <c r="R693" s="35" t="s">
        <v>218</v>
      </c>
      <c r="S693" s="35" t="s">
        <v>225</v>
      </c>
      <c r="T693" s="35" t="s">
        <v>225</v>
      </c>
      <c r="U693" s="35" t="s">
        <v>88</v>
      </c>
      <c r="V693" s="35" t="s">
        <v>226</v>
      </c>
      <c r="W693" s="35" t="s">
        <v>123</v>
      </c>
      <c r="X693" s="35">
        <v>508.55</v>
      </c>
      <c r="Y693" s="35">
        <v>92.46</v>
      </c>
      <c r="Z693" s="35">
        <v>92.46</v>
      </c>
      <c r="AA693" s="35">
        <v>0</v>
      </c>
      <c r="AB693" s="35"/>
      <c r="AC693" s="35">
        <v>0</v>
      </c>
      <c r="AD693" s="35"/>
      <c r="AE693" s="35">
        <v>0</v>
      </c>
      <c r="AF693" s="35"/>
      <c r="AG693" s="35">
        <v>0</v>
      </c>
      <c r="AH693" s="35"/>
      <c r="AI693" s="37">
        <v>0</v>
      </c>
    </row>
    <row r="694" spans="1:35" x14ac:dyDescent="0.25">
      <c r="A694" s="38" t="s">
        <v>110</v>
      </c>
      <c r="B694" s="39" t="s">
        <v>2806</v>
      </c>
      <c r="C694" s="39" t="s">
        <v>3139</v>
      </c>
      <c r="D694" s="39">
        <v>32665</v>
      </c>
      <c r="E694" s="39" t="s">
        <v>3140</v>
      </c>
      <c r="F694" s="39" t="s">
        <v>3141</v>
      </c>
      <c r="G694" s="39" t="s">
        <v>174</v>
      </c>
      <c r="H694" s="39" t="s">
        <v>160</v>
      </c>
      <c r="I694" s="39" t="s">
        <v>117</v>
      </c>
      <c r="J694" s="39" t="s">
        <v>118</v>
      </c>
      <c r="K694" s="40">
        <v>46065</v>
      </c>
      <c r="L694" s="40">
        <v>46063</v>
      </c>
      <c r="M694" s="40">
        <v>46066</v>
      </c>
      <c r="N694" s="40"/>
      <c r="O694" s="40"/>
      <c r="P694" s="40"/>
      <c r="Q694" s="40">
        <v>46082</v>
      </c>
      <c r="R694" s="39" t="s">
        <v>142</v>
      </c>
      <c r="S694" s="39" t="s">
        <v>1678</v>
      </c>
      <c r="T694" s="39" t="s">
        <v>177</v>
      </c>
      <c r="U694" s="35" t="s">
        <v>81</v>
      </c>
      <c r="V694" s="39" t="s">
        <v>845</v>
      </c>
      <c r="W694" s="39" t="s">
        <v>123</v>
      </c>
      <c r="X694" s="39">
        <v>1723.97</v>
      </c>
      <c r="Y694" s="39">
        <v>172.4</v>
      </c>
      <c r="Z694" s="39">
        <v>172.4</v>
      </c>
      <c r="AA694" s="39">
        <v>0</v>
      </c>
      <c r="AB694" s="39"/>
      <c r="AC694" s="39">
        <v>0</v>
      </c>
      <c r="AD694" s="39"/>
      <c r="AE694" s="39">
        <v>0</v>
      </c>
      <c r="AF694" s="39"/>
      <c r="AG694" s="39">
        <v>0</v>
      </c>
      <c r="AH694" s="39"/>
      <c r="AI694" s="41">
        <v>0</v>
      </c>
    </row>
    <row r="695" spans="1:35" x14ac:dyDescent="0.25">
      <c r="A695" s="34" t="s">
        <v>110</v>
      </c>
      <c r="B695" s="35" t="s">
        <v>1676</v>
      </c>
      <c r="C695" s="35" t="s">
        <v>1677</v>
      </c>
      <c r="D695" s="35">
        <v>22940</v>
      </c>
      <c r="E695" s="35" t="s">
        <v>3142</v>
      </c>
      <c r="F695" s="35" t="s">
        <v>3143</v>
      </c>
      <c r="G695" s="35" t="s">
        <v>115</v>
      </c>
      <c r="H695" s="35" t="s">
        <v>160</v>
      </c>
      <c r="I695" s="35" t="s">
        <v>117</v>
      </c>
      <c r="J695" s="35" t="s">
        <v>118</v>
      </c>
      <c r="K695" s="36">
        <v>46065</v>
      </c>
      <c r="L695" s="36">
        <v>46082</v>
      </c>
      <c r="M695" s="36">
        <v>46083</v>
      </c>
      <c r="N695" s="36"/>
      <c r="O695" s="36"/>
      <c r="P695" s="36"/>
      <c r="Q695" s="36"/>
      <c r="R695" s="35" t="s">
        <v>142</v>
      </c>
      <c r="S695" s="35" t="s">
        <v>1678</v>
      </c>
      <c r="T695" s="35" t="s">
        <v>177</v>
      </c>
      <c r="U695" s="35" t="s">
        <v>81</v>
      </c>
      <c r="V695" s="35" t="s">
        <v>845</v>
      </c>
      <c r="W695" s="35" t="s">
        <v>123</v>
      </c>
      <c r="X695" s="35">
        <v>286.2</v>
      </c>
      <c r="Y695" s="35">
        <v>34.35</v>
      </c>
      <c r="Z695" s="35">
        <v>34.35</v>
      </c>
      <c r="AA695" s="35">
        <v>0</v>
      </c>
      <c r="AB695" s="35"/>
      <c r="AC695" s="35">
        <v>0</v>
      </c>
      <c r="AD695" s="35"/>
      <c r="AE695" s="35">
        <v>0</v>
      </c>
      <c r="AF695" s="35"/>
      <c r="AG695" s="35">
        <v>0</v>
      </c>
      <c r="AH695" s="35"/>
      <c r="AI695" s="37">
        <v>0</v>
      </c>
    </row>
    <row r="696" spans="1:35" x14ac:dyDescent="0.25">
      <c r="A696" s="38" t="s">
        <v>110</v>
      </c>
      <c r="B696" s="39" t="s">
        <v>2695</v>
      </c>
      <c r="C696" s="39" t="s">
        <v>2696</v>
      </c>
      <c r="D696" s="39">
        <v>18331</v>
      </c>
      <c r="E696" s="39" t="s">
        <v>3144</v>
      </c>
      <c r="F696" s="39" t="s">
        <v>3145</v>
      </c>
      <c r="G696" s="39" t="s">
        <v>192</v>
      </c>
      <c r="H696" s="39" t="s">
        <v>160</v>
      </c>
      <c r="I696" s="39" t="s">
        <v>117</v>
      </c>
      <c r="J696" s="39" t="s">
        <v>118</v>
      </c>
      <c r="K696" s="40">
        <v>46065</v>
      </c>
      <c r="L696" s="40">
        <v>45658</v>
      </c>
      <c r="M696" s="40">
        <v>46066</v>
      </c>
      <c r="N696" s="40"/>
      <c r="O696" s="40"/>
      <c r="P696" s="40"/>
      <c r="Q696" s="40">
        <v>46113</v>
      </c>
      <c r="R696" s="39" t="s">
        <v>142</v>
      </c>
      <c r="S696" s="39" t="s">
        <v>182</v>
      </c>
      <c r="T696" s="39" t="s">
        <v>183</v>
      </c>
      <c r="U696" s="35" t="s">
        <v>90</v>
      </c>
      <c r="V696" s="39" t="s">
        <v>163</v>
      </c>
      <c r="W696" s="39" t="s">
        <v>123</v>
      </c>
      <c r="X696" s="39">
        <v>1553.52</v>
      </c>
      <c r="Y696" s="39">
        <v>310.7</v>
      </c>
      <c r="Z696" s="39">
        <v>310.7</v>
      </c>
      <c r="AA696" s="39">
        <v>0</v>
      </c>
      <c r="AB696" s="39"/>
      <c r="AC696" s="39">
        <v>0</v>
      </c>
      <c r="AD696" s="39"/>
      <c r="AE696" s="39">
        <v>0</v>
      </c>
      <c r="AF696" s="39"/>
      <c r="AG696" s="39">
        <v>0</v>
      </c>
      <c r="AH696" s="39"/>
      <c r="AI696" s="41">
        <v>0</v>
      </c>
    </row>
    <row r="697" spans="1:35" x14ac:dyDescent="0.25">
      <c r="A697" s="34" t="s">
        <v>110</v>
      </c>
      <c r="B697" s="35" t="s">
        <v>664</v>
      </c>
      <c r="C697" s="35" t="s">
        <v>665</v>
      </c>
      <c r="D697" s="35">
        <v>32298</v>
      </c>
      <c r="E697" s="35" t="s">
        <v>3146</v>
      </c>
      <c r="F697" s="35" t="s">
        <v>3147</v>
      </c>
      <c r="G697" s="35" t="s">
        <v>115</v>
      </c>
      <c r="H697" s="35" t="s">
        <v>116</v>
      </c>
      <c r="I697" s="35" t="s">
        <v>117</v>
      </c>
      <c r="J697" s="35" t="s">
        <v>141</v>
      </c>
      <c r="K697" s="36">
        <v>46065</v>
      </c>
      <c r="L697" s="36">
        <v>46082</v>
      </c>
      <c r="M697" s="36"/>
      <c r="N697" s="36"/>
      <c r="O697" s="36"/>
      <c r="P697" s="36"/>
      <c r="Q697" s="36"/>
      <c r="R697" s="35" t="s">
        <v>119</v>
      </c>
      <c r="S697" s="35" t="s">
        <v>668</v>
      </c>
      <c r="T697" s="35" t="s">
        <v>607</v>
      </c>
      <c r="U697" s="35" t="s">
        <v>89</v>
      </c>
      <c r="V697" s="35" t="s">
        <v>509</v>
      </c>
      <c r="W697" s="35" t="s">
        <v>123</v>
      </c>
      <c r="X697" s="35">
        <v>53.58</v>
      </c>
      <c r="Y697" s="35">
        <v>4.29</v>
      </c>
      <c r="Z697" s="35">
        <v>4.29</v>
      </c>
      <c r="AA697" s="35">
        <v>0</v>
      </c>
      <c r="AB697" s="35"/>
      <c r="AC697" s="35">
        <v>0</v>
      </c>
      <c r="AD697" s="35"/>
      <c r="AE697" s="35">
        <v>0</v>
      </c>
      <c r="AF697" s="35"/>
      <c r="AG697" s="35">
        <v>0</v>
      </c>
      <c r="AH697" s="35"/>
      <c r="AI697" s="37">
        <v>0</v>
      </c>
    </row>
    <row r="698" spans="1:35" x14ac:dyDescent="0.25">
      <c r="A698" s="38" t="s">
        <v>110</v>
      </c>
      <c r="B698" s="39" t="s">
        <v>1541</v>
      </c>
      <c r="C698" s="39" t="s">
        <v>2930</v>
      </c>
      <c r="D698" s="39">
        <v>32301</v>
      </c>
      <c r="E698" s="39" t="s">
        <v>3148</v>
      </c>
      <c r="F698" s="39" t="s">
        <v>3149</v>
      </c>
      <c r="G698" s="39" t="s">
        <v>174</v>
      </c>
      <c r="H698" s="39" t="s">
        <v>116</v>
      </c>
      <c r="I698" s="39" t="s">
        <v>117</v>
      </c>
      <c r="J698" s="39" t="s">
        <v>141</v>
      </c>
      <c r="K698" s="40">
        <v>46065</v>
      </c>
      <c r="L698" s="40">
        <v>46092</v>
      </c>
      <c r="M698" s="40"/>
      <c r="N698" s="40"/>
      <c r="O698" s="40"/>
      <c r="P698" s="40"/>
      <c r="Q698" s="40"/>
      <c r="R698" s="39" t="s">
        <v>187</v>
      </c>
      <c r="S698" s="39" t="s">
        <v>2756</v>
      </c>
      <c r="T698" s="39" t="s">
        <v>183</v>
      </c>
      <c r="U698" s="35" t="s">
        <v>90</v>
      </c>
      <c r="V698" s="39" t="s">
        <v>509</v>
      </c>
      <c r="W698" s="39" t="s">
        <v>123</v>
      </c>
      <c r="X698" s="39">
        <v>123.1</v>
      </c>
      <c r="Y698" s="39">
        <v>24.62</v>
      </c>
      <c r="Z698" s="39">
        <v>24.62</v>
      </c>
      <c r="AA698" s="39">
        <v>0</v>
      </c>
      <c r="AB698" s="39"/>
      <c r="AC698" s="39">
        <v>0</v>
      </c>
      <c r="AD698" s="39"/>
      <c r="AE698" s="39">
        <v>0</v>
      </c>
      <c r="AF698" s="39"/>
      <c r="AG698" s="39">
        <v>0</v>
      </c>
      <c r="AH698" s="39"/>
      <c r="AI698" s="41">
        <v>0</v>
      </c>
    </row>
    <row r="699" spans="1:35" x14ac:dyDescent="0.25">
      <c r="A699" s="34" t="s">
        <v>110</v>
      </c>
      <c r="B699" s="35" t="s">
        <v>786</v>
      </c>
      <c r="C699" s="35" t="s">
        <v>787</v>
      </c>
      <c r="D699" s="35">
        <v>19865</v>
      </c>
      <c r="E699" s="35" t="s">
        <v>3150</v>
      </c>
      <c r="F699" s="35" t="s">
        <v>3151</v>
      </c>
      <c r="G699" s="35" t="s">
        <v>192</v>
      </c>
      <c r="H699" s="35" t="s">
        <v>160</v>
      </c>
      <c r="I699" s="35" t="s">
        <v>117</v>
      </c>
      <c r="J699" s="35" t="s">
        <v>118</v>
      </c>
      <c r="K699" s="36">
        <v>46065</v>
      </c>
      <c r="L699" s="36">
        <v>46058</v>
      </c>
      <c r="M699" s="36">
        <v>46079</v>
      </c>
      <c r="N699" s="36"/>
      <c r="O699" s="36"/>
      <c r="P699" s="36">
        <v>46082</v>
      </c>
      <c r="Q699" s="36">
        <v>46113</v>
      </c>
      <c r="R699" s="35" t="s">
        <v>142</v>
      </c>
      <c r="S699" s="35" t="s">
        <v>785</v>
      </c>
      <c r="T699" s="35" t="s">
        <v>83</v>
      </c>
      <c r="U699" s="35" t="s">
        <v>83</v>
      </c>
      <c r="V699" s="35" t="s">
        <v>509</v>
      </c>
      <c r="W699" s="35" t="s">
        <v>123</v>
      </c>
      <c r="X699" s="35">
        <v>180.01</v>
      </c>
      <c r="Y699" s="35">
        <v>45.02</v>
      </c>
      <c r="Z699" s="35">
        <v>45.02</v>
      </c>
      <c r="AA699" s="35">
        <v>0</v>
      </c>
      <c r="AB699" s="35"/>
      <c r="AC699" s="35">
        <v>0</v>
      </c>
      <c r="AD699" s="35" t="s">
        <v>790</v>
      </c>
      <c r="AE699" s="35">
        <v>22.51</v>
      </c>
      <c r="AF699" s="35"/>
      <c r="AG699" s="35">
        <v>0</v>
      </c>
      <c r="AH699" s="35"/>
      <c r="AI699" s="37">
        <v>0</v>
      </c>
    </row>
    <row r="700" spans="1:35" x14ac:dyDescent="0.25">
      <c r="A700" s="38" t="s">
        <v>110</v>
      </c>
      <c r="B700" s="39" t="s">
        <v>1549</v>
      </c>
      <c r="C700" s="39" t="s">
        <v>3152</v>
      </c>
      <c r="D700" s="39">
        <v>32666</v>
      </c>
      <c r="E700" s="39" t="s">
        <v>3153</v>
      </c>
      <c r="F700" s="39" t="s">
        <v>3154</v>
      </c>
      <c r="G700" s="39" t="s">
        <v>174</v>
      </c>
      <c r="H700" s="39" t="s">
        <v>116</v>
      </c>
      <c r="I700" s="39" t="s">
        <v>217</v>
      </c>
      <c r="J700" s="39" t="s">
        <v>118</v>
      </c>
      <c r="K700" s="40">
        <v>46065</v>
      </c>
      <c r="L700" s="40">
        <v>46065</v>
      </c>
      <c r="M700" s="40">
        <v>46070</v>
      </c>
      <c r="N700" s="40"/>
      <c r="O700" s="40"/>
      <c r="P700" s="40"/>
      <c r="Q700" s="40"/>
      <c r="R700" s="39" t="s">
        <v>218</v>
      </c>
      <c r="S700" s="39" t="s">
        <v>684</v>
      </c>
      <c r="T700" s="39" t="s">
        <v>205</v>
      </c>
      <c r="U700" s="35" t="s">
        <v>89</v>
      </c>
      <c r="V700" s="39" t="s">
        <v>509</v>
      </c>
      <c r="W700" s="39" t="s">
        <v>123</v>
      </c>
      <c r="X700" s="39">
        <v>81.33</v>
      </c>
      <c r="Y700" s="39">
        <v>16.27</v>
      </c>
      <c r="Z700" s="39">
        <v>16.27</v>
      </c>
      <c r="AA700" s="39">
        <v>0</v>
      </c>
      <c r="AB700" s="39"/>
      <c r="AC700" s="39">
        <v>0</v>
      </c>
      <c r="AD700" s="39"/>
      <c r="AE700" s="39">
        <v>0</v>
      </c>
      <c r="AF700" s="39"/>
      <c r="AG700" s="39">
        <v>0</v>
      </c>
      <c r="AH700" s="39"/>
      <c r="AI700" s="41">
        <v>0</v>
      </c>
    </row>
    <row r="701" spans="1:35" x14ac:dyDescent="0.25">
      <c r="A701" s="34" t="s">
        <v>110</v>
      </c>
      <c r="B701" s="35" t="s">
        <v>436</v>
      </c>
      <c r="C701" s="35" t="s">
        <v>3155</v>
      </c>
      <c r="D701" s="35">
        <v>32667</v>
      </c>
      <c r="E701" s="35" t="s">
        <v>3156</v>
      </c>
      <c r="F701" s="35" t="s">
        <v>3157</v>
      </c>
      <c r="G701" s="35" t="s">
        <v>174</v>
      </c>
      <c r="H701" s="35" t="s">
        <v>160</v>
      </c>
      <c r="I701" s="35" t="s">
        <v>117</v>
      </c>
      <c r="J701" s="35" t="s">
        <v>118</v>
      </c>
      <c r="K701" s="36">
        <v>46065</v>
      </c>
      <c r="L701" s="36">
        <v>46062</v>
      </c>
      <c r="M701" s="36">
        <v>46079</v>
      </c>
      <c r="N701" s="36"/>
      <c r="O701" s="36"/>
      <c r="P701" s="36"/>
      <c r="Q701" s="36">
        <v>46113</v>
      </c>
      <c r="R701" s="35" t="s">
        <v>142</v>
      </c>
      <c r="S701" s="35" t="s">
        <v>933</v>
      </c>
      <c r="T701" s="35" t="s">
        <v>162</v>
      </c>
      <c r="U701" s="35" t="s">
        <v>87</v>
      </c>
      <c r="V701" s="35" t="s">
        <v>509</v>
      </c>
      <c r="W701" s="35" t="s">
        <v>123</v>
      </c>
      <c r="X701" s="35">
        <v>1140.47</v>
      </c>
      <c r="Y701" s="35">
        <v>228.09</v>
      </c>
      <c r="Z701" s="35">
        <v>228.09</v>
      </c>
      <c r="AA701" s="35">
        <v>0</v>
      </c>
      <c r="AB701" s="35"/>
      <c r="AC701" s="35">
        <v>0</v>
      </c>
      <c r="AD701" s="35"/>
      <c r="AE701" s="35">
        <v>0</v>
      </c>
      <c r="AF701" s="35"/>
      <c r="AG701" s="35">
        <v>0</v>
      </c>
      <c r="AH701" s="35"/>
      <c r="AI701" s="37">
        <v>0</v>
      </c>
    </row>
    <row r="702" spans="1:35" x14ac:dyDescent="0.25">
      <c r="A702" s="38" t="s">
        <v>110</v>
      </c>
      <c r="B702" s="39" t="s">
        <v>993</v>
      </c>
      <c r="C702" s="39" t="s">
        <v>2913</v>
      </c>
      <c r="D702" s="39">
        <v>31362</v>
      </c>
      <c r="E702" s="39" t="s">
        <v>3158</v>
      </c>
      <c r="F702" s="39" t="s">
        <v>3159</v>
      </c>
      <c r="G702" s="39" t="s">
        <v>115</v>
      </c>
      <c r="H702" s="39" t="s">
        <v>160</v>
      </c>
      <c r="I702" s="39" t="s">
        <v>117</v>
      </c>
      <c r="J702" s="39" t="s">
        <v>141</v>
      </c>
      <c r="K702" s="40">
        <v>46065</v>
      </c>
      <c r="L702" s="40">
        <v>46082</v>
      </c>
      <c r="M702" s="40"/>
      <c r="N702" s="40"/>
      <c r="O702" s="40"/>
      <c r="P702" s="40"/>
      <c r="Q702" s="40"/>
      <c r="R702" s="39" t="s">
        <v>187</v>
      </c>
      <c r="S702" s="39" t="s">
        <v>543</v>
      </c>
      <c r="T702" s="39" t="s">
        <v>177</v>
      </c>
      <c r="U702" s="35" t="s">
        <v>81</v>
      </c>
      <c r="V702" s="39" t="s">
        <v>509</v>
      </c>
      <c r="W702" s="39" t="s">
        <v>123</v>
      </c>
      <c r="X702" s="39">
        <v>369.42</v>
      </c>
      <c r="Y702" s="39">
        <v>29.56</v>
      </c>
      <c r="Z702" s="39">
        <v>29.56</v>
      </c>
      <c r="AA702" s="39">
        <v>0</v>
      </c>
      <c r="AB702" s="39"/>
      <c r="AC702" s="39">
        <v>0</v>
      </c>
      <c r="AD702" s="39"/>
      <c r="AE702" s="39">
        <v>0</v>
      </c>
      <c r="AF702" s="39"/>
      <c r="AG702" s="39">
        <v>0</v>
      </c>
      <c r="AH702" s="39"/>
      <c r="AI702" s="41">
        <v>0</v>
      </c>
    </row>
    <row r="703" spans="1:35" x14ac:dyDescent="0.25">
      <c r="A703" s="34" t="s">
        <v>110</v>
      </c>
      <c r="B703" s="35" t="s">
        <v>993</v>
      </c>
      <c r="C703" s="35" t="s">
        <v>2918</v>
      </c>
      <c r="D703" s="35">
        <v>31843</v>
      </c>
      <c r="E703" s="35" t="s">
        <v>3160</v>
      </c>
      <c r="F703" s="35" t="s">
        <v>3161</v>
      </c>
      <c r="G703" s="35" t="s">
        <v>115</v>
      </c>
      <c r="H703" s="35" t="s">
        <v>160</v>
      </c>
      <c r="I703" s="35" t="s">
        <v>117</v>
      </c>
      <c r="J703" s="35" t="s">
        <v>141</v>
      </c>
      <c r="K703" s="36">
        <v>46065</v>
      </c>
      <c r="L703" s="36">
        <v>46082</v>
      </c>
      <c r="M703" s="36"/>
      <c r="N703" s="36"/>
      <c r="O703" s="36"/>
      <c r="P703" s="36"/>
      <c r="Q703" s="36"/>
      <c r="R703" s="35" t="s">
        <v>187</v>
      </c>
      <c r="S703" s="35" t="s">
        <v>543</v>
      </c>
      <c r="T703" s="35" t="s">
        <v>177</v>
      </c>
      <c r="U703" s="35" t="s">
        <v>81</v>
      </c>
      <c r="V703" s="35" t="s">
        <v>509</v>
      </c>
      <c r="W703" s="35" t="s">
        <v>123</v>
      </c>
      <c r="X703" s="35">
        <v>369.42</v>
      </c>
      <c r="Y703" s="35">
        <v>29.56</v>
      </c>
      <c r="Z703" s="35">
        <v>29.56</v>
      </c>
      <c r="AA703" s="35">
        <v>0</v>
      </c>
      <c r="AB703" s="35"/>
      <c r="AC703" s="35">
        <v>0</v>
      </c>
      <c r="AD703" s="35"/>
      <c r="AE703" s="35">
        <v>0</v>
      </c>
      <c r="AF703" s="35"/>
      <c r="AG703" s="35">
        <v>0</v>
      </c>
      <c r="AH703" s="35"/>
      <c r="AI703" s="37">
        <v>0</v>
      </c>
    </row>
    <row r="704" spans="1:35" x14ac:dyDescent="0.25">
      <c r="A704" s="38" t="s">
        <v>110</v>
      </c>
      <c r="B704" s="39" t="s">
        <v>1795</v>
      </c>
      <c r="C704" s="39" t="s">
        <v>2921</v>
      </c>
      <c r="D704" s="39">
        <v>31985</v>
      </c>
      <c r="E704" s="39" t="s">
        <v>3162</v>
      </c>
      <c r="F704" s="39" t="s">
        <v>3163</v>
      </c>
      <c r="G704" s="39" t="s">
        <v>115</v>
      </c>
      <c r="H704" s="39" t="s">
        <v>160</v>
      </c>
      <c r="I704" s="39" t="s">
        <v>117</v>
      </c>
      <c r="J704" s="39" t="s">
        <v>141</v>
      </c>
      <c r="K704" s="40">
        <v>46065</v>
      </c>
      <c r="L704" s="40">
        <v>46082</v>
      </c>
      <c r="M704" s="40"/>
      <c r="N704" s="40"/>
      <c r="O704" s="40"/>
      <c r="P704" s="40"/>
      <c r="Q704" s="40"/>
      <c r="R704" s="39" t="s">
        <v>187</v>
      </c>
      <c r="S704" s="39" t="s">
        <v>543</v>
      </c>
      <c r="T704" s="39" t="s">
        <v>177</v>
      </c>
      <c r="U704" s="35" t="s">
        <v>81</v>
      </c>
      <c r="V704" s="39" t="s">
        <v>509</v>
      </c>
      <c r="W704" s="39" t="s">
        <v>123</v>
      </c>
      <c r="X704" s="39">
        <v>86.42</v>
      </c>
      <c r="Y704" s="39">
        <v>6.92</v>
      </c>
      <c r="Z704" s="39">
        <v>6.92</v>
      </c>
      <c r="AA704" s="39">
        <v>0</v>
      </c>
      <c r="AB704" s="39"/>
      <c r="AC704" s="39">
        <v>0</v>
      </c>
      <c r="AD704" s="39"/>
      <c r="AE704" s="39">
        <v>0</v>
      </c>
      <c r="AF704" s="39"/>
      <c r="AG704" s="39">
        <v>0</v>
      </c>
      <c r="AH704" s="39"/>
      <c r="AI704" s="41">
        <v>0</v>
      </c>
    </row>
    <row r="705" spans="1:35" x14ac:dyDescent="0.25">
      <c r="A705" s="34" t="s">
        <v>110</v>
      </c>
      <c r="B705" s="35" t="s">
        <v>1795</v>
      </c>
      <c r="C705" s="35" t="s">
        <v>2923</v>
      </c>
      <c r="D705" s="35">
        <v>32082</v>
      </c>
      <c r="E705" s="35" t="s">
        <v>3164</v>
      </c>
      <c r="F705" s="35" t="s">
        <v>3165</v>
      </c>
      <c r="G705" s="35" t="s">
        <v>115</v>
      </c>
      <c r="H705" s="35" t="s">
        <v>160</v>
      </c>
      <c r="I705" s="35" t="s">
        <v>117</v>
      </c>
      <c r="J705" s="35" t="s">
        <v>141</v>
      </c>
      <c r="K705" s="36">
        <v>46065</v>
      </c>
      <c r="L705" s="36">
        <v>46082</v>
      </c>
      <c r="M705" s="36"/>
      <c r="N705" s="36"/>
      <c r="O705" s="36"/>
      <c r="P705" s="36"/>
      <c r="Q705" s="36"/>
      <c r="R705" s="35" t="s">
        <v>187</v>
      </c>
      <c r="S705" s="35" t="s">
        <v>543</v>
      </c>
      <c r="T705" s="35" t="s">
        <v>177</v>
      </c>
      <c r="U705" s="35" t="s">
        <v>81</v>
      </c>
      <c r="V705" s="35" t="s">
        <v>509</v>
      </c>
      <c r="W705" s="35" t="s">
        <v>123</v>
      </c>
      <c r="X705" s="35">
        <v>86.42</v>
      </c>
      <c r="Y705" s="35">
        <v>6.92</v>
      </c>
      <c r="Z705" s="35">
        <v>6.92</v>
      </c>
      <c r="AA705" s="35">
        <v>0</v>
      </c>
      <c r="AB705" s="35"/>
      <c r="AC705" s="35">
        <v>0</v>
      </c>
      <c r="AD705" s="35"/>
      <c r="AE705" s="35">
        <v>0</v>
      </c>
      <c r="AF705" s="35"/>
      <c r="AG705" s="35">
        <v>0</v>
      </c>
      <c r="AH705" s="35"/>
      <c r="AI705" s="37">
        <v>0</v>
      </c>
    </row>
    <row r="706" spans="1:35" x14ac:dyDescent="0.25">
      <c r="A706" s="38" t="s">
        <v>110</v>
      </c>
      <c r="B706" s="39" t="s">
        <v>1795</v>
      </c>
      <c r="C706" s="39" t="s">
        <v>2924</v>
      </c>
      <c r="D706" s="39">
        <v>32118</v>
      </c>
      <c r="E706" s="39" t="s">
        <v>3166</v>
      </c>
      <c r="F706" s="39" t="s">
        <v>3167</v>
      </c>
      <c r="G706" s="39" t="s">
        <v>115</v>
      </c>
      <c r="H706" s="39" t="s">
        <v>160</v>
      </c>
      <c r="I706" s="39" t="s">
        <v>117</v>
      </c>
      <c r="J706" s="39" t="s">
        <v>141</v>
      </c>
      <c r="K706" s="40">
        <v>46065</v>
      </c>
      <c r="L706" s="40">
        <v>46082</v>
      </c>
      <c r="M706" s="40"/>
      <c r="N706" s="40"/>
      <c r="O706" s="40"/>
      <c r="P706" s="40"/>
      <c r="Q706" s="40"/>
      <c r="R706" s="39" t="s">
        <v>187</v>
      </c>
      <c r="S706" s="39" t="s">
        <v>1469</v>
      </c>
      <c r="T706" s="39" t="s">
        <v>177</v>
      </c>
      <c r="U706" s="35" t="s">
        <v>81</v>
      </c>
      <c r="V706" s="39" t="s">
        <v>509</v>
      </c>
      <c r="W706" s="39" t="s">
        <v>123</v>
      </c>
      <c r="X706" s="39">
        <v>407.4</v>
      </c>
      <c r="Y706" s="39">
        <v>32.6</v>
      </c>
      <c r="Z706" s="39">
        <v>32.6</v>
      </c>
      <c r="AA706" s="39">
        <v>0</v>
      </c>
      <c r="AB706" s="39"/>
      <c r="AC706" s="39">
        <v>0</v>
      </c>
      <c r="AD706" s="39"/>
      <c r="AE706" s="39">
        <v>0</v>
      </c>
      <c r="AF706" s="39"/>
      <c r="AG706" s="39">
        <v>0</v>
      </c>
      <c r="AH706" s="39"/>
      <c r="AI706" s="41">
        <v>0</v>
      </c>
    </row>
    <row r="707" spans="1:35" x14ac:dyDescent="0.25">
      <c r="A707" s="34" t="s">
        <v>110</v>
      </c>
      <c r="B707" s="35" t="s">
        <v>993</v>
      </c>
      <c r="C707" s="35" t="s">
        <v>2929</v>
      </c>
      <c r="D707" s="35">
        <v>32284</v>
      </c>
      <c r="E707" s="35" t="s">
        <v>3168</v>
      </c>
      <c r="F707" s="35" t="s">
        <v>3169</v>
      </c>
      <c r="G707" s="35" t="s">
        <v>174</v>
      </c>
      <c r="H707" s="35" t="s">
        <v>160</v>
      </c>
      <c r="I707" s="35" t="s">
        <v>117</v>
      </c>
      <c r="J707" s="35" t="s">
        <v>141</v>
      </c>
      <c r="K707" s="36">
        <v>46065</v>
      </c>
      <c r="L707" s="36">
        <v>46082</v>
      </c>
      <c r="M707" s="36"/>
      <c r="N707" s="36"/>
      <c r="O707" s="36"/>
      <c r="P707" s="36"/>
      <c r="Q707" s="36"/>
      <c r="R707" s="35" t="s">
        <v>187</v>
      </c>
      <c r="S707" s="35" t="s">
        <v>543</v>
      </c>
      <c r="T707" s="35" t="s">
        <v>177</v>
      </c>
      <c r="U707" s="35" t="s">
        <v>81</v>
      </c>
      <c r="V707" s="35" t="s">
        <v>509</v>
      </c>
      <c r="W707" s="35" t="s">
        <v>123</v>
      </c>
      <c r="X707" s="35">
        <v>369.35</v>
      </c>
      <c r="Y707" s="35">
        <v>29.55</v>
      </c>
      <c r="Z707" s="35">
        <v>29.55</v>
      </c>
      <c r="AA707" s="35">
        <v>0</v>
      </c>
      <c r="AB707" s="35"/>
      <c r="AC707" s="35">
        <v>0</v>
      </c>
      <c r="AD707" s="35"/>
      <c r="AE707" s="35">
        <v>0</v>
      </c>
      <c r="AF707" s="35"/>
      <c r="AG707" s="35">
        <v>0</v>
      </c>
      <c r="AH707" s="35"/>
      <c r="AI707" s="37">
        <v>0</v>
      </c>
    </row>
    <row r="708" spans="1:35" x14ac:dyDescent="0.25">
      <c r="A708" s="38" t="s">
        <v>110</v>
      </c>
      <c r="B708" s="39" t="s">
        <v>510</v>
      </c>
      <c r="C708" s="39" t="s">
        <v>511</v>
      </c>
      <c r="D708" s="39">
        <v>2414</v>
      </c>
      <c r="E708" s="39" t="s">
        <v>3170</v>
      </c>
      <c r="F708" s="39" t="s">
        <v>3171</v>
      </c>
      <c r="G708" s="39" t="s">
        <v>115</v>
      </c>
      <c r="H708" s="39" t="s">
        <v>116</v>
      </c>
      <c r="I708" s="39" t="s">
        <v>117</v>
      </c>
      <c r="J708" s="39" t="s">
        <v>141</v>
      </c>
      <c r="K708" s="40">
        <v>46066</v>
      </c>
      <c r="L708" s="40">
        <v>46082</v>
      </c>
      <c r="M708" s="40"/>
      <c r="N708" s="40"/>
      <c r="O708" s="40"/>
      <c r="P708" s="40"/>
      <c r="Q708" s="40"/>
      <c r="R708" s="39" t="s">
        <v>119</v>
      </c>
      <c r="S708" s="39" t="s">
        <v>508</v>
      </c>
      <c r="T708" s="39" t="s">
        <v>198</v>
      </c>
      <c r="U708" s="35" t="s">
        <v>94</v>
      </c>
      <c r="V708" s="39" t="s">
        <v>509</v>
      </c>
      <c r="W708" s="39" t="s">
        <v>123</v>
      </c>
      <c r="X708" s="39">
        <v>870.58</v>
      </c>
      <c r="Y708" s="39">
        <v>104.47</v>
      </c>
      <c r="Z708" s="39">
        <v>104.47</v>
      </c>
      <c r="AA708" s="39">
        <v>0</v>
      </c>
      <c r="AB708" s="39"/>
      <c r="AC708" s="39">
        <v>0</v>
      </c>
      <c r="AD708" s="39"/>
      <c r="AE708" s="39">
        <v>0</v>
      </c>
      <c r="AF708" s="39"/>
      <c r="AG708" s="39">
        <v>0</v>
      </c>
      <c r="AH708" s="39"/>
      <c r="AI708" s="41">
        <v>0</v>
      </c>
    </row>
    <row r="709" spans="1:35" x14ac:dyDescent="0.25">
      <c r="A709" s="34" t="s">
        <v>110</v>
      </c>
      <c r="B709" s="35" t="s">
        <v>1437</v>
      </c>
      <c r="C709" s="35" t="s">
        <v>1438</v>
      </c>
      <c r="D709" s="35">
        <v>4427</v>
      </c>
      <c r="E709" s="35" t="s">
        <v>3172</v>
      </c>
      <c r="F709" s="35" t="s">
        <v>3173</v>
      </c>
      <c r="G709" s="35" t="s">
        <v>115</v>
      </c>
      <c r="H709" s="35" t="s">
        <v>116</v>
      </c>
      <c r="I709" s="35" t="s">
        <v>117</v>
      </c>
      <c r="J709" s="35" t="s">
        <v>141</v>
      </c>
      <c r="K709" s="36">
        <v>46066</v>
      </c>
      <c r="L709" s="36">
        <v>46107</v>
      </c>
      <c r="M709" s="36"/>
      <c r="N709" s="36"/>
      <c r="O709" s="36"/>
      <c r="P709" s="36"/>
      <c r="Q709" s="36"/>
      <c r="R709" s="35" t="s">
        <v>119</v>
      </c>
      <c r="S709" s="35" t="s">
        <v>508</v>
      </c>
      <c r="T709" s="35" t="s">
        <v>198</v>
      </c>
      <c r="U709" s="35" t="s">
        <v>94</v>
      </c>
      <c r="V709" s="35" t="s">
        <v>509</v>
      </c>
      <c r="W709" s="35" t="s">
        <v>123</v>
      </c>
      <c r="X709" s="35">
        <v>257.64999999999998</v>
      </c>
      <c r="Y709" s="35">
        <v>30.92</v>
      </c>
      <c r="Z709" s="35">
        <v>30.92</v>
      </c>
      <c r="AA709" s="35">
        <v>0</v>
      </c>
      <c r="AB709" s="35"/>
      <c r="AC709" s="35">
        <v>0</v>
      </c>
      <c r="AD709" s="35"/>
      <c r="AE709" s="35">
        <v>0</v>
      </c>
      <c r="AF709" s="35"/>
      <c r="AG709" s="35">
        <v>0</v>
      </c>
      <c r="AH709" s="35"/>
      <c r="AI709" s="37">
        <v>0</v>
      </c>
    </row>
    <row r="710" spans="1:35" x14ac:dyDescent="0.25">
      <c r="A710" s="38" t="s">
        <v>110</v>
      </c>
      <c r="B710" s="39" t="s">
        <v>504</v>
      </c>
      <c r="C710" s="39" t="s">
        <v>505</v>
      </c>
      <c r="D710" s="39">
        <v>8153</v>
      </c>
      <c r="E710" s="39" t="s">
        <v>3174</v>
      </c>
      <c r="F710" s="39" t="s">
        <v>3175</v>
      </c>
      <c r="G710" s="39" t="s">
        <v>115</v>
      </c>
      <c r="H710" s="39" t="s">
        <v>116</v>
      </c>
      <c r="I710" s="39" t="s">
        <v>117</v>
      </c>
      <c r="J710" s="39" t="s">
        <v>141</v>
      </c>
      <c r="K710" s="40">
        <v>46066</v>
      </c>
      <c r="L710" s="40">
        <v>46082</v>
      </c>
      <c r="M710" s="40"/>
      <c r="N710" s="40"/>
      <c r="O710" s="40"/>
      <c r="P710" s="40"/>
      <c r="Q710" s="40"/>
      <c r="R710" s="39" t="s">
        <v>119</v>
      </c>
      <c r="S710" s="39" t="s">
        <v>508</v>
      </c>
      <c r="T710" s="39" t="s">
        <v>198</v>
      </c>
      <c r="U710" s="35" t="s">
        <v>94</v>
      </c>
      <c r="V710" s="39" t="s">
        <v>509</v>
      </c>
      <c r="W710" s="39" t="s">
        <v>123</v>
      </c>
      <c r="X710" s="39">
        <v>132.33000000000001</v>
      </c>
      <c r="Y710" s="39">
        <v>15.88</v>
      </c>
      <c r="Z710" s="39">
        <v>15.88</v>
      </c>
      <c r="AA710" s="39">
        <v>0</v>
      </c>
      <c r="AB710" s="39"/>
      <c r="AC710" s="39">
        <v>0</v>
      </c>
      <c r="AD710" s="39"/>
      <c r="AE710" s="39">
        <v>0</v>
      </c>
      <c r="AF710" s="39"/>
      <c r="AG710" s="39">
        <v>0</v>
      </c>
      <c r="AH710" s="39"/>
      <c r="AI710" s="41">
        <v>0</v>
      </c>
    </row>
    <row r="711" spans="1:35" x14ac:dyDescent="0.25">
      <c r="A711" s="34" t="s">
        <v>110</v>
      </c>
      <c r="B711" s="35" t="s">
        <v>2479</v>
      </c>
      <c r="C711" s="35" t="s">
        <v>2480</v>
      </c>
      <c r="D711" s="35">
        <v>10276</v>
      </c>
      <c r="E711" s="35" t="s">
        <v>3176</v>
      </c>
      <c r="F711" s="35" t="s">
        <v>3177</v>
      </c>
      <c r="G711" s="35" t="s">
        <v>115</v>
      </c>
      <c r="H711" s="35" t="s">
        <v>160</v>
      </c>
      <c r="I711" s="35" t="s">
        <v>117</v>
      </c>
      <c r="J711" s="35" t="s">
        <v>141</v>
      </c>
      <c r="K711" s="36">
        <v>46066</v>
      </c>
      <c r="L711" s="36">
        <v>46105</v>
      </c>
      <c r="M711" s="36"/>
      <c r="N711" s="36"/>
      <c r="O711" s="36"/>
      <c r="P711" s="36"/>
      <c r="Q711" s="36"/>
      <c r="R711" s="35" t="s">
        <v>142</v>
      </c>
      <c r="S711" s="35" t="s">
        <v>508</v>
      </c>
      <c r="T711" s="35" t="s">
        <v>198</v>
      </c>
      <c r="U711" s="35" t="s">
        <v>94</v>
      </c>
      <c r="V711" s="35" t="s">
        <v>509</v>
      </c>
      <c r="W711" s="35" t="s">
        <v>123</v>
      </c>
      <c r="X711" s="35">
        <v>2106.9</v>
      </c>
      <c r="Y711" s="35">
        <v>252.83</v>
      </c>
      <c r="Z711" s="35">
        <v>252.83</v>
      </c>
      <c r="AA711" s="35">
        <v>0</v>
      </c>
      <c r="AB711" s="35"/>
      <c r="AC711" s="35">
        <v>0</v>
      </c>
      <c r="AD711" s="35"/>
      <c r="AE711" s="35">
        <v>0</v>
      </c>
      <c r="AF711" s="35"/>
      <c r="AG711" s="35">
        <v>0</v>
      </c>
      <c r="AH711" s="35"/>
      <c r="AI711" s="37">
        <v>0</v>
      </c>
    </row>
    <row r="712" spans="1:35" x14ac:dyDescent="0.25">
      <c r="A712" s="38" t="s">
        <v>110</v>
      </c>
      <c r="B712" s="39" t="s">
        <v>2484</v>
      </c>
      <c r="C712" s="39" t="s">
        <v>2485</v>
      </c>
      <c r="D712" s="39">
        <v>11572</v>
      </c>
      <c r="E712" s="39" t="s">
        <v>3178</v>
      </c>
      <c r="F712" s="39" t="s">
        <v>3179</v>
      </c>
      <c r="G712" s="39" t="s">
        <v>115</v>
      </c>
      <c r="H712" s="39" t="s">
        <v>160</v>
      </c>
      <c r="I712" s="39" t="s">
        <v>117</v>
      </c>
      <c r="J712" s="39" t="s">
        <v>118</v>
      </c>
      <c r="K712" s="40">
        <v>46066</v>
      </c>
      <c r="L712" s="40">
        <v>46087</v>
      </c>
      <c r="M712" s="40">
        <v>46087</v>
      </c>
      <c r="N712" s="40"/>
      <c r="O712" s="40"/>
      <c r="P712" s="40"/>
      <c r="Q712" s="40"/>
      <c r="R712" s="39" t="s">
        <v>175</v>
      </c>
      <c r="S712" s="39" t="s">
        <v>508</v>
      </c>
      <c r="T712" s="39" t="s">
        <v>198</v>
      </c>
      <c r="U712" s="35" t="s">
        <v>94</v>
      </c>
      <c r="V712" s="39" t="s">
        <v>509</v>
      </c>
      <c r="W712" s="39" t="s">
        <v>123</v>
      </c>
      <c r="X712" s="39">
        <v>519.16</v>
      </c>
      <c r="Y712" s="39">
        <v>62.29</v>
      </c>
      <c r="Z712" s="39">
        <v>62.29</v>
      </c>
      <c r="AA712" s="39">
        <v>0</v>
      </c>
      <c r="AB712" s="39"/>
      <c r="AC712" s="39">
        <v>0</v>
      </c>
      <c r="AD712" s="39"/>
      <c r="AE712" s="39">
        <v>0</v>
      </c>
      <c r="AF712" s="39"/>
      <c r="AG712" s="39">
        <v>0</v>
      </c>
      <c r="AH712" s="39"/>
      <c r="AI712" s="41">
        <v>0</v>
      </c>
    </row>
    <row r="713" spans="1:35" x14ac:dyDescent="0.25">
      <c r="A713" s="34" t="s">
        <v>110</v>
      </c>
      <c r="B713" s="35" t="s">
        <v>2479</v>
      </c>
      <c r="C713" s="35" t="s">
        <v>2481</v>
      </c>
      <c r="D713" s="35">
        <v>14699</v>
      </c>
      <c r="E713" s="35" t="s">
        <v>3180</v>
      </c>
      <c r="F713" s="35" t="s">
        <v>3181</v>
      </c>
      <c r="G713" s="35" t="s">
        <v>115</v>
      </c>
      <c r="H713" s="35" t="s">
        <v>160</v>
      </c>
      <c r="I713" s="35" t="s">
        <v>117</v>
      </c>
      <c r="J713" s="35" t="s">
        <v>141</v>
      </c>
      <c r="K713" s="36">
        <v>46066</v>
      </c>
      <c r="L713" s="36">
        <v>46105</v>
      </c>
      <c r="M713" s="36"/>
      <c r="N713" s="36"/>
      <c r="O713" s="36"/>
      <c r="P713" s="36"/>
      <c r="Q713" s="36"/>
      <c r="R713" s="35" t="s">
        <v>142</v>
      </c>
      <c r="S713" s="35" t="s">
        <v>508</v>
      </c>
      <c r="T713" s="35" t="s">
        <v>198</v>
      </c>
      <c r="U713" s="35" t="s">
        <v>94</v>
      </c>
      <c r="V713" s="35" t="s">
        <v>509</v>
      </c>
      <c r="W713" s="35" t="s">
        <v>123</v>
      </c>
      <c r="X713" s="35">
        <v>598.9</v>
      </c>
      <c r="Y713" s="35">
        <v>71.87</v>
      </c>
      <c r="Z713" s="35">
        <v>71.87</v>
      </c>
      <c r="AA713" s="35">
        <v>0</v>
      </c>
      <c r="AB713" s="35"/>
      <c r="AC713" s="35">
        <v>0</v>
      </c>
      <c r="AD713" s="35"/>
      <c r="AE713" s="35">
        <v>0</v>
      </c>
      <c r="AF713" s="35"/>
      <c r="AG713" s="35">
        <v>0</v>
      </c>
      <c r="AH713" s="35"/>
      <c r="AI713" s="37">
        <v>0</v>
      </c>
    </row>
    <row r="714" spans="1:35" x14ac:dyDescent="0.25">
      <c r="A714" s="38" t="s">
        <v>110</v>
      </c>
      <c r="B714" s="39" t="s">
        <v>193</v>
      </c>
      <c r="C714" s="39" t="s">
        <v>1441</v>
      </c>
      <c r="D714" s="39">
        <v>16730</v>
      </c>
      <c r="E714" s="39" t="s">
        <v>3182</v>
      </c>
      <c r="F714" s="39" t="s">
        <v>3183</v>
      </c>
      <c r="G714" s="39" t="s">
        <v>115</v>
      </c>
      <c r="H714" s="39" t="s">
        <v>116</v>
      </c>
      <c r="I714" s="39" t="s">
        <v>117</v>
      </c>
      <c r="J714" s="39" t="s">
        <v>141</v>
      </c>
      <c r="K714" s="40">
        <v>46066</v>
      </c>
      <c r="L714" s="40">
        <v>46104</v>
      </c>
      <c r="M714" s="40"/>
      <c r="N714" s="40"/>
      <c r="O714" s="40"/>
      <c r="P714" s="40"/>
      <c r="Q714" s="40"/>
      <c r="R714" s="39" t="s">
        <v>119</v>
      </c>
      <c r="S714" s="39" t="s">
        <v>508</v>
      </c>
      <c r="T714" s="39" t="s">
        <v>198</v>
      </c>
      <c r="U714" s="35" t="s">
        <v>94</v>
      </c>
      <c r="V714" s="39" t="s">
        <v>509</v>
      </c>
      <c r="W714" s="39" t="s">
        <v>123</v>
      </c>
      <c r="X714" s="39">
        <v>82.13</v>
      </c>
      <c r="Y714" s="39">
        <v>9.85</v>
      </c>
      <c r="Z714" s="39">
        <v>9.85</v>
      </c>
      <c r="AA714" s="39">
        <v>0</v>
      </c>
      <c r="AB714" s="39"/>
      <c r="AC714" s="39">
        <v>0</v>
      </c>
      <c r="AD714" s="39"/>
      <c r="AE714" s="39">
        <v>0</v>
      </c>
      <c r="AF714" s="39"/>
      <c r="AG714" s="39">
        <v>0</v>
      </c>
      <c r="AH714" s="39"/>
      <c r="AI714" s="41">
        <v>0</v>
      </c>
    </row>
    <row r="715" spans="1:35" x14ac:dyDescent="0.25">
      <c r="A715" s="34" t="s">
        <v>110</v>
      </c>
      <c r="B715" s="35" t="s">
        <v>2482</v>
      </c>
      <c r="C715" s="35" t="s">
        <v>2483</v>
      </c>
      <c r="D715" s="35">
        <v>16957</v>
      </c>
      <c r="E715" s="35" t="s">
        <v>3184</v>
      </c>
      <c r="F715" s="35" t="s">
        <v>3185</v>
      </c>
      <c r="G715" s="35" t="s">
        <v>115</v>
      </c>
      <c r="H715" s="35" t="s">
        <v>160</v>
      </c>
      <c r="I715" s="35" t="s">
        <v>117</v>
      </c>
      <c r="J715" s="35" t="s">
        <v>141</v>
      </c>
      <c r="K715" s="36">
        <v>46066</v>
      </c>
      <c r="L715" s="36">
        <v>46091</v>
      </c>
      <c r="M715" s="36"/>
      <c r="N715" s="36"/>
      <c r="O715" s="36"/>
      <c r="P715" s="36"/>
      <c r="Q715" s="36"/>
      <c r="R715" s="35" t="s">
        <v>142</v>
      </c>
      <c r="S715" s="35" t="s">
        <v>508</v>
      </c>
      <c r="T715" s="35" t="s">
        <v>198</v>
      </c>
      <c r="U715" s="35" t="s">
        <v>94</v>
      </c>
      <c r="V715" s="35" t="s">
        <v>509</v>
      </c>
      <c r="W715" s="35" t="s">
        <v>123</v>
      </c>
      <c r="X715" s="35">
        <v>553.32000000000005</v>
      </c>
      <c r="Y715" s="35">
        <v>66.400000000000006</v>
      </c>
      <c r="Z715" s="35">
        <v>66.400000000000006</v>
      </c>
      <c r="AA715" s="35">
        <v>0</v>
      </c>
      <c r="AB715" s="35"/>
      <c r="AC715" s="35">
        <v>0</v>
      </c>
      <c r="AD715" s="35"/>
      <c r="AE715" s="35">
        <v>0</v>
      </c>
      <c r="AF715" s="35"/>
      <c r="AG715" s="35">
        <v>0</v>
      </c>
      <c r="AH715" s="35"/>
      <c r="AI715" s="37">
        <v>0</v>
      </c>
    </row>
    <row r="716" spans="1:35" x14ac:dyDescent="0.25">
      <c r="A716" s="38" t="s">
        <v>110</v>
      </c>
      <c r="B716" s="39" t="s">
        <v>170</v>
      </c>
      <c r="C716" s="39" t="s">
        <v>525</v>
      </c>
      <c r="D716" s="39">
        <v>23596</v>
      </c>
      <c r="E716" s="39" t="s">
        <v>3186</v>
      </c>
      <c r="F716" s="39" t="s">
        <v>3187</v>
      </c>
      <c r="G716" s="39" t="s">
        <v>174</v>
      </c>
      <c r="H716" s="39" t="s">
        <v>116</v>
      </c>
      <c r="I716" s="39" t="s">
        <v>117</v>
      </c>
      <c r="J716" s="39" t="s">
        <v>141</v>
      </c>
      <c r="K716" s="40">
        <v>46066</v>
      </c>
      <c r="L716" s="40">
        <v>46086</v>
      </c>
      <c r="M716" s="40"/>
      <c r="N716" s="40"/>
      <c r="O716" s="40"/>
      <c r="P716" s="40"/>
      <c r="Q716" s="40"/>
      <c r="R716" s="39" t="s">
        <v>119</v>
      </c>
      <c r="S716" s="39" t="s">
        <v>528</v>
      </c>
      <c r="T716" s="39" t="s">
        <v>529</v>
      </c>
      <c r="U716" s="35" t="s">
        <v>92</v>
      </c>
      <c r="V716" s="39" t="s">
        <v>509</v>
      </c>
      <c r="W716" s="39" t="s">
        <v>123</v>
      </c>
      <c r="X716" s="39">
        <v>1875</v>
      </c>
      <c r="Y716" s="39">
        <v>3.75</v>
      </c>
      <c r="Z716" s="39">
        <v>3.75</v>
      </c>
      <c r="AA716" s="39">
        <v>0</v>
      </c>
      <c r="AB716" s="39"/>
      <c r="AC716" s="39">
        <v>0</v>
      </c>
      <c r="AD716" s="39"/>
      <c r="AE716" s="39">
        <v>0</v>
      </c>
      <c r="AF716" s="39"/>
      <c r="AG716" s="39">
        <v>0</v>
      </c>
      <c r="AH716" s="39"/>
      <c r="AI716" s="41">
        <v>0</v>
      </c>
    </row>
    <row r="717" spans="1:35" x14ac:dyDescent="0.25">
      <c r="A717" s="34" t="s">
        <v>110</v>
      </c>
      <c r="B717" s="35" t="s">
        <v>170</v>
      </c>
      <c r="C717" s="35" t="s">
        <v>530</v>
      </c>
      <c r="D717" s="35">
        <v>23597</v>
      </c>
      <c r="E717" s="35" t="s">
        <v>3188</v>
      </c>
      <c r="F717" s="35" t="s">
        <v>3189</v>
      </c>
      <c r="G717" s="35" t="s">
        <v>174</v>
      </c>
      <c r="H717" s="35" t="s">
        <v>116</v>
      </c>
      <c r="I717" s="35" t="s">
        <v>117</v>
      </c>
      <c r="J717" s="35" t="s">
        <v>141</v>
      </c>
      <c r="K717" s="36">
        <v>46066</v>
      </c>
      <c r="L717" s="36">
        <v>46086</v>
      </c>
      <c r="M717" s="36"/>
      <c r="N717" s="36"/>
      <c r="O717" s="36"/>
      <c r="P717" s="36"/>
      <c r="Q717" s="36"/>
      <c r="R717" s="35" t="s">
        <v>119</v>
      </c>
      <c r="S717" s="35" t="s">
        <v>528</v>
      </c>
      <c r="T717" s="35" t="s">
        <v>529</v>
      </c>
      <c r="U717" s="35" t="s">
        <v>92</v>
      </c>
      <c r="V717" s="35" t="s">
        <v>509</v>
      </c>
      <c r="W717" s="35" t="s">
        <v>123</v>
      </c>
      <c r="X717" s="35">
        <v>2175</v>
      </c>
      <c r="Y717" s="35">
        <v>4.3499999999999996</v>
      </c>
      <c r="Z717" s="35">
        <v>4.3499999999999996</v>
      </c>
      <c r="AA717" s="35">
        <v>0</v>
      </c>
      <c r="AB717" s="35"/>
      <c r="AC717" s="35">
        <v>0</v>
      </c>
      <c r="AD717" s="35"/>
      <c r="AE717" s="35">
        <v>0</v>
      </c>
      <c r="AF717" s="35"/>
      <c r="AG717" s="35">
        <v>0</v>
      </c>
      <c r="AH717" s="35"/>
      <c r="AI717" s="37">
        <v>0</v>
      </c>
    </row>
    <row r="718" spans="1:35" x14ac:dyDescent="0.25">
      <c r="A718" s="38" t="s">
        <v>110</v>
      </c>
      <c r="B718" s="39" t="s">
        <v>170</v>
      </c>
      <c r="C718" s="39" t="s">
        <v>533</v>
      </c>
      <c r="D718" s="39">
        <v>23598</v>
      </c>
      <c r="E718" s="39" t="s">
        <v>3190</v>
      </c>
      <c r="F718" s="39" t="s">
        <v>3191</v>
      </c>
      <c r="G718" s="39" t="s">
        <v>174</v>
      </c>
      <c r="H718" s="39" t="s">
        <v>116</v>
      </c>
      <c r="I718" s="39" t="s">
        <v>117</v>
      </c>
      <c r="J718" s="39" t="s">
        <v>141</v>
      </c>
      <c r="K718" s="40">
        <v>46066</v>
      </c>
      <c r="L718" s="40">
        <v>46086</v>
      </c>
      <c r="M718" s="40"/>
      <c r="N718" s="40"/>
      <c r="O718" s="40"/>
      <c r="P718" s="40"/>
      <c r="Q718" s="40"/>
      <c r="R718" s="39" t="s">
        <v>119</v>
      </c>
      <c r="S718" s="39" t="s">
        <v>528</v>
      </c>
      <c r="T718" s="39" t="s">
        <v>529</v>
      </c>
      <c r="U718" s="35" t="s">
        <v>92</v>
      </c>
      <c r="V718" s="39" t="s">
        <v>509</v>
      </c>
      <c r="W718" s="39" t="s">
        <v>123</v>
      </c>
      <c r="X718" s="39">
        <v>1320</v>
      </c>
      <c r="Y718" s="39">
        <v>2.64</v>
      </c>
      <c r="Z718" s="39">
        <v>2.64</v>
      </c>
      <c r="AA718" s="39">
        <v>0</v>
      </c>
      <c r="AB718" s="39"/>
      <c r="AC718" s="39">
        <v>0</v>
      </c>
      <c r="AD718" s="39"/>
      <c r="AE718" s="39">
        <v>0</v>
      </c>
      <c r="AF718" s="39"/>
      <c r="AG718" s="39">
        <v>0</v>
      </c>
      <c r="AH718" s="39"/>
      <c r="AI718" s="41">
        <v>0</v>
      </c>
    </row>
    <row r="719" spans="1:35" x14ac:dyDescent="0.25">
      <c r="A719" s="34" t="s">
        <v>110</v>
      </c>
      <c r="B719" s="35" t="s">
        <v>170</v>
      </c>
      <c r="C719" s="35" t="s">
        <v>536</v>
      </c>
      <c r="D719" s="35">
        <v>23599</v>
      </c>
      <c r="E719" s="35" t="s">
        <v>3192</v>
      </c>
      <c r="F719" s="35" t="s">
        <v>3193</v>
      </c>
      <c r="G719" s="35" t="s">
        <v>174</v>
      </c>
      <c r="H719" s="35" t="s">
        <v>116</v>
      </c>
      <c r="I719" s="35" t="s">
        <v>117</v>
      </c>
      <c r="J719" s="35" t="s">
        <v>141</v>
      </c>
      <c r="K719" s="36">
        <v>46066</v>
      </c>
      <c r="L719" s="36">
        <v>46086</v>
      </c>
      <c r="M719" s="36"/>
      <c r="N719" s="36"/>
      <c r="O719" s="36"/>
      <c r="P719" s="36"/>
      <c r="Q719" s="36"/>
      <c r="R719" s="35" t="s">
        <v>119</v>
      </c>
      <c r="S719" s="35" t="s">
        <v>528</v>
      </c>
      <c r="T719" s="35" t="s">
        <v>529</v>
      </c>
      <c r="U719" s="35" t="s">
        <v>92</v>
      </c>
      <c r="V719" s="35" t="s">
        <v>509</v>
      </c>
      <c r="W719" s="35" t="s">
        <v>123</v>
      </c>
      <c r="X719" s="35">
        <v>590</v>
      </c>
      <c r="Y719" s="35">
        <v>1.18</v>
      </c>
      <c r="Z719" s="35">
        <v>1.18</v>
      </c>
      <c r="AA719" s="35">
        <v>0</v>
      </c>
      <c r="AB719" s="35"/>
      <c r="AC719" s="35">
        <v>0</v>
      </c>
      <c r="AD719" s="35"/>
      <c r="AE719" s="35">
        <v>0</v>
      </c>
      <c r="AF719" s="35"/>
      <c r="AG719" s="35">
        <v>0</v>
      </c>
      <c r="AH719" s="35"/>
      <c r="AI719" s="37">
        <v>0</v>
      </c>
    </row>
    <row r="720" spans="1:35" x14ac:dyDescent="0.25">
      <c r="A720" s="38" t="s">
        <v>110</v>
      </c>
      <c r="B720" s="39" t="s">
        <v>2538</v>
      </c>
      <c r="C720" s="39" t="s">
        <v>2539</v>
      </c>
      <c r="D720" s="39">
        <v>14495</v>
      </c>
      <c r="E720" s="39" t="s">
        <v>3194</v>
      </c>
      <c r="F720" s="39" t="s">
        <v>3195</v>
      </c>
      <c r="G720" s="39" t="s">
        <v>115</v>
      </c>
      <c r="H720" s="39" t="s">
        <v>160</v>
      </c>
      <c r="I720" s="39" t="s">
        <v>117</v>
      </c>
      <c r="J720" s="39" t="s">
        <v>118</v>
      </c>
      <c r="K720" s="40">
        <v>46066</v>
      </c>
      <c r="L720" s="40">
        <v>46082</v>
      </c>
      <c r="M720" s="40">
        <v>46083</v>
      </c>
      <c r="N720" s="40"/>
      <c r="O720" s="40"/>
      <c r="P720" s="40"/>
      <c r="Q720" s="40"/>
      <c r="R720" s="39" t="s">
        <v>142</v>
      </c>
      <c r="S720" s="39" t="s">
        <v>923</v>
      </c>
      <c r="T720" s="39" t="s">
        <v>923</v>
      </c>
      <c r="U720" s="35" t="s">
        <v>81</v>
      </c>
      <c r="V720" s="39" t="s">
        <v>509</v>
      </c>
      <c r="W720" s="39" t="s">
        <v>123</v>
      </c>
      <c r="X720" s="39">
        <v>263.23</v>
      </c>
      <c r="Y720" s="39">
        <v>38.159999999999997</v>
      </c>
      <c r="Z720" s="39">
        <v>38.159999999999997</v>
      </c>
      <c r="AA720" s="39">
        <v>0</v>
      </c>
      <c r="AB720" s="39"/>
      <c r="AC720" s="39">
        <v>0</v>
      </c>
      <c r="AD720" s="39"/>
      <c r="AE720" s="39">
        <v>0</v>
      </c>
      <c r="AF720" s="39"/>
      <c r="AG720" s="39">
        <v>0</v>
      </c>
      <c r="AH720" s="39"/>
      <c r="AI720" s="41">
        <v>0</v>
      </c>
    </row>
    <row r="721" spans="1:35" x14ac:dyDescent="0.25">
      <c r="A721" s="34" t="s">
        <v>110</v>
      </c>
      <c r="B721" s="35" t="s">
        <v>1640</v>
      </c>
      <c r="C721" s="35" t="s">
        <v>2540</v>
      </c>
      <c r="D721" s="35">
        <v>19072</v>
      </c>
      <c r="E721" s="35" t="s">
        <v>3196</v>
      </c>
      <c r="F721" s="35" t="s">
        <v>3197</v>
      </c>
      <c r="G721" s="35" t="s">
        <v>115</v>
      </c>
      <c r="H721" s="35" t="s">
        <v>160</v>
      </c>
      <c r="I721" s="35" t="s">
        <v>117</v>
      </c>
      <c r="J721" s="35" t="s">
        <v>141</v>
      </c>
      <c r="K721" s="36">
        <v>46066</v>
      </c>
      <c r="L721" s="36">
        <v>46088</v>
      </c>
      <c r="M721" s="36"/>
      <c r="N721" s="36"/>
      <c r="O721" s="36"/>
      <c r="P721" s="36"/>
      <c r="Q721" s="36"/>
      <c r="R721" s="35" t="s">
        <v>142</v>
      </c>
      <c r="S721" s="35" t="s">
        <v>2541</v>
      </c>
      <c r="T721" s="35" t="s">
        <v>2542</v>
      </c>
      <c r="U721" s="35" t="s">
        <v>107</v>
      </c>
      <c r="V721" s="35" t="s">
        <v>509</v>
      </c>
      <c r="W721" s="35" t="s">
        <v>123</v>
      </c>
      <c r="X721" s="35">
        <v>783.89</v>
      </c>
      <c r="Y721" s="35">
        <v>61.78</v>
      </c>
      <c r="Z721" s="35">
        <v>61.78</v>
      </c>
      <c r="AA721" s="35">
        <v>0</v>
      </c>
      <c r="AB721" s="35"/>
      <c r="AC721" s="35">
        <v>0</v>
      </c>
      <c r="AD721" s="35"/>
      <c r="AE721" s="35">
        <v>0</v>
      </c>
      <c r="AF721" s="35"/>
      <c r="AG721" s="35">
        <v>0</v>
      </c>
      <c r="AH721" s="35"/>
      <c r="AI721" s="37">
        <v>0</v>
      </c>
    </row>
    <row r="722" spans="1:35" x14ac:dyDescent="0.25">
      <c r="A722" s="38" t="s">
        <v>110</v>
      </c>
      <c r="B722" s="39" t="s">
        <v>1461</v>
      </c>
      <c r="C722" s="39" t="s">
        <v>2543</v>
      </c>
      <c r="D722" s="39">
        <v>20134</v>
      </c>
      <c r="E722" s="39" t="s">
        <v>3198</v>
      </c>
      <c r="F722" s="39" t="s">
        <v>3199</v>
      </c>
      <c r="G722" s="39" t="s">
        <v>115</v>
      </c>
      <c r="H722" s="39" t="s">
        <v>160</v>
      </c>
      <c r="I722" s="39" t="s">
        <v>117</v>
      </c>
      <c r="J722" s="39" t="s">
        <v>141</v>
      </c>
      <c r="K722" s="40">
        <v>46066</v>
      </c>
      <c r="L722" s="40">
        <v>46101</v>
      </c>
      <c r="M722" s="40"/>
      <c r="N722" s="40"/>
      <c r="O722" s="40"/>
      <c r="P722" s="40"/>
      <c r="Q722" s="40"/>
      <c r="R722" s="39" t="s">
        <v>142</v>
      </c>
      <c r="S722" s="39" t="s">
        <v>923</v>
      </c>
      <c r="T722" s="39" t="s">
        <v>923</v>
      </c>
      <c r="U722" s="35" t="s">
        <v>81</v>
      </c>
      <c r="V722" s="39" t="s">
        <v>509</v>
      </c>
      <c r="W722" s="39" t="s">
        <v>123</v>
      </c>
      <c r="X722" s="39">
        <v>1409.32</v>
      </c>
      <c r="Y722" s="39">
        <v>199.38</v>
      </c>
      <c r="Z722" s="39">
        <v>199.38</v>
      </c>
      <c r="AA722" s="39">
        <v>0</v>
      </c>
      <c r="AB722" s="39"/>
      <c r="AC722" s="39">
        <v>0</v>
      </c>
      <c r="AD722" s="39"/>
      <c r="AE722" s="39">
        <v>0</v>
      </c>
      <c r="AF722" s="39"/>
      <c r="AG722" s="39">
        <v>0</v>
      </c>
      <c r="AH722" s="39"/>
      <c r="AI722" s="41">
        <v>0</v>
      </c>
    </row>
    <row r="723" spans="1:35" x14ac:dyDescent="0.25">
      <c r="A723" s="34" t="s">
        <v>110</v>
      </c>
      <c r="B723" s="35" t="s">
        <v>2417</v>
      </c>
      <c r="C723" s="35" t="s">
        <v>2618</v>
      </c>
      <c r="D723" s="35">
        <v>22691</v>
      </c>
      <c r="E723" s="35" t="s">
        <v>3200</v>
      </c>
      <c r="F723" s="35" t="s">
        <v>3201</v>
      </c>
      <c r="G723" s="35" t="s">
        <v>115</v>
      </c>
      <c r="H723" s="35" t="s">
        <v>160</v>
      </c>
      <c r="I723" s="35" t="s">
        <v>117</v>
      </c>
      <c r="J723" s="35" t="s">
        <v>118</v>
      </c>
      <c r="K723" s="36">
        <v>46066</v>
      </c>
      <c r="L723" s="36">
        <v>46082</v>
      </c>
      <c r="M723" s="36">
        <v>46083</v>
      </c>
      <c r="N723" s="36"/>
      <c r="O723" s="36"/>
      <c r="P723" s="36"/>
      <c r="Q723" s="36"/>
      <c r="R723" s="35" t="s">
        <v>142</v>
      </c>
      <c r="S723" s="35" t="s">
        <v>543</v>
      </c>
      <c r="T723" s="35" t="s">
        <v>177</v>
      </c>
      <c r="U723" s="35" t="s">
        <v>81</v>
      </c>
      <c r="V723" s="35" t="s">
        <v>509</v>
      </c>
      <c r="W723" s="35" t="s">
        <v>123</v>
      </c>
      <c r="X723" s="35">
        <v>608.11</v>
      </c>
      <c r="Y723" s="35">
        <v>86.96</v>
      </c>
      <c r="Z723" s="35">
        <v>86.96</v>
      </c>
      <c r="AA723" s="35">
        <v>0</v>
      </c>
      <c r="AB723" s="35"/>
      <c r="AC723" s="35">
        <v>0</v>
      </c>
      <c r="AD723" s="35"/>
      <c r="AE723" s="35">
        <v>0</v>
      </c>
      <c r="AF723" s="35"/>
      <c r="AG723" s="35">
        <v>0</v>
      </c>
      <c r="AH723" s="35"/>
      <c r="AI723" s="37">
        <v>0</v>
      </c>
    </row>
    <row r="724" spans="1:35" x14ac:dyDescent="0.25">
      <c r="A724" s="38" t="s">
        <v>110</v>
      </c>
      <c r="B724" s="39" t="s">
        <v>2620</v>
      </c>
      <c r="C724" s="39" t="s">
        <v>2621</v>
      </c>
      <c r="D724" s="39">
        <v>22674</v>
      </c>
      <c r="E724" s="39" t="s">
        <v>3202</v>
      </c>
      <c r="F724" s="39" t="s">
        <v>3203</v>
      </c>
      <c r="G724" s="39" t="s">
        <v>115</v>
      </c>
      <c r="H724" s="39" t="s">
        <v>160</v>
      </c>
      <c r="I724" s="39" t="s">
        <v>117</v>
      </c>
      <c r="J724" s="39" t="s">
        <v>141</v>
      </c>
      <c r="K724" s="40">
        <v>46066</v>
      </c>
      <c r="L724" s="40">
        <v>46090</v>
      </c>
      <c r="M724" s="40"/>
      <c r="N724" s="40"/>
      <c r="O724" s="40"/>
      <c r="P724" s="40"/>
      <c r="Q724" s="40"/>
      <c r="R724" s="39" t="s">
        <v>142</v>
      </c>
      <c r="S724" s="39" t="s">
        <v>1469</v>
      </c>
      <c r="T724" s="39" t="s">
        <v>177</v>
      </c>
      <c r="U724" s="35" t="s">
        <v>81</v>
      </c>
      <c r="V724" s="39" t="s">
        <v>509</v>
      </c>
      <c r="W724" s="39" t="s">
        <v>123</v>
      </c>
      <c r="X724" s="39">
        <v>141.79</v>
      </c>
      <c r="Y724" s="39">
        <v>19.690000000000001</v>
      </c>
      <c r="Z724" s="39">
        <v>19.690000000000001</v>
      </c>
      <c r="AA724" s="39">
        <v>0</v>
      </c>
      <c r="AB724" s="39"/>
      <c r="AC724" s="39">
        <v>0</v>
      </c>
      <c r="AD724" s="39"/>
      <c r="AE724" s="39">
        <v>0</v>
      </c>
      <c r="AF724" s="39"/>
      <c r="AG724" s="39">
        <v>0</v>
      </c>
      <c r="AH724" s="39"/>
      <c r="AI724" s="41">
        <v>0</v>
      </c>
    </row>
    <row r="725" spans="1:35" x14ac:dyDescent="0.25">
      <c r="A725" s="34" t="s">
        <v>110</v>
      </c>
      <c r="B725" s="35" t="s">
        <v>1801</v>
      </c>
      <c r="C725" s="35" t="s">
        <v>2643</v>
      </c>
      <c r="D725" s="35">
        <v>23295</v>
      </c>
      <c r="E725" s="35" t="s">
        <v>3204</v>
      </c>
      <c r="F725" s="35" t="s">
        <v>3205</v>
      </c>
      <c r="G725" s="35" t="s">
        <v>115</v>
      </c>
      <c r="H725" s="35" t="s">
        <v>160</v>
      </c>
      <c r="I725" s="35" t="s">
        <v>117</v>
      </c>
      <c r="J725" s="35" t="s">
        <v>141</v>
      </c>
      <c r="K725" s="36">
        <v>46066</v>
      </c>
      <c r="L725" s="36">
        <v>46096</v>
      </c>
      <c r="M725" s="36"/>
      <c r="N725" s="36"/>
      <c r="O725" s="36"/>
      <c r="P725" s="36"/>
      <c r="Q725" s="36"/>
      <c r="R725" s="35" t="s">
        <v>142</v>
      </c>
      <c r="S725" s="35" t="s">
        <v>1469</v>
      </c>
      <c r="T725" s="35" t="s">
        <v>177</v>
      </c>
      <c r="U725" s="35" t="s">
        <v>81</v>
      </c>
      <c r="V725" s="35" t="s">
        <v>509</v>
      </c>
      <c r="W725" s="35" t="s">
        <v>123</v>
      </c>
      <c r="X725" s="35">
        <v>145.38</v>
      </c>
      <c r="Y725" s="35">
        <v>10.9</v>
      </c>
      <c r="Z725" s="35">
        <v>10.9</v>
      </c>
      <c r="AA725" s="35">
        <v>0</v>
      </c>
      <c r="AB725" s="35"/>
      <c r="AC725" s="35">
        <v>0</v>
      </c>
      <c r="AD725" s="35"/>
      <c r="AE725" s="35">
        <v>0</v>
      </c>
      <c r="AF725" s="35"/>
      <c r="AG725" s="35">
        <v>0</v>
      </c>
      <c r="AH725" s="35"/>
      <c r="AI725" s="37">
        <v>0</v>
      </c>
    </row>
    <row r="726" spans="1:35" x14ac:dyDescent="0.25">
      <c r="A726" s="38" t="s">
        <v>110</v>
      </c>
      <c r="B726" s="39" t="s">
        <v>1653</v>
      </c>
      <c r="C726" s="39" t="s">
        <v>2644</v>
      </c>
      <c r="D726" s="39">
        <v>23298</v>
      </c>
      <c r="E726" s="39" t="s">
        <v>3206</v>
      </c>
      <c r="F726" s="39" t="s">
        <v>3207</v>
      </c>
      <c r="G726" s="39" t="s">
        <v>115</v>
      </c>
      <c r="H726" s="39" t="s">
        <v>160</v>
      </c>
      <c r="I726" s="39" t="s">
        <v>117</v>
      </c>
      <c r="J726" s="39" t="s">
        <v>141</v>
      </c>
      <c r="K726" s="40">
        <v>46066</v>
      </c>
      <c r="L726" s="40">
        <v>46099</v>
      </c>
      <c r="M726" s="40"/>
      <c r="N726" s="40"/>
      <c r="O726" s="40"/>
      <c r="P726" s="40"/>
      <c r="Q726" s="40"/>
      <c r="R726" s="39" t="s">
        <v>142</v>
      </c>
      <c r="S726" s="39" t="s">
        <v>543</v>
      </c>
      <c r="T726" s="39" t="s">
        <v>177</v>
      </c>
      <c r="U726" s="35" t="s">
        <v>81</v>
      </c>
      <c r="V726" s="39" t="s">
        <v>509</v>
      </c>
      <c r="W726" s="39" t="s">
        <v>123</v>
      </c>
      <c r="X726" s="39">
        <v>1009.55</v>
      </c>
      <c r="Y726" s="39">
        <v>143.97</v>
      </c>
      <c r="Z726" s="39">
        <v>143.97</v>
      </c>
      <c r="AA726" s="39">
        <v>0</v>
      </c>
      <c r="AB726" s="39"/>
      <c r="AC726" s="39">
        <v>0</v>
      </c>
      <c r="AD726" s="39"/>
      <c r="AE726" s="39">
        <v>0</v>
      </c>
      <c r="AF726" s="39"/>
      <c r="AG726" s="39">
        <v>0</v>
      </c>
      <c r="AH726" s="39"/>
      <c r="AI726" s="41">
        <v>0</v>
      </c>
    </row>
    <row r="727" spans="1:35" x14ac:dyDescent="0.25">
      <c r="A727" s="34" t="s">
        <v>110</v>
      </c>
      <c r="B727" s="35" t="s">
        <v>1795</v>
      </c>
      <c r="C727" s="35" t="s">
        <v>2651</v>
      </c>
      <c r="D727" s="35">
        <v>25658</v>
      </c>
      <c r="E727" s="35" t="s">
        <v>3208</v>
      </c>
      <c r="F727" s="35" t="s">
        <v>3209</v>
      </c>
      <c r="G727" s="35" t="s">
        <v>115</v>
      </c>
      <c r="H727" s="35" t="s">
        <v>160</v>
      </c>
      <c r="I727" s="35" t="s">
        <v>117</v>
      </c>
      <c r="J727" s="35" t="s">
        <v>141</v>
      </c>
      <c r="K727" s="36">
        <v>46066</v>
      </c>
      <c r="L727" s="36">
        <v>46082</v>
      </c>
      <c r="M727" s="36"/>
      <c r="N727" s="36"/>
      <c r="O727" s="36"/>
      <c r="P727" s="36"/>
      <c r="Q727" s="36"/>
      <c r="R727" s="35" t="s">
        <v>142</v>
      </c>
      <c r="S727" s="35" t="s">
        <v>543</v>
      </c>
      <c r="T727" s="35" t="s">
        <v>177</v>
      </c>
      <c r="U727" s="35" t="s">
        <v>81</v>
      </c>
      <c r="V727" s="35" t="s">
        <v>509</v>
      </c>
      <c r="W727" s="35" t="s">
        <v>123</v>
      </c>
      <c r="X727" s="35">
        <v>86.42</v>
      </c>
      <c r="Y727" s="35">
        <v>12.23</v>
      </c>
      <c r="Z727" s="35">
        <v>12.23</v>
      </c>
      <c r="AA727" s="35">
        <v>0</v>
      </c>
      <c r="AB727" s="35"/>
      <c r="AC727" s="35">
        <v>0</v>
      </c>
      <c r="AD727" s="35"/>
      <c r="AE727" s="35">
        <v>0</v>
      </c>
      <c r="AF727" s="35"/>
      <c r="AG727" s="35">
        <v>0</v>
      </c>
      <c r="AH727" s="35"/>
      <c r="AI727" s="37">
        <v>0</v>
      </c>
    </row>
    <row r="728" spans="1:35" x14ac:dyDescent="0.25">
      <c r="A728" s="38" t="s">
        <v>110</v>
      </c>
      <c r="B728" s="39" t="s">
        <v>2705</v>
      </c>
      <c r="C728" s="39" t="s">
        <v>2706</v>
      </c>
      <c r="D728" s="39">
        <v>27860</v>
      </c>
      <c r="E728" s="39" t="s">
        <v>3210</v>
      </c>
      <c r="F728" s="39" t="s">
        <v>3211</v>
      </c>
      <c r="G728" s="39" t="s">
        <v>115</v>
      </c>
      <c r="H728" s="39" t="s">
        <v>160</v>
      </c>
      <c r="I728" s="39" t="s">
        <v>117</v>
      </c>
      <c r="J728" s="39" t="s">
        <v>141</v>
      </c>
      <c r="K728" s="40">
        <v>46066</v>
      </c>
      <c r="L728" s="40">
        <v>46089</v>
      </c>
      <c r="M728" s="40"/>
      <c r="N728" s="40"/>
      <c r="O728" s="40"/>
      <c r="P728" s="40"/>
      <c r="Q728" s="40"/>
      <c r="R728" s="39" t="s">
        <v>142</v>
      </c>
      <c r="S728" s="39" t="s">
        <v>543</v>
      </c>
      <c r="T728" s="39" t="s">
        <v>177</v>
      </c>
      <c r="U728" s="35" t="s">
        <v>81</v>
      </c>
      <c r="V728" s="39" t="s">
        <v>509</v>
      </c>
      <c r="W728" s="39" t="s">
        <v>123</v>
      </c>
      <c r="X728" s="39">
        <v>1199.18</v>
      </c>
      <c r="Y728" s="39">
        <v>170.5</v>
      </c>
      <c r="Z728" s="39">
        <v>170.5</v>
      </c>
      <c r="AA728" s="39">
        <v>0</v>
      </c>
      <c r="AB728" s="39"/>
      <c r="AC728" s="39">
        <v>0</v>
      </c>
      <c r="AD728" s="39"/>
      <c r="AE728" s="39">
        <v>0</v>
      </c>
      <c r="AF728" s="39"/>
      <c r="AG728" s="39">
        <v>0</v>
      </c>
      <c r="AH728" s="39"/>
      <c r="AI728" s="41">
        <v>0</v>
      </c>
    </row>
    <row r="729" spans="1:35" x14ac:dyDescent="0.25">
      <c r="A729" s="34" t="s">
        <v>110</v>
      </c>
      <c r="B729" s="35" t="s">
        <v>553</v>
      </c>
      <c r="C729" s="35" t="s">
        <v>554</v>
      </c>
      <c r="D729" s="35">
        <v>30693</v>
      </c>
      <c r="E729" s="35" t="s">
        <v>3212</v>
      </c>
      <c r="F729" s="35" t="s">
        <v>3213</v>
      </c>
      <c r="G729" s="35" t="s">
        <v>115</v>
      </c>
      <c r="H729" s="35" t="s">
        <v>116</v>
      </c>
      <c r="I729" s="35" t="s">
        <v>117</v>
      </c>
      <c r="J729" s="35" t="s">
        <v>141</v>
      </c>
      <c r="K729" s="36">
        <v>46066</v>
      </c>
      <c r="L729" s="36">
        <v>46082</v>
      </c>
      <c r="M729" s="36"/>
      <c r="N729" s="36"/>
      <c r="O729" s="36"/>
      <c r="P729" s="36"/>
      <c r="Q729" s="36"/>
      <c r="R729" s="35" t="s">
        <v>142</v>
      </c>
      <c r="S729" s="35" t="s">
        <v>543</v>
      </c>
      <c r="T729" s="35" t="s">
        <v>177</v>
      </c>
      <c r="U729" s="35" t="s">
        <v>81</v>
      </c>
      <c r="V729" s="35" t="s">
        <v>509</v>
      </c>
      <c r="W729" s="35" t="s">
        <v>123</v>
      </c>
      <c r="X729" s="35">
        <v>737.33</v>
      </c>
      <c r="Y729" s="35">
        <v>104.52</v>
      </c>
      <c r="Z729" s="35">
        <v>104.52</v>
      </c>
      <c r="AA729" s="35">
        <v>0</v>
      </c>
      <c r="AB729" s="35"/>
      <c r="AC729" s="35">
        <v>0</v>
      </c>
      <c r="AD729" s="35"/>
      <c r="AE729" s="35">
        <v>0</v>
      </c>
      <c r="AF729" s="35"/>
      <c r="AG729" s="35">
        <v>0</v>
      </c>
      <c r="AH729" s="35"/>
      <c r="AI729" s="37">
        <v>0</v>
      </c>
    </row>
    <row r="730" spans="1:35" x14ac:dyDescent="0.25">
      <c r="A730" s="38" t="s">
        <v>110</v>
      </c>
      <c r="B730" s="39" t="s">
        <v>2873</v>
      </c>
      <c r="C730" s="39" t="s">
        <v>2896</v>
      </c>
      <c r="D730" s="39">
        <v>30771</v>
      </c>
      <c r="E730" s="39" t="s">
        <v>3214</v>
      </c>
      <c r="F730" s="39" t="s">
        <v>3215</v>
      </c>
      <c r="G730" s="39" t="s">
        <v>115</v>
      </c>
      <c r="H730" s="39" t="s">
        <v>160</v>
      </c>
      <c r="I730" s="39" t="s">
        <v>117</v>
      </c>
      <c r="J730" s="39" t="s">
        <v>141</v>
      </c>
      <c r="K730" s="40">
        <v>46066</v>
      </c>
      <c r="L730" s="40">
        <v>46091</v>
      </c>
      <c r="M730" s="40"/>
      <c r="N730" s="40"/>
      <c r="O730" s="40"/>
      <c r="P730" s="40"/>
      <c r="Q730" s="40"/>
      <c r="R730" s="39" t="s">
        <v>142</v>
      </c>
      <c r="S730" s="39" t="s">
        <v>543</v>
      </c>
      <c r="T730" s="39" t="s">
        <v>177</v>
      </c>
      <c r="U730" s="35" t="s">
        <v>81</v>
      </c>
      <c r="V730" s="39" t="s">
        <v>509</v>
      </c>
      <c r="W730" s="39" t="s">
        <v>123</v>
      </c>
      <c r="X730" s="39">
        <v>3253.4</v>
      </c>
      <c r="Y730" s="39">
        <v>457.39</v>
      </c>
      <c r="Z730" s="39">
        <v>457.39</v>
      </c>
      <c r="AA730" s="39">
        <v>0</v>
      </c>
      <c r="AB730" s="39"/>
      <c r="AC730" s="39">
        <v>0</v>
      </c>
      <c r="AD730" s="39"/>
      <c r="AE730" s="39">
        <v>0</v>
      </c>
      <c r="AF730" s="39"/>
      <c r="AG730" s="39">
        <v>0</v>
      </c>
      <c r="AH730" s="39"/>
      <c r="AI730" s="41">
        <v>0</v>
      </c>
    </row>
    <row r="731" spans="1:35" x14ac:dyDescent="0.25">
      <c r="A731" s="34" t="s">
        <v>110</v>
      </c>
      <c r="B731" s="35" t="s">
        <v>594</v>
      </c>
      <c r="C731" s="35" t="s">
        <v>595</v>
      </c>
      <c r="D731" s="35">
        <v>11613</v>
      </c>
      <c r="E731" s="35" t="s">
        <v>3216</v>
      </c>
      <c r="F731" s="35" t="s">
        <v>3217</v>
      </c>
      <c r="G731" s="35" t="s">
        <v>115</v>
      </c>
      <c r="H731" s="35" t="s">
        <v>116</v>
      </c>
      <c r="I731" s="35" t="s">
        <v>117</v>
      </c>
      <c r="J731" s="35" t="s">
        <v>141</v>
      </c>
      <c r="K731" s="36">
        <v>46066</v>
      </c>
      <c r="L731" s="36">
        <v>46082</v>
      </c>
      <c r="M731" s="36"/>
      <c r="N731" s="36"/>
      <c r="O731" s="36"/>
      <c r="P731" s="36"/>
      <c r="Q731" s="36"/>
      <c r="R731" s="35" t="s">
        <v>187</v>
      </c>
      <c r="S731" s="35" t="s">
        <v>598</v>
      </c>
      <c r="T731" s="35" t="s">
        <v>129</v>
      </c>
      <c r="U731" s="35" t="s">
        <v>90</v>
      </c>
      <c r="V731" s="35" t="s">
        <v>509</v>
      </c>
      <c r="W731" s="35" t="s">
        <v>123</v>
      </c>
      <c r="X731" s="35">
        <v>378.4</v>
      </c>
      <c r="Y731" s="35">
        <v>30.27</v>
      </c>
      <c r="Z731" s="35">
        <v>30.27</v>
      </c>
      <c r="AA731" s="35">
        <v>0</v>
      </c>
      <c r="AB731" s="35"/>
      <c r="AC731" s="35">
        <v>0</v>
      </c>
      <c r="AD731" s="35"/>
      <c r="AE731" s="35">
        <v>0</v>
      </c>
      <c r="AF731" s="35"/>
      <c r="AG731" s="35">
        <v>0</v>
      </c>
      <c r="AH731" s="35"/>
      <c r="AI731" s="37">
        <v>0</v>
      </c>
    </row>
    <row r="732" spans="1:35" x14ac:dyDescent="0.25">
      <c r="A732" s="38" t="s">
        <v>110</v>
      </c>
      <c r="B732" s="39" t="s">
        <v>594</v>
      </c>
      <c r="C732" s="39" t="s">
        <v>599</v>
      </c>
      <c r="D732" s="39">
        <v>11595</v>
      </c>
      <c r="E732" s="39" t="s">
        <v>3218</v>
      </c>
      <c r="F732" s="39" t="s">
        <v>3219</v>
      </c>
      <c r="G732" s="39" t="s">
        <v>115</v>
      </c>
      <c r="H732" s="39" t="s">
        <v>116</v>
      </c>
      <c r="I732" s="39" t="s">
        <v>117</v>
      </c>
      <c r="J732" s="39" t="s">
        <v>141</v>
      </c>
      <c r="K732" s="40">
        <v>46066</v>
      </c>
      <c r="L732" s="40">
        <v>46082</v>
      </c>
      <c r="M732" s="40"/>
      <c r="N732" s="40"/>
      <c r="O732" s="40"/>
      <c r="P732" s="40"/>
      <c r="Q732" s="40"/>
      <c r="R732" s="39" t="s">
        <v>119</v>
      </c>
      <c r="S732" s="39" t="s">
        <v>598</v>
      </c>
      <c r="T732" s="39" t="s">
        <v>129</v>
      </c>
      <c r="U732" s="35" t="s">
        <v>90</v>
      </c>
      <c r="V732" s="39" t="s">
        <v>509</v>
      </c>
      <c r="W732" s="39" t="s">
        <v>123</v>
      </c>
      <c r="X732" s="39">
        <v>301.64999999999998</v>
      </c>
      <c r="Y732" s="39">
        <v>24.13</v>
      </c>
      <c r="Z732" s="39">
        <v>24.13</v>
      </c>
      <c r="AA732" s="39">
        <v>0</v>
      </c>
      <c r="AB732" s="39"/>
      <c r="AC732" s="39">
        <v>0</v>
      </c>
      <c r="AD732" s="39"/>
      <c r="AE732" s="39">
        <v>0</v>
      </c>
      <c r="AF732" s="39"/>
      <c r="AG732" s="39">
        <v>0</v>
      </c>
      <c r="AH732" s="39"/>
      <c r="AI732" s="41">
        <v>0</v>
      </c>
    </row>
    <row r="733" spans="1:35" x14ac:dyDescent="0.25">
      <c r="A733" s="34" t="s">
        <v>110</v>
      </c>
      <c r="B733" s="35" t="s">
        <v>602</v>
      </c>
      <c r="C733" s="35" t="s">
        <v>603</v>
      </c>
      <c r="D733" s="35">
        <v>12891</v>
      </c>
      <c r="E733" s="35" t="s">
        <v>3220</v>
      </c>
      <c r="F733" s="35" t="s">
        <v>3221</v>
      </c>
      <c r="G733" s="35" t="s">
        <v>115</v>
      </c>
      <c r="H733" s="35" t="s">
        <v>116</v>
      </c>
      <c r="I733" s="35" t="s">
        <v>117</v>
      </c>
      <c r="J733" s="35" t="s">
        <v>141</v>
      </c>
      <c r="K733" s="36">
        <v>46066</v>
      </c>
      <c r="L733" s="36">
        <v>46082</v>
      </c>
      <c r="M733" s="36"/>
      <c r="N733" s="36"/>
      <c r="O733" s="36"/>
      <c r="P733" s="36"/>
      <c r="Q733" s="36"/>
      <c r="R733" s="35" t="s">
        <v>119</v>
      </c>
      <c r="S733" s="35" t="s">
        <v>606</v>
      </c>
      <c r="T733" s="35" t="s">
        <v>607</v>
      </c>
      <c r="U733" s="35" t="s">
        <v>89</v>
      </c>
      <c r="V733" s="35" t="s">
        <v>509</v>
      </c>
      <c r="W733" s="35" t="s">
        <v>123</v>
      </c>
      <c r="X733" s="35">
        <v>137.49</v>
      </c>
      <c r="Y733" s="35">
        <v>11</v>
      </c>
      <c r="Z733" s="35">
        <v>11</v>
      </c>
      <c r="AA733" s="35">
        <v>0</v>
      </c>
      <c r="AB733" s="35"/>
      <c r="AC733" s="35">
        <v>0</v>
      </c>
      <c r="AD733" s="35"/>
      <c r="AE733" s="35">
        <v>0</v>
      </c>
      <c r="AF733" s="35"/>
      <c r="AG733" s="35">
        <v>0</v>
      </c>
      <c r="AH733" s="35"/>
      <c r="AI733" s="37">
        <v>0</v>
      </c>
    </row>
    <row r="734" spans="1:35" x14ac:dyDescent="0.25">
      <c r="A734" s="38" t="s">
        <v>110</v>
      </c>
      <c r="B734" s="39" t="s">
        <v>608</v>
      </c>
      <c r="C734" s="39" t="s">
        <v>609</v>
      </c>
      <c r="D734" s="39">
        <v>12895</v>
      </c>
      <c r="E734" s="39" t="s">
        <v>3222</v>
      </c>
      <c r="F734" s="39" t="s">
        <v>3223</v>
      </c>
      <c r="G734" s="39" t="s">
        <v>115</v>
      </c>
      <c r="H734" s="39" t="s">
        <v>116</v>
      </c>
      <c r="I734" s="39" t="s">
        <v>117</v>
      </c>
      <c r="J734" s="39" t="s">
        <v>141</v>
      </c>
      <c r="K734" s="40">
        <v>46066</v>
      </c>
      <c r="L734" s="40">
        <v>46082</v>
      </c>
      <c r="M734" s="40"/>
      <c r="N734" s="40"/>
      <c r="O734" s="40"/>
      <c r="P734" s="40"/>
      <c r="Q734" s="40"/>
      <c r="R734" s="39" t="s">
        <v>119</v>
      </c>
      <c r="S734" s="39" t="s">
        <v>606</v>
      </c>
      <c r="T734" s="39" t="s">
        <v>607</v>
      </c>
      <c r="U734" s="35" t="s">
        <v>89</v>
      </c>
      <c r="V734" s="39" t="s">
        <v>509</v>
      </c>
      <c r="W734" s="39" t="s">
        <v>123</v>
      </c>
      <c r="X734" s="39">
        <v>252.12</v>
      </c>
      <c r="Y734" s="39">
        <v>20.170000000000002</v>
      </c>
      <c r="Z734" s="39">
        <v>20.170000000000002</v>
      </c>
      <c r="AA734" s="39">
        <v>0</v>
      </c>
      <c r="AB734" s="39"/>
      <c r="AC734" s="39">
        <v>0</v>
      </c>
      <c r="AD734" s="39"/>
      <c r="AE734" s="39">
        <v>0</v>
      </c>
      <c r="AF734" s="39"/>
      <c r="AG734" s="39">
        <v>0</v>
      </c>
      <c r="AH734" s="39"/>
      <c r="AI734" s="41">
        <v>0</v>
      </c>
    </row>
    <row r="735" spans="1:35" x14ac:dyDescent="0.25">
      <c r="A735" s="34" t="s">
        <v>110</v>
      </c>
      <c r="B735" s="35" t="s">
        <v>612</v>
      </c>
      <c r="C735" s="35" t="s">
        <v>613</v>
      </c>
      <c r="D735" s="35">
        <v>13082</v>
      </c>
      <c r="E735" s="35" t="s">
        <v>3224</v>
      </c>
      <c r="F735" s="35" t="s">
        <v>3225</v>
      </c>
      <c r="G735" s="35" t="s">
        <v>115</v>
      </c>
      <c r="H735" s="35" t="s">
        <v>116</v>
      </c>
      <c r="I735" s="35" t="s">
        <v>117</v>
      </c>
      <c r="J735" s="35" t="s">
        <v>141</v>
      </c>
      <c r="K735" s="36">
        <v>46066</v>
      </c>
      <c r="L735" s="36">
        <v>46082</v>
      </c>
      <c r="M735" s="36"/>
      <c r="N735" s="36"/>
      <c r="O735" s="36"/>
      <c r="P735" s="36"/>
      <c r="Q735" s="36"/>
      <c r="R735" s="35" t="s">
        <v>119</v>
      </c>
      <c r="S735" s="35" t="s">
        <v>606</v>
      </c>
      <c r="T735" s="35" t="s">
        <v>607</v>
      </c>
      <c r="U735" s="35" t="s">
        <v>89</v>
      </c>
      <c r="V735" s="35" t="s">
        <v>509</v>
      </c>
      <c r="W735" s="35" t="s">
        <v>123</v>
      </c>
      <c r="X735" s="35">
        <v>119.69</v>
      </c>
      <c r="Y735" s="35">
        <v>4.79</v>
      </c>
      <c r="Z735" s="35">
        <v>4.79</v>
      </c>
      <c r="AA735" s="35">
        <v>0</v>
      </c>
      <c r="AB735" s="35"/>
      <c r="AC735" s="35">
        <v>0</v>
      </c>
      <c r="AD735" s="35"/>
      <c r="AE735" s="35">
        <v>0</v>
      </c>
      <c r="AF735" s="35"/>
      <c r="AG735" s="35">
        <v>0</v>
      </c>
      <c r="AH735" s="35"/>
      <c r="AI735" s="37">
        <v>0</v>
      </c>
    </row>
    <row r="736" spans="1:35" x14ac:dyDescent="0.25">
      <c r="A736" s="38" t="s">
        <v>110</v>
      </c>
      <c r="B736" s="39" t="s">
        <v>616</v>
      </c>
      <c r="C736" s="39" t="s">
        <v>617</v>
      </c>
      <c r="D736" s="39">
        <v>13177</v>
      </c>
      <c r="E736" s="39" t="s">
        <v>3226</v>
      </c>
      <c r="F736" s="39" t="s">
        <v>3227</v>
      </c>
      <c r="G736" s="39" t="s">
        <v>115</v>
      </c>
      <c r="H736" s="39" t="s">
        <v>116</v>
      </c>
      <c r="I736" s="39" t="s">
        <v>117</v>
      </c>
      <c r="J736" s="39" t="s">
        <v>141</v>
      </c>
      <c r="K736" s="40">
        <v>46066</v>
      </c>
      <c r="L736" s="40">
        <v>46082</v>
      </c>
      <c r="M736" s="40"/>
      <c r="N736" s="40"/>
      <c r="O736" s="40"/>
      <c r="P736" s="40"/>
      <c r="Q736" s="40"/>
      <c r="R736" s="39" t="s">
        <v>119</v>
      </c>
      <c r="S736" s="39" t="s">
        <v>606</v>
      </c>
      <c r="T736" s="39" t="s">
        <v>607</v>
      </c>
      <c r="U736" s="35" t="s">
        <v>89</v>
      </c>
      <c r="V736" s="39" t="s">
        <v>509</v>
      </c>
      <c r="W736" s="39" t="s">
        <v>123</v>
      </c>
      <c r="X736" s="39">
        <v>164.45</v>
      </c>
      <c r="Y736" s="39">
        <v>13.16</v>
      </c>
      <c r="Z736" s="39">
        <v>13.16</v>
      </c>
      <c r="AA736" s="39">
        <v>0</v>
      </c>
      <c r="AB736" s="39"/>
      <c r="AC736" s="39">
        <v>0</v>
      </c>
      <c r="AD736" s="39"/>
      <c r="AE736" s="39">
        <v>0</v>
      </c>
      <c r="AF736" s="39"/>
      <c r="AG736" s="39">
        <v>0</v>
      </c>
      <c r="AH736" s="39"/>
      <c r="AI736" s="41">
        <v>0</v>
      </c>
    </row>
    <row r="737" spans="1:35" x14ac:dyDescent="0.25">
      <c r="A737" s="34" t="s">
        <v>110</v>
      </c>
      <c r="B737" s="35" t="s">
        <v>620</v>
      </c>
      <c r="C737" s="35" t="s">
        <v>621</v>
      </c>
      <c r="D737" s="35">
        <v>13423</v>
      </c>
      <c r="E737" s="35" t="s">
        <v>3228</v>
      </c>
      <c r="F737" s="35" t="s">
        <v>3229</v>
      </c>
      <c r="G737" s="35" t="s">
        <v>115</v>
      </c>
      <c r="H737" s="35" t="s">
        <v>116</v>
      </c>
      <c r="I737" s="35" t="s">
        <v>117</v>
      </c>
      <c r="J737" s="35" t="s">
        <v>141</v>
      </c>
      <c r="K737" s="36">
        <v>46066</v>
      </c>
      <c r="L737" s="36">
        <v>46082</v>
      </c>
      <c r="M737" s="36"/>
      <c r="N737" s="36"/>
      <c r="O737" s="36"/>
      <c r="P737" s="36"/>
      <c r="Q737" s="36"/>
      <c r="R737" s="35" t="s">
        <v>119</v>
      </c>
      <c r="S737" s="35" t="s">
        <v>606</v>
      </c>
      <c r="T737" s="35" t="s">
        <v>607</v>
      </c>
      <c r="U737" s="35" t="s">
        <v>89</v>
      </c>
      <c r="V737" s="35" t="s">
        <v>509</v>
      </c>
      <c r="W737" s="35" t="s">
        <v>123</v>
      </c>
      <c r="X737" s="35">
        <v>181.52</v>
      </c>
      <c r="Y737" s="35">
        <v>14.52</v>
      </c>
      <c r="Z737" s="35">
        <v>14.52</v>
      </c>
      <c r="AA737" s="35">
        <v>0</v>
      </c>
      <c r="AB737" s="35"/>
      <c r="AC737" s="35">
        <v>0</v>
      </c>
      <c r="AD737" s="35"/>
      <c r="AE737" s="35">
        <v>0</v>
      </c>
      <c r="AF737" s="35"/>
      <c r="AG737" s="35">
        <v>0</v>
      </c>
      <c r="AH737" s="35"/>
      <c r="AI737" s="37">
        <v>0</v>
      </c>
    </row>
    <row r="738" spans="1:35" x14ac:dyDescent="0.25">
      <c r="A738" s="38" t="s">
        <v>110</v>
      </c>
      <c r="B738" s="39" t="s">
        <v>624</v>
      </c>
      <c r="C738" s="39" t="s">
        <v>625</v>
      </c>
      <c r="D738" s="39">
        <v>13485</v>
      </c>
      <c r="E738" s="39" t="s">
        <v>3230</v>
      </c>
      <c r="F738" s="39" t="s">
        <v>3231</v>
      </c>
      <c r="G738" s="39" t="s">
        <v>115</v>
      </c>
      <c r="H738" s="39" t="s">
        <v>116</v>
      </c>
      <c r="I738" s="39" t="s">
        <v>117</v>
      </c>
      <c r="J738" s="39" t="s">
        <v>141</v>
      </c>
      <c r="K738" s="40">
        <v>46066</v>
      </c>
      <c r="L738" s="40">
        <v>46082</v>
      </c>
      <c r="M738" s="40"/>
      <c r="N738" s="40"/>
      <c r="O738" s="40"/>
      <c r="P738" s="40"/>
      <c r="Q738" s="40"/>
      <c r="R738" s="39" t="s">
        <v>119</v>
      </c>
      <c r="S738" s="39" t="s">
        <v>606</v>
      </c>
      <c r="T738" s="39" t="s">
        <v>607</v>
      </c>
      <c r="U738" s="35" t="s">
        <v>89</v>
      </c>
      <c r="V738" s="39" t="s">
        <v>509</v>
      </c>
      <c r="W738" s="39" t="s">
        <v>123</v>
      </c>
      <c r="X738" s="39">
        <v>100.66</v>
      </c>
      <c r="Y738" s="39">
        <v>8.0500000000000007</v>
      </c>
      <c r="Z738" s="39">
        <v>8.0500000000000007</v>
      </c>
      <c r="AA738" s="39">
        <v>0</v>
      </c>
      <c r="AB738" s="39"/>
      <c r="AC738" s="39">
        <v>0</v>
      </c>
      <c r="AD738" s="39"/>
      <c r="AE738" s="39">
        <v>0</v>
      </c>
      <c r="AF738" s="39"/>
      <c r="AG738" s="39">
        <v>0</v>
      </c>
      <c r="AH738" s="39"/>
      <c r="AI738" s="41">
        <v>0</v>
      </c>
    </row>
    <row r="739" spans="1:35" x14ac:dyDescent="0.25">
      <c r="A739" s="34" t="s">
        <v>110</v>
      </c>
      <c r="B739" s="35" t="s">
        <v>628</v>
      </c>
      <c r="C739" s="35" t="s">
        <v>629</v>
      </c>
      <c r="D739" s="35">
        <v>13555</v>
      </c>
      <c r="E739" s="35" t="s">
        <v>3232</v>
      </c>
      <c r="F739" s="35" t="s">
        <v>3233</v>
      </c>
      <c r="G739" s="35" t="s">
        <v>115</v>
      </c>
      <c r="H739" s="35" t="s">
        <v>116</v>
      </c>
      <c r="I739" s="35" t="s">
        <v>117</v>
      </c>
      <c r="J739" s="35" t="s">
        <v>141</v>
      </c>
      <c r="K739" s="36">
        <v>46066</v>
      </c>
      <c r="L739" s="36">
        <v>46082</v>
      </c>
      <c r="M739" s="36"/>
      <c r="N739" s="36"/>
      <c r="O739" s="36"/>
      <c r="P739" s="36"/>
      <c r="Q739" s="36"/>
      <c r="R739" s="35" t="s">
        <v>119</v>
      </c>
      <c r="S739" s="35" t="s">
        <v>598</v>
      </c>
      <c r="T739" s="35" t="s">
        <v>129</v>
      </c>
      <c r="U739" s="35" t="s">
        <v>90</v>
      </c>
      <c r="V739" s="35" t="s">
        <v>509</v>
      </c>
      <c r="W739" s="35" t="s">
        <v>123</v>
      </c>
      <c r="X739" s="35">
        <v>58.77</v>
      </c>
      <c r="Y739" s="35">
        <v>4.7</v>
      </c>
      <c r="Z739" s="35">
        <v>4.7</v>
      </c>
      <c r="AA739" s="35">
        <v>0</v>
      </c>
      <c r="AB739" s="35"/>
      <c r="AC739" s="35">
        <v>0</v>
      </c>
      <c r="AD739" s="35"/>
      <c r="AE739" s="35">
        <v>0</v>
      </c>
      <c r="AF739" s="35"/>
      <c r="AG739" s="35">
        <v>0</v>
      </c>
      <c r="AH739" s="35"/>
      <c r="AI739" s="37">
        <v>0</v>
      </c>
    </row>
    <row r="740" spans="1:35" x14ac:dyDescent="0.25">
      <c r="A740" s="38" t="s">
        <v>110</v>
      </c>
      <c r="B740" s="39" t="s">
        <v>632</v>
      </c>
      <c r="C740" s="39" t="s">
        <v>633</v>
      </c>
      <c r="D740" s="39">
        <v>14121</v>
      </c>
      <c r="E740" s="39" t="s">
        <v>3234</v>
      </c>
      <c r="F740" s="39" t="s">
        <v>3235</v>
      </c>
      <c r="G740" s="39" t="s">
        <v>115</v>
      </c>
      <c r="H740" s="39" t="s">
        <v>116</v>
      </c>
      <c r="I740" s="39" t="s">
        <v>117</v>
      </c>
      <c r="J740" s="39" t="s">
        <v>141</v>
      </c>
      <c r="K740" s="40">
        <v>46066</v>
      </c>
      <c r="L740" s="40">
        <v>46082</v>
      </c>
      <c r="M740" s="40"/>
      <c r="N740" s="40"/>
      <c r="O740" s="40"/>
      <c r="P740" s="40"/>
      <c r="Q740" s="40"/>
      <c r="R740" s="39" t="s">
        <v>119</v>
      </c>
      <c r="S740" s="39" t="s">
        <v>598</v>
      </c>
      <c r="T740" s="39" t="s">
        <v>129</v>
      </c>
      <c r="U740" s="35" t="s">
        <v>90</v>
      </c>
      <c r="V740" s="39" t="s">
        <v>509</v>
      </c>
      <c r="W740" s="39" t="s">
        <v>123</v>
      </c>
      <c r="X740" s="39">
        <v>191.65</v>
      </c>
      <c r="Y740" s="39">
        <v>15.33</v>
      </c>
      <c r="Z740" s="39">
        <v>15.33</v>
      </c>
      <c r="AA740" s="39">
        <v>0</v>
      </c>
      <c r="AB740" s="39"/>
      <c r="AC740" s="39">
        <v>0</v>
      </c>
      <c r="AD740" s="39"/>
      <c r="AE740" s="39">
        <v>0</v>
      </c>
      <c r="AF740" s="39"/>
      <c r="AG740" s="39">
        <v>0</v>
      </c>
      <c r="AH740" s="39"/>
      <c r="AI740" s="41">
        <v>0</v>
      </c>
    </row>
    <row r="741" spans="1:35" x14ac:dyDescent="0.25">
      <c r="A741" s="34" t="s">
        <v>110</v>
      </c>
      <c r="B741" s="35" t="s">
        <v>636</v>
      </c>
      <c r="C741" s="35" t="s">
        <v>637</v>
      </c>
      <c r="D741" s="35">
        <v>14287</v>
      </c>
      <c r="E741" s="35" t="s">
        <v>3236</v>
      </c>
      <c r="F741" s="35" t="s">
        <v>3237</v>
      </c>
      <c r="G741" s="35" t="s">
        <v>115</v>
      </c>
      <c r="H741" s="35" t="s">
        <v>116</v>
      </c>
      <c r="I741" s="35" t="s">
        <v>117</v>
      </c>
      <c r="J741" s="35" t="s">
        <v>141</v>
      </c>
      <c r="K741" s="36">
        <v>46066</v>
      </c>
      <c r="L741" s="36">
        <v>46082</v>
      </c>
      <c r="M741" s="36"/>
      <c r="N741" s="36"/>
      <c r="O741" s="36"/>
      <c r="P741" s="36"/>
      <c r="Q741" s="36"/>
      <c r="R741" s="35" t="s">
        <v>119</v>
      </c>
      <c r="S741" s="35" t="s">
        <v>598</v>
      </c>
      <c r="T741" s="35" t="s">
        <v>129</v>
      </c>
      <c r="U741" s="35" t="s">
        <v>90</v>
      </c>
      <c r="V741" s="35" t="s">
        <v>509</v>
      </c>
      <c r="W741" s="35" t="s">
        <v>123</v>
      </c>
      <c r="X741" s="35">
        <v>251.68</v>
      </c>
      <c r="Y741" s="35">
        <v>20.13</v>
      </c>
      <c r="Z741" s="35">
        <v>20.13</v>
      </c>
      <c r="AA741" s="35">
        <v>0</v>
      </c>
      <c r="AB741" s="35"/>
      <c r="AC741" s="35">
        <v>0</v>
      </c>
      <c r="AD741" s="35"/>
      <c r="AE741" s="35">
        <v>0</v>
      </c>
      <c r="AF741" s="35"/>
      <c r="AG741" s="35">
        <v>0</v>
      </c>
      <c r="AH741" s="35"/>
      <c r="AI741" s="37">
        <v>0</v>
      </c>
    </row>
    <row r="742" spans="1:35" x14ac:dyDescent="0.25">
      <c r="A742" s="38" t="s">
        <v>110</v>
      </c>
      <c r="B742" s="39" t="s">
        <v>640</v>
      </c>
      <c r="C742" s="39" t="s">
        <v>641</v>
      </c>
      <c r="D742" s="39">
        <v>14584</v>
      </c>
      <c r="E742" s="39" t="s">
        <v>3238</v>
      </c>
      <c r="F742" s="39" t="s">
        <v>3239</v>
      </c>
      <c r="G742" s="39" t="s">
        <v>115</v>
      </c>
      <c r="H742" s="39" t="s">
        <v>116</v>
      </c>
      <c r="I742" s="39" t="s">
        <v>117</v>
      </c>
      <c r="J742" s="39" t="s">
        <v>141</v>
      </c>
      <c r="K742" s="40">
        <v>46066</v>
      </c>
      <c r="L742" s="40">
        <v>46082</v>
      </c>
      <c r="M742" s="40"/>
      <c r="N742" s="40"/>
      <c r="O742" s="40"/>
      <c r="P742" s="40"/>
      <c r="Q742" s="40"/>
      <c r="R742" s="39" t="s">
        <v>119</v>
      </c>
      <c r="S742" s="39" t="s">
        <v>598</v>
      </c>
      <c r="T742" s="39" t="s">
        <v>129</v>
      </c>
      <c r="U742" s="35" t="s">
        <v>90</v>
      </c>
      <c r="V742" s="39" t="s">
        <v>509</v>
      </c>
      <c r="W742" s="39" t="s">
        <v>123</v>
      </c>
      <c r="X742" s="39">
        <v>439.45</v>
      </c>
      <c r="Y742" s="39">
        <v>35.159999999999997</v>
      </c>
      <c r="Z742" s="39">
        <v>35.159999999999997</v>
      </c>
      <c r="AA742" s="39">
        <v>0</v>
      </c>
      <c r="AB742" s="39"/>
      <c r="AC742" s="39">
        <v>0</v>
      </c>
      <c r="AD742" s="39"/>
      <c r="AE742" s="39">
        <v>0</v>
      </c>
      <c r="AF742" s="39"/>
      <c r="AG742" s="39">
        <v>0</v>
      </c>
      <c r="AH742" s="39"/>
      <c r="AI742" s="41">
        <v>0</v>
      </c>
    </row>
    <row r="743" spans="1:35" x14ac:dyDescent="0.25">
      <c r="A743" s="34" t="s">
        <v>110</v>
      </c>
      <c r="B743" s="35" t="s">
        <v>644</v>
      </c>
      <c r="C743" s="35" t="s">
        <v>645</v>
      </c>
      <c r="D743" s="35">
        <v>15342</v>
      </c>
      <c r="E743" s="35" t="s">
        <v>3240</v>
      </c>
      <c r="F743" s="35" t="s">
        <v>3241</v>
      </c>
      <c r="G743" s="35" t="s">
        <v>115</v>
      </c>
      <c r="H743" s="35" t="s">
        <v>116</v>
      </c>
      <c r="I743" s="35" t="s">
        <v>117</v>
      </c>
      <c r="J743" s="35" t="s">
        <v>141</v>
      </c>
      <c r="K743" s="36">
        <v>46066</v>
      </c>
      <c r="L743" s="36">
        <v>46082</v>
      </c>
      <c r="M743" s="36"/>
      <c r="N743" s="36"/>
      <c r="O743" s="36"/>
      <c r="P743" s="36"/>
      <c r="Q743" s="36"/>
      <c r="R743" s="35" t="s">
        <v>119</v>
      </c>
      <c r="S743" s="35" t="s">
        <v>598</v>
      </c>
      <c r="T743" s="35" t="s">
        <v>129</v>
      </c>
      <c r="U743" s="35" t="s">
        <v>90</v>
      </c>
      <c r="V743" s="35" t="s">
        <v>509</v>
      </c>
      <c r="W743" s="35" t="s">
        <v>123</v>
      </c>
      <c r="X743" s="35">
        <v>152.37</v>
      </c>
      <c r="Y743" s="35">
        <v>12.19</v>
      </c>
      <c r="Z743" s="35">
        <v>12.19</v>
      </c>
      <c r="AA743" s="35">
        <v>0</v>
      </c>
      <c r="AB743" s="35"/>
      <c r="AC743" s="35">
        <v>0</v>
      </c>
      <c r="AD743" s="35"/>
      <c r="AE743" s="35">
        <v>0</v>
      </c>
      <c r="AF743" s="35"/>
      <c r="AG743" s="35">
        <v>0</v>
      </c>
      <c r="AH743" s="35"/>
      <c r="AI743" s="37">
        <v>0</v>
      </c>
    </row>
    <row r="744" spans="1:35" x14ac:dyDescent="0.25">
      <c r="A744" s="38" t="s">
        <v>110</v>
      </c>
      <c r="B744" s="39" t="s">
        <v>648</v>
      </c>
      <c r="C744" s="39" t="s">
        <v>649</v>
      </c>
      <c r="D744" s="39">
        <v>17453</v>
      </c>
      <c r="E744" s="39" t="s">
        <v>3242</v>
      </c>
      <c r="F744" s="39" t="s">
        <v>3243</v>
      </c>
      <c r="G744" s="39" t="s">
        <v>115</v>
      </c>
      <c r="H744" s="39" t="s">
        <v>116</v>
      </c>
      <c r="I744" s="39" t="s">
        <v>117</v>
      </c>
      <c r="J744" s="39" t="s">
        <v>141</v>
      </c>
      <c r="K744" s="40">
        <v>46066</v>
      </c>
      <c r="L744" s="40">
        <v>46082</v>
      </c>
      <c r="M744" s="40"/>
      <c r="N744" s="40"/>
      <c r="O744" s="40"/>
      <c r="P744" s="40"/>
      <c r="Q744" s="40"/>
      <c r="R744" s="39" t="s">
        <v>119</v>
      </c>
      <c r="S744" s="39" t="s">
        <v>598</v>
      </c>
      <c r="T744" s="39" t="s">
        <v>129</v>
      </c>
      <c r="U744" s="35" t="s">
        <v>90</v>
      </c>
      <c r="V744" s="39" t="s">
        <v>509</v>
      </c>
      <c r="W744" s="39" t="s">
        <v>123</v>
      </c>
      <c r="X744" s="39">
        <v>139.96</v>
      </c>
      <c r="Y744" s="39">
        <v>11.2</v>
      </c>
      <c r="Z744" s="39">
        <v>11.2</v>
      </c>
      <c r="AA744" s="39">
        <v>0</v>
      </c>
      <c r="AB744" s="39"/>
      <c r="AC744" s="39">
        <v>0</v>
      </c>
      <c r="AD744" s="39"/>
      <c r="AE744" s="39">
        <v>0</v>
      </c>
      <c r="AF744" s="39"/>
      <c r="AG744" s="39">
        <v>0</v>
      </c>
      <c r="AH744" s="39"/>
      <c r="AI744" s="41">
        <v>0</v>
      </c>
    </row>
    <row r="745" spans="1:35" x14ac:dyDescent="0.25">
      <c r="A745" s="34" t="s">
        <v>110</v>
      </c>
      <c r="B745" s="35" t="s">
        <v>652</v>
      </c>
      <c r="C745" s="35" t="s">
        <v>653</v>
      </c>
      <c r="D745" s="35">
        <v>17703</v>
      </c>
      <c r="E745" s="35" t="s">
        <v>3244</v>
      </c>
      <c r="F745" s="35" t="s">
        <v>3245</v>
      </c>
      <c r="G745" s="35" t="s">
        <v>115</v>
      </c>
      <c r="H745" s="35" t="s">
        <v>116</v>
      </c>
      <c r="I745" s="35" t="s">
        <v>117</v>
      </c>
      <c r="J745" s="35" t="s">
        <v>141</v>
      </c>
      <c r="K745" s="36">
        <v>46066</v>
      </c>
      <c r="L745" s="36">
        <v>46082</v>
      </c>
      <c r="M745" s="36"/>
      <c r="N745" s="36"/>
      <c r="O745" s="36"/>
      <c r="P745" s="36"/>
      <c r="Q745" s="36"/>
      <c r="R745" s="35" t="s">
        <v>119</v>
      </c>
      <c r="S745" s="35" t="s">
        <v>598</v>
      </c>
      <c r="T745" s="35" t="s">
        <v>129</v>
      </c>
      <c r="U745" s="35" t="s">
        <v>90</v>
      </c>
      <c r="V745" s="35" t="s">
        <v>509</v>
      </c>
      <c r="W745" s="35" t="s">
        <v>123</v>
      </c>
      <c r="X745" s="35">
        <v>153.18</v>
      </c>
      <c r="Y745" s="35">
        <v>12.25</v>
      </c>
      <c r="Z745" s="35">
        <v>12.25</v>
      </c>
      <c r="AA745" s="35">
        <v>0</v>
      </c>
      <c r="AB745" s="35"/>
      <c r="AC745" s="35">
        <v>0</v>
      </c>
      <c r="AD745" s="35"/>
      <c r="AE745" s="35">
        <v>0</v>
      </c>
      <c r="AF745" s="35"/>
      <c r="AG745" s="35">
        <v>0</v>
      </c>
      <c r="AH745" s="35"/>
      <c r="AI745" s="37">
        <v>0</v>
      </c>
    </row>
    <row r="746" spans="1:35" x14ac:dyDescent="0.25">
      <c r="A746" s="38" t="s">
        <v>110</v>
      </c>
      <c r="B746" s="39" t="s">
        <v>656</v>
      </c>
      <c r="C746" s="39" t="s">
        <v>657</v>
      </c>
      <c r="D746" s="39">
        <v>23580</v>
      </c>
      <c r="E746" s="39" t="s">
        <v>3246</v>
      </c>
      <c r="F746" s="39" t="s">
        <v>3247</v>
      </c>
      <c r="G746" s="39" t="s">
        <v>115</v>
      </c>
      <c r="H746" s="39" t="s">
        <v>116</v>
      </c>
      <c r="I746" s="39" t="s">
        <v>117</v>
      </c>
      <c r="J746" s="39" t="s">
        <v>141</v>
      </c>
      <c r="K746" s="40">
        <v>46066</v>
      </c>
      <c r="L746" s="40">
        <v>46082</v>
      </c>
      <c r="M746" s="40"/>
      <c r="N746" s="40"/>
      <c r="O746" s="40"/>
      <c r="P746" s="40"/>
      <c r="Q746" s="40"/>
      <c r="R746" s="39" t="s">
        <v>119</v>
      </c>
      <c r="S746" s="39" t="s">
        <v>598</v>
      </c>
      <c r="T746" s="39" t="s">
        <v>129</v>
      </c>
      <c r="U746" s="35" t="s">
        <v>90</v>
      </c>
      <c r="V746" s="39" t="s">
        <v>509</v>
      </c>
      <c r="W746" s="39" t="s">
        <v>123</v>
      </c>
      <c r="X746" s="39">
        <v>85.29</v>
      </c>
      <c r="Y746" s="39">
        <v>6.82</v>
      </c>
      <c r="Z746" s="39">
        <v>6.82</v>
      </c>
      <c r="AA746" s="39">
        <v>0</v>
      </c>
      <c r="AB746" s="39"/>
      <c r="AC746" s="39">
        <v>0</v>
      </c>
      <c r="AD746" s="39"/>
      <c r="AE746" s="39">
        <v>0</v>
      </c>
      <c r="AF746" s="39"/>
      <c r="AG746" s="39">
        <v>0</v>
      </c>
      <c r="AH746" s="39"/>
      <c r="AI746" s="41">
        <v>0</v>
      </c>
    </row>
    <row r="747" spans="1:35" x14ac:dyDescent="0.25">
      <c r="A747" s="34" t="s">
        <v>110</v>
      </c>
      <c r="B747" s="35" t="s">
        <v>660</v>
      </c>
      <c r="C747" s="35" t="s">
        <v>661</v>
      </c>
      <c r="D747" s="35">
        <v>23974</v>
      </c>
      <c r="E747" s="35" t="s">
        <v>3248</v>
      </c>
      <c r="F747" s="35" t="s">
        <v>3249</v>
      </c>
      <c r="G747" s="35" t="s">
        <v>115</v>
      </c>
      <c r="H747" s="35" t="s">
        <v>116</v>
      </c>
      <c r="I747" s="35" t="s">
        <v>117</v>
      </c>
      <c r="J747" s="35" t="s">
        <v>141</v>
      </c>
      <c r="K747" s="36">
        <v>46066</v>
      </c>
      <c r="L747" s="36">
        <v>46082</v>
      </c>
      <c r="M747" s="36"/>
      <c r="N747" s="36"/>
      <c r="O747" s="36"/>
      <c r="P747" s="36"/>
      <c r="Q747" s="36"/>
      <c r="R747" s="35" t="s">
        <v>119</v>
      </c>
      <c r="S747" s="35" t="s">
        <v>598</v>
      </c>
      <c r="T747" s="35" t="s">
        <v>129</v>
      </c>
      <c r="U747" s="35" t="s">
        <v>90</v>
      </c>
      <c r="V747" s="35" t="s">
        <v>509</v>
      </c>
      <c r="W747" s="35" t="s">
        <v>123</v>
      </c>
      <c r="X747" s="35">
        <v>138.86000000000001</v>
      </c>
      <c r="Y747" s="35">
        <v>11.11</v>
      </c>
      <c r="Z747" s="35">
        <v>11.11</v>
      </c>
      <c r="AA747" s="35">
        <v>0</v>
      </c>
      <c r="AB747" s="35"/>
      <c r="AC747" s="35">
        <v>0</v>
      </c>
      <c r="AD747" s="35"/>
      <c r="AE747" s="35">
        <v>0</v>
      </c>
      <c r="AF747" s="35"/>
      <c r="AG747" s="35">
        <v>0</v>
      </c>
      <c r="AH747" s="35"/>
      <c r="AI747" s="37">
        <v>0</v>
      </c>
    </row>
    <row r="748" spans="1:35" x14ac:dyDescent="0.25">
      <c r="A748" s="38" t="s">
        <v>110</v>
      </c>
      <c r="B748" s="39" t="s">
        <v>2479</v>
      </c>
      <c r="C748" s="39" t="s">
        <v>2537</v>
      </c>
      <c r="D748" s="39">
        <v>439</v>
      </c>
      <c r="E748" s="39" t="s">
        <v>3250</v>
      </c>
      <c r="F748" s="39" t="s">
        <v>3251</v>
      </c>
      <c r="G748" s="39" t="s">
        <v>115</v>
      </c>
      <c r="H748" s="39" t="s">
        <v>160</v>
      </c>
      <c r="I748" s="39" t="s">
        <v>117</v>
      </c>
      <c r="J748" s="39" t="s">
        <v>141</v>
      </c>
      <c r="K748" s="40">
        <v>46066</v>
      </c>
      <c r="L748" s="40">
        <v>46104</v>
      </c>
      <c r="M748" s="40"/>
      <c r="N748" s="40"/>
      <c r="O748" s="40"/>
      <c r="P748" s="40"/>
      <c r="Q748" s="40"/>
      <c r="R748" s="39" t="s">
        <v>142</v>
      </c>
      <c r="S748" s="39" t="s">
        <v>679</v>
      </c>
      <c r="T748" s="39" t="s">
        <v>151</v>
      </c>
      <c r="U748" s="35" t="s">
        <v>90</v>
      </c>
      <c r="V748" s="39" t="s">
        <v>509</v>
      </c>
      <c r="W748" s="39" t="s">
        <v>123</v>
      </c>
      <c r="X748" s="39">
        <v>83.56</v>
      </c>
      <c r="Y748" s="39">
        <v>21.92</v>
      </c>
      <c r="Z748" s="39">
        <v>21.92</v>
      </c>
      <c r="AA748" s="39">
        <v>0</v>
      </c>
      <c r="AB748" s="39"/>
      <c r="AC748" s="39">
        <v>0</v>
      </c>
      <c r="AD748" s="39"/>
      <c r="AE748" s="39">
        <v>0</v>
      </c>
      <c r="AF748" s="39"/>
      <c r="AG748" s="39">
        <v>0</v>
      </c>
      <c r="AH748" s="39"/>
      <c r="AI748" s="41">
        <v>0</v>
      </c>
    </row>
    <row r="749" spans="1:35" x14ac:dyDescent="0.25">
      <c r="A749" s="34" t="s">
        <v>110</v>
      </c>
      <c r="B749" s="35" t="s">
        <v>504</v>
      </c>
      <c r="C749" s="35" t="s">
        <v>676</v>
      </c>
      <c r="D749" s="35">
        <v>8170</v>
      </c>
      <c r="E749" s="35" t="s">
        <v>3252</v>
      </c>
      <c r="F749" s="35" t="s">
        <v>3253</v>
      </c>
      <c r="G749" s="35" t="s">
        <v>115</v>
      </c>
      <c r="H749" s="35" t="s">
        <v>160</v>
      </c>
      <c r="I749" s="35" t="s">
        <v>117</v>
      </c>
      <c r="J749" s="35" t="s">
        <v>141</v>
      </c>
      <c r="K749" s="36">
        <v>46066</v>
      </c>
      <c r="L749" s="36">
        <v>46090</v>
      </c>
      <c r="M749" s="36"/>
      <c r="N749" s="36"/>
      <c r="O749" s="36"/>
      <c r="P749" s="36"/>
      <c r="Q749" s="36"/>
      <c r="R749" s="35" t="s">
        <v>119</v>
      </c>
      <c r="S749" s="35" t="s">
        <v>679</v>
      </c>
      <c r="T749" s="35" t="s">
        <v>151</v>
      </c>
      <c r="U749" s="35" t="s">
        <v>90</v>
      </c>
      <c r="V749" s="35" t="s">
        <v>509</v>
      </c>
      <c r="W749" s="35" t="s">
        <v>123</v>
      </c>
      <c r="X749" s="35">
        <v>28.82</v>
      </c>
      <c r="Y749" s="35">
        <v>8.64</v>
      </c>
      <c r="Z749" s="35">
        <v>8.64</v>
      </c>
      <c r="AA749" s="35">
        <v>0</v>
      </c>
      <c r="AB749" s="35"/>
      <c r="AC749" s="35">
        <v>0</v>
      </c>
      <c r="AD749" s="35"/>
      <c r="AE749" s="35">
        <v>0</v>
      </c>
      <c r="AF749" s="35"/>
      <c r="AG749" s="35">
        <v>0</v>
      </c>
      <c r="AH749" s="35"/>
      <c r="AI749" s="37">
        <v>0</v>
      </c>
    </row>
    <row r="750" spans="1:35" x14ac:dyDescent="0.25">
      <c r="A750" s="38" t="s">
        <v>110</v>
      </c>
      <c r="B750" s="39" t="s">
        <v>2482</v>
      </c>
      <c r="C750" s="39" t="s">
        <v>2534</v>
      </c>
      <c r="D750" s="39">
        <v>16930</v>
      </c>
      <c r="E750" s="39" t="s">
        <v>3254</v>
      </c>
      <c r="F750" s="39" t="s">
        <v>3255</v>
      </c>
      <c r="G750" s="39" t="s">
        <v>115</v>
      </c>
      <c r="H750" s="39" t="s">
        <v>160</v>
      </c>
      <c r="I750" s="39" t="s">
        <v>117</v>
      </c>
      <c r="J750" s="39" t="s">
        <v>118</v>
      </c>
      <c r="K750" s="40">
        <v>46066</v>
      </c>
      <c r="L750" s="40">
        <v>46082</v>
      </c>
      <c r="M750" s="40">
        <v>46083</v>
      </c>
      <c r="N750" s="40"/>
      <c r="O750" s="40"/>
      <c r="P750" s="40"/>
      <c r="Q750" s="40"/>
      <c r="R750" s="39" t="s">
        <v>142</v>
      </c>
      <c r="S750" s="39" t="s">
        <v>679</v>
      </c>
      <c r="T750" s="39" t="s">
        <v>151</v>
      </c>
      <c r="U750" s="35" t="s">
        <v>90</v>
      </c>
      <c r="V750" s="39" t="s">
        <v>509</v>
      </c>
      <c r="W750" s="39" t="s">
        <v>123</v>
      </c>
      <c r="X750" s="39">
        <v>139.86000000000001</v>
      </c>
      <c r="Y750" s="39">
        <v>41.96</v>
      </c>
      <c r="Z750" s="39">
        <v>41.96</v>
      </c>
      <c r="AA750" s="39">
        <v>0</v>
      </c>
      <c r="AB750" s="39"/>
      <c r="AC750" s="39">
        <v>0</v>
      </c>
      <c r="AD750" s="39"/>
      <c r="AE750" s="39">
        <v>0</v>
      </c>
      <c r="AF750" s="39"/>
      <c r="AG750" s="39">
        <v>0</v>
      </c>
      <c r="AH750" s="39"/>
      <c r="AI750" s="41">
        <v>0</v>
      </c>
    </row>
    <row r="751" spans="1:35" x14ac:dyDescent="0.25">
      <c r="A751" s="34" t="s">
        <v>110</v>
      </c>
      <c r="B751" s="35" t="s">
        <v>2754</v>
      </c>
      <c r="C751" s="35" t="s">
        <v>2755</v>
      </c>
      <c r="D751" s="35">
        <v>27993</v>
      </c>
      <c r="E751" s="35" t="s">
        <v>3256</v>
      </c>
      <c r="F751" s="35" t="s">
        <v>3257</v>
      </c>
      <c r="G751" s="35" t="s">
        <v>115</v>
      </c>
      <c r="H751" s="35" t="s">
        <v>116</v>
      </c>
      <c r="I751" s="35" t="s">
        <v>117</v>
      </c>
      <c r="J751" s="35" t="s">
        <v>141</v>
      </c>
      <c r="K751" s="36">
        <v>46066</v>
      </c>
      <c r="L751" s="36">
        <v>46102</v>
      </c>
      <c r="M751" s="36"/>
      <c r="N751" s="36"/>
      <c r="O751" s="36"/>
      <c r="P751" s="36"/>
      <c r="Q751" s="36"/>
      <c r="R751" s="35" t="s">
        <v>142</v>
      </c>
      <c r="S751" s="35" t="s">
        <v>2756</v>
      </c>
      <c r="T751" s="35" t="s">
        <v>183</v>
      </c>
      <c r="U751" s="35" t="s">
        <v>90</v>
      </c>
      <c r="V751" s="35" t="s">
        <v>509</v>
      </c>
      <c r="W751" s="35" t="s">
        <v>123</v>
      </c>
      <c r="X751" s="35">
        <v>52.55</v>
      </c>
      <c r="Y751" s="35">
        <v>10.51</v>
      </c>
      <c r="Z751" s="35">
        <v>10.51</v>
      </c>
      <c r="AA751" s="35">
        <v>0</v>
      </c>
      <c r="AB751" s="35"/>
      <c r="AC751" s="35">
        <v>0</v>
      </c>
      <c r="AD751" s="35"/>
      <c r="AE751" s="35">
        <v>0</v>
      </c>
      <c r="AF751" s="35"/>
      <c r="AG751" s="35">
        <v>0</v>
      </c>
      <c r="AH751" s="35"/>
      <c r="AI751" s="37">
        <v>0</v>
      </c>
    </row>
    <row r="752" spans="1:35" x14ac:dyDescent="0.25">
      <c r="A752" s="34" t="s">
        <v>110</v>
      </c>
      <c r="B752" s="35" t="s">
        <v>2461</v>
      </c>
      <c r="C752" s="35" t="s">
        <v>2462</v>
      </c>
      <c r="D752" s="35">
        <v>15815</v>
      </c>
      <c r="E752" s="35" t="s">
        <v>3258</v>
      </c>
      <c r="F752" s="35" t="s">
        <v>3259</v>
      </c>
      <c r="G752" s="35" t="s">
        <v>115</v>
      </c>
      <c r="H752" s="35" t="s">
        <v>160</v>
      </c>
      <c r="I752" s="35" t="s">
        <v>117</v>
      </c>
      <c r="J752" s="35" t="s">
        <v>118</v>
      </c>
      <c r="K752" s="36">
        <v>46066</v>
      </c>
      <c r="L752" s="36">
        <v>46082</v>
      </c>
      <c r="M752" s="36">
        <v>46083</v>
      </c>
      <c r="N752" s="36"/>
      <c r="O752" s="36"/>
      <c r="P752" s="36"/>
      <c r="Q752" s="36"/>
      <c r="R752" s="35" t="s">
        <v>187</v>
      </c>
      <c r="S752" s="35" t="s">
        <v>743</v>
      </c>
      <c r="T752" s="35" t="s">
        <v>744</v>
      </c>
      <c r="U752" s="35" t="s">
        <v>88</v>
      </c>
      <c r="V752" s="35" t="s">
        <v>509</v>
      </c>
      <c r="W752" s="35" t="s">
        <v>123</v>
      </c>
      <c r="X752" s="35">
        <v>555.6</v>
      </c>
      <c r="Y752" s="35">
        <v>111.12</v>
      </c>
      <c r="Z752" s="35">
        <v>111.12</v>
      </c>
      <c r="AA752" s="35">
        <v>0</v>
      </c>
      <c r="AB752" s="35"/>
      <c r="AC752" s="35">
        <v>0</v>
      </c>
      <c r="AD752" s="35"/>
      <c r="AE752" s="35">
        <v>0</v>
      </c>
      <c r="AF752" s="35"/>
      <c r="AG752" s="35">
        <v>0</v>
      </c>
      <c r="AH752" s="35"/>
      <c r="AI752" s="37">
        <v>0</v>
      </c>
    </row>
    <row r="753" spans="1:35" x14ac:dyDescent="0.25">
      <c r="A753" s="38" t="s">
        <v>110</v>
      </c>
      <c r="B753" s="39" t="s">
        <v>2508</v>
      </c>
      <c r="C753" s="39" t="s">
        <v>2509</v>
      </c>
      <c r="D753" s="39">
        <v>18067</v>
      </c>
      <c r="E753" s="39" t="s">
        <v>3260</v>
      </c>
      <c r="F753" s="39" t="s">
        <v>3261</v>
      </c>
      <c r="G753" s="39" t="s">
        <v>115</v>
      </c>
      <c r="H753" s="39" t="s">
        <v>160</v>
      </c>
      <c r="I753" s="39" t="s">
        <v>117</v>
      </c>
      <c r="J753" s="39" t="s">
        <v>141</v>
      </c>
      <c r="K753" s="40">
        <v>46066</v>
      </c>
      <c r="L753" s="40">
        <v>46112</v>
      </c>
      <c r="M753" s="40"/>
      <c r="N753" s="40"/>
      <c r="O753" s="40"/>
      <c r="P753" s="40"/>
      <c r="Q753" s="40"/>
      <c r="R753" s="39" t="s">
        <v>187</v>
      </c>
      <c r="S753" s="39" t="s">
        <v>743</v>
      </c>
      <c r="T753" s="39" t="s">
        <v>744</v>
      </c>
      <c r="U753" s="35" t="s">
        <v>88</v>
      </c>
      <c r="V753" s="39" t="s">
        <v>509</v>
      </c>
      <c r="W753" s="39" t="s">
        <v>123</v>
      </c>
      <c r="X753" s="39">
        <v>418.23</v>
      </c>
      <c r="Y753" s="39">
        <v>83.64</v>
      </c>
      <c r="Z753" s="39">
        <v>83.64</v>
      </c>
      <c r="AA753" s="39">
        <v>0</v>
      </c>
      <c r="AB753" s="39"/>
      <c r="AC753" s="39">
        <v>0</v>
      </c>
      <c r="AD753" s="39"/>
      <c r="AE753" s="39">
        <v>0</v>
      </c>
      <c r="AF753" s="39"/>
      <c r="AG753" s="39">
        <v>0</v>
      </c>
      <c r="AH753" s="39"/>
      <c r="AI753" s="41">
        <v>0</v>
      </c>
    </row>
    <row r="754" spans="1:35" x14ac:dyDescent="0.25">
      <c r="A754" s="34" t="s">
        <v>110</v>
      </c>
      <c r="B754" s="35" t="s">
        <v>2887</v>
      </c>
      <c r="C754" s="35" t="s">
        <v>2463</v>
      </c>
      <c r="D754" s="35">
        <v>18326</v>
      </c>
      <c r="E754" s="35" t="s">
        <v>3262</v>
      </c>
      <c r="F754" s="35" t="s">
        <v>3263</v>
      </c>
      <c r="G754" s="35" t="s">
        <v>115</v>
      </c>
      <c r="H754" s="35" t="s">
        <v>160</v>
      </c>
      <c r="I754" s="35" t="s">
        <v>117</v>
      </c>
      <c r="J754" s="35" t="s">
        <v>141</v>
      </c>
      <c r="K754" s="36">
        <v>46066</v>
      </c>
      <c r="L754" s="36">
        <v>46093</v>
      </c>
      <c r="M754" s="36"/>
      <c r="N754" s="36"/>
      <c r="O754" s="36"/>
      <c r="P754" s="36"/>
      <c r="Q754" s="36"/>
      <c r="R754" s="35" t="s">
        <v>187</v>
      </c>
      <c r="S754" s="35" t="s">
        <v>698</v>
      </c>
      <c r="T754" s="35" t="s">
        <v>698</v>
      </c>
      <c r="U754" s="35" t="s">
        <v>88</v>
      </c>
      <c r="V754" s="35" t="s">
        <v>509</v>
      </c>
      <c r="W754" s="35" t="s">
        <v>123</v>
      </c>
      <c r="X754" s="35">
        <v>405.06</v>
      </c>
      <c r="Y754" s="35">
        <v>81.02</v>
      </c>
      <c r="Z754" s="35">
        <v>81.02</v>
      </c>
      <c r="AA754" s="35">
        <v>0</v>
      </c>
      <c r="AB754" s="35"/>
      <c r="AC754" s="35">
        <v>0</v>
      </c>
      <c r="AD754" s="35" t="s">
        <v>308</v>
      </c>
      <c r="AE754" s="35">
        <v>40.51</v>
      </c>
      <c r="AF754" s="35"/>
      <c r="AG754" s="35">
        <v>0</v>
      </c>
      <c r="AH754" s="35"/>
      <c r="AI754" s="37">
        <v>0</v>
      </c>
    </row>
    <row r="755" spans="1:35" x14ac:dyDescent="0.25">
      <c r="A755" s="38" t="s">
        <v>110</v>
      </c>
      <c r="B755" s="39" t="s">
        <v>2465</v>
      </c>
      <c r="C755" s="39" t="s">
        <v>2466</v>
      </c>
      <c r="D755" s="39">
        <v>23805</v>
      </c>
      <c r="E755" s="39" t="s">
        <v>3264</v>
      </c>
      <c r="F755" s="39" t="s">
        <v>3265</v>
      </c>
      <c r="G755" s="39" t="s">
        <v>115</v>
      </c>
      <c r="H755" s="39" t="s">
        <v>160</v>
      </c>
      <c r="I755" s="39" t="s">
        <v>117</v>
      </c>
      <c r="J755" s="39" t="s">
        <v>141</v>
      </c>
      <c r="K755" s="40">
        <v>46066</v>
      </c>
      <c r="L755" s="40">
        <v>46102</v>
      </c>
      <c r="M755" s="40"/>
      <c r="N755" s="40"/>
      <c r="O755" s="40"/>
      <c r="P755" s="40"/>
      <c r="Q755" s="40"/>
      <c r="R755" s="39" t="s">
        <v>175</v>
      </c>
      <c r="S755" s="39" t="s">
        <v>88</v>
      </c>
      <c r="T755" s="39" t="s">
        <v>744</v>
      </c>
      <c r="U755" s="35" t="s">
        <v>88</v>
      </c>
      <c r="V755" s="39" t="s">
        <v>509</v>
      </c>
      <c r="W755" s="39" t="s">
        <v>123</v>
      </c>
      <c r="X755" s="39">
        <v>398.45</v>
      </c>
      <c r="Y755" s="39">
        <v>79.69</v>
      </c>
      <c r="Z755" s="39">
        <v>79.69</v>
      </c>
      <c r="AA755" s="39">
        <v>0</v>
      </c>
      <c r="AB755" s="39"/>
      <c r="AC755" s="39">
        <v>0</v>
      </c>
      <c r="AD755" s="39"/>
      <c r="AE755" s="39">
        <v>0</v>
      </c>
      <c r="AF755" s="39"/>
      <c r="AG755" s="39">
        <v>0</v>
      </c>
      <c r="AH755" s="39"/>
      <c r="AI755" s="41">
        <v>0</v>
      </c>
    </row>
    <row r="756" spans="1:35" x14ac:dyDescent="0.25">
      <c r="A756" s="34" t="s">
        <v>110</v>
      </c>
      <c r="B756" s="35" t="s">
        <v>2500</v>
      </c>
      <c r="C756" s="35" t="s">
        <v>2529</v>
      </c>
      <c r="D756" s="35">
        <v>24857</v>
      </c>
      <c r="E756" s="35" t="s">
        <v>3266</v>
      </c>
      <c r="F756" s="35" t="s">
        <v>3267</v>
      </c>
      <c r="G756" s="35" t="s">
        <v>115</v>
      </c>
      <c r="H756" s="35" t="s">
        <v>160</v>
      </c>
      <c r="I756" s="35" t="s">
        <v>117</v>
      </c>
      <c r="J756" s="35" t="s">
        <v>118</v>
      </c>
      <c r="K756" s="36">
        <v>46066</v>
      </c>
      <c r="L756" s="36">
        <v>46083</v>
      </c>
      <c r="M756" s="36">
        <v>46083</v>
      </c>
      <c r="N756" s="36"/>
      <c r="O756" s="36"/>
      <c r="P756" s="36"/>
      <c r="Q756" s="36"/>
      <c r="R756" s="35" t="s">
        <v>142</v>
      </c>
      <c r="S756" s="35" t="s">
        <v>743</v>
      </c>
      <c r="T756" s="35" t="s">
        <v>744</v>
      </c>
      <c r="U756" s="35" t="s">
        <v>88</v>
      </c>
      <c r="V756" s="35" t="s">
        <v>509</v>
      </c>
      <c r="W756" s="35" t="s">
        <v>123</v>
      </c>
      <c r="X756" s="35">
        <v>11989.68</v>
      </c>
      <c r="Y756" s="35">
        <v>2397.9299999999998</v>
      </c>
      <c r="Z756" s="35">
        <v>2397.9299999999998</v>
      </c>
      <c r="AA756" s="35">
        <v>0</v>
      </c>
      <c r="AB756" s="35"/>
      <c r="AC756" s="35">
        <v>0</v>
      </c>
      <c r="AD756" s="35"/>
      <c r="AE756" s="35">
        <v>0</v>
      </c>
      <c r="AF756" s="35"/>
      <c r="AG756" s="35">
        <v>0</v>
      </c>
      <c r="AH756" s="35"/>
      <c r="AI756" s="37">
        <v>0</v>
      </c>
    </row>
    <row r="757" spans="1:35" x14ac:dyDescent="0.25">
      <c r="A757" s="38" t="s">
        <v>110</v>
      </c>
      <c r="B757" s="39" t="s">
        <v>2531</v>
      </c>
      <c r="C757" s="39" t="s">
        <v>2532</v>
      </c>
      <c r="D757" s="39">
        <v>24916</v>
      </c>
      <c r="E757" s="39" t="s">
        <v>3268</v>
      </c>
      <c r="F757" s="39" t="s">
        <v>3269</v>
      </c>
      <c r="G757" s="39" t="s">
        <v>115</v>
      </c>
      <c r="H757" s="39" t="s">
        <v>160</v>
      </c>
      <c r="I757" s="39" t="s">
        <v>117</v>
      </c>
      <c r="J757" s="39" t="s">
        <v>141</v>
      </c>
      <c r="K757" s="40">
        <v>46066</v>
      </c>
      <c r="L757" s="40">
        <v>46104</v>
      </c>
      <c r="M757" s="40"/>
      <c r="N757" s="40"/>
      <c r="O757" s="40"/>
      <c r="P757" s="40"/>
      <c r="Q757" s="40"/>
      <c r="R757" s="39" t="s">
        <v>142</v>
      </c>
      <c r="S757" s="39" t="s">
        <v>743</v>
      </c>
      <c r="T757" s="39" t="s">
        <v>744</v>
      </c>
      <c r="U757" s="35" t="s">
        <v>88</v>
      </c>
      <c r="V757" s="39" t="s">
        <v>509</v>
      </c>
      <c r="W757" s="39" t="s">
        <v>123</v>
      </c>
      <c r="X757" s="39">
        <v>1335.01</v>
      </c>
      <c r="Y757" s="39">
        <v>267</v>
      </c>
      <c r="Z757" s="39">
        <v>267</v>
      </c>
      <c r="AA757" s="39">
        <v>0</v>
      </c>
      <c r="AB757" s="39"/>
      <c r="AC757" s="39">
        <v>0</v>
      </c>
      <c r="AD757" s="39"/>
      <c r="AE757" s="39">
        <v>0</v>
      </c>
      <c r="AF757" s="39"/>
      <c r="AG757" s="39">
        <v>0</v>
      </c>
      <c r="AH757" s="39"/>
      <c r="AI757" s="41">
        <v>0</v>
      </c>
    </row>
    <row r="758" spans="1:35" x14ac:dyDescent="0.25">
      <c r="A758" s="34" t="s">
        <v>110</v>
      </c>
      <c r="B758" s="35" t="s">
        <v>758</v>
      </c>
      <c r="C758" s="35" t="s">
        <v>759</v>
      </c>
      <c r="D758" s="35">
        <v>14219</v>
      </c>
      <c r="E758" s="35" t="s">
        <v>3270</v>
      </c>
      <c r="F758" s="35" t="s">
        <v>3271</v>
      </c>
      <c r="G758" s="35" t="s">
        <v>115</v>
      </c>
      <c r="H758" s="35" t="s">
        <v>116</v>
      </c>
      <c r="I758" s="35" t="s">
        <v>117</v>
      </c>
      <c r="J758" s="35" t="s">
        <v>141</v>
      </c>
      <c r="K758" s="36">
        <v>46066</v>
      </c>
      <c r="L758" s="36">
        <v>46082</v>
      </c>
      <c r="M758" s="36"/>
      <c r="N758" s="36"/>
      <c r="O758" s="36"/>
      <c r="P758" s="36"/>
      <c r="Q758" s="36"/>
      <c r="R758" s="35" t="s">
        <v>119</v>
      </c>
      <c r="S758" s="35" t="s">
        <v>598</v>
      </c>
      <c r="T758" s="35" t="s">
        <v>129</v>
      </c>
      <c r="U758" s="35" t="s">
        <v>90</v>
      </c>
      <c r="V758" s="35" t="s">
        <v>509</v>
      </c>
      <c r="W758" s="35" t="s">
        <v>123</v>
      </c>
      <c r="X758" s="35">
        <v>335.6</v>
      </c>
      <c r="Y758" s="35">
        <v>26.85</v>
      </c>
      <c r="Z758" s="35">
        <v>26.85</v>
      </c>
      <c r="AA758" s="35">
        <v>0</v>
      </c>
      <c r="AB758" s="35"/>
      <c r="AC758" s="35">
        <v>0</v>
      </c>
      <c r="AD758" s="35"/>
      <c r="AE758" s="35">
        <v>0</v>
      </c>
      <c r="AF758" s="35"/>
      <c r="AG758" s="35">
        <v>0</v>
      </c>
      <c r="AH758" s="35"/>
      <c r="AI758" s="37">
        <v>0</v>
      </c>
    </row>
    <row r="759" spans="1:35" x14ac:dyDescent="0.25">
      <c r="A759" s="38" t="s">
        <v>110</v>
      </c>
      <c r="B759" s="39" t="s">
        <v>754</v>
      </c>
      <c r="C759" s="39" t="s">
        <v>755</v>
      </c>
      <c r="D759" s="39">
        <v>3559</v>
      </c>
      <c r="E759" s="39" t="s">
        <v>3272</v>
      </c>
      <c r="F759" s="39" t="s">
        <v>3273</v>
      </c>
      <c r="G759" s="39" t="s">
        <v>115</v>
      </c>
      <c r="H759" s="39" t="s">
        <v>116</v>
      </c>
      <c r="I759" s="39" t="s">
        <v>117</v>
      </c>
      <c r="J759" s="39" t="s">
        <v>141</v>
      </c>
      <c r="K759" s="40">
        <v>46066</v>
      </c>
      <c r="L759" s="40">
        <v>46082</v>
      </c>
      <c r="M759" s="40"/>
      <c r="N759" s="40"/>
      <c r="O759" s="40"/>
      <c r="P759" s="40"/>
      <c r="Q759" s="40"/>
      <c r="R759" s="39" t="s">
        <v>119</v>
      </c>
      <c r="S759" s="39" t="s">
        <v>598</v>
      </c>
      <c r="T759" s="39" t="s">
        <v>129</v>
      </c>
      <c r="U759" s="35" t="s">
        <v>90</v>
      </c>
      <c r="V759" s="39" t="s">
        <v>509</v>
      </c>
      <c r="W759" s="39" t="s">
        <v>123</v>
      </c>
      <c r="X759" s="39">
        <v>208.46</v>
      </c>
      <c r="Y759" s="39">
        <v>16.68</v>
      </c>
      <c r="Z759" s="39">
        <v>16.68</v>
      </c>
      <c r="AA759" s="39">
        <v>0</v>
      </c>
      <c r="AB759" s="39"/>
      <c r="AC759" s="39">
        <v>0</v>
      </c>
      <c r="AD759" s="39"/>
      <c r="AE759" s="39">
        <v>0</v>
      </c>
      <c r="AF759" s="39"/>
      <c r="AG759" s="39">
        <v>0</v>
      </c>
      <c r="AH759" s="39"/>
      <c r="AI759" s="41">
        <v>0</v>
      </c>
    </row>
    <row r="760" spans="1:35" x14ac:dyDescent="0.25">
      <c r="A760" s="34" t="s">
        <v>110</v>
      </c>
      <c r="B760" s="35" t="s">
        <v>2504</v>
      </c>
      <c r="C760" s="35" t="s">
        <v>2505</v>
      </c>
      <c r="D760" s="35">
        <v>4811</v>
      </c>
      <c r="E760" s="35" t="s">
        <v>3274</v>
      </c>
      <c r="F760" s="35" t="s">
        <v>3275</v>
      </c>
      <c r="G760" s="35" t="s">
        <v>115</v>
      </c>
      <c r="H760" s="35" t="s">
        <v>160</v>
      </c>
      <c r="I760" s="35" t="s">
        <v>117</v>
      </c>
      <c r="J760" s="35" t="s">
        <v>118</v>
      </c>
      <c r="K760" s="36">
        <v>46066</v>
      </c>
      <c r="L760" s="36">
        <v>46082</v>
      </c>
      <c r="M760" s="36">
        <v>46083</v>
      </c>
      <c r="N760" s="36"/>
      <c r="O760" s="36"/>
      <c r="P760" s="36"/>
      <c r="Q760" s="36"/>
      <c r="R760" s="35" t="s">
        <v>142</v>
      </c>
      <c r="S760" s="35" t="s">
        <v>765</v>
      </c>
      <c r="T760" s="35" t="s">
        <v>83</v>
      </c>
      <c r="U760" s="35" t="s">
        <v>83</v>
      </c>
      <c r="V760" s="35" t="s">
        <v>509</v>
      </c>
      <c r="W760" s="35" t="s">
        <v>123</v>
      </c>
      <c r="X760" s="35">
        <v>1428.97</v>
      </c>
      <c r="Y760" s="35">
        <v>357.24</v>
      </c>
      <c r="Z760" s="35">
        <v>357.24</v>
      </c>
      <c r="AA760" s="35">
        <v>0</v>
      </c>
      <c r="AB760" s="35"/>
      <c r="AC760" s="35">
        <v>0</v>
      </c>
      <c r="AD760" s="35"/>
      <c r="AE760" s="35">
        <v>0</v>
      </c>
      <c r="AF760" s="35"/>
      <c r="AG760" s="35">
        <v>0</v>
      </c>
      <c r="AH760" s="35"/>
      <c r="AI760" s="37">
        <v>0</v>
      </c>
    </row>
    <row r="761" spans="1:35" x14ac:dyDescent="0.25">
      <c r="A761" s="38" t="s">
        <v>110</v>
      </c>
      <c r="B761" s="39" t="s">
        <v>2506</v>
      </c>
      <c r="C761" s="39" t="s">
        <v>2507</v>
      </c>
      <c r="D761" s="39">
        <v>5328</v>
      </c>
      <c r="E761" s="39" t="s">
        <v>3276</v>
      </c>
      <c r="F761" s="39" t="s">
        <v>3277</v>
      </c>
      <c r="G761" s="39" t="s">
        <v>115</v>
      </c>
      <c r="H761" s="39" t="s">
        <v>160</v>
      </c>
      <c r="I761" s="39" t="s">
        <v>117</v>
      </c>
      <c r="J761" s="39" t="s">
        <v>141</v>
      </c>
      <c r="K761" s="40">
        <v>46066</v>
      </c>
      <c r="L761" s="40">
        <v>46091</v>
      </c>
      <c r="M761" s="40"/>
      <c r="N761" s="40"/>
      <c r="O761" s="40"/>
      <c r="P761" s="40"/>
      <c r="Q761" s="40"/>
      <c r="R761" s="39" t="s">
        <v>142</v>
      </c>
      <c r="S761" s="39" t="s">
        <v>765</v>
      </c>
      <c r="T761" s="39" t="s">
        <v>83</v>
      </c>
      <c r="U761" s="35" t="s">
        <v>83</v>
      </c>
      <c r="V761" s="39" t="s">
        <v>509</v>
      </c>
      <c r="W761" s="39" t="s">
        <v>123</v>
      </c>
      <c r="X761" s="39">
        <v>2594.98</v>
      </c>
      <c r="Y761" s="39">
        <v>648.74</v>
      </c>
      <c r="Z761" s="39">
        <v>648.74</v>
      </c>
      <c r="AA761" s="39">
        <v>0</v>
      </c>
      <c r="AB761" s="39"/>
      <c r="AC761" s="39">
        <v>0</v>
      </c>
      <c r="AD761" s="39"/>
      <c r="AE761" s="39">
        <v>0</v>
      </c>
      <c r="AF761" s="39"/>
      <c r="AG761" s="39">
        <v>0</v>
      </c>
      <c r="AH761" s="39"/>
      <c r="AI761" s="41">
        <v>0</v>
      </c>
    </row>
    <row r="762" spans="1:35" x14ac:dyDescent="0.25">
      <c r="A762" s="34" t="s">
        <v>110</v>
      </c>
      <c r="B762" s="35" t="s">
        <v>2511</v>
      </c>
      <c r="C762" s="35" t="s">
        <v>2512</v>
      </c>
      <c r="D762" s="35">
        <v>3657</v>
      </c>
      <c r="E762" s="35" t="s">
        <v>3278</v>
      </c>
      <c r="F762" s="35" t="s">
        <v>3279</v>
      </c>
      <c r="G762" s="35" t="s">
        <v>115</v>
      </c>
      <c r="H762" s="35" t="s">
        <v>160</v>
      </c>
      <c r="I762" s="35" t="s">
        <v>117</v>
      </c>
      <c r="J762" s="35" t="s">
        <v>141</v>
      </c>
      <c r="K762" s="36">
        <v>46066</v>
      </c>
      <c r="L762" s="36">
        <v>46100</v>
      </c>
      <c r="M762" s="36"/>
      <c r="N762" s="36"/>
      <c r="O762" s="36"/>
      <c r="P762" s="36"/>
      <c r="Q762" s="36"/>
      <c r="R762" s="35" t="s">
        <v>142</v>
      </c>
      <c r="S762" s="35" t="s">
        <v>765</v>
      </c>
      <c r="T762" s="35" t="s">
        <v>83</v>
      </c>
      <c r="U762" s="35" t="s">
        <v>83</v>
      </c>
      <c r="V762" s="35" t="s">
        <v>509</v>
      </c>
      <c r="W762" s="35" t="s">
        <v>123</v>
      </c>
      <c r="X762" s="35">
        <v>541.74</v>
      </c>
      <c r="Y762" s="35">
        <v>135.44999999999999</v>
      </c>
      <c r="Z762" s="35">
        <v>135.44999999999999</v>
      </c>
      <c r="AA762" s="35">
        <v>0</v>
      </c>
      <c r="AB762" s="35"/>
      <c r="AC762" s="35">
        <v>0</v>
      </c>
      <c r="AD762" s="35"/>
      <c r="AE762" s="35">
        <v>0</v>
      </c>
      <c r="AF762" s="35"/>
      <c r="AG762" s="35">
        <v>0</v>
      </c>
      <c r="AH762" s="35"/>
      <c r="AI762" s="37">
        <v>0</v>
      </c>
    </row>
    <row r="763" spans="1:35" x14ac:dyDescent="0.25">
      <c r="A763" s="38" t="s">
        <v>110</v>
      </c>
      <c r="B763" s="39" t="s">
        <v>2513</v>
      </c>
      <c r="C763" s="39" t="s">
        <v>2514</v>
      </c>
      <c r="D763" s="39">
        <v>4825</v>
      </c>
      <c r="E763" s="39" t="s">
        <v>3280</v>
      </c>
      <c r="F763" s="39" t="s">
        <v>3281</v>
      </c>
      <c r="G763" s="39" t="s">
        <v>115</v>
      </c>
      <c r="H763" s="39" t="s">
        <v>160</v>
      </c>
      <c r="I763" s="39" t="s">
        <v>117</v>
      </c>
      <c r="J763" s="39" t="s">
        <v>118</v>
      </c>
      <c r="K763" s="40">
        <v>46066</v>
      </c>
      <c r="L763" s="40">
        <v>46087</v>
      </c>
      <c r="M763" s="40">
        <v>46087</v>
      </c>
      <c r="N763" s="40"/>
      <c r="O763" s="40"/>
      <c r="P763" s="40"/>
      <c r="Q763" s="40"/>
      <c r="R763" s="39" t="s">
        <v>142</v>
      </c>
      <c r="S763" s="39" t="s">
        <v>765</v>
      </c>
      <c r="T763" s="39" t="s">
        <v>83</v>
      </c>
      <c r="U763" s="35" t="s">
        <v>83</v>
      </c>
      <c r="V763" s="39" t="s">
        <v>509</v>
      </c>
      <c r="W763" s="39" t="s">
        <v>123</v>
      </c>
      <c r="X763" s="39">
        <v>336.75</v>
      </c>
      <c r="Y763" s="39">
        <v>84.19</v>
      </c>
      <c r="Z763" s="39">
        <v>84.19</v>
      </c>
      <c r="AA763" s="39">
        <v>0</v>
      </c>
      <c r="AB763" s="39"/>
      <c r="AC763" s="39">
        <v>0</v>
      </c>
      <c r="AD763" s="39" t="s">
        <v>145</v>
      </c>
      <c r="AE763" s="39">
        <v>63.14</v>
      </c>
      <c r="AF763" s="39"/>
      <c r="AG763" s="39">
        <v>0</v>
      </c>
      <c r="AH763" s="39"/>
      <c r="AI763" s="41">
        <v>0</v>
      </c>
    </row>
    <row r="764" spans="1:35" x14ac:dyDescent="0.25">
      <c r="A764" s="34" t="s">
        <v>110</v>
      </c>
      <c r="B764" s="35" t="s">
        <v>2515</v>
      </c>
      <c r="C764" s="35" t="s">
        <v>2516</v>
      </c>
      <c r="D764" s="35">
        <v>4858</v>
      </c>
      <c r="E764" s="35" t="s">
        <v>3282</v>
      </c>
      <c r="F764" s="35" t="s">
        <v>3283</v>
      </c>
      <c r="G764" s="35" t="s">
        <v>115</v>
      </c>
      <c r="H764" s="35" t="s">
        <v>160</v>
      </c>
      <c r="I764" s="35" t="s">
        <v>117</v>
      </c>
      <c r="J764" s="35" t="s">
        <v>141</v>
      </c>
      <c r="K764" s="36">
        <v>46066</v>
      </c>
      <c r="L764" s="36">
        <v>46098</v>
      </c>
      <c r="M764" s="36"/>
      <c r="N764" s="36"/>
      <c r="O764" s="36"/>
      <c r="P764" s="36"/>
      <c r="Q764" s="36"/>
      <c r="R764" s="35" t="s">
        <v>142</v>
      </c>
      <c r="S764" s="35" t="s">
        <v>765</v>
      </c>
      <c r="T764" s="35" t="s">
        <v>83</v>
      </c>
      <c r="U764" s="35" t="s">
        <v>83</v>
      </c>
      <c r="V764" s="35" t="s">
        <v>509</v>
      </c>
      <c r="W764" s="35" t="s">
        <v>123</v>
      </c>
      <c r="X764" s="35">
        <v>186.58</v>
      </c>
      <c r="Y764" s="35">
        <v>46.65</v>
      </c>
      <c r="Z764" s="35">
        <v>46.65</v>
      </c>
      <c r="AA764" s="35">
        <v>0</v>
      </c>
      <c r="AB764" s="35"/>
      <c r="AC764" s="35">
        <v>0</v>
      </c>
      <c r="AD764" s="35"/>
      <c r="AE764" s="35">
        <v>0</v>
      </c>
      <c r="AF764" s="35"/>
      <c r="AG764" s="35">
        <v>0</v>
      </c>
      <c r="AH764" s="35"/>
      <c r="AI764" s="37">
        <v>0</v>
      </c>
    </row>
    <row r="765" spans="1:35" x14ac:dyDescent="0.25">
      <c r="A765" s="38" t="s">
        <v>110</v>
      </c>
      <c r="B765" s="39" t="s">
        <v>2517</v>
      </c>
      <c r="C765" s="39" t="s">
        <v>2518</v>
      </c>
      <c r="D765" s="39">
        <v>5016</v>
      </c>
      <c r="E765" s="39" t="s">
        <v>3284</v>
      </c>
      <c r="F765" s="39" t="s">
        <v>3285</v>
      </c>
      <c r="G765" s="39" t="s">
        <v>115</v>
      </c>
      <c r="H765" s="39" t="s">
        <v>160</v>
      </c>
      <c r="I765" s="39" t="s">
        <v>117</v>
      </c>
      <c r="J765" s="39" t="s">
        <v>141</v>
      </c>
      <c r="K765" s="40">
        <v>46066</v>
      </c>
      <c r="L765" s="40">
        <v>46111</v>
      </c>
      <c r="M765" s="40"/>
      <c r="N765" s="40"/>
      <c r="O765" s="40"/>
      <c r="P765" s="40"/>
      <c r="Q765" s="40"/>
      <c r="R765" s="39" t="s">
        <v>142</v>
      </c>
      <c r="S765" s="39" t="s">
        <v>765</v>
      </c>
      <c r="T765" s="39" t="s">
        <v>83</v>
      </c>
      <c r="U765" s="35" t="s">
        <v>83</v>
      </c>
      <c r="V765" s="39" t="s">
        <v>509</v>
      </c>
      <c r="W765" s="39" t="s">
        <v>123</v>
      </c>
      <c r="X765" s="39">
        <v>241.97</v>
      </c>
      <c r="Y765" s="39">
        <v>60.49</v>
      </c>
      <c r="Z765" s="39">
        <v>60.49</v>
      </c>
      <c r="AA765" s="39">
        <v>0</v>
      </c>
      <c r="AB765" s="39"/>
      <c r="AC765" s="39">
        <v>0</v>
      </c>
      <c r="AD765" s="39"/>
      <c r="AE765" s="39">
        <v>0</v>
      </c>
      <c r="AF765" s="39"/>
      <c r="AG765" s="39">
        <v>0</v>
      </c>
      <c r="AH765" s="39"/>
      <c r="AI765" s="41">
        <v>0</v>
      </c>
    </row>
    <row r="766" spans="1:35" x14ac:dyDescent="0.25">
      <c r="A766" s="34" t="s">
        <v>110</v>
      </c>
      <c r="B766" s="35" t="s">
        <v>2519</v>
      </c>
      <c r="C766" s="35" t="s">
        <v>2520</v>
      </c>
      <c r="D766" s="35">
        <v>7832</v>
      </c>
      <c r="E766" s="35" t="s">
        <v>3286</v>
      </c>
      <c r="F766" s="35" t="s">
        <v>3287</v>
      </c>
      <c r="G766" s="35" t="s">
        <v>115</v>
      </c>
      <c r="H766" s="35" t="s">
        <v>160</v>
      </c>
      <c r="I766" s="35" t="s">
        <v>117</v>
      </c>
      <c r="J766" s="35" t="s">
        <v>118</v>
      </c>
      <c r="K766" s="36">
        <v>46066</v>
      </c>
      <c r="L766" s="36">
        <v>46082</v>
      </c>
      <c r="M766" s="36">
        <v>46083</v>
      </c>
      <c r="N766" s="36"/>
      <c r="O766" s="36"/>
      <c r="P766" s="36"/>
      <c r="Q766" s="36"/>
      <c r="R766" s="35" t="s">
        <v>142</v>
      </c>
      <c r="S766" s="35" t="s">
        <v>765</v>
      </c>
      <c r="T766" s="35" t="s">
        <v>83</v>
      </c>
      <c r="U766" s="35" t="s">
        <v>83</v>
      </c>
      <c r="V766" s="35" t="s">
        <v>509</v>
      </c>
      <c r="W766" s="35" t="s">
        <v>123</v>
      </c>
      <c r="X766" s="35">
        <v>316.08</v>
      </c>
      <c r="Y766" s="35">
        <v>79.03</v>
      </c>
      <c r="Z766" s="35">
        <v>79.03</v>
      </c>
      <c r="AA766" s="35">
        <v>0</v>
      </c>
      <c r="AB766" s="35"/>
      <c r="AC766" s="35">
        <v>0</v>
      </c>
      <c r="AD766" s="35"/>
      <c r="AE766" s="35">
        <v>0</v>
      </c>
      <c r="AF766" s="35"/>
      <c r="AG766" s="35">
        <v>0</v>
      </c>
      <c r="AH766" s="35"/>
      <c r="AI766" s="37">
        <v>0</v>
      </c>
    </row>
    <row r="767" spans="1:35" x14ac:dyDescent="0.25">
      <c r="A767" s="38" t="s">
        <v>110</v>
      </c>
      <c r="B767" s="39" t="s">
        <v>2521</v>
      </c>
      <c r="C767" s="39" t="s">
        <v>2522</v>
      </c>
      <c r="D767" s="39">
        <v>8065</v>
      </c>
      <c r="E767" s="39" t="s">
        <v>3288</v>
      </c>
      <c r="F767" s="39" t="s">
        <v>3289</v>
      </c>
      <c r="G767" s="39" t="s">
        <v>115</v>
      </c>
      <c r="H767" s="39" t="s">
        <v>160</v>
      </c>
      <c r="I767" s="39" t="s">
        <v>117</v>
      </c>
      <c r="J767" s="39" t="s">
        <v>118</v>
      </c>
      <c r="K767" s="40">
        <v>46066</v>
      </c>
      <c r="L767" s="40">
        <v>46085</v>
      </c>
      <c r="M767" s="40">
        <v>46085</v>
      </c>
      <c r="N767" s="40"/>
      <c r="O767" s="40"/>
      <c r="P767" s="40"/>
      <c r="Q767" s="40"/>
      <c r="R767" s="39" t="s">
        <v>142</v>
      </c>
      <c r="S767" s="39" t="s">
        <v>765</v>
      </c>
      <c r="T767" s="39" t="s">
        <v>83</v>
      </c>
      <c r="U767" s="35" t="s">
        <v>83</v>
      </c>
      <c r="V767" s="39" t="s">
        <v>509</v>
      </c>
      <c r="W767" s="39" t="s">
        <v>123</v>
      </c>
      <c r="X767" s="39">
        <v>364.88</v>
      </c>
      <c r="Y767" s="39">
        <v>91.23</v>
      </c>
      <c r="Z767" s="39">
        <v>91.23</v>
      </c>
      <c r="AA767" s="39">
        <v>0</v>
      </c>
      <c r="AB767" s="39"/>
      <c r="AC767" s="39">
        <v>0</v>
      </c>
      <c r="AD767" s="39" t="s">
        <v>130</v>
      </c>
      <c r="AE767" s="39">
        <v>0</v>
      </c>
      <c r="AF767" s="39"/>
      <c r="AG767" s="39">
        <v>0</v>
      </c>
      <c r="AH767" s="39"/>
      <c r="AI767" s="41">
        <v>0</v>
      </c>
    </row>
    <row r="768" spans="1:35" x14ac:dyDescent="0.25">
      <c r="A768" s="34" t="s">
        <v>110</v>
      </c>
      <c r="B768" s="35" t="s">
        <v>2523</v>
      </c>
      <c r="C768" s="35" t="s">
        <v>2524</v>
      </c>
      <c r="D768" s="35">
        <v>8127</v>
      </c>
      <c r="E768" s="35" t="s">
        <v>3290</v>
      </c>
      <c r="F768" s="35" t="s">
        <v>3291</v>
      </c>
      <c r="G768" s="35" t="s">
        <v>115</v>
      </c>
      <c r="H768" s="35" t="s">
        <v>160</v>
      </c>
      <c r="I768" s="35" t="s">
        <v>117</v>
      </c>
      <c r="J768" s="35" t="s">
        <v>141</v>
      </c>
      <c r="K768" s="36">
        <v>46066</v>
      </c>
      <c r="L768" s="36">
        <v>46091</v>
      </c>
      <c r="M768" s="36"/>
      <c r="N768" s="36"/>
      <c r="O768" s="36"/>
      <c r="P768" s="36"/>
      <c r="Q768" s="36"/>
      <c r="R768" s="35" t="s">
        <v>142</v>
      </c>
      <c r="S768" s="35" t="s">
        <v>765</v>
      </c>
      <c r="T768" s="35" t="s">
        <v>83</v>
      </c>
      <c r="U768" s="35" t="s">
        <v>83</v>
      </c>
      <c r="V768" s="35" t="s">
        <v>509</v>
      </c>
      <c r="W768" s="35" t="s">
        <v>123</v>
      </c>
      <c r="X768" s="35">
        <v>162.27000000000001</v>
      </c>
      <c r="Y768" s="35">
        <v>40.56</v>
      </c>
      <c r="Z768" s="35">
        <v>40.56</v>
      </c>
      <c r="AA768" s="35">
        <v>0</v>
      </c>
      <c r="AB768" s="35"/>
      <c r="AC768" s="35">
        <v>0</v>
      </c>
      <c r="AD768" s="35" t="s">
        <v>130</v>
      </c>
      <c r="AE768" s="35">
        <v>0</v>
      </c>
      <c r="AF768" s="35"/>
      <c r="AG768" s="35">
        <v>0</v>
      </c>
      <c r="AH768" s="35"/>
      <c r="AI768" s="37">
        <v>0</v>
      </c>
    </row>
    <row r="769" spans="1:35" x14ac:dyDescent="0.25">
      <c r="A769" s="38" t="s">
        <v>110</v>
      </c>
      <c r="B769" s="39" t="s">
        <v>2525</v>
      </c>
      <c r="C769" s="39" t="s">
        <v>2526</v>
      </c>
      <c r="D769" s="39">
        <v>8128</v>
      </c>
      <c r="E769" s="39" t="s">
        <v>3292</v>
      </c>
      <c r="F769" s="39" t="s">
        <v>3293</v>
      </c>
      <c r="G769" s="39" t="s">
        <v>115</v>
      </c>
      <c r="H769" s="39" t="s">
        <v>160</v>
      </c>
      <c r="I769" s="39" t="s">
        <v>117</v>
      </c>
      <c r="J769" s="39" t="s">
        <v>141</v>
      </c>
      <c r="K769" s="40">
        <v>46066</v>
      </c>
      <c r="L769" s="40">
        <v>46098</v>
      </c>
      <c r="M769" s="40"/>
      <c r="N769" s="40"/>
      <c r="O769" s="40"/>
      <c r="P769" s="40"/>
      <c r="Q769" s="40"/>
      <c r="R769" s="39" t="s">
        <v>142</v>
      </c>
      <c r="S769" s="39" t="s">
        <v>765</v>
      </c>
      <c r="T769" s="39" t="s">
        <v>83</v>
      </c>
      <c r="U769" s="35" t="s">
        <v>83</v>
      </c>
      <c r="V769" s="39" t="s">
        <v>509</v>
      </c>
      <c r="W769" s="39" t="s">
        <v>123</v>
      </c>
      <c r="X769" s="39">
        <v>163.84</v>
      </c>
      <c r="Y769" s="39">
        <v>40.97</v>
      </c>
      <c r="Z769" s="39">
        <v>40.97</v>
      </c>
      <c r="AA769" s="39">
        <v>0</v>
      </c>
      <c r="AB769" s="39"/>
      <c r="AC769" s="39">
        <v>0</v>
      </c>
      <c r="AD769" s="39" t="s">
        <v>130</v>
      </c>
      <c r="AE769" s="39">
        <v>0</v>
      </c>
      <c r="AF769" s="39"/>
      <c r="AG769" s="39">
        <v>0</v>
      </c>
      <c r="AH769" s="39"/>
      <c r="AI769" s="41">
        <v>0</v>
      </c>
    </row>
    <row r="770" spans="1:35" x14ac:dyDescent="0.25">
      <c r="A770" s="34" t="s">
        <v>110</v>
      </c>
      <c r="B770" s="35" t="s">
        <v>2527</v>
      </c>
      <c r="C770" s="35" t="s">
        <v>2528</v>
      </c>
      <c r="D770" s="35">
        <v>27595</v>
      </c>
      <c r="E770" s="35" t="s">
        <v>3294</v>
      </c>
      <c r="F770" s="35" t="s">
        <v>3295</v>
      </c>
      <c r="G770" s="35" t="s">
        <v>115</v>
      </c>
      <c r="H770" s="35" t="s">
        <v>160</v>
      </c>
      <c r="I770" s="35" t="s">
        <v>117</v>
      </c>
      <c r="J770" s="35" t="s">
        <v>141</v>
      </c>
      <c r="K770" s="36">
        <v>46066</v>
      </c>
      <c r="L770" s="36">
        <v>46107</v>
      </c>
      <c r="M770" s="36"/>
      <c r="N770" s="36"/>
      <c r="O770" s="36"/>
      <c r="P770" s="36"/>
      <c r="Q770" s="36"/>
      <c r="R770" s="35" t="s">
        <v>142</v>
      </c>
      <c r="S770" s="35" t="s">
        <v>785</v>
      </c>
      <c r="T770" s="35" t="s">
        <v>83</v>
      </c>
      <c r="U770" s="35" t="s">
        <v>83</v>
      </c>
      <c r="V770" s="35" t="s">
        <v>509</v>
      </c>
      <c r="W770" s="35" t="s">
        <v>123</v>
      </c>
      <c r="X770" s="35">
        <v>317.11</v>
      </c>
      <c r="Y770" s="35">
        <v>79.290000000000006</v>
      </c>
      <c r="Z770" s="35">
        <v>79.290000000000006</v>
      </c>
      <c r="AA770" s="35">
        <v>0</v>
      </c>
      <c r="AB770" s="35"/>
      <c r="AC770" s="35">
        <v>0</v>
      </c>
      <c r="AD770" s="35"/>
      <c r="AE770" s="35">
        <v>0</v>
      </c>
      <c r="AF770" s="35"/>
      <c r="AG770" s="35">
        <v>0</v>
      </c>
      <c r="AH770" s="35"/>
      <c r="AI770" s="37">
        <v>0</v>
      </c>
    </row>
    <row r="771" spans="1:35" x14ac:dyDescent="0.25">
      <c r="A771" s="38" t="s">
        <v>110</v>
      </c>
      <c r="B771" s="39" t="s">
        <v>2511</v>
      </c>
      <c r="C771" s="39" t="s">
        <v>2530</v>
      </c>
      <c r="D771" s="39">
        <v>14558</v>
      </c>
      <c r="E771" s="39" t="s">
        <v>3296</v>
      </c>
      <c r="F771" s="39" t="s">
        <v>3297</v>
      </c>
      <c r="G771" s="39" t="s">
        <v>115</v>
      </c>
      <c r="H771" s="39" t="s">
        <v>160</v>
      </c>
      <c r="I771" s="39" t="s">
        <v>117</v>
      </c>
      <c r="J771" s="39" t="s">
        <v>141</v>
      </c>
      <c r="K771" s="40">
        <v>46066</v>
      </c>
      <c r="L771" s="40">
        <v>46099</v>
      </c>
      <c r="M771" s="40"/>
      <c r="N771" s="40"/>
      <c r="O771" s="40"/>
      <c r="P771" s="40"/>
      <c r="Q771" s="40"/>
      <c r="R771" s="39" t="s">
        <v>142</v>
      </c>
      <c r="S771" s="39" t="s">
        <v>785</v>
      </c>
      <c r="T771" s="39" t="s">
        <v>83</v>
      </c>
      <c r="U771" s="35" t="s">
        <v>83</v>
      </c>
      <c r="V771" s="39" t="s">
        <v>509</v>
      </c>
      <c r="W771" s="39" t="s">
        <v>123</v>
      </c>
      <c r="X771" s="39">
        <v>424.75</v>
      </c>
      <c r="Y771" s="39">
        <v>106.18</v>
      </c>
      <c r="Z771" s="39">
        <v>106.18</v>
      </c>
      <c r="AA771" s="39">
        <v>0</v>
      </c>
      <c r="AB771" s="39"/>
      <c r="AC771" s="39">
        <v>0</v>
      </c>
      <c r="AD771" s="39"/>
      <c r="AE771" s="39">
        <v>0</v>
      </c>
      <c r="AF771" s="39"/>
      <c r="AG771" s="39">
        <v>0</v>
      </c>
      <c r="AH771" s="39"/>
      <c r="AI771" s="41">
        <v>0</v>
      </c>
    </row>
    <row r="772" spans="1:35" x14ac:dyDescent="0.25">
      <c r="A772" s="34" t="s">
        <v>110</v>
      </c>
      <c r="B772" s="35" t="s">
        <v>2535</v>
      </c>
      <c r="C772" s="35" t="s">
        <v>2536</v>
      </c>
      <c r="D772" s="35">
        <v>23303</v>
      </c>
      <c r="E772" s="35" t="s">
        <v>3298</v>
      </c>
      <c r="F772" s="35" t="s">
        <v>3299</v>
      </c>
      <c r="G772" s="35" t="s">
        <v>115</v>
      </c>
      <c r="H772" s="35" t="s">
        <v>160</v>
      </c>
      <c r="I772" s="35" t="s">
        <v>117</v>
      </c>
      <c r="J772" s="35" t="s">
        <v>141</v>
      </c>
      <c r="K772" s="36">
        <v>46066</v>
      </c>
      <c r="L772" s="36">
        <v>46099</v>
      </c>
      <c r="M772" s="36"/>
      <c r="N772" s="36"/>
      <c r="O772" s="36"/>
      <c r="P772" s="36"/>
      <c r="Q772" s="36"/>
      <c r="R772" s="35" t="s">
        <v>142</v>
      </c>
      <c r="S772" s="35" t="s">
        <v>795</v>
      </c>
      <c r="T772" s="35" t="s">
        <v>83</v>
      </c>
      <c r="U772" s="35" t="s">
        <v>83</v>
      </c>
      <c r="V772" s="35" t="s">
        <v>509</v>
      </c>
      <c r="W772" s="35" t="s">
        <v>123</v>
      </c>
      <c r="X772" s="35">
        <v>553.85</v>
      </c>
      <c r="Y772" s="35">
        <v>138.47</v>
      </c>
      <c r="Z772" s="35">
        <v>138.47</v>
      </c>
      <c r="AA772" s="35">
        <v>0</v>
      </c>
      <c r="AB772" s="35"/>
      <c r="AC772" s="35">
        <v>0</v>
      </c>
      <c r="AD772" s="35"/>
      <c r="AE772" s="35">
        <v>0</v>
      </c>
      <c r="AF772" s="35"/>
      <c r="AG772" s="35">
        <v>0</v>
      </c>
      <c r="AH772" s="35"/>
      <c r="AI772" s="37">
        <v>0</v>
      </c>
    </row>
    <row r="773" spans="1:35" x14ac:dyDescent="0.25">
      <c r="A773" s="38" t="s">
        <v>110</v>
      </c>
      <c r="B773" s="39" t="s">
        <v>2125</v>
      </c>
      <c r="C773" s="39" t="s">
        <v>2905</v>
      </c>
      <c r="D773" s="39">
        <v>30852</v>
      </c>
      <c r="E773" s="39" t="s">
        <v>3300</v>
      </c>
      <c r="F773" s="39" t="s">
        <v>3301</v>
      </c>
      <c r="G773" s="39" t="s">
        <v>115</v>
      </c>
      <c r="H773" s="39" t="s">
        <v>160</v>
      </c>
      <c r="I773" s="39" t="s">
        <v>117</v>
      </c>
      <c r="J773" s="39" t="s">
        <v>141</v>
      </c>
      <c r="K773" s="40">
        <v>46066</v>
      </c>
      <c r="L773" s="40">
        <v>46106</v>
      </c>
      <c r="M773" s="40"/>
      <c r="N773" s="40"/>
      <c r="O773" s="40"/>
      <c r="P773" s="40"/>
      <c r="Q773" s="40"/>
      <c r="R773" s="39" t="s">
        <v>142</v>
      </c>
      <c r="S773" s="39" t="s">
        <v>795</v>
      </c>
      <c r="T773" s="39" t="s">
        <v>83</v>
      </c>
      <c r="U773" s="35" t="s">
        <v>83</v>
      </c>
      <c r="V773" s="39" t="s">
        <v>509</v>
      </c>
      <c r="W773" s="39" t="s">
        <v>123</v>
      </c>
      <c r="X773" s="39">
        <v>593.11</v>
      </c>
      <c r="Y773" s="39">
        <v>148.29</v>
      </c>
      <c r="Z773" s="39">
        <v>148.29</v>
      </c>
      <c r="AA773" s="39">
        <v>0</v>
      </c>
      <c r="AB773" s="39"/>
      <c r="AC773" s="39">
        <v>0</v>
      </c>
      <c r="AD773" s="39"/>
      <c r="AE773" s="39">
        <v>0</v>
      </c>
      <c r="AF773" s="39"/>
      <c r="AG773" s="39">
        <v>0</v>
      </c>
      <c r="AH773" s="39"/>
      <c r="AI773" s="41">
        <v>0</v>
      </c>
    </row>
    <row r="774" spans="1:35" x14ac:dyDescent="0.25">
      <c r="A774" s="34" t="s">
        <v>110</v>
      </c>
      <c r="B774" s="35" t="s">
        <v>2467</v>
      </c>
      <c r="C774" s="35" t="s">
        <v>2468</v>
      </c>
      <c r="D774" s="35">
        <v>10920</v>
      </c>
      <c r="E774" s="35" t="s">
        <v>3302</v>
      </c>
      <c r="F774" s="35" t="s">
        <v>3303</v>
      </c>
      <c r="G774" s="35" t="s">
        <v>115</v>
      </c>
      <c r="H774" s="35" t="s">
        <v>160</v>
      </c>
      <c r="I774" s="35" t="s">
        <v>117</v>
      </c>
      <c r="J774" s="35" t="s">
        <v>141</v>
      </c>
      <c r="K774" s="36">
        <v>46066</v>
      </c>
      <c r="L774" s="36">
        <v>46093</v>
      </c>
      <c r="M774" s="36"/>
      <c r="N774" s="36"/>
      <c r="O774" s="36"/>
      <c r="P774" s="36"/>
      <c r="Q774" s="36"/>
      <c r="R774" s="35" t="s">
        <v>187</v>
      </c>
      <c r="S774" s="35" t="s">
        <v>1603</v>
      </c>
      <c r="T774" s="35" t="s">
        <v>804</v>
      </c>
      <c r="U774" s="35" t="s">
        <v>87</v>
      </c>
      <c r="V774" s="35" t="s">
        <v>509</v>
      </c>
      <c r="W774" s="35" t="s">
        <v>123</v>
      </c>
      <c r="X774" s="35">
        <v>466.5</v>
      </c>
      <c r="Y774" s="35">
        <v>116.64</v>
      </c>
      <c r="Z774" s="35">
        <v>116.64</v>
      </c>
      <c r="AA774" s="35">
        <v>0</v>
      </c>
      <c r="AB774" s="35"/>
      <c r="AC774" s="35">
        <v>0</v>
      </c>
      <c r="AD774" s="35"/>
      <c r="AE774" s="35">
        <v>0</v>
      </c>
      <c r="AF774" s="35"/>
      <c r="AG774" s="35">
        <v>0</v>
      </c>
      <c r="AH774" s="35"/>
      <c r="AI774" s="37">
        <v>0</v>
      </c>
    </row>
    <row r="775" spans="1:35" x14ac:dyDescent="0.25">
      <c r="A775" s="38" t="s">
        <v>110</v>
      </c>
      <c r="B775" s="39" t="s">
        <v>2657</v>
      </c>
      <c r="C775" s="39" t="s">
        <v>2658</v>
      </c>
      <c r="D775" s="39">
        <v>19164</v>
      </c>
      <c r="E775" s="39" t="s">
        <v>3304</v>
      </c>
      <c r="F775" s="39" t="s">
        <v>3305</v>
      </c>
      <c r="G775" s="39" t="s">
        <v>115</v>
      </c>
      <c r="H775" s="39" t="s">
        <v>116</v>
      </c>
      <c r="I775" s="39" t="s">
        <v>117</v>
      </c>
      <c r="J775" s="39" t="s">
        <v>141</v>
      </c>
      <c r="K775" s="40">
        <v>46066</v>
      </c>
      <c r="L775" s="40">
        <v>46109</v>
      </c>
      <c r="M775" s="40"/>
      <c r="N775" s="40"/>
      <c r="O775" s="40"/>
      <c r="P775" s="40"/>
      <c r="Q775" s="40"/>
      <c r="R775" s="39" t="s">
        <v>142</v>
      </c>
      <c r="S775" s="39" t="s">
        <v>2659</v>
      </c>
      <c r="T775" s="39" t="s">
        <v>2660</v>
      </c>
      <c r="U775" s="35" t="s">
        <v>90</v>
      </c>
      <c r="V775" s="39" t="s">
        <v>509</v>
      </c>
      <c r="W775" s="39" t="s">
        <v>123</v>
      </c>
      <c r="X775" s="39">
        <v>262.36</v>
      </c>
      <c r="Y775" s="39">
        <v>52.48</v>
      </c>
      <c r="Z775" s="39">
        <v>52.48</v>
      </c>
      <c r="AA775" s="39">
        <v>0</v>
      </c>
      <c r="AB775" s="39"/>
      <c r="AC775" s="39">
        <v>0</v>
      </c>
      <c r="AD775" s="39"/>
      <c r="AE775" s="39">
        <v>0</v>
      </c>
      <c r="AF775" s="39"/>
      <c r="AG775" s="39">
        <v>0</v>
      </c>
      <c r="AH775" s="39"/>
      <c r="AI775" s="41">
        <v>0</v>
      </c>
    </row>
    <row r="776" spans="1:35" x14ac:dyDescent="0.25">
      <c r="A776" s="34" t="s">
        <v>110</v>
      </c>
      <c r="B776" s="35" t="s">
        <v>906</v>
      </c>
      <c r="C776" s="35" t="s">
        <v>907</v>
      </c>
      <c r="D776" s="35">
        <v>15469</v>
      </c>
      <c r="E776" s="35" t="s">
        <v>3306</v>
      </c>
      <c r="F776" s="35" t="s">
        <v>3307</v>
      </c>
      <c r="G776" s="35" t="s">
        <v>115</v>
      </c>
      <c r="H776" s="35" t="s">
        <v>116</v>
      </c>
      <c r="I776" s="35" t="s">
        <v>117</v>
      </c>
      <c r="J776" s="35" t="s">
        <v>141</v>
      </c>
      <c r="K776" s="36">
        <v>46066</v>
      </c>
      <c r="L776" s="36">
        <v>46082</v>
      </c>
      <c r="M776" s="36"/>
      <c r="N776" s="36"/>
      <c r="O776" s="36"/>
      <c r="P776" s="36"/>
      <c r="Q776" s="36"/>
      <c r="R776" s="35" t="s">
        <v>119</v>
      </c>
      <c r="S776" s="35" t="s">
        <v>598</v>
      </c>
      <c r="T776" s="35" t="s">
        <v>129</v>
      </c>
      <c r="U776" s="35" t="s">
        <v>90</v>
      </c>
      <c r="V776" s="35" t="s">
        <v>509</v>
      </c>
      <c r="W776" s="35" t="s">
        <v>123</v>
      </c>
      <c r="X776" s="35">
        <v>237.37</v>
      </c>
      <c r="Y776" s="35">
        <v>18.989999999999998</v>
      </c>
      <c r="Z776" s="35">
        <v>18.989999999999998</v>
      </c>
      <c r="AA776" s="35">
        <v>0</v>
      </c>
      <c r="AB776" s="35"/>
      <c r="AC776" s="35">
        <v>0</v>
      </c>
      <c r="AD776" s="35"/>
      <c r="AE776" s="35">
        <v>0</v>
      </c>
      <c r="AF776" s="35"/>
      <c r="AG776" s="35">
        <v>0</v>
      </c>
      <c r="AH776" s="35"/>
      <c r="AI776" s="37">
        <v>0</v>
      </c>
    </row>
    <row r="777" spans="1:35" x14ac:dyDescent="0.25">
      <c r="A777" s="38" t="s">
        <v>110</v>
      </c>
      <c r="B777" s="39" t="s">
        <v>910</v>
      </c>
      <c r="C777" s="39" t="s">
        <v>911</v>
      </c>
      <c r="D777" s="39">
        <v>17864</v>
      </c>
      <c r="E777" s="39" t="s">
        <v>3308</v>
      </c>
      <c r="F777" s="39" t="s">
        <v>3309</v>
      </c>
      <c r="G777" s="39" t="s">
        <v>115</v>
      </c>
      <c r="H777" s="39" t="s">
        <v>116</v>
      </c>
      <c r="I777" s="39" t="s">
        <v>117</v>
      </c>
      <c r="J777" s="39" t="s">
        <v>141</v>
      </c>
      <c r="K777" s="40">
        <v>46066</v>
      </c>
      <c r="L777" s="40">
        <v>46082</v>
      </c>
      <c r="M777" s="40"/>
      <c r="N777" s="40"/>
      <c r="O777" s="40"/>
      <c r="P777" s="40"/>
      <c r="Q777" s="40"/>
      <c r="R777" s="39" t="s">
        <v>119</v>
      </c>
      <c r="S777" s="39" t="s">
        <v>598</v>
      </c>
      <c r="T777" s="39" t="s">
        <v>129</v>
      </c>
      <c r="U777" s="35" t="s">
        <v>90</v>
      </c>
      <c r="V777" s="39" t="s">
        <v>509</v>
      </c>
      <c r="W777" s="39" t="s">
        <v>123</v>
      </c>
      <c r="X777" s="39">
        <v>212.37</v>
      </c>
      <c r="Y777" s="39">
        <v>16.989999999999998</v>
      </c>
      <c r="Z777" s="39">
        <v>16.989999999999998</v>
      </c>
      <c r="AA777" s="39">
        <v>0</v>
      </c>
      <c r="AB777" s="39"/>
      <c r="AC777" s="39">
        <v>0</v>
      </c>
      <c r="AD777" s="39"/>
      <c r="AE777" s="39">
        <v>0</v>
      </c>
      <c r="AF777" s="39"/>
      <c r="AG777" s="39">
        <v>0</v>
      </c>
      <c r="AH777" s="39"/>
      <c r="AI777" s="41">
        <v>0</v>
      </c>
    </row>
    <row r="778" spans="1:35" x14ac:dyDescent="0.25">
      <c r="A778" s="34" t="s">
        <v>110</v>
      </c>
      <c r="B778" s="35" t="s">
        <v>914</v>
      </c>
      <c r="C778" s="35" t="s">
        <v>915</v>
      </c>
      <c r="D778" s="35">
        <v>27416</v>
      </c>
      <c r="E778" s="35" t="s">
        <v>3310</v>
      </c>
      <c r="F778" s="35" t="s">
        <v>3311</v>
      </c>
      <c r="G778" s="35" t="s">
        <v>115</v>
      </c>
      <c r="H778" s="35" t="s">
        <v>116</v>
      </c>
      <c r="I778" s="35" t="s">
        <v>117</v>
      </c>
      <c r="J778" s="35" t="s">
        <v>141</v>
      </c>
      <c r="K778" s="36">
        <v>46066</v>
      </c>
      <c r="L778" s="36">
        <v>46082</v>
      </c>
      <c r="M778" s="36"/>
      <c r="N778" s="36"/>
      <c r="O778" s="36"/>
      <c r="P778" s="36"/>
      <c r="Q778" s="36"/>
      <c r="R778" s="35" t="s">
        <v>119</v>
      </c>
      <c r="S778" s="35" t="s">
        <v>598</v>
      </c>
      <c r="T778" s="35" t="s">
        <v>129</v>
      </c>
      <c r="U778" s="35" t="s">
        <v>90</v>
      </c>
      <c r="V778" s="35" t="s">
        <v>509</v>
      </c>
      <c r="W778" s="35" t="s">
        <v>123</v>
      </c>
      <c r="X778" s="35">
        <v>388.36</v>
      </c>
      <c r="Y778" s="35">
        <v>0</v>
      </c>
      <c r="Z778" s="35">
        <v>0</v>
      </c>
      <c r="AA778" s="35">
        <v>0</v>
      </c>
      <c r="AB778" s="35"/>
      <c r="AC778" s="35">
        <v>0</v>
      </c>
      <c r="AD778" s="35"/>
      <c r="AE778" s="35">
        <v>0</v>
      </c>
      <c r="AF778" s="35"/>
      <c r="AG778" s="35">
        <v>0</v>
      </c>
      <c r="AH778" s="35"/>
      <c r="AI778" s="37">
        <v>0</v>
      </c>
    </row>
    <row r="779" spans="1:35" x14ac:dyDescent="0.25">
      <c r="A779" s="38" t="s">
        <v>110</v>
      </c>
      <c r="B779" s="39" t="s">
        <v>2494</v>
      </c>
      <c r="C779" s="39" t="s">
        <v>2495</v>
      </c>
      <c r="D779" s="39">
        <v>8077</v>
      </c>
      <c r="E779" s="39" t="s">
        <v>3312</v>
      </c>
      <c r="F779" s="39" t="s">
        <v>3313</v>
      </c>
      <c r="G779" s="39" t="s">
        <v>115</v>
      </c>
      <c r="H779" s="39" t="s">
        <v>160</v>
      </c>
      <c r="I779" s="39" t="s">
        <v>117</v>
      </c>
      <c r="J779" s="39" t="s">
        <v>118</v>
      </c>
      <c r="K779" s="40">
        <v>46066</v>
      </c>
      <c r="L779" s="40">
        <v>46083</v>
      </c>
      <c r="M779" s="40">
        <v>46083</v>
      </c>
      <c r="N779" s="40"/>
      <c r="O779" s="40"/>
      <c r="P779" s="40"/>
      <c r="Q779" s="40"/>
      <c r="R779" s="39" t="s">
        <v>142</v>
      </c>
      <c r="S779" s="39" t="s">
        <v>2430</v>
      </c>
      <c r="T779" s="39" t="s">
        <v>1736</v>
      </c>
      <c r="U779" s="35" t="s">
        <v>87</v>
      </c>
      <c r="V779" s="39" t="s">
        <v>509</v>
      </c>
      <c r="W779" s="39" t="s">
        <v>123</v>
      </c>
      <c r="X779" s="39">
        <v>752.4</v>
      </c>
      <c r="Y779" s="39">
        <v>169.3</v>
      </c>
      <c r="Z779" s="39">
        <v>169.3</v>
      </c>
      <c r="AA779" s="39">
        <v>0</v>
      </c>
      <c r="AB779" s="39"/>
      <c r="AC779" s="39">
        <v>0</v>
      </c>
      <c r="AD779" s="39"/>
      <c r="AE779" s="39">
        <v>0</v>
      </c>
      <c r="AF779" s="39"/>
      <c r="AG779" s="39">
        <v>0</v>
      </c>
      <c r="AH779" s="39"/>
      <c r="AI779" s="41">
        <v>0</v>
      </c>
    </row>
    <row r="780" spans="1:35" x14ac:dyDescent="0.25">
      <c r="A780" s="38" t="s">
        <v>110</v>
      </c>
      <c r="B780" s="39" t="s">
        <v>2429</v>
      </c>
      <c r="C780" s="39" t="s">
        <v>2437</v>
      </c>
      <c r="D780" s="39">
        <v>20140</v>
      </c>
      <c r="E780" s="39" t="s">
        <v>3314</v>
      </c>
      <c r="F780" s="39" t="s">
        <v>3315</v>
      </c>
      <c r="G780" s="39" t="s">
        <v>115</v>
      </c>
      <c r="H780" s="39" t="s">
        <v>160</v>
      </c>
      <c r="I780" s="39" t="s">
        <v>117</v>
      </c>
      <c r="J780" s="39" t="s">
        <v>141</v>
      </c>
      <c r="K780" s="40">
        <v>46066</v>
      </c>
      <c r="L780" s="40">
        <v>46102</v>
      </c>
      <c r="M780" s="40"/>
      <c r="N780" s="40"/>
      <c r="O780" s="40"/>
      <c r="P780" s="40"/>
      <c r="Q780" s="40"/>
      <c r="R780" s="39" t="s">
        <v>142</v>
      </c>
      <c r="S780" s="39" t="s">
        <v>2430</v>
      </c>
      <c r="T780" s="39" t="s">
        <v>1736</v>
      </c>
      <c r="U780" s="35" t="s">
        <v>87</v>
      </c>
      <c r="V780" s="39" t="s">
        <v>509</v>
      </c>
      <c r="W780" s="39" t="s">
        <v>123</v>
      </c>
      <c r="X780" s="39">
        <v>484.31</v>
      </c>
      <c r="Y780" s="39">
        <v>108.97</v>
      </c>
      <c r="Z780" s="39">
        <v>108.97</v>
      </c>
      <c r="AA780" s="39">
        <v>0</v>
      </c>
      <c r="AB780" s="39"/>
      <c r="AC780" s="39">
        <v>0</v>
      </c>
      <c r="AD780" s="39"/>
      <c r="AE780" s="39">
        <v>0</v>
      </c>
      <c r="AF780" s="39"/>
      <c r="AG780" s="39">
        <v>0</v>
      </c>
      <c r="AH780" s="39"/>
      <c r="AI780" s="41">
        <v>0</v>
      </c>
    </row>
    <row r="781" spans="1:35" x14ac:dyDescent="0.25">
      <c r="A781" s="34" t="s">
        <v>110</v>
      </c>
      <c r="B781" s="35" t="s">
        <v>2469</v>
      </c>
      <c r="C781" s="35" t="s">
        <v>2470</v>
      </c>
      <c r="D781" s="35">
        <v>23181</v>
      </c>
      <c r="E781" s="35" t="s">
        <v>3316</v>
      </c>
      <c r="F781" s="35" t="s">
        <v>3317</v>
      </c>
      <c r="G781" s="35" t="s">
        <v>115</v>
      </c>
      <c r="H781" s="35" t="s">
        <v>160</v>
      </c>
      <c r="I781" s="35" t="s">
        <v>117</v>
      </c>
      <c r="J781" s="35" t="s">
        <v>141</v>
      </c>
      <c r="K781" s="36">
        <v>46066</v>
      </c>
      <c r="L781" s="36">
        <v>46102</v>
      </c>
      <c r="M781" s="36"/>
      <c r="N781" s="36"/>
      <c r="O781" s="36"/>
      <c r="P781" s="36"/>
      <c r="Q781" s="36"/>
      <c r="R781" s="35" t="s">
        <v>187</v>
      </c>
      <c r="S781" s="35" t="s">
        <v>928</v>
      </c>
      <c r="T781" s="35" t="s">
        <v>144</v>
      </c>
      <c r="U781" s="35" t="s">
        <v>87</v>
      </c>
      <c r="V781" s="35" t="s">
        <v>509</v>
      </c>
      <c r="W781" s="35" t="s">
        <v>123</v>
      </c>
      <c r="X781" s="35">
        <v>266.83</v>
      </c>
      <c r="Y781" s="35">
        <v>60.04</v>
      </c>
      <c r="Z781" s="35">
        <v>60.04</v>
      </c>
      <c r="AA781" s="35">
        <v>0</v>
      </c>
      <c r="AB781" s="35"/>
      <c r="AC781" s="35">
        <v>0</v>
      </c>
      <c r="AD781" s="35"/>
      <c r="AE781" s="35">
        <v>0</v>
      </c>
      <c r="AF781" s="35"/>
      <c r="AG781" s="35">
        <v>0</v>
      </c>
      <c r="AH781" s="35"/>
      <c r="AI781" s="37">
        <v>0</v>
      </c>
    </row>
    <row r="782" spans="1:35" x14ac:dyDescent="0.25">
      <c r="A782" s="38" t="s">
        <v>110</v>
      </c>
      <c r="B782" s="39" t="s">
        <v>1470</v>
      </c>
      <c r="C782" s="39" t="s">
        <v>2510</v>
      </c>
      <c r="D782" s="39">
        <v>24861</v>
      </c>
      <c r="E782" s="39" t="s">
        <v>3318</v>
      </c>
      <c r="F782" s="39" t="s">
        <v>3319</v>
      </c>
      <c r="G782" s="39" t="s">
        <v>115</v>
      </c>
      <c r="H782" s="39" t="s">
        <v>160</v>
      </c>
      <c r="I782" s="39" t="s">
        <v>117</v>
      </c>
      <c r="J782" s="39" t="s">
        <v>118</v>
      </c>
      <c r="K782" s="40">
        <v>46066</v>
      </c>
      <c r="L782" s="40">
        <v>46084</v>
      </c>
      <c r="M782" s="40">
        <v>46084</v>
      </c>
      <c r="N782" s="40"/>
      <c r="O782" s="40"/>
      <c r="P782" s="40"/>
      <c r="Q782" s="40"/>
      <c r="R782" s="39" t="s">
        <v>142</v>
      </c>
      <c r="S782" s="39" t="s">
        <v>928</v>
      </c>
      <c r="T782" s="39" t="s">
        <v>144</v>
      </c>
      <c r="U782" s="35" t="s">
        <v>87</v>
      </c>
      <c r="V782" s="39" t="s">
        <v>509</v>
      </c>
      <c r="W782" s="39" t="s">
        <v>123</v>
      </c>
      <c r="X782" s="39">
        <v>364.42</v>
      </c>
      <c r="Y782" s="39">
        <v>81.99</v>
      </c>
      <c r="Z782" s="39">
        <v>81.99</v>
      </c>
      <c r="AA782" s="39">
        <v>0</v>
      </c>
      <c r="AB782" s="39"/>
      <c r="AC782" s="39">
        <v>0</v>
      </c>
      <c r="AD782" s="39"/>
      <c r="AE782" s="39">
        <v>0</v>
      </c>
      <c r="AF782" s="39"/>
      <c r="AG782" s="39">
        <v>0</v>
      </c>
      <c r="AH782" s="39"/>
      <c r="AI782" s="41">
        <v>0</v>
      </c>
    </row>
    <row r="783" spans="1:35" x14ac:dyDescent="0.25">
      <c r="A783" s="34" t="s">
        <v>110</v>
      </c>
      <c r="B783" s="35" t="s">
        <v>2496</v>
      </c>
      <c r="C783" s="35" t="s">
        <v>2497</v>
      </c>
      <c r="D783" s="35">
        <v>11824</v>
      </c>
      <c r="E783" s="35" t="s">
        <v>3320</v>
      </c>
      <c r="F783" s="35" t="s">
        <v>3321</v>
      </c>
      <c r="G783" s="35" t="s">
        <v>115</v>
      </c>
      <c r="H783" s="35" t="s">
        <v>160</v>
      </c>
      <c r="I783" s="35" t="s">
        <v>117</v>
      </c>
      <c r="J783" s="35" t="s">
        <v>141</v>
      </c>
      <c r="K783" s="36">
        <v>46066</v>
      </c>
      <c r="L783" s="36">
        <v>46102</v>
      </c>
      <c r="M783" s="36"/>
      <c r="N783" s="36"/>
      <c r="O783" s="36"/>
      <c r="P783" s="36"/>
      <c r="Q783" s="36"/>
      <c r="R783" s="35" t="s">
        <v>175</v>
      </c>
      <c r="S783" s="35" t="s">
        <v>933</v>
      </c>
      <c r="T783" s="35" t="s">
        <v>162</v>
      </c>
      <c r="U783" s="35" t="s">
        <v>87</v>
      </c>
      <c r="V783" s="35" t="s">
        <v>509</v>
      </c>
      <c r="W783" s="35" t="s">
        <v>123</v>
      </c>
      <c r="X783" s="35">
        <v>2213.35</v>
      </c>
      <c r="Y783" s="35">
        <v>442.68</v>
      </c>
      <c r="Z783" s="35">
        <v>442.68</v>
      </c>
      <c r="AA783" s="35">
        <v>0</v>
      </c>
      <c r="AB783" s="35"/>
      <c r="AC783" s="35">
        <v>0</v>
      </c>
      <c r="AD783" s="35"/>
      <c r="AE783" s="35">
        <v>0</v>
      </c>
      <c r="AF783" s="35"/>
      <c r="AG783" s="35">
        <v>0</v>
      </c>
      <c r="AH783" s="35"/>
      <c r="AI783" s="37">
        <v>0</v>
      </c>
    </row>
    <row r="784" spans="1:35" x14ac:dyDescent="0.25">
      <c r="A784" s="38" t="s">
        <v>110</v>
      </c>
      <c r="B784" s="39" t="s">
        <v>2492</v>
      </c>
      <c r="C784" s="39" t="s">
        <v>2498</v>
      </c>
      <c r="D784" s="39">
        <v>15598</v>
      </c>
      <c r="E784" s="39" t="s">
        <v>3322</v>
      </c>
      <c r="F784" s="39" t="s">
        <v>3323</v>
      </c>
      <c r="G784" s="39" t="s">
        <v>115</v>
      </c>
      <c r="H784" s="39" t="s">
        <v>160</v>
      </c>
      <c r="I784" s="39" t="s">
        <v>117</v>
      </c>
      <c r="J784" s="39" t="s">
        <v>118</v>
      </c>
      <c r="K784" s="40">
        <v>46066</v>
      </c>
      <c r="L784" s="40">
        <v>46096</v>
      </c>
      <c r="M784" s="40">
        <v>46096</v>
      </c>
      <c r="N784" s="40"/>
      <c r="O784" s="40"/>
      <c r="P784" s="40"/>
      <c r="Q784" s="40"/>
      <c r="R784" s="39" t="s">
        <v>175</v>
      </c>
      <c r="S784" s="39" t="s">
        <v>933</v>
      </c>
      <c r="T784" s="39" t="s">
        <v>162</v>
      </c>
      <c r="U784" s="35" t="s">
        <v>87</v>
      </c>
      <c r="V784" s="39" t="s">
        <v>509</v>
      </c>
      <c r="W784" s="39" t="s">
        <v>123</v>
      </c>
      <c r="X784" s="39">
        <v>1962.27</v>
      </c>
      <c r="Y784" s="39">
        <v>392.44</v>
      </c>
      <c r="Z784" s="39">
        <v>392.44</v>
      </c>
      <c r="AA784" s="39">
        <v>0</v>
      </c>
      <c r="AB784" s="39"/>
      <c r="AC784" s="39">
        <v>0</v>
      </c>
      <c r="AD784" s="39"/>
      <c r="AE784" s="39">
        <v>0</v>
      </c>
      <c r="AF784" s="39"/>
      <c r="AG784" s="39">
        <v>0</v>
      </c>
      <c r="AH784" s="39"/>
      <c r="AI784" s="41">
        <v>0</v>
      </c>
    </row>
    <row r="785" spans="1:35" x14ac:dyDescent="0.25">
      <c r="A785" s="38" t="s">
        <v>110</v>
      </c>
      <c r="B785" s="39" t="s">
        <v>2500</v>
      </c>
      <c r="C785" s="39" t="s">
        <v>2501</v>
      </c>
      <c r="D785" s="39">
        <v>24845</v>
      </c>
      <c r="E785" s="39" t="s">
        <v>3324</v>
      </c>
      <c r="F785" s="39" t="s">
        <v>3325</v>
      </c>
      <c r="G785" s="39" t="s">
        <v>115</v>
      </c>
      <c r="H785" s="39" t="s">
        <v>160</v>
      </c>
      <c r="I785" s="39" t="s">
        <v>117</v>
      </c>
      <c r="J785" s="39" t="s">
        <v>118</v>
      </c>
      <c r="K785" s="40">
        <v>46066</v>
      </c>
      <c r="L785" s="40">
        <v>46082</v>
      </c>
      <c r="M785" s="40">
        <v>46083</v>
      </c>
      <c r="N785" s="40"/>
      <c r="O785" s="40"/>
      <c r="P785" s="40"/>
      <c r="Q785" s="40"/>
      <c r="R785" s="39" t="s">
        <v>142</v>
      </c>
      <c r="S785" s="39" t="s">
        <v>1767</v>
      </c>
      <c r="T785" s="39" t="s">
        <v>162</v>
      </c>
      <c r="U785" s="35" t="s">
        <v>87</v>
      </c>
      <c r="V785" s="39" t="s">
        <v>509</v>
      </c>
      <c r="W785" s="39" t="s">
        <v>123</v>
      </c>
      <c r="X785" s="39">
        <v>12012.53</v>
      </c>
      <c r="Y785" s="39">
        <v>2402.5</v>
      </c>
      <c r="Z785" s="39">
        <v>2402.5</v>
      </c>
      <c r="AA785" s="39">
        <v>0</v>
      </c>
      <c r="AB785" s="39"/>
      <c r="AC785" s="39">
        <v>0</v>
      </c>
      <c r="AD785" s="39"/>
      <c r="AE785" s="39">
        <v>0</v>
      </c>
      <c r="AF785" s="39"/>
      <c r="AG785" s="39">
        <v>0</v>
      </c>
      <c r="AH785" s="39"/>
      <c r="AI785" s="41">
        <v>0</v>
      </c>
    </row>
    <row r="786" spans="1:35" x14ac:dyDescent="0.25">
      <c r="A786" s="34" t="s">
        <v>110</v>
      </c>
      <c r="B786" s="35" t="s">
        <v>1081</v>
      </c>
      <c r="C786" s="35" t="s">
        <v>2487</v>
      </c>
      <c r="D786" s="35">
        <v>20064</v>
      </c>
      <c r="E786" s="35" t="s">
        <v>3326</v>
      </c>
      <c r="F786" s="35" t="s">
        <v>3327</v>
      </c>
      <c r="G786" s="35" t="s">
        <v>115</v>
      </c>
      <c r="H786" s="35" t="s">
        <v>160</v>
      </c>
      <c r="I786" s="35" t="s">
        <v>117</v>
      </c>
      <c r="J786" s="35" t="s">
        <v>118</v>
      </c>
      <c r="K786" s="36">
        <v>46066</v>
      </c>
      <c r="L786" s="36">
        <v>46083</v>
      </c>
      <c r="M786" s="36">
        <v>46083</v>
      </c>
      <c r="N786" s="36"/>
      <c r="O786" s="36"/>
      <c r="P786" s="36"/>
      <c r="Q786" s="36"/>
      <c r="R786" s="35" t="s">
        <v>142</v>
      </c>
      <c r="S786" s="35" t="s">
        <v>519</v>
      </c>
      <c r="T786" s="35" t="s">
        <v>519</v>
      </c>
      <c r="U786" s="35" t="s">
        <v>86</v>
      </c>
      <c r="V786" s="35" t="s">
        <v>509</v>
      </c>
      <c r="W786" s="35" t="s">
        <v>123</v>
      </c>
      <c r="X786" s="35">
        <v>2316.0300000000002</v>
      </c>
      <c r="Y786" s="35">
        <v>347.41</v>
      </c>
      <c r="Z786" s="35">
        <v>347.41</v>
      </c>
      <c r="AA786" s="35">
        <v>0</v>
      </c>
      <c r="AB786" s="35"/>
      <c r="AC786" s="35">
        <v>0</v>
      </c>
      <c r="AD786" s="35"/>
      <c r="AE786" s="35">
        <v>0</v>
      </c>
      <c r="AF786" s="35"/>
      <c r="AG786" s="35">
        <v>0</v>
      </c>
      <c r="AH786" s="35"/>
      <c r="AI786" s="37">
        <v>0</v>
      </c>
    </row>
    <row r="787" spans="1:35" x14ac:dyDescent="0.25">
      <c r="A787" s="38" t="s">
        <v>110</v>
      </c>
      <c r="B787" s="39" t="s">
        <v>1790</v>
      </c>
      <c r="C787" s="39" t="s">
        <v>2488</v>
      </c>
      <c r="D787" s="39">
        <v>13218</v>
      </c>
      <c r="E787" s="39" t="s">
        <v>3328</v>
      </c>
      <c r="F787" s="39" t="s">
        <v>3329</v>
      </c>
      <c r="G787" s="39" t="s">
        <v>115</v>
      </c>
      <c r="H787" s="39" t="s">
        <v>160</v>
      </c>
      <c r="I787" s="39" t="s">
        <v>117</v>
      </c>
      <c r="J787" s="39" t="s">
        <v>141</v>
      </c>
      <c r="K787" s="40">
        <v>46066</v>
      </c>
      <c r="L787" s="40">
        <v>46101</v>
      </c>
      <c r="M787" s="40"/>
      <c r="N787" s="40"/>
      <c r="O787" s="40"/>
      <c r="P787" s="40"/>
      <c r="Q787" s="40"/>
      <c r="R787" s="39" t="s">
        <v>142</v>
      </c>
      <c r="S787" s="39" t="s">
        <v>2381</v>
      </c>
      <c r="T787" s="39" t="s">
        <v>1631</v>
      </c>
      <c r="U787" s="35" t="s">
        <v>85</v>
      </c>
      <c r="V787" s="39" t="s">
        <v>509</v>
      </c>
      <c r="W787" s="39" t="s">
        <v>123</v>
      </c>
      <c r="X787" s="39">
        <v>311.05</v>
      </c>
      <c r="Y787" s="39">
        <v>46.65</v>
      </c>
      <c r="Z787" s="39">
        <v>46.65</v>
      </c>
      <c r="AA787" s="39">
        <v>0</v>
      </c>
      <c r="AB787" s="39"/>
      <c r="AC787" s="39">
        <v>0</v>
      </c>
      <c r="AD787" s="39"/>
      <c r="AE787" s="39">
        <v>0</v>
      </c>
      <c r="AF787" s="39"/>
      <c r="AG787" s="39">
        <v>0</v>
      </c>
      <c r="AH787" s="39"/>
      <c r="AI787" s="41">
        <v>0</v>
      </c>
    </row>
    <row r="788" spans="1:35" x14ac:dyDescent="0.25">
      <c r="A788" s="34" t="s">
        <v>110</v>
      </c>
      <c r="B788" s="35" t="s">
        <v>2489</v>
      </c>
      <c r="C788" s="35" t="s">
        <v>2490</v>
      </c>
      <c r="D788" s="35">
        <v>17011</v>
      </c>
      <c r="E788" s="35" t="s">
        <v>3330</v>
      </c>
      <c r="F788" s="35" t="s">
        <v>3331</v>
      </c>
      <c r="G788" s="35" t="s">
        <v>115</v>
      </c>
      <c r="H788" s="35" t="s">
        <v>160</v>
      </c>
      <c r="I788" s="35" t="s">
        <v>117</v>
      </c>
      <c r="J788" s="35" t="s">
        <v>141</v>
      </c>
      <c r="K788" s="36">
        <v>46066</v>
      </c>
      <c r="L788" s="36">
        <v>46099</v>
      </c>
      <c r="M788" s="36"/>
      <c r="N788" s="36"/>
      <c r="O788" s="36"/>
      <c r="P788" s="36"/>
      <c r="Q788" s="36"/>
      <c r="R788" s="35" t="s">
        <v>142</v>
      </c>
      <c r="S788" s="35" t="s">
        <v>1794</v>
      </c>
      <c r="T788" s="35" t="s">
        <v>1631</v>
      </c>
      <c r="U788" s="35" t="s">
        <v>85</v>
      </c>
      <c r="V788" s="35" t="s">
        <v>509</v>
      </c>
      <c r="W788" s="35" t="s">
        <v>123</v>
      </c>
      <c r="X788" s="35">
        <v>1133.73</v>
      </c>
      <c r="Y788" s="35">
        <v>170.07</v>
      </c>
      <c r="Z788" s="35">
        <v>170.07</v>
      </c>
      <c r="AA788" s="35">
        <v>0</v>
      </c>
      <c r="AB788" s="35"/>
      <c r="AC788" s="35">
        <v>0</v>
      </c>
      <c r="AD788" s="35"/>
      <c r="AE788" s="35">
        <v>0</v>
      </c>
      <c r="AF788" s="35"/>
      <c r="AG788" s="35">
        <v>0</v>
      </c>
      <c r="AH788" s="35"/>
      <c r="AI788" s="37">
        <v>0</v>
      </c>
    </row>
    <row r="789" spans="1:35" x14ac:dyDescent="0.25">
      <c r="A789" s="38" t="s">
        <v>110</v>
      </c>
      <c r="B789" s="39" t="s">
        <v>2411</v>
      </c>
      <c r="C789" s="39" t="s">
        <v>2728</v>
      </c>
      <c r="D789" s="39">
        <v>27971</v>
      </c>
      <c r="E789" s="39" t="s">
        <v>3332</v>
      </c>
      <c r="F789" s="39" t="s">
        <v>3333</v>
      </c>
      <c r="G789" s="39" t="s">
        <v>115</v>
      </c>
      <c r="H789" s="39" t="s">
        <v>160</v>
      </c>
      <c r="I789" s="39" t="s">
        <v>117</v>
      </c>
      <c r="J789" s="39" t="s">
        <v>141</v>
      </c>
      <c r="K789" s="40">
        <v>46066</v>
      </c>
      <c r="L789" s="40">
        <v>46096</v>
      </c>
      <c r="M789" s="40"/>
      <c r="N789" s="40"/>
      <c r="O789" s="40"/>
      <c r="P789" s="40"/>
      <c r="Q789" s="40"/>
      <c r="R789" s="39" t="s">
        <v>142</v>
      </c>
      <c r="S789" s="39" t="s">
        <v>1789</v>
      </c>
      <c r="T789" s="39" t="s">
        <v>1631</v>
      </c>
      <c r="U789" s="35" t="s">
        <v>85</v>
      </c>
      <c r="V789" s="39" t="s">
        <v>509</v>
      </c>
      <c r="W789" s="39" t="s">
        <v>123</v>
      </c>
      <c r="X789" s="39">
        <v>5342.47</v>
      </c>
      <c r="Y789" s="39">
        <v>801.37</v>
      </c>
      <c r="Z789" s="39">
        <v>801.37</v>
      </c>
      <c r="AA789" s="39">
        <v>0</v>
      </c>
      <c r="AB789" s="39"/>
      <c r="AC789" s="39">
        <v>0</v>
      </c>
      <c r="AD789" s="39"/>
      <c r="AE789" s="39">
        <v>0</v>
      </c>
      <c r="AF789" s="39"/>
      <c r="AG789" s="39">
        <v>0</v>
      </c>
      <c r="AH789" s="39"/>
      <c r="AI789" s="41">
        <v>0</v>
      </c>
    </row>
    <row r="790" spans="1:35" x14ac:dyDescent="0.25">
      <c r="A790" s="34" t="s">
        <v>110</v>
      </c>
      <c r="B790" s="35" t="s">
        <v>170</v>
      </c>
      <c r="C790" s="35" t="s">
        <v>2491</v>
      </c>
      <c r="D790" s="35">
        <v>13101</v>
      </c>
      <c r="E790" s="35" t="s">
        <v>3334</v>
      </c>
      <c r="F790" s="35" t="s">
        <v>3335</v>
      </c>
      <c r="G790" s="35" t="s">
        <v>115</v>
      </c>
      <c r="H790" s="35" t="s">
        <v>160</v>
      </c>
      <c r="I790" s="35" t="s">
        <v>117</v>
      </c>
      <c r="J790" s="35" t="s">
        <v>141</v>
      </c>
      <c r="K790" s="36">
        <v>46066</v>
      </c>
      <c r="L790" s="36">
        <v>46099</v>
      </c>
      <c r="M790" s="36"/>
      <c r="N790" s="36"/>
      <c r="O790" s="36"/>
      <c r="P790" s="36"/>
      <c r="Q790" s="36"/>
      <c r="R790" s="35" t="s">
        <v>142</v>
      </c>
      <c r="S790" s="35" t="s">
        <v>978</v>
      </c>
      <c r="T790" s="35" t="s">
        <v>220</v>
      </c>
      <c r="U790" s="35" t="s">
        <v>91</v>
      </c>
      <c r="V790" s="35" t="s">
        <v>509</v>
      </c>
      <c r="W790" s="35" t="s">
        <v>123</v>
      </c>
      <c r="X790" s="35">
        <v>5580.64</v>
      </c>
      <c r="Y790" s="35">
        <v>1116.1300000000001</v>
      </c>
      <c r="Z790" s="35">
        <v>1116.1300000000001</v>
      </c>
      <c r="AA790" s="35">
        <v>0</v>
      </c>
      <c r="AB790" s="35"/>
      <c r="AC790" s="35">
        <v>0</v>
      </c>
      <c r="AD790" s="35"/>
      <c r="AE790" s="35">
        <v>0</v>
      </c>
      <c r="AF790" s="35"/>
      <c r="AG790" s="35">
        <v>0</v>
      </c>
      <c r="AH790" s="35"/>
      <c r="AI790" s="37">
        <v>0</v>
      </c>
    </row>
    <row r="791" spans="1:35" x14ac:dyDescent="0.25">
      <c r="A791" s="38" t="s">
        <v>110</v>
      </c>
      <c r="B791" s="39" t="s">
        <v>2492</v>
      </c>
      <c r="C791" s="39" t="s">
        <v>2493</v>
      </c>
      <c r="D791" s="39">
        <v>15575</v>
      </c>
      <c r="E791" s="39" t="s">
        <v>3336</v>
      </c>
      <c r="F791" s="39" t="s">
        <v>3337</v>
      </c>
      <c r="G791" s="39" t="s">
        <v>115</v>
      </c>
      <c r="H791" s="39" t="s">
        <v>160</v>
      </c>
      <c r="I791" s="39" t="s">
        <v>117</v>
      </c>
      <c r="J791" s="39" t="s">
        <v>118</v>
      </c>
      <c r="K791" s="40">
        <v>46066</v>
      </c>
      <c r="L791" s="40">
        <v>46096</v>
      </c>
      <c r="M791" s="40">
        <v>46096</v>
      </c>
      <c r="N791" s="40"/>
      <c r="O791" s="40"/>
      <c r="P791" s="40"/>
      <c r="Q791" s="40"/>
      <c r="R791" s="39" t="s">
        <v>175</v>
      </c>
      <c r="S791" s="39" t="s">
        <v>978</v>
      </c>
      <c r="T791" s="39" t="s">
        <v>220</v>
      </c>
      <c r="U791" s="35" t="s">
        <v>91</v>
      </c>
      <c r="V791" s="39" t="s">
        <v>509</v>
      </c>
      <c r="W791" s="39" t="s">
        <v>123</v>
      </c>
      <c r="X791" s="39">
        <v>2315.62</v>
      </c>
      <c r="Y791" s="39">
        <v>463.12</v>
      </c>
      <c r="Z791" s="39">
        <v>463.12</v>
      </c>
      <c r="AA791" s="39">
        <v>0</v>
      </c>
      <c r="AB791" s="39"/>
      <c r="AC791" s="39">
        <v>0</v>
      </c>
      <c r="AD791" s="39"/>
      <c r="AE791" s="39">
        <v>0</v>
      </c>
      <c r="AF791" s="39"/>
      <c r="AG791" s="39">
        <v>0</v>
      </c>
      <c r="AH791" s="39"/>
      <c r="AI791" s="41">
        <v>0</v>
      </c>
    </row>
    <row r="792" spans="1:35" x14ac:dyDescent="0.25">
      <c r="A792" s="34" t="s">
        <v>110</v>
      </c>
      <c r="B792" s="35" t="s">
        <v>474</v>
      </c>
      <c r="C792" s="35" t="s">
        <v>2499</v>
      </c>
      <c r="D792" s="35">
        <v>26291</v>
      </c>
      <c r="E792" s="35" t="s">
        <v>3338</v>
      </c>
      <c r="F792" s="35" t="s">
        <v>3339</v>
      </c>
      <c r="G792" s="35" t="s">
        <v>115</v>
      </c>
      <c r="H792" s="35" t="s">
        <v>160</v>
      </c>
      <c r="I792" s="35" t="s">
        <v>117</v>
      </c>
      <c r="J792" s="35" t="s">
        <v>141</v>
      </c>
      <c r="K792" s="36">
        <v>46066</v>
      </c>
      <c r="L792" s="36">
        <v>46108</v>
      </c>
      <c r="M792" s="36"/>
      <c r="N792" s="36"/>
      <c r="O792" s="36"/>
      <c r="P792" s="36"/>
      <c r="Q792" s="36"/>
      <c r="R792" s="35" t="s">
        <v>142</v>
      </c>
      <c r="S792" s="35" t="s">
        <v>2407</v>
      </c>
      <c r="T792" s="35" t="s">
        <v>974</v>
      </c>
      <c r="U792" s="35" t="s">
        <v>91</v>
      </c>
      <c r="V792" s="35" t="s">
        <v>509</v>
      </c>
      <c r="W792" s="35" t="s">
        <v>123</v>
      </c>
      <c r="X792" s="35">
        <v>1800</v>
      </c>
      <c r="Y792" s="35">
        <v>360</v>
      </c>
      <c r="Z792" s="35">
        <v>360</v>
      </c>
      <c r="AA792" s="35">
        <v>0</v>
      </c>
      <c r="AB792" s="35"/>
      <c r="AC792" s="35">
        <v>0</v>
      </c>
      <c r="AD792" s="35"/>
      <c r="AE792" s="35">
        <v>0</v>
      </c>
      <c r="AF792" s="35"/>
      <c r="AG792" s="35">
        <v>0</v>
      </c>
      <c r="AH792" s="35"/>
      <c r="AI792" s="37">
        <v>0</v>
      </c>
    </row>
    <row r="793" spans="1:35" x14ac:dyDescent="0.25">
      <c r="A793" s="38" t="s">
        <v>110</v>
      </c>
      <c r="B793" s="39" t="s">
        <v>720</v>
      </c>
      <c r="C793" s="39" t="s">
        <v>721</v>
      </c>
      <c r="D793" s="39">
        <v>788</v>
      </c>
      <c r="E793" s="39" t="s">
        <v>3340</v>
      </c>
      <c r="F793" s="39" t="s">
        <v>3341</v>
      </c>
      <c r="G793" s="39" t="s">
        <v>115</v>
      </c>
      <c r="H793" s="39" t="s">
        <v>160</v>
      </c>
      <c r="I793" s="39" t="s">
        <v>117</v>
      </c>
      <c r="J793" s="39" t="s">
        <v>141</v>
      </c>
      <c r="K793" s="40">
        <v>46066</v>
      </c>
      <c r="L793" s="40">
        <v>46111</v>
      </c>
      <c r="M793" s="40"/>
      <c r="N793" s="40"/>
      <c r="O793" s="40"/>
      <c r="P793" s="40"/>
      <c r="Q793" s="40"/>
      <c r="R793" s="39" t="s">
        <v>175</v>
      </c>
      <c r="S793" s="39" t="s">
        <v>724</v>
      </c>
      <c r="T793" s="39" t="s">
        <v>724</v>
      </c>
      <c r="U793" s="35" t="s">
        <v>88</v>
      </c>
      <c r="V793" s="39" t="s">
        <v>509</v>
      </c>
      <c r="W793" s="39" t="s">
        <v>123</v>
      </c>
      <c r="X793" s="39">
        <v>6494.52</v>
      </c>
      <c r="Y793" s="39">
        <v>1298.9000000000001</v>
      </c>
      <c r="Z793" s="39">
        <v>1298.9000000000001</v>
      </c>
      <c r="AA793" s="39">
        <v>0</v>
      </c>
      <c r="AB793" s="39"/>
      <c r="AC793" s="39">
        <v>0</v>
      </c>
      <c r="AD793" s="39"/>
      <c r="AE793" s="39">
        <v>0</v>
      </c>
      <c r="AF793" s="39"/>
      <c r="AG793" s="39">
        <v>0</v>
      </c>
      <c r="AH793" s="39"/>
      <c r="AI793" s="41">
        <v>0</v>
      </c>
    </row>
    <row r="794" spans="1:35" x14ac:dyDescent="0.25">
      <c r="A794" s="38" t="s">
        <v>110</v>
      </c>
      <c r="B794" s="39" t="s">
        <v>2502</v>
      </c>
      <c r="C794" s="39" t="s">
        <v>2503</v>
      </c>
      <c r="D794" s="39">
        <v>19014</v>
      </c>
      <c r="E794" s="39" t="s">
        <v>3342</v>
      </c>
      <c r="F794" s="39" t="s">
        <v>3343</v>
      </c>
      <c r="G794" s="39" t="s">
        <v>115</v>
      </c>
      <c r="H794" s="39" t="s">
        <v>116</v>
      </c>
      <c r="I794" s="39" t="s">
        <v>117</v>
      </c>
      <c r="J794" s="39" t="s">
        <v>141</v>
      </c>
      <c r="K794" s="40">
        <v>46066</v>
      </c>
      <c r="L794" s="40">
        <v>46082</v>
      </c>
      <c r="M794" s="40"/>
      <c r="N794" s="40"/>
      <c r="O794" s="40"/>
      <c r="P794" s="40"/>
      <c r="Q794" s="40"/>
      <c r="R794" s="39" t="s">
        <v>175</v>
      </c>
      <c r="S794" s="39" t="s">
        <v>1603</v>
      </c>
      <c r="T794" s="39" t="s">
        <v>804</v>
      </c>
      <c r="U794" s="35" t="s">
        <v>87</v>
      </c>
      <c r="V794" s="39" t="s">
        <v>509</v>
      </c>
      <c r="W794" s="39" t="s">
        <v>123</v>
      </c>
      <c r="X794" s="39">
        <v>523.36</v>
      </c>
      <c r="Y794" s="39">
        <v>130.86000000000001</v>
      </c>
      <c r="Z794" s="39">
        <v>130.86000000000001</v>
      </c>
      <c r="AA794" s="39">
        <v>0</v>
      </c>
      <c r="AB794" s="39"/>
      <c r="AC794" s="39">
        <v>0</v>
      </c>
      <c r="AD794" s="39"/>
      <c r="AE794" s="39">
        <v>0</v>
      </c>
      <c r="AF794" s="39"/>
      <c r="AG794" s="39">
        <v>0</v>
      </c>
      <c r="AH794" s="39"/>
      <c r="AI794" s="41">
        <v>0</v>
      </c>
    </row>
    <row r="795" spans="1:35" x14ac:dyDescent="0.25">
      <c r="A795" s="34" t="s">
        <v>110</v>
      </c>
      <c r="B795" s="35" t="s">
        <v>993</v>
      </c>
      <c r="C795" s="35" t="s">
        <v>2544</v>
      </c>
      <c r="D795" s="35">
        <v>21058</v>
      </c>
      <c r="E795" s="35" t="s">
        <v>3344</v>
      </c>
      <c r="F795" s="35" t="s">
        <v>3345</v>
      </c>
      <c r="G795" s="35" t="s">
        <v>115</v>
      </c>
      <c r="H795" s="35" t="s">
        <v>160</v>
      </c>
      <c r="I795" s="35" t="s">
        <v>117</v>
      </c>
      <c r="J795" s="35" t="s">
        <v>141</v>
      </c>
      <c r="K795" s="36">
        <v>46066</v>
      </c>
      <c r="L795" s="36">
        <v>46082</v>
      </c>
      <c r="M795" s="36"/>
      <c r="N795" s="36"/>
      <c r="O795" s="36"/>
      <c r="P795" s="36"/>
      <c r="Q795" s="36"/>
      <c r="R795" s="35" t="s">
        <v>187</v>
      </c>
      <c r="S795" s="35" t="s">
        <v>2545</v>
      </c>
      <c r="T795" s="35" t="s">
        <v>2546</v>
      </c>
      <c r="U795" s="35" t="s">
        <v>107</v>
      </c>
      <c r="V795" s="35" t="s">
        <v>509</v>
      </c>
      <c r="W795" s="35" t="s">
        <v>123</v>
      </c>
      <c r="X795" s="35">
        <v>93.38</v>
      </c>
      <c r="Y795" s="35">
        <v>7.47</v>
      </c>
      <c r="Z795" s="35">
        <v>7.47</v>
      </c>
      <c r="AA795" s="35">
        <v>0</v>
      </c>
      <c r="AB795" s="35"/>
      <c r="AC795" s="35">
        <v>0</v>
      </c>
      <c r="AD795" s="35"/>
      <c r="AE795" s="35">
        <v>0</v>
      </c>
      <c r="AF795" s="35"/>
      <c r="AG795" s="35">
        <v>0</v>
      </c>
      <c r="AH795" s="35"/>
      <c r="AI795" s="37">
        <v>0</v>
      </c>
    </row>
    <row r="796" spans="1:35" x14ac:dyDescent="0.25">
      <c r="A796" s="38" t="s">
        <v>110</v>
      </c>
      <c r="B796" s="39" t="s">
        <v>993</v>
      </c>
      <c r="C796" s="39" t="s">
        <v>2547</v>
      </c>
      <c r="D796" s="39">
        <v>21106</v>
      </c>
      <c r="E796" s="39" t="s">
        <v>3346</v>
      </c>
      <c r="F796" s="39" t="s">
        <v>3347</v>
      </c>
      <c r="G796" s="39" t="s">
        <v>115</v>
      </c>
      <c r="H796" s="39" t="s">
        <v>160</v>
      </c>
      <c r="I796" s="39" t="s">
        <v>117</v>
      </c>
      <c r="J796" s="39" t="s">
        <v>141</v>
      </c>
      <c r="K796" s="40">
        <v>46066</v>
      </c>
      <c r="L796" s="40">
        <v>46082</v>
      </c>
      <c r="M796" s="40"/>
      <c r="N796" s="40"/>
      <c r="O796" s="40"/>
      <c r="P796" s="40"/>
      <c r="Q796" s="40"/>
      <c r="R796" s="39" t="s">
        <v>187</v>
      </c>
      <c r="S796" s="39" t="s">
        <v>2541</v>
      </c>
      <c r="T796" s="39" t="s">
        <v>2542</v>
      </c>
      <c r="U796" s="35" t="s">
        <v>107</v>
      </c>
      <c r="V796" s="39" t="s">
        <v>509</v>
      </c>
      <c r="W796" s="39" t="s">
        <v>123</v>
      </c>
      <c r="X796" s="39">
        <v>338.23</v>
      </c>
      <c r="Y796" s="39">
        <v>27.06</v>
      </c>
      <c r="Z796" s="39">
        <v>27.06</v>
      </c>
      <c r="AA796" s="39">
        <v>0</v>
      </c>
      <c r="AB796" s="39"/>
      <c r="AC796" s="39">
        <v>0</v>
      </c>
      <c r="AD796" s="39"/>
      <c r="AE796" s="39">
        <v>0</v>
      </c>
      <c r="AF796" s="39"/>
      <c r="AG796" s="39">
        <v>0</v>
      </c>
      <c r="AH796" s="39"/>
      <c r="AI796" s="41">
        <v>0</v>
      </c>
    </row>
    <row r="797" spans="1:35" x14ac:dyDescent="0.25">
      <c r="A797" s="34" t="s">
        <v>110</v>
      </c>
      <c r="B797" s="35" t="s">
        <v>993</v>
      </c>
      <c r="C797" s="35" t="s">
        <v>2548</v>
      </c>
      <c r="D797" s="35">
        <v>21107</v>
      </c>
      <c r="E797" s="35" t="s">
        <v>3348</v>
      </c>
      <c r="F797" s="35" t="s">
        <v>3349</v>
      </c>
      <c r="G797" s="35" t="s">
        <v>115</v>
      </c>
      <c r="H797" s="35" t="s">
        <v>160</v>
      </c>
      <c r="I797" s="35" t="s">
        <v>117</v>
      </c>
      <c r="J797" s="35" t="s">
        <v>141</v>
      </c>
      <c r="K797" s="36">
        <v>46066</v>
      </c>
      <c r="L797" s="36">
        <v>46082</v>
      </c>
      <c r="M797" s="36"/>
      <c r="N797" s="36"/>
      <c r="O797" s="36"/>
      <c r="P797" s="36"/>
      <c r="Q797" s="36"/>
      <c r="R797" s="35" t="s">
        <v>187</v>
      </c>
      <c r="S797" s="35" t="s">
        <v>2541</v>
      </c>
      <c r="T797" s="35" t="s">
        <v>2542</v>
      </c>
      <c r="U797" s="35" t="s">
        <v>107</v>
      </c>
      <c r="V797" s="35" t="s">
        <v>509</v>
      </c>
      <c r="W797" s="35" t="s">
        <v>123</v>
      </c>
      <c r="X797" s="35">
        <v>338.23</v>
      </c>
      <c r="Y797" s="35">
        <v>27.06</v>
      </c>
      <c r="Z797" s="35">
        <v>27.06</v>
      </c>
      <c r="AA797" s="35">
        <v>0</v>
      </c>
      <c r="AB797" s="35"/>
      <c r="AC797" s="35">
        <v>0</v>
      </c>
      <c r="AD797" s="35"/>
      <c r="AE797" s="35">
        <v>0</v>
      </c>
      <c r="AF797" s="35"/>
      <c r="AG797" s="35">
        <v>0</v>
      </c>
      <c r="AH797" s="35"/>
      <c r="AI797" s="37">
        <v>0</v>
      </c>
    </row>
    <row r="798" spans="1:35" x14ac:dyDescent="0.25">
      <c r="A798" s="38" t="s">
        <v>110</v>
      </c>
      <c r="B798" s="39" t="s">
        <v>1795</v>
      </c>
      <c r="C798" s="39" t="s">
        <v>2549</v>
      </c>
      <c r="D798" s="39">
        <v>21053</v>
      </c>
      <c r="E798" s="39" t="s">
        <v>3350</v>
      </c>
      <c r="F798" s="39" t="s">
        <v>3351</v>
      </c>
      <c r="G798" s="39" t="s">
        <v>115</v>
      </c>
      <c r="H798" s="39" t="s">
        <v>160</v>
      </c>
      <c r="I798" s="39" t="s">
        <v>117</v>
      </c>
      <c r="J798" s="39" t="s">
        <v>141</v>
      </c>
      <c r="K798" s="40">
        <v>46066</v>
      </c>
      <c r="L798" s="40">
        <v>46082</v>
      </c>
      <c r="M798" s="40"/>
      <c r="N798" s="40"/>
      <c r="O798" s="40"/>
      <c r="P798" s="40"/>
      <c r="Q798" s="40"/>
      <c r="R798" s="39" t="s">
        <v>187</v>
      </c>
      <c r="S798" s="39" t="s">
        <v>2541</v>
      </c>
      <c r="T798" s="39" t="s">
        <v>2542</v>
      </c>
      <c r="U798" s="35" t="s">
        <v>107</v>
      </c>
      <c r="V798" s="39" t="s">
        <v>509</v>
      </c>
      <c r="W798" s="39" t="s">
        <v>123</v>
      </c>
      <c r="X798" s="39">
        <v>659.01</v>
      </c>
      <c r="Y798" s="39">
        <v>52.73</v>
      </c>
      <c r="Z798" s="39">
        <v>52.73</v>
      </c>
      <c r="AA798" s="39">
        <v>0</v>
      </c>
      <c r="AB798" s="39"/>
      <c r="AC798" s="39">
        <v>0</v>
      </c>
      <c r="AD798" s="39"/>
      <c r="AE798" s="39">
        <v>0</v>
      </c>
      <c r="AF798" s="39"/>
      <c r="AG798" s="39">
        <v>0</v>
      </c>
      <c r="AH798" s="39"/>
      <c r="AI798" s="41">
        <v>0</v>
      </c>
    </row>
    <row r="799" spans="1:35" x14ac:dyDescent="0.25">
      <c r="A799" s="34" t="s">
        <v>110</v>
      </c>
      <c r="B799" s="35" t="s">
        <v>993</v>
      </c>
      <c r="C799" s="35" t="s">
        <v>2550</v>
      </c>
      <c r="D799" s="35">
        <v>21057</v>
      </c>
      <c r="E799" s="35" t="s">
        <v>3352</v>
      </c>
      <c r="F799" s="35" t="s">
        <v>3353</v>
      </c>
      <c r="G799" s="35" t="s">
        <v>115</v>
      </c>
      <c r="H799" s="35" t="s">
        <v>160</v>
      </c>
      <c r="I799" s="35" t="s">
        <v>117</v>
      </c>
      <c r="J799" s="35" t="s">
        <v>141</v>
      </c>
      <c r="K799" s="36">
        <v>46066</v>
      </c>
      <c r="L799" s="36">
        <v>46082</v>
      </c>
      <c r="M799" s="36"/>
      <c r="N799" s="36"/>
      <c r="O799" s="36"/>
      <c r="P799" s="36"/>
      <c r="Q799" s="36"/>
      <c r="R799" s="35" t="s">
        <v>187</v>
      </c>
      <c r="S799" s="35" t="s">
        <v>2545</v>
      </c>
      <c r="T799" s="35" t="s">
        <v>2546</v>
      </c>
      <c r="U799" s="35" t="s">
        <v>107</v>
      </c>
      <c r="V799" s="35" t="s">
        <v>509</v>
      </c>
      <c r="W799" s="35" t="s">
        <v>123</v>
      </c>
      <c r="X799" s="35">
        <v>93.38</v>
      </c>
      <c r="Y799" s="35">
        <v>7.47</v>
      </c>
      <c r="Z799" s="35">
        <v>7.47</v>
      </c>
      <c r="AA799" s="35">
        <v>0</v>
      </c>
      <c r="AB799" s="35"/>
      <c r="AC799" s="35">
        <v>0</v>
      </c>
      <c r="AD799" s="35"/>
      <c r="AE799" s="35">
        <v>0</v>
      </c>
      <c r="AF799" s="35"/>
      <c r="AG799" s="35">
        <v>0</v>
      </c>
      <c r="AH799" s="35"/>
      <c r="AI799" s="37">
        <v>0</v>
      </c>
    </row>
    <row r="800" spans="1:35" x14ac:dyDescent="0.25">
      <c r="A800" s="38" t="s">
        <v>110</v>
      </c>
      <c r="B800" s="39" t="s">
        <v>993</v>
      </c>
      <c r="C800" s="39" t="s">
        <v>2551</v>
      </c>
      <c r="D800" s="39">
        <v>21066</v>
      </c>
      <c r="E800" s="39" t="s">
        <v>3354</v>
      </c>
      <c r="F800" s="39" t="s">
        <v>3355</v>
      </c>
      <c r="G800" s="39" t="s">
        <v>115</v>
      </c>
      <c r="H800" s="39" t="s">
        <v>160</v>
      </c>
      <c r="I800" s="39" t="s">
        <v>117</v>
      </c>
      <c r="J800" s="39" t="s">
        <v>141</v>
      </c>
      <c r="K800" s="40">
        <v>46066</v>
      </c>
      <c r="L800" s="40">
        <v>46082</v>
      </c>
      <c r="M800" s="40"/>
      <c r="N800" s="40"/>
      <c r="O800" s="40"/>
      <c r="P800" s="40"/>
      <c r="Q800" s="40"/>
      <c r="R800" s="39" t="s">
        <v>187</v>
      </c>
      <c r="S800" s="39" t="s">
        <v>2545</v>
      </c>
      <c r="T800" s="39" t="s">
        <v>2546</v>
      </c>
      <c r="U800" s="35" t="s">
        <v>107</v>
      </c>
      <c r="V800" s="39" t="s">
        <v>509</v>
      </c>
      <c r="W800" s="39" t="s">
        <v>123</v>
      </c>
      <c r="X800" s="39">
        <v>93.38</v>
      </c>
      <c r="Y800" s="39">
        <v>7.47</v>
      </c>
      <c r="Z800" s="39">
        <v>7.47</v>
      </c>
      <c r="AA800" s="39">
        <v>0</v>
      </c>
      <c r="AB800" s="39"/>
      <c r="AC800" s="39">
        <v>0</v>
      </c>
      <c r="AD800" s="39"/>
      <c r="AE800" s="39">
        <v>0</v>
      </c>
      <c r="AF800" s="39"/>
      <c r="AG800" s="39">
        <v>0</v>
      </c>
      <c r="AH800" s="39"/>
      <c r="AI800" s="41">
        <v>0</v>
      </c>
    </row>
    <row r="801" spans="1:35" x14ac:dyDescent="0.25">
      <c r="A801" s="34" t="s">
        <v>110</v>
      </c>
      <c r="B801" s="35" t="s">
        <v>993</v>
      </c>
      <c r="C801" s="35" t="s">
        <v>2552</v>
      </c>
      <c r="D801" s="35">
        <v>21077</v>
      </c>
      <c r="E801" s="35" t="s">
        <v>3356</v>
      </c>
      <c r="F801" s="35" t="s">
        <v>3357</v>
      </c>
      <c r="G801" s="35" t="s">
        <v>115</v>
      </c>
      <c r="H801" s="35" t="s">
        <v>160</v>
      </c>
      <c r="I801" s="35" t="s">
        <v>117</v>
      </c>
      <c r="J801" s="35" t="s">
        <v>141</v>
      </c>
      <c r="K801" s="36">
        <v>46066</v>
      </c>
      <c r="L801" s="36">
        <v>46082</v>
      </c>
      <c r="M801" s="36"/>
      <c r="N801" s="36"/>
      <c r="O801" s="36"/>
      <c r="P801" s="36"/>
      <c r="Q801" s="36"/>
      <c r="R801" s="35" t="s">
        <v>187</v>
      </c>
      <c r="S801" s="35" t="s">
        <v>2545</v>
      </c>
      <c r="T801" s="35" t="s">
        <v>2546</v>
      </c>
      <c r="U801" s="35" t="s">
        <v>107</v>
      </c>
      <c r="V801" s="35" t="s">
        <v>509</v>
      </c>
      <c r="W801" s="35" t="s">
        <v>123</v>
      </c>
      <c r="X801" s="35">
        <v>93.38</v>
      </c>
      <c r="Y801" s="35">
        <v>7.47</v>
      </c>
      <c r="Z801" s="35">
        <v>7.47</v>
      </c>
      <c r="AA801" s="35">
        <v>0</v>
      </c>
      <c r="AB801" s="35"/>
      <c r="AC801" s="35">
        <v>0</v>
      </c>
      <c r="AD801" s="35"/>
      <c r="AE801" s="35">
        <v>0</v>
      </c>
      <c r="AF801" s="35"/>
      <c r="AG801" s="35">
        <v>0</v>
      </c>
      <c r="AH801" s="35"/>
      <c r="AI801" s="37">
        <v>0</v>
      </c>
    </row>
    <row r="802" spans="1:35" x14ac:dyDescent="0.25">
      <c r="A802" s="38" t="s">
        <v>110</v>
      </c>
      <c r="B802" s="39" t="s">
        <v>993</v>
      </c>
      <c r="C802" s="39" t="s">
        <v>2553</v>
      </c>
      <c r="D802" s="39">
        <v>21059</v>
      </c>
      <c r="E802" s="39" t="s">
        <v>3358</v>
      </c>
      <c r="F802" s="39" t="s">
        <v>3359</v>
      </c>
      <c r="G802" s="39" t="s">
        <v>115</v>
      </c>
      <c r="H802" s="39" t="s">
        <v>160</v>
      </c>
      <c r="I802" s="39" t="s">
        <v>117</v>
      </c>
      <c r="J802" s="39" t="s">
        <v>141</v>
      </c>
      <c r="K802" s="40">
        <v>46066</v>
      </c>
      <c r="L802" s="40">
        <v>46082</v>
      </c>
      <c r="M802" s="40"/>
      <c r="N802" s="40"/>
      <c r="O802" s="40"/>
      <c r="P802" s="40"/>
      <c r="Q802" s="40"/>
      <c r="R802" s="39" t="s">
        <v>187</v>
      </c>
      <c r="S802" s="39" t="s">
        <v>2545</v>
      </c>
      <c r="T802" s="39" t="s">
        <v>2546</v>
      </c>
      <c r="U802" s="35" t="s">
        <v>107</v>
      </c>
      <c r="V802" s="39" t="s">
        <v>509</v>
      </c>
      <c r="W802" s="39" t="s">
        <v>123</v>
      </c>
      <c r="X802" s="39">
        <v>93.38</v>
      </c>
      <c r="Y802" s="39">
        <v>7.47</v>
      </c>
      <c r="Z802" s="39">
        <v>7.47</v>
      </c>
      <c r="AA802" s="39">
        <v>0</v>
      </c>
      <c r="AB802" s="39"/>
      <c r="AC802" s="39">
        <v>0</v>
      </c>
      <c r="AD802" s="39"/>
      <c r="AE802" s="39">
        <v>0</v>
      </c>
      <c r="AF802" s="39"/>
      <c r="AG802" s="39">
        <v>0</v>
      </c>
      <c r="AH802" s="39"/>
      <c r="AI802" s="41">
        <v>0</v>
      </c>
    </row>
    <row r="803" spans="1:35" x14ac:dyDescent="0.25">
      <c r="A803" s="34" t="s">
        <v>110</v>
      </c>
      <c r="B803" s="35" t="s">
        <v>993</v>
      </c>
      <c r="C803" s="35" t="s">
        <v>2554</v>
      </c>
      <c r="D803" s="35">
        <v>21079</v>
      </c>
      <c r="E803" s="35" t="s">
        <v>3360</v>
      </c>
      <c r="F803" s="35" t="s">
        <v>3361</v>
      </c>
      <c r="G803" s="35" t="s">
        <v>115</v>
      </c>
      <c r="H803" s="35" t="s">
        <v>160</v>
      </c>
      <c r="I803" s="35" t="s">
        <v>117</v>
      </c>
      <c r="J803" s="35" t="s">
        <v>141</v>
      </c>
      <c r="K803" s="36">
        <v>46066</v>
      </c>
      <c r="L803" s="36">
        <v>46082</v>
      </c>
      <c r="M803" s="36"/>
      <c r="N803" s="36"/>
      <c r="O803" s="36"/>
      <c r="P803" s="36"/>
      <c r="Q803" s="36"/>
      <c r="R803" s="35" t="s">
        <v>187</v>
      </c>
      <c r="S803" s="35" t="s">
        <v>2545</v>
      </c>
      <c r="T803" s="35" t="s">
        <v>2546</v>
      </c>
      <c r="U803" s="35" t="s">
        <v>107</v>
      </c>
      <c r="V803" s="35" t="s">
        <v>509</v>
      </c>
      <c r="W803" s="35" t="s">
        <v>123</v>
      </c>
      <c r="X803" s="35">
        <v>93.38</v>
      </c>
      <c r="Y803" s="35">
        <v>7.47</v>
      </c>
      <c r="Z803" s="35">
        <v>7.47</v>
      </c>
      <c r="AA803" s="35">
        <v>0</v>
      </c>
      <c r="AB803" s="35"/>
      <c r="AC803" s="35">
        <v>0</v>
      </c>
      <c r="AD803" s="35"/>
      <c r="AE803" s="35">
        <v>0</v>
      </c>
      <c r="AF803" s="35"/>
      <c r="AG803" s="35">
        <v>0</v>
      </c>
      <c r="AH803" s="35"/>
      <c r="AI803" s="37">
        <v>0</v>
      </c>
    </row>
    <row r="804" spans="1:35" x14ac:dyDescent="0.25">
      <c r="A804" s="38" t="s">
        <v>110</v>
      </c>
      <c r="B804" s="39" t="s">
        <v>993</v>
      </c>
      <c r="C804" s="39" t="s">
        <v>2555</v>
      </c>
      <c r="D804" s="39">
        <v>21080</v>
      </c>
      <c r="E804" s="39" t="s">
        <v>3362</v>
      </c>
      <c r="F804" s="39" t="s">
        <v>3363</v>
      </c>
      <c r="G804" s="39" t="s">
        <v>115</v>
      </c>
      <c r="H804" s="39" t="s">
        <v>160</v>
      </c>
      <c r="I804" s="39" t="s">
        <v>117</v>
      </c>
      <c r="J804" s="39" t="s">
        <v>141</v>
      </c>
      <c r="K804" s="40">
        <v>46066</v>
      </c>
      <c r="L804" s="40">
        <v>46082</v>
      </c>
      <c r="M804" s="40"/>
      <c r="N804" s="40"/>
      <c r="O804" s="40"/>
      <c r="P804" s="40"/>
      <c r="Q804" s="40"/>
      <c r="R804" s="39" t="s">
        <v>187</v>
      </c>
      <c r="S804" s="39" t="s">
        <v>2545</v>
      </c>
      <c r="T804" s="39" t="s">
        <v>2546</v>
      </c>
      <c r="U804" s="35" t="s">
        <v>107</v>
      </c>
      <c r="V804" s="39" t="s">
        <v>509</v>
      </c>
      <c r="W804" s="39" t="s">
        <v>123</v>
      </c>
      <c r="X804" s="39">
        <v>93.38</v>
      </c>
      <c r="Y804" s="39">
        <v>7.47</v>
      </c>
      <c r="Z804" s="39">
        <v>7.47</v>
      </c>
      <c r="AA804" s="39">
        <v>0</v>
      </c>
      <c r="AB804" s="39"/>
      <c r="AC804" s="39">
        <v>0</v>
      </c>
      <c r="AD804" s="39"/>
      <c r="AE804" s="39">
        <v>0</v>
      </c>
      <c r="AF804" s="39"/>
      <c r="AG804" s="39">
        <v>0</v>
      </c>
      <c r="AH804" s="39"/>
      <c r="AI804" s="41">
        <v>0</v>
      </c>
    </row>
    <row r="805" spans="1:35" x14ac:dyDescent="0.25">
      <c r="A805" s="34" t="s">
        <v>110</v>
      </c>
      <c r="B805" s="35" t="s">
        <v>993</v>
      </c>
      <c r="C805" s="35" t="s">
        <v>2556</v>
      </c>
      <c r="D805" s="35">
        <v>21061</v>
      </c>
      <c r="E805" s="35" t="s">
        <v>3364</v>
      </c>
      <c r="F805" s="35" t="s">
        <v>3365</v>
      </c>
      <c r="G805" s="35" t="s">
        <v>115</v>
      </c>
      <c r="H805" s="35" t="s">
        <v>160</v>
      </c>
      <c r="I805" s="35" t="s">
        <v>117</v>
      </c>
      <c r="J805" s="35" t="s">
        <v>141</v>
      </c>
      <c r="K805" s="36">
        <v>46066</v>
      </c>
      <c r="L805" s="36">
        <v>46082</v>
      </c>
      <c r="M805" s="36"/>
      <c r="N805" s="36"/>
      <c r="O805" s="36"/>
      <c r="P805" s="36"/>
      <c r="Q805" s="36"/>
      <c r="R805" s="35" t="s">
        <v>187</v>
      </c>
      <c r="S805" s="35" t="s">
        <v>2545</v>
      </c>
      <c r="T805" s="35" t="s">
        <v>2546</v>
      </c>
      <c r="U805" s="35" t="s">
        <v>107</v>
      </c>
      <c r="V805" s="35" t="s">
        <v>509</v>
      </c>
      <c r="W805" s="35" t="s">
        <v>123</v>
      </c>
      <c r="X805" s="35">
        <v>93.38</v>
      </c>
      <c r="Y805" s="35">
        <v>7.47</v>
      </c>
      <c r="Z805" s="35">
        <v>7.47</v>
      </c>
      <c r="AA805" s="35">
        <v>0</v>
      </c>
      <c r="AB805" s="35"/>
      <c r="AC805" s="35">
        <v>0</v>
      </c>
      <c r="AD805" s="35"/>
      <c r="AE805" s="35">
        <v>0</v>
      </c>
      <c r="AF805" s="35"/>
      <c r="AG805" s="35">
        <v>0</v>
      </c>
      <c r="AH805" s="35"/>
      <c r="AI805" s="37">
        <v>0</v>
      </c>
    </row>
    <row r="806" spans="1:35" x14ac:dyDescent="0.25">
      <c r="A806" s="38" t="s">
        <v>110</v>
      </c>
      <c r="B806" s="39" t="s">
        <v>993</v>
      </c>
      <c r="C806" s="39" t="s">
        <v>2557</v>
      </c>
      <c r="D806" s="39">
        <v>21086</v>
      </c>
      <c r="E806" s="39" t="s">
        <v>3366</v>
      </c>
      <c r="F806" s="39" t="s">
        <v>3367</v>
      </c>
      <c r="G806" s="39" t="s">
        <v>115</v>
      </c>
      <c r="H806" s="39" t="s">
        <v>160</v>
      </c>
      <c r="I806" s="39" t="s">
        <v>117</v>
      </c>
      <c r="J806" s="39" t="s">
        <v>141</v>
      </c>
      <c r="K806" s="40">
        <v>46066</v>
      </c>
      <c r="L806" s="40">
        <v>46082</v>
      </c>
      <c r="M806" s="40"/>
      <c r="N806" s="40"/>
      <c r="O806" s="40"/>
      <c r="P806" s="40"/>
      <c r="Q806" s="40"/>
      <c r="R806" s="39" t="s">
        <v>187</v>
      </c>
      <c r="S806" s="39" t="s">
        <v>2545</v>
      </c>
      <c r="T806" s="39" t="s">
        <v>2546</v>
      </c>
      <c r="U806" s="35" t="s">
        <v>107</v>
      </c>
      <c r="V806" s="39" t="s">
        <v>509</v>
      </c>
      <c r="W806" s="39" t="s">
        <v>123</v>
      </c>
      <c r="X806" s="39">
        <v>93.38</v>
      </c>
      <c r="Y806" s="39">
        <v>7.47</v>
      </c>
      <c r="Z806" s="39">
        <v>7.47</v>
      </c>
      <c r="AA806" s="39">
        <v>0</v>
      </c>
      <c r="AB806" s="39"/>
      <c r="AC806" s="39">
        <v>0</v>
      </c>
      <c r="AD806" s="39"/>
      <c r="AE806" s="39">
        <v>0</v>
      </c>
      <c r="AF806" s="39"/>
      <c r="AG806" s="39">
        <v>0</v>
      </c>
      <c r="AH806" s="39"/>
      <c r="AI806" s="41">
        <v>0</v>
      </c>
    </row>
    <row r="807" spans="1:35" x14ac:dyDescent="0.25">
      <c r="A807" s="34" t="s">
        <v>110</v>
      </c>
      <c r="B807" s="35" t="s">
        <v>993</v>
      </c>
      <c r="C807" s="35" t="s">
        <v>2558</v>
      </c>
      <c r="D807" s="35">
        <v>21085</v>
      </c>
      <c r="E807" s="35" t="s">
        <v>3368</v>
      </c>
      <c r="F807" s="35" t="s">
        <v>3369</v>
      </c>
      <c r="G807" s="35" t="s">
        <v>115</v>
      </c>
      <c r="H807" s="35" t="s">
        <v>160</v>
      </c>
      <c r="I807" s="35" t="s">
        <v>117</v>
      </c>
      <c r="J807" s="35" t="s">
        <v>141</v>
      </c>
      <c r="K807" s="36">
        <v>46066</v>
      </c>
      <c r="L807" s="36">
        <v>46082</v>
      </c>
      <c r="M807" s="36"/>
      <c r="N807" s="36"/>
      <c r="O807" s="36"/>
      <c r="P807" s="36"/>
      <c r="Q807" s="36"/>
      <c r="R807" s="35" t="s">
        <v>187</v>
      </c>
      <c r="S807" s="35" t="s">
        <v>2545</v>
      </c>
      <c r="T807" s="35" t="s">
        <v>2546</v>
      </c>
      <c r="U807" s="35" t="s">
        <v>107</v>
      </c>
      <c r="V807" s="35" t="s">
        <v>509</v>
      </c>
      <c r="W807" s="35" t="s">
        <v>123</v>
      </c>
      <c r="X807" s="35">
        <v>93.38</v>
      </c>
      <c r="Y807" s="35">
        <v>7.47</v>
      </c>
      <c r="Z807" s="35">
        <v>7.47</v>
      </c>
      <c r="AA807" s="35">
        <v>0</v>
      </c>
      <c r="AB807" s="35"/>
      <c r="AC807" s="35">
        <v>0</v>
      </c>
      <c r="AD807" s="35"/>
      <c r="AE807" s="35">
        <v>0</v>
      </c>
      <c r="AF807" s="35"/>
      <c r="AG807" s="35">
        <v>0</v>
      </c>
      <c r="AH807" s="35"/>
      <c r="AI807" s="37">
        <v>0</v>
      </c>
    </row>
    <row r="808" spans="1:35" x14ac:dyDescent="0.25">
      <c r="A808" s="38" t="s">
        <v>110</v>
      </c>
      <c r="B808" s="39" t="s">
        <v>993</v>
      </c>
      <c r="C808" s="39" t="s">
        <v>2559</v>
      </c>
      <c r="D808" s="39">
        <v>21083</v>
      </c>
      <c r="E808" s="39" t="s">
        <v>3370</v>
      </c>
      <c r="F808" s="39" t="s">
        <v>3371</v>
      </c>
      <c r="G808" s="39" t="s">
        <v>115</v>
      </c>
      <c r="H808" s="39" t="s">
        <v>160</v>
      </c>
      <c r="I808" s="39" t="s">
        <v>117</v>
      </c>
      <c r="J808" s="39" t="s">
        <v>141</v>
      </c>
      <c r="K808" s="40">
        <v>46066</v>
      </c>
      <c r="L808" s="40">
        <v>46082</v>
      </c>
      <c r="M808" s="40"/>
      <c r="N808" s="40"/>
      <c r="O808" s="40"/>
      <c r="P808" s="40"/>
      <c r="Q808" s="40"/>
      <c r="R808" s="39" t="s">
        <v>187</v>
      </c>
      <c r="S808" s="39" t="s">
        <v>2545</v>
      </c>
      <c r="T808" s="39" t="s">
        <v>2546</v>
      </c>
      <c r="U808" s="35" t="s">
        <v>107</v>
      </c>
      <c r="V808" s="39" t="s">
        <v>509</v>
      </c>
      <c r="W808" s="39" t="s">
        <v>123</v>
      </c>
      <c r="X808" s="39">
        <v>93.38</v>
      </c>
      <c r="Y808" s="39">
        <v>7.47</v>
      </c>
      <c r="Z808" s="39">
        <v>7.47</v>
      </c>
      <c r="AA808" s="39">
        <v>0</v>
      </c>
      <c r="AB808" s="39"/>
      <c r="AC808" s="39">
        <v>0</v>
      </c>
      <c r="AD808" s="39"/>
      <c r="AE808" s="39">
        <v>0</v>
      </c>
      <c r="AF808" s="39"/>
      <c r="AG808" s="39">
        <v>0</v>
      </c>
      <c r="AH808" s="39"/>
      <c r="AI808" s="41">
        <v>0</v>
      </c>
    </row>
    <row r="809" spans="1:35" x14ac:dyDescent="0.25">
      <c r="A809" s="34" t="s">
        <v>110</v>
      </c>
      <c r="B809" s="35" t="s">
        <v>993</v>
      </c>
      <c r="C809" s="35" t="s">
        <v>2560</v>
      </c>
      <c r="D809" s="35">
        <v>21082</v>
      </c>
      <c r="E809" s="35" t="s">
        <v>3372</v>
      </c>
      <c r="F809" s="35" t="s">
        <v>3373</v>
      </c>
      <c r="G809" s="35" t="s">
        <v>115</v>
      </c>
      <c r="H809" s="35" t="s">
        <v>160</v>
      </c>
      <c r="I809" s="35" t="s">
        <v>117</v>
      </c>
      <c r="J809" s="35" t="s">
        <v>141</v>
      </c>
      <c r="K809" s="36">
        <v>46066</v>
      </c>
      <c r="L809" s="36">
        <v>46082</v>
      </c>
      <c r="M809" s="36"/>
      <c r="N809" s="36"/>
      <c r="O809" s="36"/>
      <c r="P809" s="36"/>
      <c r="Q809" s="36"/>
      <c r="R809" s="35" t="s">
        <v>187</v>
      </c>
      <c r="S809" s="35" t="s">
        <v>2545</v>
      </c>
      <c r="T809" s="35" t="s">
        <v>2546</v>
      </c>
      <c r="U809" s="35" t="s">
        <v>107</v>
      </c>
      <c r="V809" s="35" t="s">
        <v>509</v>
      </c>
      <c r="W809" s="35" t="s">
        <v>123</v>
      </c>
      <c r="X809" s="35">
        <v>93.38</v>
      </c>
      <c r="Y809" s="35">
        <v>7.47</v>
      </c>
      <c r="Z809" s="35">
        <v>7.47</v>
      </c>
      <c r="AA809" s="35">
        <v>0</v>
      </c>
      <c r="AB809" s="35"/>
      <c r="AC809" s="35">
        <v>0</v>
      </c>
      <c r="AD809" s="35"/>
      <c r="AE809" s="35">
        <v>0</v>
      </c>
      <c r="AF809" s="35"/>
      <c r="AG809" s="35">
        <v>0</v>
      </c>
      <c r="AH809" s="35"/>
      <c r="AI809" s="37">
        <v>0</v>
      </c>
    </row>
    <row r="810" spans="1:35" x14ac:dyDescent="0.25">
      <c r="A810" s="38" t="s">
        <v>110</v>
      </c>
      <c r="B810" s="39" t="s">
        <v>993</v>
      </c>
      <c r="C810" s="39" t="s">
        <v>2561</v>
      </c>
      <c r="D810" s="39">
        <v>21081</v>
      </c>
      <c r="E810" s="39" t="s">
        <v>3374</v>
      </c>
      <c r="F810" s="39" t="s">
        <v>3375</v>
      </c>
      <c r="G810" s="39" t="s">
        <v>115</v>
      </c>
      <c r="H810" s="39" t="s">
        <v>160</v>
      </c>
      <c r="I810" s="39" t="s">
        <v>117</v>
      </c>
      <c r="J810" s="39" t="s">
        <v>141</v>
      </c>
      <c r="K810" s="40">
        <v>46066</v>
      </c>
      <c r="L810" s="40">
        <v>46082</v>
      </c>
      <c r="M810" s="40"/>
      <c r="N810" s="40"/>
      <c r="O810" s="40"/>
      <c r="P810" s="40"/>
      <c r="Q810" s="40"/>
      <c r="R810" s="39" t="s">
        <v>187</v>
      </c>
      <c r="S810" s="39" t="s">
        <v>2545</v>
      </c>
      <c r="T810" s="39" t="s">
        <v>2546</v>
      </c>
      <c r="U810" s="35" t="s">
        <v>107</v>
      </c>
      <c r="V810" s="39" t="s">
        <v>509</v>
      </c>
      <c r="W810" s="39" t="s">
        <v>123</v>
      </c>
      <c r="X810" s="39">
        <v>93.38</v>
      </c>
      <c r="Y810" s="39">
        <v>7.47</v>
      </c>
      <c r="Z810" s="39">
        <v>7.47</v>
      </c>
      <c r="AA810" s="39">
        <v>0</v>
      </c>
      <c r="AB810" s="39"/>
      <c r="AC810" s="39">
        <v>0</v>
      </c>
      <c r="AD810" s="39"/>
      <c r="AE810" s="39">
        <v>0</v>
      </c>
      <c r="AF810" s="39"/>
      <c r="AG810" s="39">
        <v>0</v>
      </c>
      <c r="AH810" s="39"/>
      <c r="AI810" s="41">
        <v>0</v>
      </c>
    </row>
    <row r="811" spans="1:35" x14ac:dyDescent="0.25">
      <c r="A811" s="34" t="s">
        <v>110</v>
      </c>
      <c r="B811" s="35" t="s">
        <v>993</v>
      </c>
      <c r="C811" s="35" t="s">
        <v>2562</v>
      </c>
      <c r="D811" s="35">
        <v>21062</v>
      </c>
      <c r="E811" s="35" t="s">
        <v>3376</v>
      </c>
      <c r="F811" s="35" t="s">
        <v>3377</v>
      </c>
      <c r="G811" s="35" t="s">
        <v>115</v>
      </c>
      <c r="H811" s="35" t="s">
        <v>160</v>
      </c>
      <c r="I811" s="35" t="s">
        <v>117</v>
      </c>
      <c r="J811" s="35" t="s">
        <v>141</v>
      </c>
      <c r="K811" s="36">
        <v>46066</v>
      </c>
      <c r="L811" s="36">
        <v>46082</v>
      </c>
      <c r="M811" s="36"/>
      <c r="N811" s="36"/>
      <c r="O811" s="36"/>
      <c r="P811" s="36"/>
      <c r="Q811" s="36"/>
      <c r="R811" s="35" t="s">
        <v>187</v>
      </c>
      <c r="S811" s="35" t="s">
        <v>2545</v>
      </c>
      <c r="T811" s="35" t="s">
        <v>2546</v>
      </c>
      <c r="U811" s="35" t="s">
        <v>107</v>
      </c>
      <c r="V811" s="35" t="s">
        <v>509</v>
      </c>
      <c r="W811" s="35" t="s">
        <v>123</v>
      </c>
      <c r="X811" s="35">
        <v>93.38</v>
      </c>
      <c r="Y811" s="35">
        <v>7.47</v>
      </c>
      <c r="Z811" s="35">
        <v>7.47</v>
      </c>
      <c r="AA811" s="35">
        <v>0</v>
      </c>
      <c r="AB811" s="35"/>
      <c r="AC811" s="35">
        <v>0</v>
      </c>
      <c r="AD811" s="35"/>
      <c r="AE811" s="35">
        <v>0</v>
      </c>
      <c r="AF811" s="35"/>
      <c r="AG811" s="35">
        <v>0</v>
      </c>
      <c r="AH811" s="35"/>
      <c r="AI811" s="37">
        <v>0</v>
      </c>
    </row>
    <row r="812" spans="1:35" x14ac:dyDescent="0.25">
      <c r="A812" s="38" t="s">
        <v>110</v>
      </c>
      <c r="B812" s="39" t="s">
        <v>993</v>
      </c>
      <c r="C812" s="39" t="s">
        <v>2563</v>
      </c>
      <c r="D812" s="39">
        <v>21063</v>
      </c>
      <c r="E812" s="39" t="s">
        <v>3378</v>
      </c>
      <c r="F812" s="39" t="s">
        <v>3379</v>
      </c>
      <c r="G812" s="39" t="s">
        <v>115</v>
      </c>
      <c r="H812" s="39" t="s">
        <v>160</v>
      </c>
      <c r="I812" s="39" t="s">
        <v>117</v>
      </c>
      <c r="J812" s="39" t="s">
        <v>141</v>
      </c>
      <c r="K812" s="40">
        <v>46066</v>
      </c>
      <c r="L812" s="40">
        <v>46082</v>
      </c>
      <c r="M812" s="40"/>
      <c r="N812" s="40"/>
      <c r="O812" s="40"/>
      <c r="P812" s="40"/>
      <c r="Q812" s="40"/>
      <c r="R812" s="39" t="s">
        <v>187</v>
      </c>
      <c r="S812" s="39" t="s">
        <v>2545</v>
      </c>
      <c r="T812" s="39" t="s">
        <v>2546</v>
      </c>
      <c r="U812" s="35" t="s">
        <v>107</v>
      </c>
      <c r="V812" s="39" t="s">
        <v>509</v>
      </c>
      <c r="W812" s="39" t="s">
        <v>123</v>
      </c>
      <c r="X812" s="39">
        <v>93.38</v>
      </c>
      <c r="Y812" s="39">
        <v>7.47</v>
      </c>
      <c r="Z812" s="39">
        <v>7.47</v>
      </c>
      <c r="AA812" s="39">
        <v>0</v>
      </c>
      <c r="AB812" s="39"/>
      <c r="AC812" s="39">
        <v>0</v>
      </c>
      <c r="AD812" s="39"/>
      <c r="AE812" s="39">
        <v>0</v>
      </c>
      <c r="AF812" s="39"/>
      <c r="AG812" s="39">
        <v>0</v>
      </c>
      <c r="AH812" s="39"/>
      <c r="AI812" s="41">
        <v>0</v>
      </c>
    </row>
    <row r="813" spans="1:35" x14ac:dyDescent="0.25">
      <c r="A813" s="34" t="s">
        <v>110</v>
      </c>
      <c r="B813" s="35" t="s">
        <v>993</v>
      </c>
      <c r="C813" s="35" t="s">
        <v>2564</v>
      </c>
      <c r="D813" s="35">
        <v>21073</v>
      </c>
      <c r="E813" s="35" t="s">
        <v>3380</v>
      </c>
      <c r="F813" s="35" t="s">
        <v>3381</v>
      </c>
      <c r="G813" s="35" t="s">
        <v>115</v>
      </c>
      <c r="H813" s="35" t="s">
        <v>160</v>
      </c>
      <c r="I813" s="35" t="s">
        <v>117</v>
      </c>
      <c r="J813" s="35" t="s">
        <v>141</v>
      </c>
      <c r="K813" s="36">
        <v>46066</v>
      </c>
      <c r="L813" s="36">
        <v>46082</v>
      </c>
      <c r="M813" s="36"/>
      <c r="N813" s="36"/>
      <c r="O813" s="36"/>
      <c r="P813" s="36"/>
      <c r="Q813" s="36"/>
      <c r="R813" s="35" t="s">
        <v>187</v>
      </c>
      <c r="S813" s="35" t="s">
        <v>2545</v>
      </c>
      <c r="T813" s="35" t="s">
        <v>2546</v>
      </c>
      <c r="U813" s="35" t="s">
        <v>107</v>
      </c>
      <c r="V813" s="35" t="s">
        <v>509</v>
      </c>
      <c r="W813" s="35" t="s">
        <v>123</v>
      </c>
      <c r="X813" s="35">
        <v>93.38</v>
      </c>
      <c r="Y813" s="35">
        <v>7.47</v>
      </c>
      <c r="Z813" s="35">
        <v>7.47</v>
      </c>
      <c r="AA813" s="35">
        <v>0</v>
      </c>
      <c r="AB813" s="35"/>
      <c r="AC813" s="35">
        <v>0</v>
      </c>
      <c r="AD813" s="35"/>
      <c r="AE813" s="35">
        <v>0</v>
      </c>
      <c r="AF813" s="35"/>
      <c r="AG813" s="35">
        <v>0</v>
      </c>
      <c r="AH813" s="35"/>
      <c r="AI813" s="37">
        <v>0</v>
      </c>
    </row>
    <row r="814" spans="1:35" x14ac:dyDescent="0.25">
      <c r="A814" s="38" t="s">
        <v>110</v>
      </c>
      <c r="B814" s="39" t="s">
        <v>993</v>
      </c>
      <c r="C814" s="39" t="s">
        <v>2565</v>
      </c>
      <c r="D814" s="39">
        <v>21072</v>
      </c>
      <c r="E814" s="39" t="s">
        <v>3382</v>
      </c>
      <c r="F814" s="39" t="s">
        <v>3383</v>
      </c>
      <c r="G814" s="39" t="s">
        <v>115</v>
      </c>
      <c r="H814" s="39" t="s">
        <v>160</v>
      </c>
      <c r="I814" s="39" t="s">
        <v>117</v>
      </c>
      <c r="J814" s="39" t="s">
        <v>141</v>
      </c>
      <c r="K814" s="40">
        <v>46066</v>
      </c>
      <c r="L814" s="40">
        <v>46082</v>
      </c>
      <c r="M814" s="40"/>
      <c r="N814" s="40"/>
      <c r="O814" s="40"/>
      <c r="P814" s="40"/>
      <c r="Q814" s="40"/>
      <c r="R814" s="39" t="s">
        <v>187</v>
      </c>
      <c r="S814" s="39" t="s">
        <v>2545</v>
      </c>
      <c r="T814" s="39" t="s">
        <v>2546</v>
      </c>
      <c r="U814" s="35" t="s">
        <v>107</v>
      </c>
      <c r="V814" s="39" t="s">
        <v>509</v>
      </c>
      <c r="W814" s="39" t="s">
        <v>123</v>
      </c>
      <c r="X814" s="39">
        <v>93.38</v>
      </c>
      <c r="Y814" s="39">
        <v>7.47</v>
      </c>
      <c r="Z814" s="39">
        <v>7.47</v>
      </c>
      <c r="AA814" s="39">
        <v>0</v>
      </c>
      <c r="AB814" s="39"/>
      <c r="AC814" s="39">
        <v>0</v>
      </c>
      <c r="AD814" s="39"/>
      <c r="AE814" s="39">
        <v>0</v>
      </c>
      <c r="AF814" s="39"/>
      <c r="AG814" s="39">
        <v>0</v>
      </c>
      <c r="AH814" s="39"/>
      <c r="AI814" s="41">
        <v>0</v>
      </c>
    </row>
    <row r="815" spans="1:35" x14ac:dyDescent="0.25">
      <c r="A815" s="34" t="s">
        <v>110</v>
      </c>
      <c r="B815" s="35" t="s">
        <v>993</v>
      </c>
      <c r="C815" s="35" t="s">
        <v>2566</v>
      </c>
      <c r="D815" s="35">
        <v>21076</v>
      </c>
      <c r="E815" s="35" t="s">
        <v>3384</v>
      </c>
      <c r="F815" s="35" t="s">
        <v>3385</v>
      </c>
      <c r="G815" s="35" t="s">
        <v>115</v>
      </c>
      <c r="H815" s="35" t="s">
        <v>160</v>
      </c>
      <c r="I815" s="35" t="s">
        <v>117</v>
      </c>
      <c r="J815" s="35" t="s">
        <v>141</v>
      </c>
      <c r="K815" s="36">
        <v>46066</v>
      </c>
      <c r="L815" s="36">
        <v>46082</v>
      </c>
      <c r="M815" s="36"/>
      <c r="N815" s="36"/>
      <c r="O815" s="36"/>
      <c r="P815" s="36"/>
      <c r="Q815" s="36"/>
      <c r="R815" s="35" t="s">
        <v>187</v>
      </c>
      <c r="S815" s="35" t="s">
        <v>2545</v>
      </c>
      <c r="T815" s="35" t="s">
        <v>2546</v>
      </c>
      <c r="U815" s="35" t="s">
        <v>107</v>
      </c>
      <c r="V815" s="35" t="s">
        <v>509</v>
      </c>
      <c r="W815" s="35" t="s">
        <v>123</v>
      </c>
      <c r="X815" s="35">
        <v>93.38</v>
      </c>
      <c r="Y815" s="35">
        <v>7.47</v>
      </c>
      <c r="Z815" s="35">
        <v>7.47</v>
      </c>
      <c r="AA815" s="35">
        <v>0</v>
      </c>
      <c r="AB815" s="35"/>
      <c r="AC815" s="35">
        <v>0</v>
      </c>
      <c r="AD815" s="35"/>
      <c r="AE815" s="35">
        <v>0</v>
      </c>
      <c r="AF815" s="35"/>
      <c r="AG815" s="35">
        <v>0</v>
      </c>
      <c r="AH815" s="35"/>
      <c r="AI815" s="37">
        <v>0</v>
      </c>
    </row>
    <row r="816" spans="1:35" x14ac:dyDescent="0.25">
      <c r="A816" s="38" t="s">
        <v>110</v>
      </c>
      <c r="B816" s="39" t="s">
        <v>993</v>
      </c>
      <c r="C816" s="39" t="s">
        <v>2567</v>
      </c>
      <c r="D816" s="39">
        <v>21075</v>
      </c>
      <c r="E816" s="39" t="s">
        <v>3386</v>
      </c>
      <c r="F816" s="39" t="s">
        <v>3387</v>
      </c>
      <c r="G816" s="39" t="s">
        <v>115</v>
      </c>
      <c r="H816" s="39" t="s">
        <v>160</v>
      </c>
      <c r="I816" s="39" t="s">
        <v>117</v>
      </c>
      <c r="J816" s="39" t="s">
        <v>141</v>
      </c>
      <c r="K816" s="40">
        <v>46066</v>
      </c>
      <c r="L816" s="40">
        <v>46082</v>
      </c>
      <c r="M816" s="40"/>
      <c r="N816" s="40"/>
      <c r="O816" s="40"/>
      <c r="P816" s="40"/>
      <c r="Q816" s="40"/>
      <c r="R816" s="39" t="s">
        <v>187</v>
      </c>
      <c r="S816" s="39" t="s">
        <v>2545</v>
      </c>
      <c r="T816" s="39" t="s">
        <v>2546</v>
      </c>
      <c r="U816" s="35" t="s">
        <v>107</v>
      </c>
      <c r="V816" s="39" t="s">
        <v>509</v>
      </c>
      <c r="W816" s="39" t="s">
        <v>123</v>
      </c>
      <c r="X816" s="39">
        <v>93.38</v>
      </c>
      <c r="Y816" s="39">
        <v>7.47</v>
      </c>
      <c r="Z816" s="39">
        <v>7.47</v>
      </c>
      <c r="AA816" s="39">
        <v>0</v>
      </c>
      <c r="AB816" s="39"/>
      <c r="AC816" s="39">
        <v>0</v>
      </c>
      <c r="AD816" s="39"/>
      <c r="AE816" s="39">
        <v>0</v>
      </c>
      <c r="AF816" s="39"/>
      <c r="AG816" s="39">
        <v>0</v>
      </c>
      <c r="AH816" s="39"/>
      <c r="AI816" s="41">
        <v>0</v>
      </c>
    </row>
    <row r="817" spans="1:35" x14ac:dyDescent="0.25">
      <c r="A817" s="34" t="s">
        <v>110</v>
      </c>
      <c r="B817" s="35" t="s">
        <v>993</v>
      </c>
      <c r="C817" s="35" t="s">
        <v>2568</v>
      </c>
      <c r="D817" s="35">
        <v>21074</v>
      </c>
      <c r="E817" s="35" t="s">
        <v>3388</v>
      </c>
      <c r="F817" s="35" t="s">
        <v>3389</v>
      </c>
      <c r="G817" s="35" t="s">
        <v>115</v>
      </c>
      <c r="H817" s="35" t="s">
        <v>160</v>
      </c>
      <c r="I817" s="35" t="s">
        <v>117</v>
      </c>
      <c r="J817" s="35" t="s">
        <v>141</v>
      </c>
      <c r="K817" s="36">
        <v>46066</v>
      </c>
      <c r="L817" s="36">
        <v>46082</v>
      </c>
      <c r="M817" s="36"/>
      <c r="N817" s="36"/>
      <c r="O817" s="36"/>
      <c r="P817" s="36"/>
      <c r="Q817" s="36"/>
      <c r="R817" s="35" t="s">
        <v>187</v>
      </c>
      <c r="S817" s="35" t="s">
        <v>2545</v>
      </c>
      <c r="T817" s="35" t="s">
        <v>2546</v>
      </c>
      <c r="U817" s="35" t="s">
        <v>107</v>
      </c>
      <c r="V817" s="35" t="s">
        <v>509</v>
      </c>
      <c r="W817" s="35" t="s">
        <v>123</v>
      </c>
      <c r="X817" s="35">
        <v>93.38</v>
      </c>
      <c r="Y817" s="35">
        <v>7.47</v>
      </c>
      <c r="Z817" s="35">
        <v>7.47</v>
      </c>
      <c r="AA817" s="35">
        <v>0</v>
      </c>
      <c r="AB817" s="35"/>
      <c r="AC817" s="35">
        <v>0</v>
      </c>
      <c r="AD817" s="35"/>
      <c r="AE817" s="35">
        <v>0</v>
      </c>
      <c r="AF817" s="35"/>
      <c r="AG817" s="35">
        <v>0</v>
      </c>
      <c r="AH817" s="35"/>
      <c r="AI817" s="37">
        <v>0</v>
      </c>
    </row>
    <row r="818" spans="1:35" x14ac:dyDescent="0.25">
      <c r="A818" s="38" t="s">
        <v>110</v>
      </c>
      <c r="B818" s="39" t="s">
        <v>1795</v>
      </c>
      <c r="C818" s="39" t="s">
        <v>2569</v>
      </c>
      <c r="D818" s="39">
        <v>21039</v>
      </c>
      <c r="E818" s="39" t="s">
        <v>3390</v>
      </c>
      <c r="F818" s="39" t="s">
        <v>3391</v>
      </c>
      <c r="G818" s="39" t="s">
        <v>115</v>
      </c>
      <c r="H818" s="39" t="s">
        <v>160</v>
      </c>
      <c r="I818" s="39" t="s">
        <v>117</v>
      </c>
      <c r="J818" s="39" t="s">
        <v>141</v>
      </c>
      <c r="K818" s="40">
        <v>46066</v>
      </c>
      <c r="L818" s="40">
        <v>46082</v>
      </c>
      <c r="M818" s="40"/>
      <c r="N818" s="40"/>
      <c r="O818" s="40"/>
      <c r="P818" s="40"/>
      <c r="Q818" s="40"/>
      <c r="R818" s="39" t="s">
        <v>187</v>
      </c>
      <c r="S818" s="39" t="s">
        <v>2541</v>
      </c>
      <c r="T818" s="39" t="s">
        <v>2542</v>
      </c>
      <c r="U818" s="35" t="s">
        <v>107</v>
      </c>
      <c r="V818" s="39" t="s">
        <v>509</v>
      </c>
      <c r="W818" s="39" t="s">
        <v>123</v>
      </c>
      <c r="X818" s="39">
        <v>503.5</v>
      </c>
      <c r="Y818" s="39">
        <v>40.29</v>
      </c>
      <c r="Z818" s="39">
        <v>40.29</v>
      </c>
      <c r="AA818" s="39">
        <v>0</v>
      </c>
      <c r="AB818" s="39"/>
      <c r="AC818" s="39">
        <v>0</v>
      </c>
      <c r="AD818" s="39"/>
      <c r="AE818" s="39">
        <v>0</v>
      </c>
      <c r="AF818" s="39"/>
      <c r="AG818" s="39">
        <v>0</v>
      </c>
      <c r="AH818" s="39"/>
      <c r="AI818" s="41">
        <v>0</v>
      </c>
    </row>
    <row r="819" spans="1:35" x14ac:dyDescent="0.25">
      <c r="A819" s="34" t="s">
        <v>110</v>
      </c>
      <c r="B819" s="35" t="s">
        <v>1795</v>
      </c>
      <c r="C819" s="35" t="s">
        <v>2570</v>
      </c>
      <c r="D819" s="35">
        <v>21045</v>
      </c>
      <c r="E819" s="35" t="s">
        <v>3392</v>
      </c>
      <c r="F819" s="35" t="s">
        <v>3393</v>
      </c>
      <c r="G819" s="35" t="s">
        <v>115</v>
      </c>
      <c r="H819" s="35" t="s">
        <v>160</v>
      </c>
      <c r="I819" s="35" t="s">
        <v>117</v>
      </c>
      <c r="J819" s="35" t="s">
        <v>141</v>
      </c>
      <c r="K819" s="36">
        <v>46066</v>
      </c>
      <c r="L819" s="36">
        <v>46082</v>
      </c>
      <c r="M819" s="36"/>
      <c r="N819" s="36"/>
      <c r="O819" s="36"/>
      <c r="P819" s="36"/>
      <c r="Q819" s="36"/>
      <c r="R819" s="35" t="s">
        <v>187</v>
      </c>
      <c r="S819" s="35" t="s">
        <v>2541</v>
      </c>
      <c r="T819" s="35" t="s">
        <v>2542</v>
      </c>
      <c r="U819" s="35" t="s">
        <v>107</v>
      </c>
      <c r="V819" s="35" t="s">
        <v>509</v>
      </c>
      <c r="W819" s="35" t="s">
        <v>123</v>
      </c>
      <c r="X819" s="35">
        <v>503.5</v>
      </c>
      <c r="Y819" s="35">
        <v>40.29</v>
      </c>
      <c r="Z819" s="35">
        <v>40.29</v>
      </c>
      <c r="AA819" s="35">
        <v>0</v>
      </c>
      <c r="AB819" s="35"/>
      <c r="AC819" s="35">
        <v>0</v>
      </c>
      <c r="AD819" s="35"/>
      <c r="AE819" s="35">
        <v>0</v>
      </c>
      <c r="AF819" s="35"/>
      <c r="AG819" s="35">
        <v>0</v>
      </c>
      <c r="AH819" s="35"/>
      <c r="AI819" s="37">
        <v>0</v>
      </c>
    </row>
    <row r="820" spans="1:35" x14ac:dyDescent="0.25">
      <c r="A820" s="38" t="s">
        <v>110</v>
      </c>
      <c r="B820" s="39" t="s">
        <v>1795</v>
      </c>
      <c r="C820" s="39" t="s">
        <v>2571</v>
      </c>
      <c r="D820" s="39">
        <v>21043</v>
      </c>
      <c r="E820" s="39" t="s">
        <v>3394</v>
      </c>
      <c r="F820" s="39" t="s">
        <v>3395</v>
      </c>
      <c r="G820" s="39" t="s">
        <v>115</v>
      </c>
      <c r="H820" s="39" t="s">
        <v>160</v>
      </c>
      <c r="I820" s="39" t="s">
        <v>117</v>
      </c>
      <c r="J820" s="39" t="s">
        <v>141</v>
      </c>
      <c r="K820" s="40">
        <v>46066</v>
      </c>
      <c r="L820" s="40">
        <v>46082</v>
      </c>
      <c r="M820" s="40"/>
      <c r="N820" s="40"/>
      <c r="O820" s="40"/>
      <c r="P820" s="40"/>
      <c r="Q820" s="40"/>
      <c r="R820" s="39" t="s">
        <v>187</v>
      </c>
      <c r="S820" s="39" t="s">
        <v>2541</v>
      </c>
      <c r="T820" s="39" t="s">
        <v>2542</v>
      </c>
      <c r="U820" s="35" t="s">
        <v>107</v>
      </c>
      <c r="V820" s="39" t="s">
        <v>509</v>
      </c>
      <c r="W820" s="39" t="s">
        <v>123</v>
      </c>
      <c r="X820" s="39">
        <v>503.5</v>
      </c>
      <c r="Y820" s="39">
        <v>40.29</v>
      </c>
      <c r="Z820" s="39">
        <v>40.29</v>
      </c>
      <c r="AA820" s="39">
        <v>0</v>
      </c>
      <c r="AB820" s="39"/>
      <c r="AC820" s="39">
        <v>0</v>
      </c>
      <c r="AD820" s="39"/>
      <c r="AE820" s="39">
        <v>0</v>
      </c>
      <c r="AF820" s="39"/>
      <c r="AG820" s="39">
        <v>0</v>
      </c>
      <c r="AH820" s="39"/>
      <c r="AI820" s="41">
        <v>0</v>
      </c>
    </row>
    <row r="821" spans="1:35" x14ac:dyDescent="0.25">
      <c r="A821" s="34" t="s">
        <v>110</v>
      </c>
      <c r="B821" s="35" t="s">
        <v>1795</v>
      </c>
      <c r="C821" s="35" t="s">
        <v>2572</v>
      </c>
      <c r="D821" s="35">
        <v>21010</v>
      </c>
      <c r="E821" s="35" t="s">
        <v>3396</v>
      </c>
      <c r="F821" s="35" t="s">
        <v>3397</v>
      </c>
      <c r="G821" s="35" t="s">
        <v>115</v>
      </c>
      <c r="H821" s="35" t="s">
        <v>160</v>
      </c>
      <c r="I821" s="35" t="s">
        <v>117</v>
      </c>
      <c r="J821" s="35" t="s">
        <v>141</v>
      </c>
      <c r="K821" s="36">
        <v>46066</v>
      </c>
      <c r="L821" s="36">
        <v>46082</v>
      </c>
      <c r="M821" s="36"/>
      <c r="N821" s="36"/>
      <c r="O821" s="36"/>
      <c r="P821" s="36"/>
      <c r="Q821" s="36"/>
      <c r="R821" s="35" t="s">
        <v>187</v>
      </c>
      <c r="S821" s="35" t="s">
        <v>2541</v>
      </c>
      <c r="T821" s="35" t="s">
        <v>2542</v>
      </c>
      <c r="U821" s="35" t="s">
        <v>107</v>
      </c>
      <c r="V821" s="35" t="s">
        <v>509</v>
      </c>
      <c r="W821" s="35" t="s">
        <v>123</v>
      </c>
      <c r="X821" s="35">
        <v>503.5</v>
      </c>
      <c r="Y821" s="35">
        <v>40.29</v>
      </c>
      <c r="Z821" s="35">
        <v>40.29</v>
      </c>
      <c r="AA821" s="35">
        <v>0</v>
      </c>
      <c r="AB821" s="35"/>
      <c r="AC821" s="35">
        <v>0</v>
      </c>
      <c r="AD821" s="35"/>
      <c r="AE821" s="35">
        <v>0</v>
      </c>
      <c r="AF821" s="35"/>
      <c r="AG821" s="35">
        <v>0</v>
      </c>
      <c r="AH821" s="35"/>
      <c r="AI821" s="37">
        <v>0</v>
      </c>
    </row>
    <row r="822" spans="1:35" x14ac:dyDescent="0.25">
      <c r="A822" s="38" t="s">
        <v>110</v>
      </c>
      <c r="B822" s="39" t="s">
        <v>1795</v>
      </c>
      <c r="C822" s="39" t="s">
        <v>2573</v>
      </c>
      <c r="D822" s="39">
        <v>21046</v>
      </c>
      <c r="E822" s="39" t="s">
        <v>3398</v>
      </c>
      <c r="F822" s="39" t="s">
        <v>3399</v>
      </c>
      <c r="G822" s="39" t="s">
        <v>115</v>
      </c>
      <c r="H822" s="39" t="s">
        <v>160</v>
      </c>
      <c r="I822" s="39" t="s">
        <v>117</v>
      </c>
      <c r="J822" s="39" t="s">
        <v>141</v>
      </c>
      <c r="K822" s="40">
        <v>46066</v>
      </c>
      <c r="L822" s="40">
        <v>46082</v>
      </c>
      <c r="M822" s="40"/>
      <c r="N822" s="40"/>
      <c r="O822" s="40"/>
      <c r="P822" s="40"/>
      <c r="Q822" s="40"/>
      <c r="R822" s="39" t="s">
        <v>187</v>
      </c>
      <c r="S822" s="39" t="s">
        <v>2541</v>
      </c>
      <c r="T822" s="39" t="s">
        <v>2542</v>
      </c>
      <c r="U822" s="35" t="s">
        <v>107</v>
      </c>
      <c r="V822" s="39" t="s">
        <v>509</v>
      </c>
      <c r="W822" s="39" t="s">
        <v>123</v>
      </c>
      <c r="X822" s="39">
        <v>503.5</v>
      </c>
      <c r="Y822" s="39">
        <v>40.29</v>
      </c>
      <c r="Z822" s="39">
        <v>40.29</v>
      </c>
      <c r="AA822" s="39">
        <v>0</v>
      </c>
      <c r="AB822" s="39"/>
      <c r="AC822" s="39">
        <v>0</v>
      </c>
      <c r="AD822" s="39"/>
      <c r="AE822" s="39">
        <v>0</v>
      </c>
      <c r="AF822" s="39"/>
      <c r="AG822" s="39">
        <v>0</v>
      </c>
      <c r="AH822" s="39"/>
      <c r="AI822" s="41">
        <v>0</v>
      </c>
    </row>
    <row r="823" spans="1:35" x14ac:dyDescent="0.25">
      <c r="A823" s="34" t="s">
        <v>110</v>
      </c>
      <c r="B823" s="35" t="s">
        <v>1795</v>
      </c>
      <c r="C823" s="35" t="s">
        <v>2574</v>
      </c>
      <c r="D823" s="35">
        <v>21050</v>
      </c>
      <c r="E823" s="35" t="s">
        <v>3400</v>
      </c>
      <c r="F823" s="35" t="s">
        <v>3401</v>
      </c>
      <c r="G823" s="35" t="s">
        <v>115</v>
      </c>
      <c r="H823" s="35" t="s">
        <v>160</v>
      </c>
      <c r="I823" s="35" t="s">
        <v>117</v>
      </c>
      <c r="J823" s="35" t="s">
        <v>141</v>
      </c>
      <c r="K823" s="36">
        <v>46066</v>
      </c>
      <c r="L823" s="36">
        <v>46082</v>
      </c>
      <c r="M823" s="36"/>
      <c r="N823" s="36"/>
      <c r="O823" s="36"/>
      <c r="P823" s="36"/>
      <c r="Q823" s="36"/>
      <c r="R823" s="35" t="s">
        <v>187</v>
      </c>
      <c r="S823" s="35" t="s">
        <v>2541</v>
      </c>
      <c r="T823" s="35" t="s">
        <v>2542</v>
      </c>
      <c r="U823" s="35" t="s">
        <v>107</v>
      </c>
      <c r="V823" s="35" t="s">
        <v>509</v>
      </c>
      <c r="W823" s="35" t="s">
        <v>123</v>
      </c>
      <c r="X823" s="35">
        <v>503.5</v>
      </c>
      <c r="Y823" s="35">
        <v>40.29</v>
      </c>
      <c r="Z823" s="35">
        <v>40.29</v>
      </c>
      <c r="AA823" s="35">
        <v>0</v>
      </c>
      <c r="AB823" s="35"/>
      <c r="AC823" s="35">
        <v>0</v>
      </c>
      <c r="AD823" s="35"/>
      <c r="AE823" s="35">
        <v>0</v>
      </c>
      <c r="AF823" s="35"/>
      <c r="AG823" s="35">
        <v>0</v>
      </c>
      <c r="AH823" s="35"/>
      <c r="AI823" s="37">
        <v>0</v>
      </c>
    </row>
    <row r="824" spans="1:35" x14ac:dyDescent="0.25">
      <c r="A824" s="38" t="s">
        <v>110</v>
      </c>
      <c r="B824" s="39" t="s">
        <v>1795</v>
      </c>
      <c r="C824" s="39" t="s">
        <v>2575</v>
      </c>
      <c r="D824" s="39">
        <v>21049</v>
      </c>
      <c r="E824" s="39" t="s">
        <v>3402</v>
      </c>
      <c r="F824" s="39" t="s">
        <v>3403</v>
      </c>
      <c r="G824" s="39" t="s">
        <v>115</v>
      </c>
      <c r="H824" s="39" t="s">
        <v>160</v>
      </c>
      <c r="I824" s="39" t="s">
        <v>117</v>
      </c>
      <c r="J824" s="39" t="s">
        <v>141</v>
      </c>
      <c r="K824" s="40">
        <v>46066</v>
      </c>
      <c r="L824" s="40">
        <v>46082</v>
      </c>
      <c r="M824" s="40"/>
      <c r="N824" s="40"/>
      <c r="O824" s="40"/>
      <c r="P824" s="40"/>
      <c r="Q824" s="40"/>
      <c r="R824" s="39" t="s">
        <v>187</v>
      </c>
      <c r="S824" s="39" t="s">
        <v>2541</v>
      </c>
      <c r="T824" s="39" t="s">
        <v>2542</v>
      </c>
      <c r="U824" s="35" t="s">
        <v>107</v>
      </c>
      <c r="V824" s="39" t="s">
        <v>509</v>
      </c>
      <c r="W824" s="39" t="s">
        <v>123</v>
      </c>
      <c r="X824" s="39">
        <v>503.5</v>
      </c>
      <c r="Y824" s="39">
        <v>40.29</v>
      </c>
      <c r="Z824" s="39">
        <v>40.29</v>
      </c>
      <c r="AA824" s="39">
        <v>0</v>
      </c>
      <c r="AB824" s="39"/>
      <c r="AC824" s="39">
        <v>0</v>
      </c>
      <c r="AD824" s="39"/>
      <c r="AE824" s="39">
        <v>0</v>
      </c>
      <c r="AF824" s="39"/>
      <c r="AG824" s="39">
        <v>0</v>
      </c>
      <c r="AH824" s="39"/>
      <c r="AI824" s="41">
        <v>0</v>
      </c>
    </row>
    <row r="825" spans="1:35" x14ac:dyDescent="0.25">
      <c r="A825" s="34" t="s">
        <v>110</v>
      </c>
      <c r="B825" s="35" t="s">
        <v>1795</v>
      </c>
      <c r="C825" s="35" t="s">
        <v>2576</v>
      </c>
      <c r="D825" s="35">
        <v>21051</v>
      </c>
      <c r="E825" s="35" t="s">
        <v>3404</v>
      </c>
      <c r="F825" s="35" t="s">
        <v>3405</v>
      </c>
      <c r="G825" s="35" t="s">
        <v>115</v>
      </c>
      <c r="H825" s="35" t="s">
        <v>160</v>
      </c>
      <c r="I825" s="35" t="s">
        <v>117</v>
      </c>
      <c r="J825" s="35" t="s">
        <v>118</v>
      </c>
      <c r="K825" s="36">
        <v>46066</v>
      </c>
      <c r="L825" s="36">
        <v>46082</v>
      </c>
      <c r="M825" s="36">
        <v>46082</v>
      </c>
      <c r="N825" s="36"/>
      <c r="O825" s="36"/>
      <c r="P825" s="36"/>
      <c r="Q825" s="36"/>
      <c r="R825" s="35" t="s">
        <v>187</v>
      </c>
      <c r="S825" s="35" t="s">
        <v>2541</v>
      </c>
      <c r="T825" s="35" t="s">
        <v>2542</v>
      </c>
      <c r="U825" s="35" t="s">
        <v>107</v>
      </c>
      <c r="V825" s="35" t="s">
        <v>509</v>
      </c>
      <c r="W825" s="35" t="s">
        <v>123</v>
      </c>
      <c r="X825" s="35">
        <v>503.5</v>
      </c>
      <c r="Y825" s="35">
        <v>40.29</v>
      </c>
      <c r="Z825" s="35">
        <v>40.29</v>
      </c>
      <c r="AA825" s="35">
        <v>0</v>
      </c>
      <c r="AB825" s="35"/>
      <c r="AC825" s="35">
        <v>0</v>
      </c>
      <c r="AD825" s="35"/>
      <c r="AE825" s="35">
        <v>0</v>
      </c>
      <c r="AF825" s="35"/>
      <c r="AG825" s="35">
        <v>0</v>
      </c>
      <c r="AH825" s="35"/>
      <c r="AI825" s="37">
        <v>0</v>
      </c>
    </row>
    <row r="826" spans="1:35" x14ac:dyDescent="0.25">
      <c r="A826" s="38" t="s">
        <v>110</v>
      </c>
      <c r="B826" s="39" t="s">
        <v>1795</v>
      </c>
      <c r="C826" s="39" t="s">
        <v>2577</v>
      </c>
      <c r="D826" s="39">
        <v>21037</v>
      </c>
      <c r="E826" s="39" t="s">
        <v>3406</v>
      </c>
      <c r="F826" s="39" t="s">
        <v>3407</v>
      </c>
      <c r="G826" s="39" t="s">
        <v>115</v>
      </c>
      <c r="H826" s="39" t="s">
        <v>160</v>
      </c>
      <c r="I826" s="39" t="s">
        <v>117</v>
      </c>
      <c r="J826" s="39" t="s">
        <v>141</v>
      </c>
      <c r="K826" s="40">
        <v>46066</v>
      </c>
      <c r="L826" s="40">
        <v>46082</v>
      </c>
      <c r="M826" s="40"/>
      <c r="N826" s="40"/>
      <c r="O826" s="40"/>
      <c r="P826" s="40"/>
      <c r="Q826" s="40"/>
      <c r="R826" s="39" t="s">
        <v>187</v>
      </c>
      <c r="S826" s="39" t="s">
        <v>2541</v>
      </c>
      <c r="T826" s="39" t="s">
        <v>2542</v>
      </c>
      <c r="U826" s="35" t="s">
        <v>107</v>
      </c>
      <c r="V826" s="39" t="s">
        <v>509</v>
      </c>
      <c r="W826" s="39" t="s">
        <v>123</v>
      </c>
      <c r="X826" s="39">
        <v>503.5</v>
      </c>
      <c r="Y826" s="39">
        <v>40.29</v>
      </c>
      <c r="Z826" s="39">
        <v>40.29</v>
      </c>
      <c r="AA826" s="39">
        <v>0</v>
      </c>
      <c r="AB826" s="39"/>
      <c r="AC826" s="39">
        <v>0</v>
      </c>
      <c r="AD826" s="39"/>
      <c r="AE826" s="39">
        <v>0</v>
      </c>
      <c r="AF826" s="39"/>
      <c r="AG826" s="39">
        <v>0</v>
      </c>
      <c r="AH826" s="39"/>
      <c r="AI826" s="41">
        <v>0</v>
      </c>
    </row>
    <row r="827" spans="1:35" x14ac:dyDescent="0.25">
      <c r="A827" s="34" t="s">
        <v>110</v>
      </c>
      <c r="B827" s="35" t="s">
        <v>1795</v>
      </c>
      <c r="C827" s="35" t="s">
        <v>2578</v>
      </c>
      <c r="D827" s="35">
        <v>21042</v>
      </c>
      <c r="E827" s="35" t="s">
        <v>3408</v>
      </c>
      <c r="F827" s="35" t="s">
        <v>3409</v>
      </c>
      <c r="G827" s="35" t="s">
        <v>115</v>
      </c>
      <c r="H827" s="35" t="s">
        <v>160</v>
      </c>
      <c r="I827" s="35" t="s">
        <v>117</v>
      </c>
      <c r="J827" s="35" t="s">
        <v>141</v>
      </c>
      <c r="K827" s="36">
        <v>46066</v>
      </c>
      <c r="L827" s="36">
        <v>46082</v>
      </c>
      <c r="M827" s="36"/>
      <c r="N827" s="36"/>
      <c r="O827" s="36"/>
      <c r="P827" s="36"/>
      <c r="Q827" s="36"/>
      <c r="R827" s="35" t="s">
        <v>187</v>
      </c>
      <c r="S827" s="35" t="s">
        <v>2541</v>
      </c>
      <c r="T827" s="35" t="s">
        <v>2542</v>
      </c>
      <c r="U827" s="35" t="s">
        <v>107</v>
      </c>
      <c r="V827" s="35" t="s">
        <v>509</v>
      </c>
      <c r="W827" s="35" t="s">
        <v>123</v>
      </c>
      <c r="X827" s="35">
        <v>503.5</v>
      </c>
      <c r="Y827" s="35">
        <v>40.29</v>
      </c>
      <c r="Z827" s="35">
        <v>40.29</v>
      </c>
      <c r="AA827" s="35">
        <v>0</v>
      </c>
      <c r="AB827" s="35"/>
      <c r="AC827" s="35">
        <v>0</v>
      </c>
      <c r="AD827" s="35"/>
      <c r="AE827" s="35">
        <v>0</v>
      </c>
      <c r="AF827" s="35"/>
      <c r="AG827" s="35">
        <v>0</v>
      </c>
      <c r="AH827" s="35"/>
      <c r="AI827" s="37">
        <v>0</v>
      </c>
    </row>
    <row r="828" spans="1:35" x14ac:dyDescent="0.25">
      <c r="A828" s="38" t="s">
        <v>110</v>
      </c>
      <c r="B828" s="39" t="s">
        <v>1795</v>
      </c>
      <c r="C828" s="39" t="s">
        <v>2579</v>
      </c>
      <c r="D828" s="39">
        <v>21041</v>
      </c>
      <c r="E828" s="39" t="s">
        <v>3410</v>
      </c>
      <c r="F828" s="39" t="s">
        <v>3411</v>
      </c>
      <c r="G828" s="39" t="s">
        <v>115</v>
      </c>
      <c r="H828" s="39" t="s">
        <v>160</v>
      </c>
      <c r="I828" s="39" t="s">
        <v>117</v>
      </c>
      <c r="J828" s="39" t="s">
        <v>141</v>
      </c>
      <c r="K828" s="40">
        <v>46066</v>
      </c>
      <c r="L828" s="40">
        <v>46082</v>
      </c>
      <c r="M828" s="40"/>
      <c r="N828" s="40"/>
      <c r="O828" s="40"/>
      <c r="P828" s="40"/>
      <c r="Q828" s="40"/>
      <c r="R828" s="39" t="s">
        <v>187</v>
      </c>
      <c r="S828" s="39" t="s">
        <v>2541</v>
      </c>
      <c r="T828" s="39" t="s">
        <v>2542</v>
      </c>
      <c r="U828" s="35" t="s">
        <v>107</v>
      </c>
      <c r="V828" s="39" t="s">
        <v>509</v>
      </c>
      <c r="W828" s="39" t="s">
        <v>123</v>
      </c>
      <c r="X828" s="39">
        <v>503.5</v>
      </c>
      <c r="Y828" s="39">
        <v>40.29</v>
      </c>
      <c r="Z828" s="39">
        <v>40.29</v>
      </c>
      <c r="AA828" s="39">
        <v>0</v>
      </c>
      <c r="AB828" s="39"/>
      <c r="AC828" s="39">
        <v>0</v>
      </c>
      <c r="AD828" s="39"/>
      <c r="AE828" s="39">
        <v>0</v>
      </c>
      <c r="AF828" s="39"/>
      <c r="AG828" s="39">
        <v>0</v>
      </c>
      <c r="AH828" s="39"/>
      <c r="AI828" s="41">
        <v>0</v>
      </c>
    </row>
    <row r="829" spans="1:35" x14ac:dyDescent="0.25">
      <c r="A829" s="34" t="s">
        <v>110</v>
      </c>
      <c r="B829" s="35" t="s">
        <v>1795</v>
      </c>
      <c r="C829" s="35" t="s">
        <v>2580</v>
      </c>
      <c r="D829" s="35">
        <v>21040</v>
      </c>
      <c r="E829" s="35" t="s">
        <v>3412</v>
      </c>
      <c r="F829" s="35" t="s">
        <v>3413</v>
      </c>
      <c r="G829" s="35" t="s">
        <v>115</v>
      </c>
      <c r="H829" s="35" t="s">
        <v>160</v>
      </c>
      <c r="I829" s="35" t="s">
        <v>117</v>
      </c>
      <c r="J829" s="35" t="s">
        <v>118</v>
      </c>
      <c r="K829" s="36">
        <v>46066</v>
      </c>
      <c r="L829" s="36">
        <v>46082</v>
      </c>
      <c r="M829" s="36">
        <v>46082</v>
      </c>
      <c r="N829" s="36"/>
      <c r="O829" s="36"/>
      <c r="P829" s="36"/>
      <c r="Q829" s="36"/>
      <c r="R829" s="35" t="s">
        <v>187</v>
      </c>
      <c r="S829" s="35" t="s">
        <v>2541</v>
      </c>
      <c r="T829" s="35" t="s">
        <v>2542</v>
      </c>
      <c r="U829" s="35" t="s">
        <v>107</v>
      </c>
      <c r="V829" s="35" t="s">
        <v>509</v>
      </c>
      <c r="W829" s="35" t="s">
        <v>123</v>
      </c>
      <c r="X829" s="35">
        <v>503.5</v>
      </c>
      <c r="Y829" s="35">
        <v>40.29</v>
      </c>
      <c r="Z829" s="35">
        <v>40.29</v>
      </c>
      <c r="AA829" s="35">
        <v>0</v>
      </c>
      <c r="AB829" s="35"/>
      <c r="AC829" s="35">
        <v>0</v>
      </c>
      <c r="AD829" s="35"/>
      <c r="AE829" s="35">
        <v>0</v>
      </c>
      <c r="AF829" s="35"/>
      <c r="AG829" s="35">
        <v>0</v>
      </c>
      <c r="AH829" s="35"/>
      <c r="AI829" s="37">
        <v>0</v>
      </c>
    </row>
    <row r="830" spans="1:35" x14ac:dyDescent="0.25">
      <c r="A830" s="38" t="s">
        <v>110</v>
      </c>
      <c r="B830" s="39" t="s">
        <v>1795</v>
      </c>
      <c r="C830" s="39" t="s">
        <v>2581</v>
      </c>
      <c r="D830" s="39">
        <v>21048</v>
      </c>
      <c r="E830" s="39" t="s">
        <v>3414</v>
      </c>
      <c r="F830" s="39" t="s">
        <v>3415</v>
      </c>
      <c r="G830" s="39" t="s">
        <v>115</v>
      </c>
      <c r="H830" s="39" t="s">
        <v>160</v>
      </c>
      <c r="I830" s="39" t="s">
        <v>117</v>
      </c>
      <c r="J830" s="39" t="s">
        <v>141</v>
      </c>
      <c r="K830" s="40">
        <v>46066</v>
      </c>
      <c r="L830" s="40">
        <v>46082</v>
      </c>
      <c r="M830" s="40"/>
      <c r="N830" s="40"/>
      <c r="O830" s="40"/>
      <c r="P830" s="40"/>
      <c r="Q830" s="40"/>
      <c r="R830" s="39" t="s">
        <v>187</v>
      </c>
      <c r="S830" s="39" t="s">
        <v>2541</v>
      </c>
      <c r="T830" s="39" t="s">
        <v>2542</v>
      </c>
      <c r="U830" s="35" t="s">
        <v>107</v>
      </c>
      <c r="V830" s="39" t="s">
        <v>509</v>
      </c>
      <c r="W830" s="39" t="s">
        <v>123</v>
      </c>
      <c r="X830" s="39">
        <v>503.5</v>
      </c>
      <c r="Y830" s="39">
        <v>40.29</v>
      </c>
      <c r="Z830" s="39">
        <v>40.29</v>
      </c>
      <c r="AA830" s="39">
        <v>0</v>
      </c>
      <c r="AB830" s="39"/>
      <c r="AC830" s="39">
        <v>0</v>
      </c>
      <c r="AD830" s="39"/>
      <c r="AE830" s="39">
        <v>0</v>
      </c>
      <c r="AF830" s="39"/>
      <c r="AG830" s="39">
        <v>0</v>
      </c>
      <c r="AH830" s="39"/>
      <c r="AI830" s="41">
        <v>0</v>
      </c>
    </row>
    <row r="831" spans="1:35" x14ac:dyDescent="0.25">
      <c r="A831" s="34" t="s">
        <v>110</v>
      </c>
      <c r="B831" s="35" t="s">
        <v>1795</v>
      </c>
      <c r="C831" s="35" t="s">
        <v>2582</v>
      </c>
      <c r="D831" s="35">
        <v>21047</v>
      </c>
      <c r="E831" s="35" t="s">
        <v>3416</v>
      </c>
      <c r="F831" s="35" t="s">
        <v>3417</v>
      </c>
      <c r="G831" s="35" t="s">
        <v>115</v>
      </c>
      <c r="H831" s="35" t="s">
        <v>160</v>
      </c>
      <c r="I831" s="35" t="s">
        <v>117</v>
      </c>
      <c r="J831" s="35" t="s">
        <v>141</v>
      </c>
      <c r="K831" s="36">
        <v>46066</v>
      </c>
      <c r="L831" s="36">
        <v>46082</v>
      </c>
      <c r="M831" s="36"/>
      <c r="N831" s="36"/>
      <c r="O831" s="36"/>
      <c r="P831" s="36"/>
      <c r="Q831" s="36"/>
      <c r="R831" s="35" t="s">
        <v>187</v>
      </c>
      <c r="S831" s="35" t="s">
        <v>2541</v>
      </c>
      <c r="T831" s="35" t="s">
        <v>2542</v>
      </c>
      <c r="U831" s="35" t="s">
        <v>107</v>
      </c>
      <c r="V831" s="35" t="s">
        <v>509</v>
      </c>
      <c r="W831" s="35" t="s">
        <v>123</v>
      </c>
      <c r="X831" s="35">
        <v>503.5</v>
      </c>
      <c r="Y831" s="35">
        <v>40.29</v>
      </c>
      <c r="Z831" s="35">
        <v>40.29</v>
      </c>
      <c r="AA831" s="35">
        <v>0</v>
      </c>
      <c r="AB831" s="35"/>
      <c r="AC831" s="35">
        <v>0</v>
      </c>
      <c r="AD831" s="35"/>
      <c r="AE831" s="35">
        <v>0</v>
      </c>
      <c r="AF831" s="35"/>
      <c r="AG831" s="35">
        <v>0</v>
      </c>
      <c r="AH831" s="35"/>
      <c r="AI831" s="37">
        <v>0</v>
      </c>
    </row>
    <row r="832" spans="1:35" x14ac:dyDescent="0.25">
      <c r="A832" s="38" t="s">
        <v>110</v>
      </c>
      <c r="B832" s="39" t="s">
        <v>1795</v>
      </c>
      <c r="C832" s="39" t="s">
        <v>2583</v>
      </c>
      <c r="D832" s="39">
        <v>21052</v>
      </c>
      <c r="E832" s="39" t="s">
        <v>3418</v>
      </c>
      <c r="F832" s="39" t="s">
        <v>3419</v>
      </c>
      <c r="G832" s="39" t="s">
        <v>115</v>
      </c>
      <c r="H832" s="39" t="s">
        <v>160</v>
      </c>
      <c r="I832" s="39" t="s">
        <v>117</v>
      </c>
      <c r="J832" s="39" t="s">
        <v>141</v>
      </c>
      <c r="K832" s="40">
        <v>46066</v>
      </c>
      <c r="L832" s="40">
        <v>46082</v>
      </c>
      <c r="M832" s="40"/>
      <c r="N832" s="40"/>
      <c r="O832" s="40"/>
      <c r="P832" s="40"/>
      <c r="Q832" s="40"/>
      <c r="R832" s="39" t="s">
        <v>187</v>
      </c>
      <c r="S832" s="39" t="s">
        <v>2541</v>
      </c>
      <c r="T832" s="39" t="s">
        <v>2542</v>
      </c>
      <c r="U832" s="35" t="s">
        <v>107</v>
      </c>
      <c r="V832" s="39" t="s">
        <v>509</v>
      </c>
      <c r="W832" s="39" t="s">
        <v>123</v>
      </c>
      <c r="X832" s="39">
        <v>503.5</v>
      </c>
      <c r="Y832" s="39">
        <v>40.29</v>
      </c>
      <c r="Z832" s="39">
        <v>40.29</v>
      </c>
      <c r="AA832" s="39">
        <v>0</v>
      </c>
      <c r="AB832" s="39"/>
      <c r="AC832" s="39">
        <v>0</v>
      </c>
      <c r="AD832" s="39"/>
      <c r="AE832" s="39">
        <v>0</v>
      </c>
      <c r="AF832" s="39"/>
      <c r="AG832" s="39">
        <v>0</v>
      </c>
      <c r="AH832" s="39"/>
      <c r="AI832" s="41">
        <v>0</v>
      </c>
    </row>
    <row r="833" spans="1:35" x14ac:dyDescent="0.25">
      <c r="A833" s="34" t="s">
        <v>110</v>
      </c>
      <c r="B833" s="35" t="s">
        <v>1795</v>
      </c>
      <c r="C833" s="35" t="s">
        <v>2584</v>
      </c>
      <c r="D833" s="35">
        <v>21044</v>
      </c>
      <c r="E833" s="35" t="s">
        <v>3420</v>
      </c>
      <c r="F833" s="35" t="s">
        <v>3421</v>
      </c>
      <c r="G833" s="35" t="s">
        <v>115</v>
      </c>
      <c r="H833" s="35" t="s">
        <v>160</v>
      </c>
      <c r="I833" s="35" t="s">
        <v>117</v>
      </c>
      <c r="J833" s="35" t="s">
        <v>141</v>
      </c>
      <c r="K833" s="36">
        <v>46066</v>
      </c>
      <c r="L833" s="36">
        <v>46082</v>
      </c>
      <c r="M833" s="36"/>
      <c r="N833" s="36"/>
      <c r="O833" s="36"/>
      <c r="P833" s="36"/>
      <c r="Q833" s="36"/>
      <c r="R833" s="35" t="s">
        <v>187</v>
      </c>
      <c r="S833" s="35" t="s">
        <v>2541</v>
      </c>
      <c r="T833" s="35" t="s">
        <v>2542</v>
      </c>
      <c r="U833" s="35" t="s">
        <v>107</v>
      </c>
      <c r="V833" s="35" t="s">
        <v>509</v>
      </c>
      <c r="W833" s="35" t="s">
        <v>123</v>
      </c>
      <c r="X833" s="35">
        <v>503.5</v>
      </c>
      <c r="Y833" s="35">
        <v>40.29</v>
      </c>
      <c r="Z833" s="35">
        <v>40.29</v>
      </c>
      <c r="AA833" s="35">
        <v>0</v>
      </c>
      <c r="AB833" s="35"/>
      <c r="AC833" s="35">
        <v>0</v>
      </c>
      <c r="AD833" s="35"/>
      <c r="AE833" s="35">
        <v>0</v>
      </c>
      <c r="AF833" s="35"/>
      <c r="AG833" s="35">
        <v>0</v>
      </c>
      <c r="AH833" s="35"/>
      <c r="AI833" s="37">
        <v>0</v>
      </c>
    </row>
    <row r="834" spans="1:35" x14ac:dyDescent="0.25">
      <c r="A834" s="38" t="s">
        <v>110</v>
      </c>
      <c r="B834" s="39" t="s">
        <v>993</v>
      </c>
      <c r="C834" s="39" t="s">
        <v>2585</v>
      </c>
      <c r="D834" s="39">
        <v>21099</v>
      </c>
      <c r="E834" s="39" t="s">
        <v>3422</v>
      </c>
      <c r="F834" s="39" t="s">
        <v>3423</v>
      </c>
      <c r="G834" s="39" t="s">
        <v>115</v>
      </c>
      <c r="H834" s="39" t="s">
        <v>160</v>
      </c>
      <c r="I834" s="39" t="s">
        <v>117</v>
      </c>
      <c r="J834" s="39" t="s">
        <v>141</v>
      </c>
      <c r="K834" s="40">
        <v>46066</v>
      </c>
      <c r="L834" s="40">
        <v>46082</v>
      </c>
      <c r="M834" s="40"/>
      <c r="N834" s="40"/>
      <c r="O834" s="40"/>
      <c r="P834" s="40"/>
      <c r="Q834" s="40"/>
      <c r="R834" s="39" t="s">
        <v>187</v>
      </c>
      <c r="S834" s="39" t="s">
        <v>2586</v>
      </c>
      <c r="T834" s="39" t="s">
        <v>2586</v>
      </c>
      <c r="U834" s="35" t="s">
        <v>107</v>
      </c>
      <c r="V834" s="39" t="s">
        <v>509</v>
      </c>
      <c r="W834" s="39" t="s">
        <v>123</v>
      </c>
      <c r="X834" s="39">
        <v>369.35</v>
      </c>
      <c r="Y834" s="39">
        <v>29.55</v>
      </c>
      <c r="Z834" s="39">
        <v>29.55</v>
      </c>
      <c r="AA834" s="39">
        <v>0</v>
      </c>
      <c r="AB834" s="39"/>
      <c r="AC834" s="39">
        <v>0</v>
      </c>
      <c r="AD834" s="39"/>
      <c r="AE834" s="39">
        <v>0</v>
      </c>
      <c r="AF834" s="39"/>
      <c r="AG834" s="39">
        <v>0</v>
      </c>
      <c r="AH834" s="39"/>
      <c r="AI834" s="41">
        <v>0</v>
      </c>
    </row>
    <row r="835" spans="1:35" x14ac:dyDescent="0.25">
      <c r="A835" s="34" t="s">
        <v>110</v>
      </c>
      <c r="B835" s="35" t="s">
        <v>993</v>
      </c>
      <c r="C835" s="35" t="s">
        <v>2587</v>
      </c>
      <c r="D835" s="35">
        <v>21105</v>
      </c>
      <c r="E835" s="35" t="s">
        <v>3424</v>
      </c>
      <c r="F835" s="35" t="s">
        <v>3425</v>
      </c>
      <c r="G835" s="35" t="s">
        <v>115</v>
      </c>
      <c r="H835" s="35" t="s">
        <v>160</v>
      </c>
      <c r="I835" s="35" t="s">
        <v>117</v>
      </c>
      <c r="J835" s="35" t="s">
        <v>141</v>
      </c>
      <c r="K835" s="36">
        <v>46066</v>
      </c>
      <c r="L835" s="36">
        <v>46082</v>
      </c>
      <c r="M835" s="36"/>
      <c r="N835" s="36"/>
      <c r="O835" s="36"/>
      <c r="P835" s="36"/>
      <c r="Q835" s="36"/>
      <c r="R835" s="35" t="s">
        <v>187</v>
      </c>
      <c r="S835" s="35" t="s">
        <v>2586</v>
      </c>
      <c r="T835" s="35" t="s">
        <v>2586</v>
      </c>
      <c r="U835" s="35" t="s">
        <v>107</v>
      </c>
      <c r="V835" s="35" t="s">
        <v>509</v>
      </c>
      <c r="W835" s="35" t="s">
        <v>123</v>
      </c>
      <c r="X835" s="35">
        <v>369.35</v>
      </c>
      <c r="Y835" s="35">
        <v>29.55</v>
      </c>
      <c r="Z835" s="35">
        <v>29.55</v>
      </c>
      <c r="AA835" s="35">
        <v>0</v>
      </c>
      <c r="AB835" s="35"/>
      <c r="AC835" s="35">
        <v>0</v>
      </c>
      <c r="AD835" s="35"/>
      <c r="AE835" s="35">
        <v>0</v>
      </c>
      <c r="AF835" s="35"/>
      <c r="AG835" s="35">
        <v>0</v>
      </c>
      <c r="AH835" s="35"/>
      <c r="AI835" s="37">
        <v>0</v>
      </c>
    </row>
    <row r="836" spans="1:35" x14ac:dyDescent="0.25">
      <c r="A836" s="38" t="s">
        <v>110</v>
      </c>
      <c r="B836" s="39" t="s">
        <v>993</v>
      </c>
      <c r="C836" s="39" t="s">
        <v>2588</v>
      </c>
      <c r="D836" s="39">
        <v>21104</v>
      </c>
      <c r="E836" s="39" t="s">
        <v>3426</v>
      </c>
      <c r="F836" s="39" t="s">
        <v>3427</v>
      </c>
      <c r="G836" s="39" t="s">
        <v>115</v>
      </c>
      <c r="H836" s="39" t="s">
        <v>160</v>
      </c>
      <c r="I836" s="39" t="s">
        <v>117</v>
      </c>
      <c r="J836" s="39" t="s">
        <v>141</v>
      </c>
      <c r="K836" s="40">
        <v>46066</v>
      </c>
      <c r="L836" s="40">
        <v>46082</v>
      </c>
      <c r="M836" s="40"/>
      <c r="N836" s="40"/>
      <c r="O836" s="40"/>
      <c r="P836" s="40"/>
      <c r="Q836" s="40"/>
      <c r="R836" s="39" t="s">
        <v>187</v>
      </c>
      <c r="S836" s="39" t="s">
        <v>2586</v>
      </c>
      <c r="T836" s="39" t="s">
        <v>2586</v>
      </c>
      <c r="U836" s="35" t="s">
        <v>107</v>
      </c>
      <c r="V836" s="39" t="s">
        <v>509</v>
      </c>
      <c r="W836" s="39" t="s">
        <v>123</v>
      </c>
      <c r="X836" s="39">
        <v>369.35</v>
      </c>
      <c r="Y836" s="39">
        <v>29.55</v>
      </c>
      <c r="Z836" s="39">
        <v>29.55</v>
      </c>
      <c r="AA836" s="39">
        <v>0</v>
      </c>
      <c r="AB836" s="39"/>
      <c r="AC836" s="39">
        <v>0</v>
      </c>
      <c r="AD836" s="39"/>
      <c r="AE836" s="39">
        <v>0</v>
      </c>
      <c r="AF836" s="39"/>
      <c r="AG836" s="39">
        <v>0</v>
      </c>
      <c r="AH836" s="39"/>
      <c r="AI836" s="41">
        <v>0</v>
      </c>
    </row>
    <row r="837" spans="1:35" x14ac:dyDescent="0.25">
      <c r="A837" s="34" t="s">
        <v>110</v>
      </c>
      <c r="B837" s="35" t="s">
        <v>993</v>
      </c>
      <c r="C837" s="35" t="s">
        <v>2589</v>
      </c>
      <c r="D837" s="35">
        <v>21101</v>
      </c>
      <c r="E837" s="35" t="s">
        <v>3428</v>
      </c>
      <c r="F837" s="35" t="s">
        <v>3429</v>
      </c>
      <c r="G837" s="35" t="s">
        <v>115</v>
      </c>
      <c r="H837" s="35" t="s">
        <v>160</v>
      </c>
      <c r="I837" s="35" t="s">
        <v>117</v>
      </c>
      <c r="J837" s="35" t="s">
        <v>141</v>
      </c>
      <c r="K837" s="36">
        <v>46066</v>
      </c>
      <c r="L837" s="36">
        <v>46082</v>
      </c>
      <c r="M837" s="36"/>
      <c r="N837" s="36"/>
      <c r="O837" s="36"/>
      <c r="P837" s="36"/>
      <c r="Q837" s="36"/>
      <c r="R837" s="35" t="s">
        <v>187</v>
      </c>
      <c r="S837" s="35" t="s">
        <v>2586</v>
      </c>
      <c r="T837" s="35" t="s">
        <v>2586</v>
      </c>
      <c r="U837" s="35" t="s">
        <v>107</v>
      </c>
      <c r="V837" s="35" t="s">
        <v>509</v>
      </c>
      <c r="W837" s="35" t="s">
        <v>123</v>
      </c>
      <c r="X837" s="35">
        <v>369.35</v>
      </c>
      <c r="Y837" s="35">
        <v>29.55</v>
      </c>
      <c r="Z837" s="35">
        <v>29.55</v>
      </c>
      <c r="AA837" s="35">
        <v>0</v>
      </c>
      <c r="AB837" s="35"/>
      <c r="AC837" s="35">
        <v>0</v>
      </c>
      <c r="AD837" s="35"/>
      <c r="AE837" s="35">
        <v>0</v>
      </c>
      <c r="AF837" s="35"/>
      <c r="AG837" s="35">
        <v>0</v>
      </c>
      <c r="AH837" s="35"/>
      <c r="AI837" s="37">
        <v>0</v>
      </c>
    </row>
    <row r="838" spans="1:35" x14ac:dyDescent="0.25">
      <c r="A838" s="38" t="s">
        <v>110</v>
      </c>
      <c r="B838" s="39" t="s">
        <v>993</v>
      </c>
      <c r="C838" s="39" t="s">
        <v>2590</v>
      </c>
      <c r="D838" s="39">
        <v>21096</v>
      </c>
      <c r="E838" s="39" t="s">
        <v>3430</v>
      </c>
      <c r="F838" s="39" t="s">
        <v>3431</v>
      </c>
      <c r="G838" s="39" t="s">
        <v>115</v>
      </c>
      <c r="H838" s="39" t="s">
        <v>160</v>
      </c>
      <c r="I838" s="39" t="s">
        <v>117</v>
      </c>
      <c r="J838" s="39" t="s">
        <v>141</v>
      </c>
      <c r="K838" s="40">
        <v>46066</v>
      </c>
      <c r="L838" s="40">
        <v>46082</v>
      </c>
      <c r="M838" s="40"/>
      <c r="N838" s="40"/>
      <c r="O838" s="40"/>
      <c r="P838" s="40"/>
      <c r="Q838" s="40"/>
      <c r="R838" s="39" t="s">
        <v>187</v>
      </c>
      <c r="S838" s="39" t="s">
        <v>2586</v>
      </c>
      <c r="T838" s="39" t="s">
        <v>2586</v>
      </c>
      <c r="U838" s="35" t="s">
        <v>107</v>
      </c>
      <c r="V838" s="39" t="s">
        <v>509</v>
      </c>
      <c r="W838" s="39" t="s">
        <v>123</v>
      </c>
      <c r="X838" s="39">
        <v>369.35</v>
      </c>
      <c r="Y838" s="39">
        <v>29.55</v>
      </c>
      <c r="Z838" s="39">
        <v>29.55</v>
      </c>
      <c r="AA838" s="39">
        <v>0</v>
      </c>
      <c r="AB838" s="39"/>
      <c r="AC838" s="39">
        <v>0</v>
      </c>
      <c r="AD838" s="39"/>
      <c r="AE838" s="39">
        <v>0</v>
      </c>
      <c r="AF838" s="39"/>
      <c r="AG838" s="39">
        <v>0</v>
      </c>
      <c r="AH838" s="39"/>
      <c r="AI838" s="41">
        <v>0</v>
      </c>
    </row>
    <row r="839" spans="1:35" x14ac:dyDescent="0.25">
      <c r="A839" s="34" t="s">
        <v>110</v>
      </c>
      <c r="B839" s="35" t="s">
        <v>1795</v>
      </c>
      <c r="C839" s="35" t="s">
        <v>2591</v>
      </c>
      <c r="D839" s="35">
        <v>21008</v>
      </c>
      <c r="E839" s="35" t="s">
        <v>3432</v>
      </c>
      <c r="F839" s="35" t="s">
        <v>3433</v>
      </c>
      <c r="G839" s="35" t="s">
        <v>115</v>
      </c>
      <c r="H839" s="35" t="s">
        <v>160</v>
      </c>
      <c r="I839" s="35" t="s">
        <v>117</v>
      </c>
      <c r="J839" s="35" t="s">
        <v>141</v>
      </c>
      <c r="K839" s="36">
        <v>46066</v>
      </c>
      <c r="L839" s="36">
        <v>46082</v>
      </c>
      <c r="M839" s="36"/>
      <c r="N839" s="36"/>
      <c r="O839" s="36"/>
      <c r="P839" s="36"/>
      <c r="Q839" s="36"/>
      <c r="R839" s="35" t="s">
        <v>187</v>
      </c>
      <c r="S839" s="35" t="s">
        <v>442</v>
      </c>
      <c r="T839" s="35" t="s">
        <v>442</v>
      </c>
      <c r="U839" s="35" t="s">
        <v>81</v>
      </c>
      <c r="V839" s="35" t="s">
        <v>509</v>
      </c>
      <c r="W839" s="35" t="s">
        <v>123</v>
      </c>
      <c r="X839" s="35">
        <v>407.4</v>
      </c>
      <c r="Y839" s="35">
        <v>32.6</v>
      </c>
      <c r="Z839" s="35">
        <v>32.6</v>
      </c>
      <c r="AA839" s="35">
        <v>0</v>
      </c>
      <c r="AB839" s="35"/>
      <c r="AC839" s="35">
        <v>0</v>
      </c>
      <c r="AD839" s="35"/>
      <c r="AE839" s="35">
        <v>0</v>
      </c>
      <c r="AF839" s="35"/>
      <c r="AG839" s="35">
        <v>0</v>
      </c>
      <c r="AH839" s="35"/>
      <c r="AI839" s="37">
        <v>0</v>
      </c>
    </row>
    <row r="840" spans="1:35" x14ac:dyDescent="0.25">
      <c r="A840" s="38" t="s">
        <v>110</v>
      </c>
      <c r="B840" s="39" t="s">
        <v>1795</v>
      </c>
      <c r="C840" s="39" t="s">
        <v>2592</v>
      </c>
      <c r="D840" s="39">
        <v>21025</v>
      </c>
      <c r="E840" s="39" t="s">
        <v>3434</v>
      </c>
      <c r="F840" s="39" t="s">
        <v>3435</v>
      </c>
      <c r="G840" s="39" t="s">
        <v>115</v>
      </c>
      <c r="H840" s="39" t="s">
        <v>160</v>
      </c>
      <c r="I840" s="39" t="s">
        <v>117</v>
      </c>
      <c r="J840" s="39" t="s">
        <v>141</v>
      </c>
      <c r="K840" s="40">
        <v>46066</v>
      </c>
      <c r="L840" s="40">
        <v>46082</v>
      </c>
      <c r="M840" s="40"/>
      <c r="N840" s="40"/>
      <c r="O840" s="40"/>
      <c r="P840" s="40"/>
      <c r="Q840" s="40"/>
      <c r="R840" s="39" t="s">
        <v>187</v>
      </c>
      <c r="S840" s="39" t="s">
        <v>2415</v>
      </c>
      <c r="T840" s="39" t="s">
        <v>2416</v>
      </c>
      <c r="U840" s="35" t="s">
        <v>107</v>
      </c>
      <c r="V840" s="39" t="s">
        <v>509</v>
      </c>
      <c r="W840" s="39" t="s">
        <v>123</v>
      </c>
      <c r="X840" s="39">
        <v>18.36</v>
      </c>
      <c r="Y840" s="39">
        <v>1.47</v>
      </c>
      <c r="Z840" s="39">
        <v>1.47</v>
      </c>
      <c r="AA840" s="39">
        <v>0</v>
      </c>
      <c r="AB840" s="39"/>
      <c r="AC840" s="39">
        <v>0</v>
      </c>
      <c r="AD840" s="39"/>
      <c r="AE840" s="39">
        <v>0</v>
      </c>
      <c r="AF840" s="39"/>
      <c r="AG840" s="39">
        <v>0</v>
      </c>
      <c r="AH840" s="39"/>
      <c r="AI840" s="41">
        <v>0</v>
      </c>
    </row>
    <row r="841" spans="1:35" x14ac:dyDescent="0.25">
      <c r="A841" s="34" t="s">
        <v>110</v>
      </c>
      <c r="B841" s="35" t="s">
        <v>1795</v>
      </c>
      <c r="C841" s="35" t="s">
        <v>2593</v>
      </c>
      <c r="D841" s="35">
        <v>21031</v>
      </c>
      <c r="E841" s="35" t="s">
        <v>3436</v>
      </c>
      <c r="F841" s="35" t="s">
        <v>3437</v>
      </c>
      <c r="G841" s="35" t="s">
        <v>115</v>
      </c>
      <c r="H841" s="35" t="s">
        <v>160</v>
      </c>
      <c r="I841" s="35" t="s">
        <v>117</v>
      </c>
      <c r="J841" s="35" t="s">
        <v>141</v>
      </c>
      <c r="K841" s="36">
        <v>46066</v>
      </c>
      <c r="L841" s="36">
        <v>46082</v>
      </c>
      <c r="M841" s="36"/>
      <c r="N841" s="36"/>
      <c r="O841" s="36"/>
      <c r="P841" s="36"/>
      <c r="Q841" s="36"/>
      <c r="R841" s="35" t="s">
        <v>187</v>
      </c>
      <c r="S841" s="35" t="s">
        <v>2415</v>
      </c>
      <c r="T841" s="35" t="s">
        <v>2416</v>
      </c>
      <c r="U841" s="35" t="s">
        <v>107</v>
      </c>
      <c r="V841" s="35" t="s">
        <v>509</v>
      </c>
      <c r="W841" s="35" t="s">
        <v>123</v>
      </c>
      <c r="X841" s="35">
        <v>18.36</v>
      </c>
      <c r="Y841" s="35">
        <v>1.47</v>
      </c>
      <c r="Z841" s="35">
        <v>1.47</v>
      </c>
      <c r="AA841" s="35">
        <v>0</v>
      </c>
      <c r="AB841" s="35"/>
      <c r="AC841" s="35">
        <v>0</v>
      </c>
      <c r="AD841" s="35"/>
      <c r="AE841" s="35">
        <v>0</v>
      </c>
      <c r="AF841" s="35"/>
      <c r="AG841" s="35">
        <v>0</v>
      </c>
      <c r="AH841" s="35"/>
      <c r="AI841" s="37">
        <v>0</v>
      </c>
    </row>
    <row r="842" spans="1:35" x14ac:dyDescent="0.25">
      <c r="A842" s="38" t="s">
        <v>110</v>
      </c>
      <c r="B842" s="39" t="s">
        <v>1795</v>
      </c>
      <c r="C842" s="39" t="s">
        <v>2594</v>
      </c>
      <c r="D842" s="39">
        <v>21030</v>
      </c>
      <c r="E842" s="39" t="s">
        <v>3438</v>
      </c>
      <c r="F842" s="39" t="s">
        <v>3439</v>
      </c>
      <c r="G842" s="39" t="s">
        <v>115</v>
      </c>
      <c r="H842" s="39" t="s">
        <v>160</v>
      </c>
      <c r="I842" s="39" t="s">
        <v>117</v>
      </c>
      <c r="J842" s="39" t="s">
        <v>141</v>
      </c>
      <c r="K842" s="40">
        <v>46066</v>
      </c>
      <c r="L842" s="40">
        <v>46082</v>
      </c>
      <c r="M842" s="40"/>
      <c r="N842" s="40"/>
      <c r="O842" s="40"/>
      <c r="P842" s="40"/>
      <c r="Q842" s="40"/>
      <c r="R842" s="39" t="s">
        <v>187</v>
      </c>
      <c r="S842" s="39" t="s">
        <v>2415</v>
      </c>
      <c r="T842" s="39" t="s">
        <v>2416</v>
      </c>
      <c r="U842" s="35" t="s">
        <v>107</v>
      </c>
      <c r="V842" s="39" t="s">
        <v>509</v>
      </c>
      <c r="W842" s="39" t="s">
        <v>123</v>
      </c>
      <c r="X842" s="39">
        <v>18.36</v>
      </c>
      <c r="Y842" s="39">
        <v>1.47</v>
      </c>
      <c r="Z842" s="39">
        <v>1.47</v>
      </c>
      <c r="AA842" s="39">
        <v>0</v>
      </c>
      <c r="AB842" s="39"/>
      <c r="AC842" s="39">
        <v>0</v>
      </c>
      <c r="AD842" s="39"/>
      <c r="AE842" s="39">
        <v>0</v>
      </c>
      <c r="AF842" s="39"/>
      <c r="AG842" s="39">
        <v>0</v>
      </c>
      <c r="AH842" s="39"/>
      <c r="AI842" s="41">
        <v>0</v>
      </c>
    </row>
    <row r="843" spans="1:35" x14ac:dyDescent="0.25">
      <c r="A843" s="34" t="s">
        <v>110</v>
      </c>
      <c r="B843" s="35" t="s">
        <v>1795</v>
      </c>
      <c r="C843" s="35" t="s">
        <v>2595</v>
      </c>
      <c r="D843" s="35">
        <v>21032</v>
      </c>
      <c r="E843" s="35" t="s">
        <v>3440</v>
      </c>
      <c r="F843" s="35" t="s">
        <v>3441</v>
      </c>
      <c r="G843" s="35" t="s">
        <v>115</v>
      </c>
      <c r="H843" s="35" t="s">
        <v>160</v>
      </c>
      <c r="I843" s="35" t="s">
        <v>117</v>
      </c>
      <c r="J843" s="35" t="s">
        <v>141</v>
      </c>
      <c r="K843" s="36">
        <v>46066</v>
      </c>
      <c r="L843" s="36">
        <v>46082</v>
      </c>
      <c r="M843" s="36"/>
      <c r="N843" s="36"/>
      <c r="O843" s="36"/>
      <c r="P843" s="36"/>
      <c r="Q843" s="36"/>
      <c r="R843" s="35" t="s">
        <v>187</v>
      </c>
      <c r="S843" s="35" t="s">
        <v>2415</v>
      </c>
      <c r="T843" s="35" t="s">
        <v>2416</v>
      </c>
      <c r="U843" s="35" t="s">
        <v>107</v>
      </c>
      <c r="V843" s="35" t="s">
        <v>509</v>
      </c>
      <c r="W843" s="35" t="s">
        <v>123</v>
      </c>
      <c r="X843" s="35">
        <v>18.36</v>
      </c>
      <c r="Y843" s="35">
        <v>1.47</v>
      </c>
      <c r="Z843" s="35">
        <v>1.47</v>
      </c>
      <c r="AA843" s="35">
        <v>0</v>
      </c>
      <c r="AB843" s="35"/>
      <c r="AC843" s="35">
        <v>0</v>
      </c>
      <c r="AD843" s="35"/>
      <c r="AE843" s="35">
        <v>0</v>
      </c>
      <c r="AF843" s="35"/>
      <c r="AG843" s="35">
        <v>0</v>
      </c>
      <c r="AH843" s="35"/>
      <c r="AI843" s="37">
        <v>0</v>
      </c>
    </row>
    <row r="844" spans="1:35" x14ac:dyDescent="0.25">
      <c r="A844" s="38" t="s">
        <v>110</v>
      </c>
      <c r="B844" s="39" t="s">
        <v>1795</v>
      </c>
      <c r="C844" s="39" t="s">
        <v>2596</v>
      </c>
      <c r="D844" s="39">
        <v>21033</v>
      </c>
      <c r="E844" s="39" t="s">
        <v>3442</v>
      </c>
      <c r="F844" s="39" t="s">
        <v>3443</v>
      </c>
      <c r="G844" s="39" t="s">
        <v>115</v>
      </c>
      <c r="H844" s="39" t="s">
        <v>160</v>
      </c>
      <c r="I844" s="39" t="s">
        <v>117</v>
      </c>
      <c r="J844" s="39" t="s">
        <v>141</v>
      </c>
      <c r="K844" s="40">
        <v>46066</v>
      </c>
      <c r="L844" s="40">
        <v>46082</v>
      </c>
      <c r="M844" s="40"/>
      <c r="N844" s="40"/>
      <c r="O844" s="40"/>
      <c r="P844" s="40"/>
      <c r="Q844" s="40"/>
      <c r="R844" s="39" t="s">
        <v>187</v>
      </c>
      <c r="S844" s="39" t="s">
        <v>2415</v>
      </c>
      <c r="T844" s="39" t="s">
        <v>2416</v>
      </c>
      <c r="U844" s="35" t="s">
        <v>107</v>
      </c>
      <c r="V844" s="39" t="s">
        <v>509</v>
      </c>
      <c r="W844" s="39" t="s">
        <v>123</v>
      </c>
      <c r="X844" s="39">
        <v>18.36</v>
      </c>
      <c r="Y844" s="39">
        <v>1.47</v>
      </c>
      <c r="Z844" s="39">
        <v>1.47</v>
      </c>
      <c r="AA844" s="39">
        <v>0</v>
      </c>
      <c r="AB844" s="39"/>
      <c r="AC844" s="39">
        <v>0</v>
      </c>
      <c r="AD844" s="39"/>
      <c r="AE844" s="39">
        <v>0</v>
      </c>
      <c r="AF844" s="39"/>
      <c r="AG844" s="39">
        <v>0</v>
      </c>
      <c r="AH844" s="39"/>
      <c r="AI844" s="41">
        <v>0</v>
      </c>
    </row>
    <row r="845" spans="1:35" x14ac:dyDescent="0.25">
      <c r="A845" s="34" t="s">
        <v>110</v>
      </c>
      <c r="B845" s="35" t="s">
        <v>1795</v>
      </c>
      <c r="C845" s="35" t="s">
        <v>2597</v>
      </c>
      <c r="D845" s="35">
        <v>21022</v>
      </c>
      <c r="E845" s="35" t="s">
        <v>3444</v>
      </c>
      <c r="F845" s="35" t="s">
        <v>3445</v>
      </c>
      <c r="G845" s="35" t="s">
        <v>115</v>
      </c>
      <c r="H845" s="35" t="s">
        <v>160</v>
      </c>
      <c r="I845" s="35" t="s">
        <v>117</v>
      </c>
      <c r="J845" s="35" t="s">
        <v>141</v>
      </c>
      <c r="K845" s="36">
        <v>46066</v>
      </c>
      <c r="L845" s="36">
        <v>46082</v>
      </c>
      <c r="M845" s="36"/>
      <c r="N845" s="36"/>
      <c r="O845" s="36"/>
      <c r="P845" s="36"/>
      <c r="Q845" s="36"/>
      <c r="R845" s="35" t="s">
        <v>187</v>
      </c>
      <c r="S845" s="35" t="s">
        <v>2415</v>
      </c>
      <c r="T845" s="35" t="s">
        <v>2416</v>
      </c>
      <c r="U845" s="35" t="s">
        <v>107</v>
      </c>
      <c r="V845" s="35" t="s">
        <v>509</v>
      </c>
      <c r="W845" s="35" t="s">
        <v>123</v>
      </c>
      <c r="X845" s="35">
        <v>18.36</v>
      </c>
      <c r="Y845" s="35">
        <v>1.47</v>
      </c>
      <c r="Z845" s="35">
        <v>1.47</v>
      </c>
      <c r="AA845" s="35">
        <v>0</v>
      </c>
      <c r="AB845" s="35"/>
      <c r="AC845" s="35">
        <v>0</v>
      </c>
      <c r="AD845" s="35"/>
      <c r="AE845" s="35">
        <v>0</v>
      </c>
      <c r="AF845" s="35"/>
      <c r="AG845" s="35">
        <v>0</v>
      </c>
      <c r="AH845" s="35"/>
      <c r="AI845" s="37">
        <v>0</v>
      </c>
    </row>
    <row r="846" spans="1:35" x14ac:dyDescent="0.25">
      <c r="A846" s="38" t="s">
        <v>110</v>
      </c>
      <c r="B846" s="39" t="s">
        <v>1795</v>
      </c>
      <c r="C846" s="39" t="s">
        <v>2598</v>
      </c>
      <c r="D846" s="39">
        <v>21019</v>
      </c>
      <c r="E846" s="39" t="s">
        <v>3446</v>
      </c>
      <c r="F846" s="39" t="s">
        <v>3447</v>
      </c>
      <c r="G846" s="39" t="s">
        <v>115</v>
      </c>
      <c r="H846" s="39" t="s">
        <v>160</v>
      </c>
      <c r="I846" s="39" t="s">
        <v>117</v>
      </c>
      <c r="J846" s="39" t="s">
        <v>141</v>
      </c>
      <c r="K846" s="40">
        <v>46066</v>
      </c>
      <c r="L846" s="40">
        <v>46082</v>
      </c>
      <c r="M846" s="40"/>
      <c r="N846" s="40"/>
      <c r="O846" s="40"/>
      <c r="P846" s="40"/>
      <c r="Q846" s="40"/>
      <c r="R846" s="39" t="s">
        <v>187</v>
      </c>
      <c r="S846" s="39" t="s">
        <v>2415</v>
      </c>
      <c r="T846" s="39" t="s">
        <v>2416</v>
      </c>
      <c r="U846" s="35" t="s">
        <v>107</v>
      </c>
      <c r="V846" s="39" t="s">
        <v>509</v>
      </c>
      <c r="W846" s="39" t="s">
        <v>123</v>
      </c>
      <c r="X846" s="39">
        <v>18.36</v>
      </c>
      <c r="Y846" s="39">
        <v>1.47</v>
      </c>
      <c r="Z846" s="39">
        <v>1.47</v>
      </c>
      <c r="AA846" s="39">
        <v>0</v>
      </c>
      <c r="AB846" s="39"/>
      <c r="AC846" s="39">
        <v>0</v>
      </c>
      <c r="AD846" s="39"/>
      <c r="AE846" s="39">
        <v>0</v>
      </c>
      <c r="AF846" s="39"/>
      <c r="AG846" s="39">
        <v>0</v>
      </c>
      <c r="AH846" s="39"/>
      <c r="AI846" s="41">
        <v>0</v>
      </c>
    </row>
    <row r="847" spans="1:35" x14ac:dyDescent="0.25">
      <c r="A847" s="34" t="s">
        <v>110</v>
      </c>
      <c r="B847" s="35" t="s">
        <v>1795</v>
      </c>
      <c r="C847" s="35" t="s">
        <v>2599</v>
      </c>
      <c r="D847" s="35">
        <v>21024</v>
      </c>
      <c r="E847" s="35" t="s">
        <v>3448</v>
      </c>
      <c r="F847" s="35" t="s">
        <v>3449</v>
      </c>
      <c r="G847" s="35" t="s">
        <v>115</v>
      </c>
      <c r="H847" s="35" t="s">
        <v>160</v>
      </c>
      <c r="I847" s="35" t="s">
        <v>117</v>
      </c>
      <c r="J847" s="35" t="s">
        <v>141</v>
      </c>
      <c r="K847" s="36">
        <v>46066</v>
      </c>
      <c r="L847" s="36">
        <v>46082</v>
      </c>
      <c r="M847" s="36"/>
      <c r="N847" s="36"/>
      <c r="O847" s="36"/>
      <c r="P847" s="36"/>
      <c r="Q847" s="36"/>
      <c r="R847" s="35" t="s">
        <v>187</v>
      </c>
      <c r="S847" s="35" t="s">
        <v>2415</v>
      </c>
      <c r="T847" s="35" t="s">
        <v>2416</v>
      </c>
      <c r="U847" s="35" t="s">
        <v>107</v>
      </c>
      <c r="V847" s="35" t="s">
        <v>509</v>
      </c>
      <c r="W847" s="35" t="s">
        <v>123</v>
      </c>
      <c r="X847" s="35">
        <v>18.36</v>
      </c>
      <c r="Y847" s="35">
        <v>1.47</v>
      </c>
      <c r="Z847" s="35">
        <v>1.47</v>
      </c>
      <c r="AA847" s="35">
        <v>0</v>
      </c>
      <c r="AB847" s="35"/>
      <c r="AC847" s="35">
        <v>0</v>
      </c>
      <c r="AD847" s="35"/>
      <c r="AE847" s="35">
        <v>0</v>
      </c>
      <c r="AF847" s="35"/>
      <c r="AG847" s="35">
        <v>0</v>
      </c>
      <c r="AH847" s="35"/>
      <c r="AI847" s="37">
        <v>0</v>
      </c>
    </row>
    <row r="848" spans="1:35" x14ac:dyDescent="0.25">
      <c r="A848" s="38" t="s">
        <v>110</v>
      </c>
      <c r="B848" s="39" t="s">
        <v>1795</v>
      </c>
      <c r="C848" s="39" t="s">
        <v>2600</v>
      </c>
      <c r="D848" s="39">
        <v>21021</v>
      </c>
      <c r="E848" s="39" t="s">
        <v>3450</v>
      </c>
      <c r="F848" s="39" t="s">
        <v>3451</v>
      </c>
      <c r="G848" s="39" t="s">
        <v>115</v>
      </c>
      <c r="H848" s="39" t="s">
        <v>160</v>
      </c>
      <c r="I848" s="39" t="s">
        <v>117</v>
      </c>
      <c r="J848" s="39" t="s">
        <v>141</v>
      </c>
      <c r="K848" s="40">
        <v>46066</v>
      </c>
      <c r="L848" s="40">
        <v>46082</v>
      </c>
      <c r="M848" s="40"/>
      <c r="N848" s="40"/>
      <c r="O848" s="40"/>
      <c r="P848" s="40"/>
      <c r="Q848" s="40"/>
      <c r="R848" s="39" t="s">
        <v>187</v>
      </c>
      <c r="S848" s="39" t="s">
        <v>2415</v>
      </c>
      <c r="T848" s="39" t="s">
        <v>2416</v>
      </c>
      <c r="U848" s="35" t="s">
        <v>107</v>
      </c>
      <c r="V848" s="39" t="s">
        <v>509</v>
      </c>
      <c r="W848" s="39" t="s">
        <v>123</v>
      </c>
      <c r="X848" s="39">
        <v>18.36</v>
      </c>
      <c r="Y848" s="39">
        <v>1.47</v>
      </c>
      <c r="Z848" s="39">
        <v>1.47</v>
      </c>
      <c r="AA848" s="39">
        <v>0</v>
      </c>
      <c r="AB848" s="39"/>
      <c r="AC848" s="39">
        <v>0</v>
      </c>
      <c r="AD848" s="39"/>
      <c r="AE848" s="39">
        <v>0</v>
      </c>
      <c r="AF848" s="39"/>
      <c r="AG848" s="39">
        <v>0</v>
      </c>
      <c r="AH848" s="39"/>
      <c r="AI848" s="41">
        <v>0</v>
      </c>
    </row>
    <row r="849" spans="1:35" x14ac:dyDescent="0.25">
      <c r="A849" s="34" t="s">
        <v>110</v>
      </c>
      <c r="B849" s="35" t="s">
        <v>1795</v>
      </c>
      <c r="C849" s="35" t="s">
        <v>2601</v>
      </c>
      <c r="D849" s="35">
        <v>21020</v>
      </c>
      <c r="E849" s="35" t="s">
        <v>3452</v>
      </c>
      <c r="F849" s="35" t="s">
        <v>3453</v>
      </c>
      <c r="G849" s="35" t="s">
        <v>115</v>
      </c>
      <c r="H849" s="35" t="s">
        <v>160</v>
      </c>
      <c r="I849" s="35" t="s">
        <v>117</v>
      </c>
      <c r="J849" s="35" t="s">
        <v>141</v>
      </c>
      <c r="K849" s="36">
        <v>46066</v>
      </c>
      <c r="L849" s="36">
        <v>46082</v>
      </c>
      <c r="M849" s="36"/>
      <c r="N849" s="36"/>
      <c r="O849" s="36"/>
      <c r="P849" s="36"/>
      <c r="Q849" s="36"/>
      <c r="R849" s="35" t="s">
        <v>187</v>
      </c>
      <c r="S849" s="35" t="s">
        <v>2415</v>
      </c>
      <c r="T849" s="35" t="s">
        <v>2416</v>
      </c>
      <c r="U849" s="35" t="s">
        <v>107</v>
      </c>
      <c r="V849" s="35" t="s">
        <v>509</v>
      </c>
      <c r="W849" s="35" t="s">
        <v>123</v>
      </c>
      <c r="X849" s="35">
        <v>18.36</v>
      </c>
      <c r="Y849" s="35">
        <v>1.47</v>
      </c>
      <c r="Z849" s="35">
        <v>1.47</v>
      </c>
      <c r="AA849" s="35">
        <v>0</v>
      </c>
      <c r="AB849" s="35"/>
      <c r="AC849" s="35">
        <v>0</v>
      </c>
      <c r="AD849" s="35"/>
      <c r="AE849" s="35">
        <v>0</v>
      </c>
      <c r="AF849" s="35"/>
      <c r="AG849" s="35">
        <v>0</v>
      </c>
      <c r="AH849" s="35"/>
      <c r="AI849" s="37">
        <v>0</v>
      </c>
    </row>
    <row r="850" spans="1:35" x14ac:dyDescent="0.25">
      <c r="A850" s="38" t="s">
        <v>110</v>
      </c>
      <c r="B850" s="39" t="s">
        <v>1795</v>
      </c>
      <c r="C850" s="39" t="s">
        <v>2602</v>
      </c>
      <c r="D850" s="39">
        <v>21029</v>
      </c>
      <c r="E850" s="39" t="s">
        <v>3454</v>
      </c>
      <c r="F850" s="39" t="s">
        <v>3455</v>
      </c>
      <c r="G850" s="39" t="s">
        <v>115</v>
      </c>
      <c r="H850" s="39" t="s">
        <v>160</v>
      </c>
      <c r="I850" s="39" t="s">
        <v>117</v>
      </c>
      <c r="J850" s="39" t="s">
        <v>141</v>
      </c>
      <c r="K850" s="40">
        <v>46066</v>
      </c>
      <c r="L850" s="40">
        <v>46082</v>
      </c>
      <c r="M850" s="40"/>
      <c r="N850" s="40"/>
      <c r="O850" s="40"/>
      <c r="P850" s="40"/>
      <c r="Q850" s="40"/>
      <c r="R850" s="39" t="s">
        <v>187</v>
      </c>
      <c r="S850" s="39" t="s">
        <v>2415</v>
      </c>
      <c r="T850" s="39" t="s">
        <v>2416</v>
      </c>
      <c r="U850" s="35" t="s">
        <v>107</v>
      </c>
      <c r="V850" s="39" t="s">
        <v>509</v>
      </c>
      <c r="W850" s="39" t="s">
        <v>123</v>
      </c>
      <c r="X850" s="39">
        <v>18.36</v>
      </c>
      <c r="Y850" s="39">
        <v>1.47</v>
      </c>
      <c r="Z850" s="39">
        <v>1.47</v>
      </c>
      <c r="AA850" s="39">
        <v>0</v>
      </c>
      <c r="AB850" s="39"/>
      <c r="AC850" s="39">
        <v>0</v>
      </c>
      <c r="AD850" s="39"/>
      <c r="AE850" s="39">
        <v>0</v>
      </c>
      <c r="AF850" s="39"/>
      <c r="AG850" s="39">
        <v>0</v>
      </c>
      <c r="AH850" s="39"/>
      <c r="AI850" s="41">
        <v>0</v>
      </c>
    </row>
    <row r="851" spans="1:35" x14ac:dyDescent="0.25">
      <c r="A851" s="34" t="s">
        <v>110</v>
      </c>
      <c r="B851" s="35" t="s">
        <v>1795</v>
      </c>
      <c r="C851" s="35" t="s">
        <v>2603</v>
      </c>
      <c r="D851" s="35">
        <v>21026</v>
      </c>
      <c r="E851" s="35" t="s">
        <v>3456</v>
      </c>
      <c r="F851" s="35" t="s">
        <v>3457</v>
      </c>
      <c r="G851" s="35" t="s">
        <v>115</v>
      </c>
      <c r="H851" s="35" t="s">
        <v>160</v>
      </c>
      <c r="I851" s="35" t="s">
        <v>117</v>
      </c>
      <c r="J851" s="35" t="s">
        <v>141</v>
      </c>
      <c r="K851" s="36">
        <v>46066</v>
      </c>
      <c r="L851" s="36">
        <v>46082</v>
      </c>
      <c r="M851" s="36"/>
      <c r="N851" s="36"/>
      <c r="O851" s="36"/>
      <c r="P851" s="36"/>
      <c r="Q851" s="36"/>
      <c r="R851" s="35" t="s">
        <v>187</v>
      </c>
      <c r="S851" s="35" t="s">
        <v>2415</v>
      </c>
      <c r="T851" s="35" t="s">
        <v>2416</v>
      </c>
      <c r="U851" s="35" t="s">
        <v>107</v>
      </c>
      <c r="V851" s="35" t="s">
        <v>509</v>
      </c>
      <c r="W851" s="35" t="s">
        <v>123</v>
      </c>
      <c r="X851" s="35">
        <v>18.36</v>
      </c>
      <c r="Y851" s="35">
        <v>1.47</v>
      </c>
      <c r="Z851" s="35">
        <v>1.47</v>
      </c>
      <c r="AA851" s="35">
        <v>0</v>
      </c>
      <c r="AB851" s="35"/>
      <c r="AC851" s="35">
        <v>0</v>
      </c>
      <c r="AD851" s="35"/>
      <c r="AE851" s="35">
        <v>0</v>
      </c>
      <c r="AF851" s="35"/>
      <c r="AG851" s="35">
        <v>0</v>
      </c>
      <c r="AH851" s="35"/>
      <c r="AI851" s="37">
        <v>0</v>
      </c>
    </row>
    <row r="852" spans="1:35" x14ac:dyDescent="0.25">
      <c r="A852" s="38" t="s">
        <v>110</v>
      </c>
      <c r="B852" s="39" t="s">
        <v>1795</v>
      </c>
      <c r="C852" s="39" t="s">
        <v>2604</v>
      </c>
      <c r="D852" s="39">
        <v>21028</v>
      </c>
      <c r="E852" s="39" t="s">
        <v>3458</v>
      </c>
      <c r="F852" s="39" t="s">
        <v>3459</v>
      </c>
      <c r="G852" s="39" t="s">
        <v>115</v>
      </c>
      <c r="H852" s="39" t="s">
        <v>160</v>
      </c>
      <c r="I852" s="39" t="s">
        <v>117</v>
      </c>
      <c r="J852" s="39" t="s">
        <v>141</v>
      </c>
      <c r="K852" s="40">
        <v>46066</v>
      </c>
      <c r="L852" s="40">
        <v>46082</v>
      </c>
      <c r="M852" s="40"/>
      <c r="N852" s="40"/>
      <c r="O852" s="40"/>
      <c r="P852" s="40"/>
      <c r="Q852" s="40"/>
      <c r="R852" s="39" t="s">
        <v>187</v>
      </c>
      <c r="S852" s="39" t="s">
        <v>2415</v>
      </c>
      <c r="T852" s="39" t="s">
        <v>2416</v>
      </c>
      <c r="U852" s="35" t="s">
        <v>107</v>
      </c>
      <c r="V852" s="39" t="s">
        <v>509</v>
      </c>
      <c r="W852" s="39" t="s">
        <v>123</v>
      </c>
      <c r="X852" s="39">
        <v>18.36</v>
      </c>
      <c r="Y852" s="39">
        <v>1.47</v>
      </c>
      <c r="Z852" s="39">
        <v>1.47</v>
      </c>
      <c r="AA852" s="39">
        <v>0</v>
      </c>
      <c r="AB852" s="39"/>
      <c r="AC852" s="39">
        <v>0</v>
      </c>
      <c r="AD852" s="39"/>
      <c r="AE852" s="39">
        <v>0</v>
      </c>
      <c r="AF852" s="39"/>
      <c r="AG852" s="39">
        <v>0</v>
      </c>
      <c r="AH852" s="39"/>
      <c r="AI852" s="41">
        <v>0</v>
      </c>
    </row>
    <row r="853" spans="1:35" x14ac:dyDescent="0.25">
      <c r="A853" s="34" t="s">
        <v>110</v>
      </c>
      <c r="B853" s="35" t="s">
        <v>1795</v>
      </c>
      <c r="C853" s="35" t="s">
        <v>2605</v>
      </c>
      <c r="D853" s="35">
        <v>21027</v>
      </c>
      <c r="E853" s="35" t="s">
        <v>3460</v>
      </c>
      <c r="F853" s="35" t="s">
        <v>3461</v>
      </c>
      <c r="G853" s="35" t="s">
        <v>115</v>
      </c>
      <c r="H853" s="35" t="s">
        <v>160</v>
      </c>
      <c r="I853" s="35" t="s">
        <v>117</v>
      </c>
      <c r="J853" s="35" t="s">
        <v>141</v>
      </c>
      <c r="K853" s="36">
        <v>46066</v>
      </c>
      <c r="L853" s="36">
        <v>46082</v>
      </c>
      <c r="M853" s="36"/>
      <c r="N853" s="36"/>
      <c r="O853" s="36"/>
      <c r="P853" s="36"/>
      <c r="Q853" s="36"/>
      <c r="R853" s="35" t="s">
        <v>187</v>
      </c>
      <c r="S853" s="35" t="s">
        <v>2415</v>
      </c>
      <c r="T853" s="35" t="s">
        <v>2416</v>
      </c>
      <c r="U853" s="35" t="s">
        <v>107</v>
      </c>
      <c r="V853" s="35" t="s">
        <v>509</v>
      </c>
      <c r="W853" s="35" t="s">
        <v>123</v>
      </c>
      <c r="X853" s="35">
        <v>18.36</v>
      </c>
      <c r="Y853" s="35">
        <v>1.47</v>
      </c>
      <c r="Z853" s="35">
        <v>1.47</v>
      </c>
      <c r="AA853" s="35">
        <v>0</v>
      </c>
      <c r="AB853" s="35"/>
      <c r="AC853" s="35">
        <v>0</v>
      </c>
      <c r="AD853" s="35"/>
      <c r="AE853" s="35">
        <v>0</v>
      </c>
      <c r="AF853" s="35"/>
      <c r="AG853" s="35">
        <v>0</v>
      </c>
      <c r="AH853" s="35"/>
      <c r="AI853" s="37">
        <v>0</v>
      </c>
    </row>
    <row r="854" spans="1:35" x14ac:dyDescent="0.25">
      <c r="A854" s="38" t="s">
        <v>110</v>
      </c>
      <c r="B854" s="39" t="s">
        <v>1795</v>
      </c>
      <c r="C854" s="39" t="s">
        <v>2606</v>
      </c>
      <c r="D854" s="39">
        <v>21034</v>
      </c>
      <c r="E854" s="39" t="s">
        <v>3462</v>
      </c>
      <c r="F854" s="39" t="s">
        <v>3463</v>
      </c>
      <c r="G854" s="39" t="s">
        <v>115</v>
      </c>
      <c r="H854" s="39" t="s">
        <v>160</v>
      </c>
      <c r="I854" s="39" t="s">
        <v>117</v>
      </c>
      <c r="J854" s="39" t="s">
        <v>141</v>
      </c>
      <c r="K854" s="40">
        <v>46066</v>
      </c>
      <c r="L854" s="40">
        <v>46082</v>
      </c>
      <c r="M854" s="40"/>
      <c r="N854" s="40"/>
      <c r="O854" s="40"/>
      <c r="P854" s="40"/>
      <c r="Q854" s="40"/>
      <c r="R854" s="39" t="s">
        <v>187</v>
      </c>
      <c r="S854" s="39" t="s">
        <v>2545</v>
      </c>
      <c r="T854" s="39" t="s">
        <v>2546</v>
      </c>
      <c r="U854" s="35" t="s">
        <v>107</v>
      </c>
      <c r="V854" s="39" t="s">
        <v>509</v>
      </c>
      <c r="W854" s="39" t="s">
        <v>123</v>
      </c>
      <c r="X854" s="39">
        <v>130.91</v>
      </c>
      <c r="Y854" s="39">
        <v>10.47</v>
      </c>
      <c r="Z854" s="39">
        <v>10.47</v>
      </c>
      <c r="AA854" s="39">
        <v>0</v>
      </c>
      <c r="AB854" s="39"/>
      <c r="AC854" s="39">
        <v>0</v>
      </c>
      <c r="AD854" s="39"/>
      <c r="AE854" s="39">
        <v>0</v>
      </c>
      <c r="AF854" s="39"/>
      <c r="AG854" s="39">
        <v>0</v>
      </c>
      <c r="AH854" s="39"/>
      <c r="AI854" s="41">
        <v>0</v>
      </c>
    </row>
    <row r="855" spans="1:35" x14ac:dyDescent="0.25">
      <c r="A855" s="34" t="s">
        <v>110</v>
      </c>
      <c r="B855" s="35" t="s">
        <v>1795</v>
      </c>
      <c r="C855" s="35" t="s">
        <v>2607</v>
      </c>
      <c r="D855" s="35">
        <v>21035</v>
      </c>
      <c r="E855" s="35" t="s">
        <v>3464</v>
      </c>
      <c r="F855" s="35" t="s">
        <v>3465</v>
      </c>
      <c r="G855" s="35" t="s">
        <v>115</v>
      </c>
      <c r="H855" s="35" t="s">
        <v>160</v>
      </c>
      <c r="I855" s="35" t="s">
        <v>117</v>
      </c>
      <c r="J855" s="35" t="s">
        <v>141</v>
      </c>
      <c r="K855" s="36">
        <v>46066</v>
      </c>
      <c r="L855" s="36">
        <v>46082</v>
      </c>
      <c r="M855" s="36"/>
      <c r="N855" s="36"/>
      <c r="O855" s="36"/>
      <c r="P855" s="36"/>
      <c r="Q855" s="36"/>
      <c r="R855" s="35" t="s">
        <v>187</v>
      </c>
      <c r="S855" s="35" t="s">
        <v>2545</v>
      </c>
      <c r="T855" s="35" t="s">
        <v>2546</v>
      </c>
      <c r="U855" s="35" t="s">
        <v>107</v>
      </c>
      <c r="V855" s="35" t="s">
        <v>509</v>
      </c>
      <c r="W855" s="35" t="s">
        <v>123</v>
      </c>
      <c r="X855" s="35">
        <v>130.91</v>
      </c>
      <c r="Y855" s="35">
        <v>10.47</v>
      </c>
      <c r="Z855" s="35">
        <v>10.47</v>
      </c>
      <c r="AA855" s="35">
        <v>0</v>
      </c>
      <c r="AB855" s="35"/>
      <c r="AC855" s="35">
        <v>0</v>
      </c>
      <c r="AD855" s="35"/>
      <c r="AE855" s="35">
        <v>0</v>
      </c>
      <c r="AF855" s="35"/>
      <c r="AG855" s="35">
        <v>0</v>
      </c>
      <c r="AH855" s="35"/>
      <c r="AI855" s="37">
        <v>0</v>
      </c>
    </row>
    <row r="856" spans="1:35" x14ac:dyDescent="0.25">
      <c r="A856" s="38" t="s">
        <v>110</v>
      </c>
      <c r="B856" s="39" t="s">
        <v>1795</v>
      </c>
      <c r="C856" s="39" t="s">
        <v>2608</v>
      </c>
      <c r="D856" s="39">
        <v>21036</v>
      </c>
      <c r="E856" s="39" t="s">
        <v>3466</v>
      </c>
      <c r="F856" s="39" t="s">
        <v>3467</v>
      </c>
      <c r="G856" s="39" t="s">
        <v>115</v>
      </c>
      <c r="H856" s="39" t="s">
        <v>160</v>
      </c>
      <c r="I856" s="39" t="s">
        <v>117</v>
      </c>
      <c r="J856" s="39" t="s">
        <v>141</v>
      </c>
      <c r="K856" s="40">
        <v>46066</v>
      </c>
      <c r="L856" s="40">
        <v>46082</v>
      </c>
      <c r="M856" s="40"/>
      <c r="N856" s="40"/>
      <c r="O856" s="40"/>
      <c r="P856" s="40"/>
      <c r="Q856" s="40"/>
      <c r="R856" s="39" t="s">
        <v>187</v>
      </c>
      <c r="S856" s="39" t="s">
        <v>2586</v>
      </c>
      <c r="T856" s="39" t="s">
        <v>2586</v>
      </c>
      <c r="U856" s="35" t="s">
        <v>107</v>
      </c>
      <c r="V856" s="39" t="s">
        <v>509</v>
      </c>
      <c r="W856" s="39" t="s">
        <v>123</v>
      </c>
      <c r="X856" s="39">
        <v>556.23</v>
      </c>
      <c r="Y856" s="39">
        <v>44.51</v>
      </c>
      <c r="Z856" s="39">
        <v>44.51</v>
      </c>
      <c r="AA856" s="39">
        <v>0</v>
      </c>
      <c r="AB856" s="39"/>
      <c r="AC856" s="39">
        <v>0</v>
      </c>
      <c r="AD856" s="39"/>
      <c r="AE856" s="39">
        <v>0</v>
      </c>
      <c r="AF856" s="39"/>
      <c r="AG856" s="39">
        <v>0</v>
      </c>
      <c r="AH856" s="39"/>
      <c r="AI856" s="41">
        <v>0</v>
      </c>
    </row>
    <row r="857" spans="1:35" x14ac:dyDescent="0.25">
      <c r="A857" s="34" t="s">
        <v>110</v>
      </c>
      <c r="B857" s="35" t="s">
        <v>1795</v>
      </c>
      <c r="C857" s="35" t="s">
        <v>2609</v>
      </c>
      <c r="D857" s="35">
        <v>21016</v>
      </c>
      <c r="E857" s="35" t="s">
        <v>3468</v>
      </c>
      <c r="F857" s="35" t="s">
        <v>3469</v>
      </c>
      <c r="G857" s="35" t="s">
        <v>115</v>
      </c>
      <c r="H857" s="35" t="s">
        <v>160</v>
      </c>
      <c r="I857" s="35" t="s">
        <v>117</v>
      </c>
      <c r="J857" s="35" t="s">
        <v>141</v>
      </c>
      <c r="K857" s="36">
        <v>46066</v>
      </c>
      <c r="L857" s="36">
        <v>46082</v>
      </c>
      <c r="M857" s="36"/>
      <c r="N857" s="36"/>
      <c r="O857" s="36"/>
      <c r="P857" s="36"/>
      <c r="Q857" s="36"/>
      <c r="R857" s="35" t="s">
        <v>187</v>
      </c>
      <c r="S857" s="35" t="s">
        <v>1460</v>
      </c>
      <c r="T857" s="35" t="s">
        <v>923</v>
      </c>
      <c r="U857" s="35" t="s">
        <v>81</v>
      </c>
      <c r="V857" s="35" t="s">
        <v>509</v>
      </c>
      <c r="W857" s="35" t="s">
        <v>123</v>
      </c>
      <c r="X857" s="35">
        <v>86.42</v>
      </c>
      <c r="Y857" s="35">
        <v>6.92</v>
      </c>
      <c r="Z857" s="35">
        <v>6.92</v>
      </c>
      <c r="AA857" s="35">
        <v>0</v>
      </c>
      <c r="AB857" s="35"/>
      <c r="AC857" s="35">
        <v>0</v>
      </c>
      <c r="AD857" s="35"/>
      <c r="AE857" s="35">
        <v>0</v>
      </c>
      <c r="AF857" s="35"/>
      <c r="AG857" s="35">
        <v>0</v>
      </c>
      <c r="AH857" s="35"/>
      <c r="AI857" s="37">
        <v>0</v>
      </c>
    </row>
    <row r="858" spans="1:35" x14ac:dyDescent="0.25">
      <c r="A858" s="38" t="s">
        <v>110</v>
      </c>
      <c r="B858" s="39" t="s">
        <v>1795</v>
      </c>
      <c r="C858" s="39" t="s">
        <v>2610</v>
      </c>
      <c r="D858" s="39">
        <v>21013</v>
      </c>
      <c r="E858" s="39" t="s">
        <v>3470</v>
      </c>
      <c r="F858" s="39" t="s">
        <v>3471</v>
      </c>
      <c r="G858" s="39" t="s">
        <v>115</v>
      </c>
      <c r="H858" s="39" t="s">
        <v>160</v>
      </c>
      <c r="I858" s="39" t="s">
        <v>117</v>
      </c>
      <c r="J858" s="39" t="s">
        <v>141</v>
      </c>
      <c r="K858" s="40">
        <v>46066</v>
      </c>
      <c r="L858" s="40">
        <v>46082</v>
      </c>
      <c r="M858" s="40"/>
      <c r="N858" s="40"/>
      <c r="O858" s="40"/>
      <c r="P858" s="40"/>
      <c r="Q858" s="40"/>
      <c r="R858" s="39" t="s">
        <v>187</v>
      </c>
      <c r="S858" s="39" t="s">
        <v>1460</v>
      </c>
      <c r="T858" s="39" t="s">
        <v>923</v>
      </c>
      <c r="U858" s="35" t="s">
        <v>81</v>
      </c>
      <c r="V858" s="39" t="s">
        <v>509</v>
      </c>
      <c r="W858" s="39" t="s">
        <v>123</v>
      </c>
      <c r="X858" s="39">
        <v>86.42</v>
      </c>
      <c r="Y858" s="39">
        <v>6.92</v>
      </c>
      <c r="Z858" s="39">
        <v>6.92</v>
      </c>
      <c r="AA858" s="39">
        <v>0</v>
      </c>
      <c r="AB858" s="39"/>
      <c r="AC858" s="39">
        <v>0</v>
      </c>
      <c r="AD858" s="39"/>
      <c r="AE858" s="39">
        <v>0</v>
      </c>
      <c r="AF858" s="39"/>
      <c r="AG858" s="39">
        <v>0</v>
      </c>
      <c r="AH858" s="39"/>
      <c r="AI858" s="41">
        <v>0</v>
      </c>
    </row>
    <row r="859" spans="1:35" x14ac:dyDescent="0.25">
      <c r="A859" s="34" t="s">
        <v>110</v>
      </c>
      <c r="B859" s="35" t="s">
        <v>1795</v>
      </c>
      <c r="C859" s="35" t="s">
        <v>2611</v>
      </c>
      <c r="D859" s="35">
        <v>21011</v>
      </c>
      <c r="E859" s="35" t="s">
        <v>3472</v>
      </c>
      <c r="F859" s="35" t="s">
        <v>3473</v>
      </c>
      <c r="G859" s="35" t="s">
        <v>115</v>
      </c>
      <c r="H859" s="35" t="s">
        <v>160</v>
      </c>
      <c r="I859" s="35" t="s">
        <v>117</v>
      </c>
      <c r="J859" s="35" t="s">
        <v>141</v>
      </c>
      <c r="K859" s="36">
        <v>46066</v>
      </c>
      <c r="L859" s="36">
        <v>46082</v>
      </c>
      <c r="M859" s="36"/>
      <c r="N859" s="36"/>
      <c r="O859" s="36"/>
      <c r="P859" s="36"/>
      <c r="Q859" s="36"/>
      <c r="R859" s="35" t="s">
        <v>187</v>
      </c>
      <c r="S859" s="35" t="s">
        <v>1460</v>
      </c>
      <c r="T859" s="35" t="s">
        <v>923</v>
      </c>
      <c r="U859" s="35" t="s">
        <v>81</v>
      </c>
      <c r="V859" s="35" t="s">
        <v>509</v>
      </c>
      <c r="W859" s="35" t="s">
        <v>123</v>
      </c>
      <c r="X859" s="35">
        <v>151.62</v>
      </c>
      <c r="Y859" s="35">
        <v>12.14</v>
      </c>
      <c r="Z859" s="35">
        <v>12.14</v>
      </c>
      <c r="AA859" s="35">
        <v>0</v>
      </c>
      <c r="AB859" s="35"/>
      <c r="AC859" s="35">
        <v>0</v>
      </c>
      <c r="AD859" s="35"/>
      <c r="AE859" s="35">
        <v>0</v>
      </c>
      <c r="AF859" s="35"/>
      <c r="AG859" s="35">
        <v>0</v>
      </c>
      <c r="AH859" s="35"/>
      <c r="AI859" s="37">
        <v>0</v>
      </c>
    </row>
    <row r="860" spans="1:35" x14ac:dyDescent="0.25">
      <c r="A860" s="38" t="s">
        <v>110</v>
      </c>
      <c r="B860" s="39" t="s">
        <v>1795</v>
      </c>
      <c r="C860" s="39" t="s">
        <v>2612</v>
      </c>
      <c r="D860" s="39">
        <v>21012</v>
      </c>
      <c r="E860" s="39" t="s">
        <v>3474</v>
      </c>
      <c r="F860" s="39" t="s">
        <v>3475</v>
      </c>
      <c r="G860" s="39" t="s">
        <v>115</v>
      </c>
      <c r="H860" s="39" t="s">
        <v>160</v>
      </c>
      <c r="I860" s="39" t="s">
        <v>117</v>
      </c>
      <c r="J860" s="39" t="s">
        <v>141</v>
      </c>
      <c r="K860" s="40">
        <v>46066</v>
      </c>
      <c r="L860" s="40">
        <v>46082</v>
      </c>
      <c r="M860" s="40"/>
      <c r="N860" s="40"/>
      <c r="O860" s="40"/>
      <c r="P860" s="40"/>
      <c r="Q860" s="40"/>
      <c r="R860" s="39" t="s">
        <v>187</v>
      </c>
      <c r="S860" s="39" t="s">
        <v>1460</v>
      </c>
      <c r="T860" s="39" t="s">
        <v>923</v>
      </c>
      <c r="U860" s="35" t="s">
        <v>81</v>
      </c>
      <c r="V860" s="39" t="s">
        <v>509</v>
      </c>
      <c r="W860" s="39" t="s">
        <v>123</v>
      </c>
      <c r="X860" s="39">
        <v>151.62</v>
      </c>
      <c r="Y860" s="39">
        <v>12.14</v>
      </c>
      <c r="Z860" s="39">
        <v>12.14</v>
      </c>
      <c r="AA860" s="39">
        <v>0</v>
      </c>
      <c r="AB860" s="39"/>
      <c r="AC860" s="39">
        <v>0</v>
      </c>
      <c r="AD860" s="39"/>
      <c r="AE860" s="39">
        <v>0</v>
      </c>
      <c r="AF860" s="39"/>
      <c r="AG860" s="39">
        <v>0</v>
      </c>
      <c r="AH860" s="39"/>
      <c r="AI860" s="41">
        <v>0</v>
      </c>
    </row>
    <row r="861" spans="1:35" x14ac:dyDescent="0.25">
      <c r="A861" s="34" t="s">
        <v>110</v>
      </c>
      <c r="B861" s="35" t="s">
        <v>2613</v>
      </c>
      <c r="C861" s="35" t="s">
        <v>2614</v>
      </c>
      <c r="D861" s="35">
        <v>21014</v>
      </c>
      <c r="E861" s="35" t="s">
        <v>3476</v>
      </c>
      <c r="F861" s="35" t="s">
        <v>3477</v>
      </c>
      <c r="G861" s="35" t="s">
        <v>115</v>
      </c>
      <c r="H861" s="35" t="s">
        <v>160</v>
      </c>
      <c r="I861" s="35" t="s">
        <v>117</v>
      </c>
      <c r="J861" s="35" t="s">
        <v>118</v>
      </c>
      <c r="K861" s="36">
        <v>46066</v>
      </c>
      <c r="L861" s="36">
        <v>46082</v>
      </c>
      <c r="M861" s="36">
        <v>46083</v>
      </c>
      <c r="N861" s="36"/>
      <c r="O861" s="36"/>
      <c r="P861" s="36"/>
      <c r="Q861" s="36"/>
      <c r="R861" s="35" t="s">
        <v>187</v>
      </c>
      <c r="S861" s="35" t="s">
        <v>1460</v>
      </c>
      <c r="T861" s="35" t="s">
        <v>923</v>
      </c>
      <c r="U861" s="35" t="s">
        <v>81</v>
      </c>
      <c r="V861" s="35" t="s">
        <v>509</v>
      </c>
      <c r="W861" s="35" t="s">
        <v>123</v>
      </c>
      <c r="X861" s="35">
        <v>114.34</v>
      </c>
      <c r="Y861" s="35">
        <v>9.16</v>
      </c>
      <c r="Z861" s="35">
        <v>9.16</v>
      </c>
      <c r="AA861" s="35">
        <v>0</v>
      </c>
      <c r="AB861" s="35"/>
      <c r="AC861" s="35">
        <v>0</v>
      </c>
      <c r="AD861" s="35"/>
      <c r="AE861" s="35">
        <v>0</v>
      </c>
      <c r="AF861" s="35"/>
      <c r="AG861" s="35">
        <v>0</v>
      </c>
      <c r="AH861" s="35"/>
      <c r="AI861" s="37">
        <v>0</v>
      </c>
    </row>
    <row r="862" spans="1:35" x14ac:dyDescent="0.25">
      <c r="A862" s="38" t="s">
        <v>110</v>
      </c>
      <c r="B862" s="39" t="s">
        <v>993</v>
      </c>
      <c r="C862" s="39" t="s">
        <v>2615</v>
      </c>
      <c r="D862" s="39">
        <v>21216</v>
      </c>
      <c r="E862" s="39" t="s">
        <v>3478</v>
      </c>
      <c r="F862" s="39" t="s">
        <v>3479</v>
      </c>
      <c r="G862" s="39" t="s">
        <v>115</v>
      </c>
      <c r="H862" s="39" t="s">
        <v>160</v>
      </c>
      <c r="I862" s="39" t="s">
        <v>117</v>
      </c>
      <c r="J862" s="39" t="s">
        <v>141</v>
      </c>
      <c r="K862" s="40">
        <v>46066</v>
      </c>
      <c r="L862" s="40">
        <v>46082</v>
      </c>
      <c r="M862" s="40"/>
      <c r="N862" s="40"/>
      <c r="O862" s="40"/>
      <c r="P862" s="40"/>
      <c r="Q862" s="40"/>
      <c r="R862" s="39" t="s">
        <v>187</v>
      </c>
      <c r="S862" s="39" t="s">
        <v>2545</v>
      </c>
      <c r="T862" s="39" t="s">
        <v>2546</v>
      </c>
      <c r="U862" s="35" t="s">
        <v>107</v>
      </c>
      <c r="V862" s="39" t="s">
        <v>509</v>
      </c>
      <c r="W862" s="39" t="s">
        <v>123</v>
      </c>
      <c r="X862" s="39">
        <v>93.38</v>
      </c>
      <c r="Y862" s="39">
        <v>7.47</v>
      </c>
      <c r="Z862" s="39">
        <v>7.47</v>
      </c>
      <c r="AA862" s="39">
        <v>0</v>
      </c>
      <c r="AB862" s="39"/>
      <c r="AC862" s="39">
        <v>0</v>
      </c>
      <c r="AD862" s="39"/>
      <c r="AE862" s="39">
        <v>0</v>
      </c>
      <c r="AF862" s="39"/>
      <c r="AG862" s="39">
        <v>0</v>
      </c>
      <c r="AH862" s="39"/>
      <c r="AI862" s="41">
        <v>0</v>
      </c>
    </row>
    <row r="863" spans="1:35" x14ac:dyDescent="0.25">
      <c r="A863" s="34" t="s">
        <v>110</v>
      </c>
      <c r="B863" s="35" t="s">
        <v>1795</v>
      </c>
      <c r="C863" s="35" t="s">
        <v>2616</v>
      </c>
      <c r="D863" s="35">
        <v>22564</v>
      </c>
      <c r="E863" s="35" t="s">
        <v>3480</v>
      </c>
      <c r="F863" s="35" t="s">
        <v>3481</v>
      </c>
      <c r="G863" s="35" t="s">
        <v>115</v>
      </c>
      <c r="H863" s="35" t="s">
        <v>160</v>
      </c>
      <c r="I863" s="35" t="s">
        <v>117</v>
      </c>
      <c r="J863" s="35" t="s">
        <v>141</v>
      </c>
      <c r="K863" s="36">
        <v>46066</v>
      </c>
      <c r="L863" s="36">
        <v>46082</v>
      </c>
      <c r="M863" s="36"/>
      <c r="N863" s="36"/>
      <c r="O863" s="36"/>
      <c r="P863" s="36"/>
      <c r="Q863" s="36"/>
      <c r="R863" s="35" t="s">
        <v>187</v>
      </c>
      <c r="S863" s="35" t="s">
        <v>543</v>
      </c>
      <c r="T863" s="35" t="s">
        <v>177</v>
      </c>
      <c r="U863" s="35" t="s">
        <v>81</v>
      </c>
      <c r="V863" s="35" t="s">
        <v>509</v>
      </c>
      <c r="W863" s="35" t="s">
        <v>123</v>
      </c>
      <c r="X863" s="35">
        <v>94.32</v>
      </c>
      <c r="Y863" s="35">
        <v>7.56</v>
      </c>
      <c r="Z863" s="35">
        <v>7.56</v>
      </c>
      <c r="AA863" s="35">
        <v>0</v>
      </c>
      <c r="AB863" s="35"/>
      <c r="AC863" s="35">
        <v>0</v>
      </c>
      <c r="AD863" s="35"/>
      <c r="AE863" s="35">
        <v>0</v>
      </c>
      <c r="AF863" s="35"/>
      <c r="AG863" s="35">
        <v>0</v>
      </c>
      <c r="AH863" s="35"/>
      <c r="AI863" s="37">
        <v>0</v>
      </c>
    </row>
    <row r="864" spans="1:35" x14ac:dyDescent="0.25">
      <c r="A864" s="38" t="s">
        <v>110</v>
      </c>
      <c r="B864" s="39" t="s">
        <v>993</v>
      </c>
      <c r="C864" s="39" t="s">
        <v>2617</v>
      </c>
      <c r="D864" s="39">
        <v>22524</v>
      </c>
      <c r="E864" s="39" t="s">
        <v>3482</v>
      </c>
      <c r="F864" s="39" t="s">
        <v>3483</v>
      </c>
      <c r="G864" s="39" t="s">
        <v>115</v>
      </c>
      <c r="H864" s="39" t="s">
        <v>160</v>
      </c>
      <c r="I864" s="39" t="s">
        <v>117</v>
      </c>
      <c r="J864" s="39" t="s">
        <v>141</v>
      </c>
      <c r="K864" s="40">
        <v>46066</v>
      </c>
      <c r="L864" s="40">
        <v>46082</v>
      </c>
      <c r="M864" s="40"/>
      <c r="N864" s="40"/>
      <c r="O864" s="40"/>
      <c r="P864" s="40"/>
      <c r="Q864" s="40"/>
      <c r="R864" s="39" t="s">
        <v>187</v>
      </c>
      <c r="S864" s="39" t="s">
        <v>543</v>
      </c>
      <c r="T864" s="39" t="s">
        <v>177</v>
      </c>
      <c r="U864" s="35" t="s">
        <v>81</v>
      </c>
      <c r="V864" s="39" t="s">
        <v>509</v>
      </c>
      <c r="W864" s="39" t="s">
        <v>123</v>
      </c>
      <c r="X864" s="39">
        <v>369.35</v>
      </c>
      <c r="Y864" s="39">
        <v>29.55</v>
      </c>
      <c r="Z864" s="39">
        <v>29.55</v>
      </c>
      <c r="AA864" s="39">
        <v>0</v>
      </c>
      <c r="AB864" s="39"/>
      <c r="AC864" s="39">
        <v>0</v>
      </c>
      <c r="AD864" s="39"/>
      <c r="AE864" s="39">
        <v>0</v>
      </c>
      <c r="AF864" s="39"/>
      <c r="AG864" s="39">
        <v>0</v>
      </c>
      <c r="AH864" s="39"/>
      <c r="AI864" s="41">
        <v>0</v>
      </c>
    </row>
    <row r="865" spans="1:35" x14ac:dyDescent="0.25">
      <c r="A865" s="34" t="s">
        <v>110</v>
      </c>
      <c r="B865" s="35" t="s">
        <v>993</v>
      </c>
      <c r="C865" s="35" t="s">
        <v>2619</v>
      </c>
      <c r="D865" s="35">
        <v>22657</v>
      </c>
      <c r="E865" s="35" t="s">
        <v>3484</v>
      </c>
      <c r="F865" s="35" t="s">
        <v>3485</v>
      </c>
      <c r="G865" s="35" t="s">
        <v>115</v>
      </c>
      <c r="H865" s="35" t="s">
        <v>160</v>
      </c>
      <c r="I865" s="35" t="s">
        <v>117</v>
      </c>
      <c r="J865" s="35" t="s">
        <v>141</v>
      </c>
      <c r="K865" s="36">
        <v>46066</v>
      </c>
      <c r="L865" s="36">
        <v>46082</v>
      </c>
      <c r="M865" s="36"/>
      <c r="N865" s="36"/>
      <c r="O865" s="36"/>
      <c r="P865" s="36"/>
      <c r="Q865" s="36"/>
      <c r="R865" s="35" t="s">
        <v>187</v>
      </c>
      <c r="S865" s="35" t="s">
        <v>543</v>
      </c>
      <c r="T865" s="35" t="s">
        <v>177</v>
      </c>
      <c r="U865" s="35" t="s">
        <v>81</v>
      </c>
      <c r="V865" s="35" t="s">
        <v>509</v>
      </c>
      <c r="W865" s="35" t="s">
        <v>123</v>
      </c>
      <c r="X865" s="35">
        <v>93.38</v>
      </c>
      <c r="Y865" s="35">
        <v>7.47</v>
      </c>
      <c r="Z865" s="35">
        <v>7.47</v>
      </c>
      <c r="AA865" s="35">
        <v>0</v>
      </c>
      <c r="AB865" s="35"/>
      <c r="AC865" s="35">
        <v>0</v>
      </c>
      <c r="AD865" s="35"/>
      <c r="AE865" s="35">
        <v>0</v>
      </c>
      <c r="AF865" s="35"/>
      <c r="AG865" s="35">
        <v>0</v>
      </c>
      <c r="AH865" s="35"/>
      <c r="AI865" s="37">
        <v>0</v>
      </c>
    </row>
    <row r="866" spans="1:35" x14ac:dyDescent="0.25">
      <c r="A866" s="38" t="s">
        <v>110</v>
      </c>
      <c r="B866" s="39" t="s">
        <v>993</v>
      </c>
      <c r="C866" s="39" t="s">
        <v>2622</v>
      </c>
      <c r="D866" s="39">
        <v>22730</v>
      </c>
      <c r="E866" s="39" t="s">
        <v>3486</v>
      </c>
      <c r="F866" s="39" t="s">
        <v>3487</v>
      </c>
      <c r="G866" s="39" t="s">
        <v>115</v>
      </c>
      <c r="H866" s="39" t="s">
        <v>160</v>
      </c>
      <c r="I866" s="39" t="s">
        <v>117</v>
      </c>
      <c r="J866" s="39" t="s">
        <v>141</v>
      </c>
      <c r="K866" s="40">
        <v>46066</v>
      </c>
      <c r="L866" s="40">
        <v>46082</v>
      </c>
      <c r="M866" s="40"/>
      <c r="N866" s="40"/>
      <c r="O866" s="40"/>
      <c r="P866" s="40"/>
      <c r="Q866" s="40"/>
      <c r="R866" s="39" t="s">
        <v>187</v>
      </c>
      <c r="S866" s="39" t="s">
        <v>543</v>
      </c>
      <c r="T866" s="39" t="s">
        <v>177</v>
      </c>
      <c r="U866" s="35" t="s">
        <v>81</v>
      </c>
      <c r="V866" s="39" t="s">
        <v>509</v>
      </c>
      <c r="W866" s="39" t="s">
        <v>123</v>
      </c>
      <c r="X866" s="39">
        <v>93.38</v>
      </c>
      <c r="Y866" s="39">
        <v>7.47</v>
      </c>
      <c r="Z866" s="39">
        <v>7.47</v>
      </c>
      <c r="AA866" s="39">
        <v>0</v>
      </c>
      <c r="AB866" s="39"/>
      <c r="AC866" s="39">
        <v>0</v>
      </c>
      <c r="AD866" s="39"/>
      <c r="AE866" s="39">
        <v>0</v>
      </c>
      <c r="AF866" s="39"/>
      <c r="AG866" s="39">
        <v>0</v>
      </c>
      <c r="AH866" s="39"/>
      <c r="AI866" s="41">
        <v>0</v>
      </c>
    </row>
    <row r="867" spans="1:35" x14ac:dyDescent="0.25">
      <c r="A867" s="34" t="s">
        <v>110</v>
      </c>
      <c r="B867" s="35" t="s">
        <v>1795</v>
      </c>
      <c r="C867" s="35" t="s">
        <v>2623</v>
      </c>
      <c r="D867" s="35">
        <v>22798</v>
      </c>
      <c r="E867" s="35" t="s">
        <v>3488</v>
      </c>
      <c r="F867" s="35" t="s">
        <v>3489</v>
      </c>
      <c r="G867" s="35" t="s">
        <v>115</v>
      </c>
      <c r="H867" s="35" t="s">
        <v>160</v>
      </c>
      <c r="I867" s="35" t="s">
        <v>117</v>
      </c>
      <c r="J867" s="35" t="s">
        <v>141</v>
      </c>
      <c r="K867" s="36">
        <v>46066</v>
      </c>
      <c r="L867" s="36">
        <v>46082</v>
      </c>
      <c r="M867" s="36"/>
      <c r="N867" s="36"/>
      <c r="O867" s="36"/>
      <c r="P867" s="36"/>
      <c r="Q867" s="36"/>
      <c r="R867" s="35" t="s">
        <v>187</v>
      </c>
      <c r="S867" s="35" t="s">
        <v>543</v>
      </c>
      <c r="T867" s="35" t="s">
        <v>177</v>
      </c>
      <c r="U867" s="35" t="s">
        <v>81</v>
      </c>
      <c r="V867" s="35" t="s">
        <v>509</v>
      </c>
      <c r="W867" s="35" t="s">
        <v>123</v>
      </c>
      <c r="X867" s="35">
        <v>556.23</v>
      </c>
      <c r="Y867" s="35">
        <v>44.51</v>
      </c>
      <c r="Z867" s="35">
        <v>44.51</v>
      </c>
      <c r="AA867" s="35">
        <v>0</v>
      </c>
      <c r="AB867" s="35"/>
      <c r="AC867" s="35">
        <v>0</v>
      </c>
      <c r="AD867" s="35"/>
      <c r="AE867" s="35">
        <v>0</v>
      </c>
      <c r="AF867" s="35"/>
      <c r="AG867" s="35">
        <v>0</v>
      </c>
      <c r="AH867" s="35"/>
      <c r="AI867" s="37">
        <v>0</v>
      </c>
    </row>
    <row r="868" spans="1:35" x14ac:dyDescent="0.25">
      <c r="A868" s="38" t="s">
        <v>110</v>
      </c>
      <c r="B868" s="39" t="s">
        <v>993</v>
      </c>
      <c r="C868" s="39" t="s">
        <v>2624</v>
      </c>
      <c r="D868" s="39">
        <v>22812</v>
      </c>
      <c r="E868" s="39" t="s">
        <v>3490</v>
      </c>
      <c r="F868" s="39" t="s">
        <v>3491</v>
      </c>
      <c r="G868" s="39" t="s">
        <v>115</v>
      </c>
      <c r="H868" s="39" t="s">
        <v>160</v>
      </c>
      <c r="I868" s="39" t="s">
        <v>117</v>
      </c>
      <c r="J868" s="39" t="s">
        <v>141</v>
      </c>
      <c r="K868" s="40">
        <v>46066</v>
      </c>
      <c r="L868" s="40">
        <v>46082</v>
      </c>
      <c r="M868" s="40"/>
      <c r="N868" s="40"/>
      <c r="O868" s="40"/>
      <c r="P868" s="40"/>
      <c r="Q868" s="40"/>
      <c r="R868" s="39" t="s">
        <v>187</v>
      </c>
      <c r="S868" s="39" t="s">
        <v>543</v>
      </c>
      <c r="T868" s="39" t="s">
        <v>177</v>
      </c>
      <c r="U868" s="35" t="s">
        <v>81</v>
      </c>
      <c r="V868" s="39" t="s">
        <v>509</v>
      </c>
      <c r="W868" s="39" t="s">
        <v>123</v>
      </c>
      <c r="X868" s="39">
        <v>93.38</v>
      </c>
      <c r="Y868" s="39">
        <v>7.47</v>
      </c>
      <c r="Z868" s="39">
        <v>7.47</v>
      </c>
      <c r="AA868" s="39">
        <v>0</v>
      </c>
      <c r="AB868" s="39"/>
      <c r="AC868" s="39">
        <v>0</v>
      </c>
      <c r="AD868" s="39"/>
      <c r="AE868" s="39">
        <v>0</v>
      </c>
      <c r="AF868" s="39"/>
      <c r="AG868" s="39">
        <v>0</v>
      </c>
      <c r="AH868" s="39"/>
      <c r="AI868" s="41">
        <v>0</v>
      </c>
    </row>
    <row r="869" spans="1:35" x14ac:dyDescent="0.25">
      <c r="A869" s="34" t="s">
        <v>110</v>
      </c>
      <c r="B869" s="35" t="s">
        <v>1795</v>
      </c>
      <c r="C869" s="35" t="s">
        <v>2625</v>
      </c>
      <c r="D869" s="35">
        <v>22856</v>
      </c>
      <c r="E869" s="35" t="s">
        <v>3492</v>
      </c>
      <c r="F869" s="35" t="s">
        <v>3493</v>
      </c>
      <c r="G869" s="35" t="s">
        <v>115</v>
      </c>
      <c r="H869" s="35" t="s">
        <v>160</v>
      </c>
      <c r="I869" s="35" t="s">
        <v>117</v>
      </c>
      <c r="J869" s="35" t="s">
        <v>118</v>
      </c>
      <c r="K869" s="36">
        <v>46066</v>
      </c>
      <c r="L869" s="36">
        <v>46082</v>
      </c>
      <c r="M869" s="36">
        <v>46082</v>
      </c>
      <c r="N869" s="36"/>
      <c r="O869" s="36"/>
      <c r="P869" s="36"/>
      <c r="Q869" s="36"/>
      <c r="R869" s="35" t="s">
        <v>187</v>
      </c>
      <c r="S869" s="35" t="s">
        <v>543</v>
      </c>
      <c r="T869" s="35" t="s">
        <v>177</v>
      </c>
      <c r="U869" s="35" t="s">
        <v>81</v>
      </c>
      <c r="V869" s="35" t="s">
        <v>509</v>
      </c>
      <c r="W869" s="35" t="s">
        <v>123</v>
      </c>
      <c r="X869" s="35">
        <v>556.23</v>
      </c>
      <c r="Y869" s="35">
        <v>44.51</v>
      </c>
      <c r="Z869" s="35">
        <v>44.51</v>
      </c>
      <c r="AA869" s="35">
        <v>0</v>
      </c>
      <c r="AB869" s="35"/>
      <c r="AC869" s="35">
        <v>0</v>
      </c>
      <c r="AD869" s="35"/>
      <c r="AE869" s="35">
        <v>0</v>
      </c>
      <c r="AF869" s="35"/>
      <c r="AG869" s="35">
        <v>0</v>
      </c>
      <c r="AH869" s="35"/>
      <c r="AI869" s="37">
        <v>0</v>
      </c>
    </row>
    <row r="870" spans="1:35" x14ac:dyDescent="0.25">
      <c r="A870" s="38" t="s">
        <v>110</v>
      </c>
      <c r="B870" s="39" t="s">
        <v>1795</v>
      </c>
      <c r="C870" s="39" t="s">
        <v>2626</v>
      </c>
      <c r="D870" s="39">
        <v>22857</v>
      </c>
      <c r="E870" s="39" t="s">
        <v>3494</v>
      </c>
      <c r="F870" s="39" t="s">
        <v>3495</v>
      </c>
      <c r="G870" s="39" t="s">
        <v>115</v>
      </c>
      <c r="H870" s="39" t="s">
        <v>160</v>
      </c>
      <c r="I870" s="39" t="s">
        <v>117</v>
      </c>
      <c r="J870" s="39" t="s">
        <v>141</v>
      </c>
      <c r="K870" s="40">
        <v>46066</v>
      </c>
      <c r="L870" s="40">
        <v>46082</v>
      </c>
      <c r="M870" s="40"/>
      <c r="N870" s="40"/>
      <c r="O870" s="40"/>
      <c r="P870" s="40"/>
      <c r="Q870" s="40"/>
      <c r="R870" s="39" t="s">
        <v>187</v>
      </c>
      <c r="S870" s="39" t="s">
        <v>543</v>
      </c>
      <c r="T870" s="39" t="s">
        <v>177</v>
      </c>
      <c r="U870" s="35" t="s">
        <v>81</v>
      </c>
      <c r="V870" s="39" t="s">
        <v>509</v>
      </c>
      <c r="W870" s="39" t="s">
        <v>123</v>
      </c>
      <c r="X870" s="39">
        <v>503.5</v>
      </c>
      <c r="Y870" s="39">
        <v>40.29</v>
      </c>
      <c r="Z870" s="39">
        <v>40.29</v>
      </c>
      <c r="AA870" s="39">
        <v>0</v>
      </c>
      <c r="AB870" s="39"/>
      <c r="AC870" s="39">
        <v>0</v>
      </c>
      <c r="AD870" s="39"/>
      <c r="AE870" s="39">
        <v>0</v>
      </c>
      <c r="AF870" s="39"/>
      <c r="AG870" s="39">
        <v>0</v>
      </c>
      <c r="AH870" s="39"/>
      <c r="AI870" s="41">
        <v>0</v>
      </c>
    </row>
    <row r="871" spans="1:35" x14ac:dyDescent="0.25">
      <c r="A871" s="34" t="s">
        <v>110</v>
      </c>
      <c r="B871" s="35" t="s">
        <v>1795</v>
      </c>
      <c r="C871" s="35" t="s">
        <v>2627</v>
      </c>
      <c r="D871" s="35">
        <v>22863</v>
      </c>
      <c r="E871" s="35" t="s">
        <v>3496</v>
      </c>
      <c r="F871" s="35" t="s">
        <v>3497</v>
      </c>
      <c r="G871" s="35" t="s">
        <v>115</v>
      </c>
      <c r="H871" s="35" t="s">
        <v>160</v>
      </c>
      <c r="I871" s="35" t="s">
        <v>117</v>
      </c>
      <c r="J871" s="35" t="s">
        <v>141</v>
      </c>
      <c r="K871" s="36">
        <v>46066</v>
      </c>
      <c r="L871" s="36">
        <v>46082</v>
      </c>
      <c r="M871" s="36"/>
      <c r="N871" s="36"/>
      <c r="O871" s="36"/>
      <c r="P871" s="36"/>
      <c r="Q871" s="36"/>
      <c r="R871" s="35" t="s">
        <v>187</v>
      </c>
      <c r="S871" s="35" t="s">
        <v>543</v>
      </c>
      <c r="T871" s="35" t="s">
        <v>177</v>
      </c>
      <c r="U871" s="35" t="s">
        <v>81</v>
      </c>
      <c r="V871" s="35" t="s">
        <v>509</v>
      </c>
      <c r="W871" s="35" t="s">
        <v>123</v>
      </c>
      <c r="X871" s="35">
        <v>503.5</v>
      </c>
      <c r="Y871" s="35">
        <v>40.29</v>
      </c>
      <c r="Z871" s="35">
        <v>40.29</v>
      </c>
      <c r="AA871" s="35">
        <v>0</v>
      </c>
      <c r="AB871" s="35"/>
      <c r="AC871" s="35">
        <v>0</v>
      </c>
      <c r="AD871" s="35"/>
      <c r="AE871" s="35">
        <v>0</v>
      </c>
      <c r="AF871" s="35"/>
      <c r="AG871" s="35">
        <v>0</v>
      </c>
      <c r="AH871" s="35"/>
      <c r="AI871" s="37">
        <v>0</v>
      </c>
    </row>
    <row r="872" spans="1:35" x14ac:dyDescent="0.25">
      <c r="A872" s="38" t="s">
        <v>110</v>
      </c>
      <c r="B872" s="39" t="s">
        <v>993</v>
      </c>
      <c r="C872" s="39" t="s">
        <v>2628</v>
      </c>
      <c r="D872" s="39">
        <v>22896</v>
      </c>
      <c r="E872" s="39" t="s">
        <v>3498</v>
      </c>
      <c r="F872" s="39" t="s">
        <v>3499</v>
      </c>
      <c r="G872" s="39" t="s">
        <v>115</v>
      </c>
      <c r="H872" s="39" t="s">
        <v>160</v>
      </c>
      <c r="I872" s="39" t="s">
        <v>117</v>
      </c>
      <c r="J872" s="39" t="s">
        <v>141</v>
      </c>
      <c r="K872" s="40">
        <v>46066</v>
      </c>
      <c r="L872" s="40">
        <v>46082</v>
      </c>
      <c r="M872" s="40"/>
      <c r="N872" s="40"/>
      <c r="O872" s="40"/>
      <c r="P872" s="40"/>
      <c r="Q872" s="40"/>
      <c r="R872" s="39" t="s">
        <v>187</v>
      </c>
      <c r="S872" s="39" t="s">
        <v>543</v>
      </c>
      <c r="T872" s="39" t="s">
        <v>177</v>
      </c>
      <c r="U872" s="35" t="s">
        <v>81</v>
      </c>
      <c r="V872" s="39" t="s">
        <v>509</v>
      </c>
      <c r="W872" s="39" t="s">
        <v>123</v>
      </c>
      <c r="X872" s="39">
        <v>93.38</v>
      </c>
      <c r="Y872" s="39">
        <v>7.47</v>
      </c>
      <c r="Z872" s="39">
        <v>7.47</v>
      </c>
      <c r="AA872" s="39">
        <v>0</v>
      </c>
      <c r="AB872" s="39"/>
      <c r="AC872" s="39">
        <v>0</v>
      </c>
      <c r="AD872" s="39"/>
      <c r="AE872" s="39">
        <v>0</v>
      </c>
      <c r="AF872" s="39"/>
      <c r="AG872" s="39">
        <v>0</v>
      </c>
      <c r="AH872" s="39"/>
      <c r="AI872" s="41">
        <v>0</v>
      </c>
    </row>
    <row r="873" spans="1:35" x14ac:dyDescent="0.25">
      <c r="A873" s="34" t="s">
        <v>110</v>
      </c>
      <c r="B873" s="35" t="s">
        <v>1795</v>
      </c>
      <c r="C873" s="35" t="s">
        <v>2629</v>
      </c>
      <c r="D873" s="35">
        <v>22958</v>
      </c>
      <c r="E873" s="35" t="s">
        <v>3500</v>
      </c>
      <c r="F873" s="35" t="s">
        <v>3501</v>
      </c>
      <c r="G873" s="35" t="s">
        <v>115</v>
      </c>
      <c r="H873" s="35" t="s">
        <v>160</v>
      </c>
      <c r="I873" s="35" t="s">
        <v>117</v>
      </c>
      <c r="J873" s="35" t="s">
        <v>141</v>
      </c>
      <c r="K873" s="36">
        <v>46066</v>
      </c>
      <c r="L873" s="36">
        <v>46082</v>
      </c>
      <c r="M873" s="36"/>
      <c r="N873" s="36"/>
      <c r="O873" s="36"/>
      <c r="P873" s="36"/>
      <c r="Q873" s="36"/>
      <c r="R873" s="35" t="s">
        <v>187</v>
      </c>
      <c r="S873" s="35" t="s">
        <v>1469</v>
      </c>
      <c r="T873" s="35" t="s">
        <v>177</v>
      </c>
      <c r="U873" s="35" t="s">
        <v>81</v>
      </c>
      <c r="V873" s="35" t="s">
        <v>509</v>
      </c>
      <c r="W873" s="35" t="s">
        <v>123</v>
      </c>
      <c r="X873" s="35">
        <v>18.36</v>
      </c>
      <c r="Y873" s="35">
        <v>1.47</v>
      </c>
      <c r="Z873" s="35">
        <v>1.47</v>
      </c>
      <c r="AA873" s="35">
        <v>0</v>
      </c>
      <c r="AB873" s="35"/>
      <c r="AC873" s="35">
        <v>0</v>
      </c>
      <c r="AD873" s="35"/>
      <c r="AE873" s="35">
        <v>0</v>
      </c>
      <c r="AF873" s="35"/>
      <c r="AG873" s="35">
        <v>0</v>
      </c>
      <c r="AH873" s="35"/>
      <c r="AI873" s="37">
        <v>0</v>
      </c>
    </row>
    <row r="874" spans="1:35" x14ac:dyDescent="0.25">
      <c r="A874" s="38" t="s">
        <v>110</v>
      </c>
      <c r="B874" s="39" t="s">
        <v>1795</v>
      </c>
      <c r="C874" s="39" t="s">
        <v>2630</v>
      </c>
      <c r="D874" s="39">
        <v>22959</v>
      </c>
      <c r="E874" s="39" t="s">
        <v>3502</v>
      </c>
      <c r="F874" s="39" t="s">
        <v>3503</v>
      </c>
      <c r="G874" s="39" t="s">
        <v>115</v>
      </c>
      <c r="H874" s="39" t="s">
        <v>160</v>
      </c>
      <c r="I874" s="39" t="s">
        <v>117</v>
      </c>
      <c r="J874" s="39" t="s">
        <v>141</v>
      </c>
      <c r="K874" s="40">
        <v>46066</v>
      </c>
      <c r="L874" s="40">
        <v>46082</v>
      </c>
      <c r="M874" s="40"/>
      <c r="N874" s="40"/>
      <c r="O874" s="40"/>
      <c r="P874" s="40"/>
      <c r="Q874" s="40"/>
      <c r="R874" s="39" t="s">
        <v>187</v>
      </c>
      <c r="S874" s="39" t="s">
        <v>1469</v>
      </c>
      <c r="T874" s="39" t="s">
        <v>177</v>
      </c>
      <c r="U874" s="35" t="s">
        <v>81</v>
      </c>
      <c r="V874" s="39" t="s">
        <v>509</v>
      </c>
      <c r="W874" s="39" t="s">
        <v>123</v>
      </c>
      <c r="X874" s="39">
        <v>18.36</v>
      </c>
      <c r="Y874" s="39">
        <v>1.47</v>
      </c>
      <c r="Z874" s="39">
        <v>1.47</v>
      </c>
      <c r="AA874" s="39">
        <v>0</v>
      </c>
      <c r="AB874" s="39"/>
      <c r="AC874" s="39">
        <v>0</v>
      </c>
      <c r="AD874" s="39"/>
      <c r="AE874" s="39">
        <v>0</v>
      </c>
      <c r="AF874" s="39"/>
      <c r="AG874" s="39">
        <v>0</v>
      </c>
      <c r="AH874" s="39"/>
      <c r="AI874" s="41">
        <v>0</v>
      </c>
    </row>
    <row r="875" spans="1:35" x14ac:dyDescent="0.25">
      <c r="A875" s="34" t="s">
        <v>110</v>
      </c>
      <c r="B875" s="35" t="s">
        <v>1795</v>
      </c>
      <c r="C875" s="35" t="s">
        <v>2631</v>
      </c>
      <c r="D875" s="35">
        <v>22960</v>
      </c>
      <c r="E875" s="35" t="s">
        <v>3504</v>
      </c>
      <c r="F875" s="35" t="s">
        <v>3505</v>
      </c>
      <c r="G875" s="35" t="s">
        <v>115</v>
      </c>
      <c r="H875" s="35" t="s">
        <v>160</v>
      </c>
      <c r="I875" s="35" t="s">
        <v>117</v>
      </c>
      <c r="J875" s="35" t="s">
        <v>141</v>
      </c>
      <c r="K875" s="36">
        <v>46066</v>
      </c>
      <c r="L875" s="36">
        <v>46082</v>
      </c>
      <c r="M875" s="36"/>
      <c r="N875" s="36"/>
      <c r="O875" s="36"/>
      <c r="P875" s="36"/>
      <c r="Q875" s="36"/>
      <c r="R875" s="35" t="s">
        <v>187</v>
      </c>
      <c r="S875" s="35" t="s">
        <v>1469</v>
      </c>
      <c r="T875" s="35" t="s">
        <v>177</v>
      </c>
      <c r="U875" s="35" t="s">
        <v>81</v>
      </c>
      <c r="V875" s="35" t="s">
        <v>509</v>
      </c>
      <c r="W875" s="35" t="s">
        <v>123</v>
      </c>
      <c r="X875" s="35">
        <v>18.36</v>
      </c>
      <c r="Y875" s="35">
        <v>1.47</v>
      </c>
      <c r="Z875" s="35">
        <v>1.47</v>
      </c>
      <c r="AA875" s="35">
        <v>0</v>
      </c>
      <c r="AB875" s="35"/>
      <c r="AC875" s="35">
        <v>0</v>
      </c>
      <c r="AD875" s="35"/>
      <c r="AE875" s="35">
        <v>0</v>
      </c>
      <c r="AF875" s="35"/>
      <c r="AG875" s="35">
        <v>0</v>
      </c>
      <c r="AH875" s="35"/>
      <c r="AI875" s="37">
        <v>0</v>
      </c>
    </row>
    <row r="876" spans="1:35" x14ac:dyDescent="0.25">
      <c r="A876" s="38" t="s">
        <v>110</v>
      </c>
      <c r="B876" s="39" t="s">
        <v>1795</v>
      </c>
      <c r="C876" s="39" t="s">
        <v>2632</v>
      </c>
      <c r="D876" s="39">
        <v>22961</v>
      </c>
      <c r="E876" s="39" t="s">
        <v>3506</v>
      </c>
      <c r="F876" s="39" t="s">
        <v>3507</v>
      </c>
      <c r="G876" s="39" t="s">
        <v>115</v>
      </c>
      <c r="H876" s="39" t="s">
        <v>160</v>
      </c>
      <c r="I876" s="39" t="s">
        <v>117</v>
      </c>
      <c r="J876" s="39" t="s">
        <v>141</v>
      </c>
      <c r="K876" s="40">
        <v>46066</v>
      </c>
      <c r="L876" s="40">
        <v>46082</v>
      </c>
      <c r="M876" s="40"/>
      <c r="N876" s="40"/>
      <c r="O876" s="40"/>
      <c r="P876" s="40"/>
      <c r="Q876" s="40"/>
      <c r="R876" s="39" t="s">
        <v>187</v>
      </c>
      <c r="S876" s="39" t="s">
        <v>1469</v>
      </c>
      <c r="T876" s="39" t="s">
        <v>177</v>
      </c>
      <c r="U876" s="35" t="s">
        <v>81</v>
      </c>
      <c r="V876" s="39" t="s">
        <v>509</v>
      </c>
      <c r="W876" s="39" t="s">
        <v>123</v>
      </c>
      <c r="X876" s="39">
        <v>18.36</v>
      </c>
      <c r="Y876" s="39">
        <v>1.47</v>
      </c>
      <c r="Z876" s="39">
        <v>1.47</v>
      </c>
      <c r="AA876" s="39">
        <v>0</v>
      </c>
      <c r="AB876" s="39"/>
      <c r="AC876" s="39">
        <v>0</v>
      </c>
      <c r="AD876" s="39"/>
      <c r="AE876" s="39">
        <v>0</v>
      </c>
      <c r="AF876" s="39"/>
      <c r="AG876" s="39">
        <v>0</v>
      </c>
      <c r="AH876" s="39"/>
      <c r="AI876" s="41">
        <v>0</v>
      </c>
    </row>
    <row r="877" spans="1:35" x14ac:dyDescent="0.25">
      <c r="A877" s="34" t="s">
        <v>110</v>
      </c>
      <c r="B877" s="35" t="s">
        <v>1795</v>
      </c>
      <c r="C877" s="35" t="s">
        <v>2633</v>
      </c>
      <c r="D877" s="35">
        <v>22962</v>
      </c>
      <c r="E877" s="35" t="s">
        <v>3508</v>
      </c>
      <c r="F877" s="35" t="s">
        <v>3509</v>
      </c>
      <c r="G877" s="35" t="s">
        <v>115</v>
      </c>
      <c r="H877" s="35" t="s">
        <v>160</v>
      </c>
      <c r="I877" s="35" t="s">
        <v>117</v>
      </c>
      <c r="J877" s="35" t="s">
        <v>141</v>
      </c>
      <c r="K877" s="36">
        <v>46066</v>
      </c>
      <c r="L877" s="36">
        <v>46082</v>
      </c>
      <c r="M877" s="36"/>
      <c r="N877" s="36"/>
      <c r="O877" s="36"/>
      <c r="P877" s="36"/>
      <c r="Q877" s="36"/>
      <c r="R877" s="35" t="s">
        <v>187</v>
      </c>
      <c r="S877" s="35" t="s">
        <v>543</v>
      </c>
      <c r="T877" s="35" t="s">
        <v>177</v>
      </c>
      <c r="U877" s="35" t="s">
        <v>81</v>
      </c>
      <c r="V877" s="35" t="s">
        <v>509</v>
      </c>
      <c r="W877" s="35" t="s">
        <v>123</v>
      </c>
      <c r="X877" s="35">
        <v>18.36</v>
      </c>
      <c r="Y877" s="35">
        <v>1.47</v>
      </c>
      <c r="Z877" s="35">
        <v>1.47</v>
      </c>
      <c r="AA877" s="35">
        <v>0</v>
      </c>
      <c r="AB877" s="35"/>
      <c r="AC877" s="35">
        <v>0</v>
      </c>
      <c r="AD877" s="35"/>
      <c r="AE877" s="35">
        <v>0</v>
      </c>
      <c r="AF877" s="35"/>
      <c r="AG877" s="35">
        <v>0</v>
      </c>
      <c r="AH877" s="35"/>
      <c r="AI877" s="37">
        <v>0</v>
      </c>
    </row>
    <row r="878" spans="1:35" x14ac:dyDescent="0.25">
      <c r="A878" s="38" t="s">
        <v>110</v>
      </c>
      <c r="B878" s="39" t="s">
        <v>1795</v>
      </c>
      <c r="C878" s="39" t="s">
        <v>2634</v>
      </c>
      <c r="D878" s="39">
        <v>23051</v>
      </c>
      <c r="E878" s="39" t="s">
        <v>3510</v>
      </c>
      <c r="F878" s="39" t="s">
        <v>3511</v>
      </c>
      <c r="G878" s="39" t="s">
        <v>115</v>
      </c>
      <c r="H878" s="39" t="s">
        <v>160</v>
      </c>
      <c r="I878" s="39" t="s">
        <v>117</v>
      </c>
      <c r="J878" s="39" t="s">
        <v>141</v>
      </c>
      <c r="K878" s="40">
        <v>46066</v>
      </c>
      <c r="L878" s="40">
        <v>46082</v>
      </c>
      <c r="M878" s="40"/>
      <c r="N878" s="40"/>
      <c r="O878" s="40"/>
      <c r="P878" s="40"/>
      <c r="Q878" s="40"/>
      <c r="R878" s="39" t="s">
        <v>187</v>
      </c>
      <c r="S878" s="39" t="s">
        <v>543</v>
      </c>
      <c r="T878" s="39" t="s">
        <v>177</v>
      </c>
      <c r="U878" s="35" t="s">
        <v>81</v>
      </c>
      <c r="V878" s="39" t="s">
        <v>509</v>
      </c>
      <c r="W878" s="39" t="s">
        <v>123</v>
      </c>
      <c r="X878" s="39">
        <v>151.62</v>
      </c>
      <c r="Y878" s="39">
        <v>12.14</v>
      </c>
      <c r="Z878" s="39">
        <v>12.14</v>
      </c>
      <c r="AA878" s="39">
        <v>0</v>
      </c>
      <c r="AB878" s="39"/>
      <c r="AC878" s="39">
        <v>0</v>
      </c>
      <c r="AD878" s="39"/>
      <c r="AE878" s="39">
        <v>0</v>
      </c>
      <c r="AF878" s="39"/>
      <c r="AG878" s="39">
        <v>0</v>
      </c>
      <c r="AH878" s="39"/>
      <c r="AI878" s="41">
        <v>0</v>
      </c>
    </row>
    <row r="879" spans="1:35" x14ac:dyDescent="0.25">
      <c r="A879" s="34" t="s">
        <v>110</v>
      </c>
      <c r="B879" s="35" t="s">
        <v>1795</v>
      </c>
      <c r="C879" s="35" t="s">
        <v>2635</v>
      </c>
      <c r="D879" s="35">
        <v>23156</v>
      </c>
      <c r="E879" s="35" t="s">
        <v>3512</v>
      </c>
      <c r="F879" s="35" t="s">
        <v>3513</v>
      </c>
      <c r="G879" s="35" t="s">
        <v>115</v>
      </c>
      <c r="H879" s="35" t="s">
        <v>160</v>
      </c>
      <c r="I879" s="35" t="s">
        <v>117</v>
      </c>
      <c r="J879" s="35" t="s">
        <v>141</v>
      </c>
      <c r="K879" s="36">
        <v>46066</v>
      </c>
      <c r="L879" s="36">
        <v>46082</v>
      </c>
      <c r="M879" s="36"/>
      <c r="N879" s="36"/>
      <c r="O879" s="36"/>
      <c r="P879" s="36"/>
      <c r="Q879" s="36"/>
      <c r="R879" s="35" t="s">
        <v>187</v>
      </c>
      <c r="S879" s="35" t="s">
        <v>543</v>
      </c>
      <c r="T879" s="35" t="s">
        <v>177</v>
      </c>
      <c r="U879" s="35" t="s">
        <v>81</v>
      </c>
      <c r="V879" s="35" t="s">
        <v>509</v>
      </c>
      <c r="W879" s="35" t="s">
        <v>123</v>
      </c>
      <c r="X879" s="35">
        <v>503.5</v>
      </c>
      <c r="Y879" s="35">
        <v>40.29</v>
      </c>
      <c r="Z879" s="35">
        <v>40.29</v>
      </c>
      <c r="AA879" s="35">
        <v>0</v>
      </c>
      <c r="AB879" s="35"/>
      <c r="AC879" s="35">
        <v>0</v>
      </c>
      <c r="AD879" s="35"/>
      <c r="AE879" s="35">
        <v>0</v>
      </c>
      <c r="AF879" s="35"/>
      <c r="AG879" s="35">
        <v>0</v>
      </c>
      <c r="AH879" s="35"/>
      <c r="AI879" s="37">
        <v>0</v>
      </c>
    </row>
    <row r="880" spans="1:35" x14ac:dyDescent="0.25">
      <c r="A880" s="38" t="s">
        <v>110</v>
      </c>
      <c r="B880" s="39" t="s">
        <v>1795</v>
      </c>
      <c r="C880" s="39" t="s">
        <v>2636</v>
      </c>
      <c r="D880" s="39">
        <v>23157</v>
      </c>
      <c r="E880" s="39" t="s">
        <v>3514</v>
      </c>
      <c r="F880" s="39" t="s">
        <v>3515</v>
      </c>
      <c r="G880" s="39" t="s">
        <v>115</v>
      </c>
      <c r="H880" s="39" t="s">
        <v>160</v>
      </c>
      <c r="I880" s="39" t="s">
        <v>117</v>
      </c>
      <c r="J880" s="39" t="s">
        <v>141</v>
      </c>
      <c r="K880" s="40">
        <v>46066</v>
      </c>
      <c r="L880" s="40">
        <v>46082</v>
      </c>
      <c r="M880" s="40"/>
      <c r="N880" s="40"/>
      <c r="O880" s="40"/>
      <c r="P880" s="40"/>
      <c r="Q880" s="40"/>
      <c r="R880" s="39" t="s">
        <v>187</v>
      </c>
      <c r="S880" s="39" t="s">
        <v>1469</v>
      </c>
      <c r="T880" s="39" t="s">
        <v>177</v>
      </c>
      <c r="U880" s="35" t="s">
        <v>81</v>
      </c>
      <c r="V880" s="39" t="s">
        <v>509</v>
      </c>
      <c r="W880" s="39" t="s">
        <v>123</v>
      </c>
      <c r="X880" s="39">
        <v>407.4</v>
      </c>
      <c r="Y880" s="39">
        <v>32.6</v>
      </c>
      <c r="Z880" s="39">
        <v>32.6</v>
      </c>
      <c r="AA880" s="39">
        <v>0</v>
      </c>
      <c r="AB880" s="39"/>
      <c r="AC880" s="39">
        <v>0</v>
      </c>
      <c r="AD880" s="39"/>
      <c r="AE880" s="39">
        <v>0</v>
      </c>
      <c r="AF880" s="39"/>
      <c r="AG880" s="39">
        <v>0</v>
      </c>
      <c r="AH880" s="39"/>
      <c r="AI880" s="41">
        <v>0</v>
      </c>
    </row>
    <row r="881" spans="1:35" x14ac:dyDescent="0.25">
      <c r="A881" s="34" t="s">
        <v>110</v>
      </c>
      <c r="B881" s="35" t="s">
        <v>993</v>
      </c>
      <c r="C881" s="35" t="s">
        <v>2637</v>
      </c>
      <c r="D881" s="35">
        <v>23190</v>
      </c>
      <c r="E881" s="35" t="s">
        <v>3516</v>
      </c>
      <c r="F881" s="35" t="s">
        <v>3517</v>
      </c>
      <c r="G881" s="35" t="s">
        <v>115</v>
      </c>
      <c r="H881" s="35" t="s">
        <v>160</v>
      </c>
      <c r="I881" s="35" t="s">
        <v>117</v>
      </c>
      <c r="J881" s="35" t="s">
        <v>141</v>
      </c>
      <c r="K881" s="36">
        <v>46066</v>
      </c>
      <c r="L881" s="36">
        <v>46082</v>
      </c>
      <c r="M881" s="36"/>
      <c r="N881" s="36"/>
      <c r="O881" s="36"/>
      <c r="P881" s="36"/>
      <c r="Q881" s="36"/>
      <c r="R881" s="35" t="s">
        <v>187</v>
      </c>
      <c r="S881" s="35" t="s">
        <v>543</v>
      </c>
      <c r="T881" s="35" t="s">
        <v>177</v>
      </c>
      <c r="U881" s="35" t="s">
        <v>81</v>
      </c>
      <c r="V881" s="35" t="s">
        <v>509</v>
      </c>
      <c r="W881" s="35" t="s">
        <v>123</v>
      </c>
      <c r="X881" s="35">
        <v>338.23</v>
      </c>
      <c r="Y881" s="35">
        <v>27.06</v>
      </c>
      <c r="Z881" s="35">
        <v>27.06</v>
      </c>
      <c r="AA881" s="35">
        <v>0</v>
      </c>
      <c r="AB881" s="35"/>
      <c r="AC881" s="35">
        <v>0</v>
      </c>
      <c r="AD881" s="35"/>
      <c r="AE881" s="35">
        <v>0</v>
      </c>
      <c r="AF881" s="35"/>
      <c r="AG881" s="35">
        <v>0</v>
      </c>
      <c r="AH881" s="35"/>
      <c r="AI881" s="37">
        <v>0</v>
      </c>
    </row>
    <row r="882" spans="1:35" x14ac:dyDescent="0.25">
      <c r="A882" s="38" t="s">
        <v>110</v>
      </c>
      <c r="B882" s="39" t="s">
        <v>993</v>
      </c>
      <c r="C882" s="39" t="s">
        <v>2638</v>
      </c>
      <c r="D882" s="39">
        <v>23228</v>
      </c>
      <c r="E882" s="39" t="s">
        <v>3518</v>
      </c>
      <c r="F882" s="39" t="s">
        <v>3519</v>
      </c>
      <c r="G882" s="39" t="s">
        <v>115</v>
      </c>
      <c r="H882" s="39" t="s">
        <v>160</v>
      </c>
      <c r="I882" s="39" t="s">
        <v>117</v>
      </c>
      <c r="J882" s="39" t="s">
        <v>141</v>
      </c>
      <c r="K882" s="40">
        <v>46066</v>
      </c>
      <c r="L882" s="40">
        <v>46082</v>
      </c>
      <c r="M882" s="40"/>
      <c r="N882" s="40"/>
      <c r="O882" s="40"/>
      <c r="P882" s="40"/>
      <c r="Q882" s="40"/>
      <c r="R882" s="39" t="s">
        <v>187</v>
      </c>
      <c r="S882" s="39" t="s">
        <v>543</v>
      </c>
      <c r="T882" s="39" t="s">
        <v>177</v>
      </c>
      <c r="U882" s="35" t="s">
        <v>81</v>
      </c>
      <c r="V882" s="39" t="s">
        <v>509</v>
      </c>
      <c r="W882" s="39" t="s">
        <v>123</v>
      </c>
      <c r="X882" s="39">
        <v>338.23</v>
      </c>
      <c r="Y882" s="39">
        <v>27.06</v>
      </c>
      <c r="Z882" s="39">
        <v>27.06</v>
      </c>
      <c r="AA882" s="39">
        <v>0</v>
      </c>
      <c r="AB882" s="39"/>
      <c r="AC882" s="39">
        <v>0</v>
      </c>
      <c r="AD882" s="39"/>
      <c r="AE882" s="39">
        <v>0</v>
      </c>
      <c r="AF882" s="39"/>
      <c r="AG882" s="39">
        <v>0</v>
      </c>
      <c r="AH882" s="39"/>
      <c r="AI882" s="41">
        <v>0</v>
      </c>
    </row>
    <row r="883" spans="1:35" x14ac:dyDescent="0.25">
      <c r="A883" s="34" t="s">
        <v>110</v>
      </c>
      <c r="B883" s="35" t="s">
        <v>1795</v>
      </c>
      <c r="C883" s="35" t="s">
        <v>2639</v>
      </c>
      <c r="D883" s="35">
        <v>23247</v>
      </c>
      <c r="E883" s="35" t="s">
        <v>3520</v>
      </c>
      <c r="F883" s="35" t="s">
        <v>3521</v>
      </c>
      <c r="G883" s="35" t="s">
        <v>115</v>
      </c>
      <c r="H883" s="35" t="s">
        <v>160</v>
      </c>
      <c r="I883" s="35" t="s">
        <v>117</v>
      </c>
      <c r="J883" s="35" t="s">
        <v>141</v>
      </c>
      <c r="K883" s="36">
        <v>46066</v>
      </c>
      <c r="L883" s="36">
        <v>46082</v>
      </c>
      <c r="M883" s="36"/>
      <c r="N883" s="36"/>
      <c r="O883" s="36"/>
      <c r="P883" s="36"/>
      <c r="Q883" s="36"/>
      <c r="R883" s="35" t="s">
        <v>187</v>
      </c>
      <c r="S883" s="35" t="s">
        <v>1469</v>
      </c>
      <c r="T883" s="35" t="s">
        <v>177</v>
      </c>
      <c r="U883" s="35" t="s">
        <v>81</v>
      </c>
      <c r="V883" s="35" t="s">
        <v>509</v>
      </c>
      <c r="W883" s="35" t="s">
        <v>123</v>
      </c>
      <c r="X883" s="35">
        <v>18.36</v>
      </c>
      <c r="Y883" s="35">
        <v>1.47</v>
      </c>
      <c r="Z883" s="35">
        <v>1.47</v>
      </c>
      <c r="AA883" s="35">
        <v>0</v>
      </c>
      <c r="AB883" s="35"/>
      <c r="AC883" s="35">
        <v>0</v>
      </c>
      <c r="AD883" s="35"/>
      <c r="AE883" s="35">
        <v>0</v>
      </c>
      <c r="AF883" s="35"/>
      <c r="AG883" s="35">
        <v>0</v>
      </c>
      <c r="AH883" s="35"/>
      <c r="AI883" s="37">
        <v>0</v>
      </c>
    </row>
    <row r="884" spans="1:35" x14ac:dyDescent="0.25">
      <c r="A884" s="38" t="s">
        <v>110</v>
      </c>
      <c r="B884" s="39" t="s">
        <v>993</v>
      </c>
      <c r="C884" s="39" t="s">
        <v>2640</v>
      </c>
      <c r="D884" s="39">
        <v>23254</v>
      </c>
      <c r="E884" s="39" t="s">
        <v>3522</v>
      </c>
      <c r="F884" s="39" t="s">
        <v>3523</v>
      </c>
      <c r="G884" s="39" t="s">
        <v>115</v>
      </c>
      <c r="H884" s="39" t="s">
        <v>160</v>
      </c>
      <c r="I884" s="39" t="s">
        <v>117</v>
      </c>
      <c r="J884" s="39" t="s">
        <v>141</v>
      </c>
      <c r="K884" s="40">
        <v>46066</v>
      </c>
      <c r="L884" s="40">
        <v>46082</v>
      </c>
      <c r="M884" s="40"/>
      <c r="N884" s="40"/>
      <c r="O884" s="40"/>
      <c r="P884" s="40"/>
      <c r="Q884" s="40"/>
      <c r="R884" s="39" t="s">
        <v>187</v>
      </c>
      <c r="S884" s="39" t="s">
        <v>543</v>
      </c>
      <c r="T884" s="39" t="s">
        <v>177</v>
      </c>
      <c r="U884" s="35" t="s">
        <v>81</v>
      </c>
      <c r="V884" s="39" t="s">
        <v>509</v>
      </c>
      <c r="W884" s="39" t="s">
        <v>123</v>
      </c>
      <c r="X884" s="39">
        <v>369.35</v>
      </c>
      <c r="Y884" s="39">
        <v>29.55</v>
      </c>
      <c r="Z884" s="39">
        <v>29.55</v>
      </c>
      <c r="AA884" s="39">
        <v>0</v>
      </c>
      <c r="AB884" s="39"/>
      <c r="AC884" s="39">
        <v>0</v>
      </c>
      <c r="AD884" s="39"/>
      <c r="AE884" s="39">
        <v>0</v>
      </c>
      <c r="AF884" s="39"/>
      <c r="AG884" s="39">
        <v>0</v>
      </c>
      <c r="AH884" s="39"/>
      <c r="AI884" s="41">
        <v>0</v>
      </c>
    </row>
    <row r="885" spans="1:35" x14ac:dyDescent="0.25">
      <c r="A885" s="34" t="s">
        <v>110</v>
      </c>
      <c r="B885" s="35" t="s">
        <v>993</v>
      </c>
      <c r="C885" s="35" t="s">
        <v>2641</v>
      </c>
      <c r="D885" s="35">
        <v>23271</v>
      </c>
      <c r="E885" s="35" t="s">
        <v>3524</v>
      </c>
      <c r="F885" s="35" t="s">
        <v>3525</v>
      </c>
      <c r="G885" s="35" t="s">
        <v>115</v>
      </c>
      <c r="H885" s="35" t="s">
        <v>160</v>
      </c>
      <c r="I885" s="35" t="s">
        <v>117</v>
      </c>
      <c r="J885" s="35" t="s">
        <v>141</v>
      </c>
      <c r="K885" s="36">
        <v>46066</v>
      </c>
      <c r="L885" s="36">
        <v>46082</v>
      </c>
      <c r="M885" s="36"/>
      <c r="N885" s="36"/>
      <c r="O885" s="36"/>
      <c r="P885" s="36"/>
      <c r="Q885" s="36"/>
      <c r="R885" s="35" t="s">
        <v>187</v>
      </c>
      <c r="S885" s="35" t="s">
        <v>543</v>
      </c>
      <c r="T885" s="35" t="s">
        <v>177</v>
      </c>
      <c r="U885" s="35" t="s">
        <v>81</v>
      </c>
      <c r="V885" s="35" t="s">
        <v>509</v>
      </c>
      <c r="W885" s="35" t="s">
        <v>123</v>
      </c>
      <c r="X885" s="35">
        <v>369.35</v>
      </c>
      <c r="Y885" s="35">
        <v>29.55</v>
      </c>
      <c r="Z885" s="35">
        <v>29.55</v>
      </c>
      <c r="AA885" s="35">
        <v>0</v>
      </c>
      <c r="AB885" s="35"/>
      <c r="AC885" s="35">
        <v>0</v>
      </c>
      <c r="AD885" s="35"/>
      <c r="AE885" s="35">
        <v>0</v>
      </c>
      <c r="AF885" s="35"/>
      <c r="AG885" s="35">
        <v>0</v>
      </c>
      <c r="AH885" s="35"/>
      <c r="AI885" s="37">
        <v>0</v>
      </c>
    </row>
    <row r="886" spans="1:35" x14ac:dyDescent="0.25">
      <c r="A886" s="38" t="s">
        <v>110</v>
      </c>
      <c r="B886" s="39" t="s">
        <v>993</v>
      </c>
      <c r="C886" s="39" t="s">
        <v>2642</v>
      </c>
      <c r="D886" s="39">
        <v>23285</v>
      </c>
      <c r="E886" s="39" t="s">
        <v>3526</v>
      </c>
      <c r="F886" s="39" t="s">
        <v>3527</v>
      </c>
      <c r="G886" s="39" t="s">
        <v>115</v>
      </c>
      <c r="H886" s="39" t="s">
        <v>160</v>
      </c>
      <c r="I886" s="39" t="s">
        <v>117</v>
      </c>
      <c r="J886" s="39" t="s">
        <v>141</v>
      </c>
      <c r="K886" s="40">
        <v>46066</v>
      </c>
      <c r="L886" s="40">
        <v>46082</v>
      </c>
      <c r="M886" s="40"/>
      <c r="N886" s="40"/>
      <c r="O886" s="40"/>
      <c r="P886" s="40"/>
      <c r="Q886" s="40"/>
      <c r="R886" s="39" t="s">
        <v>187</v>
      </c>
      <c r="S886" s="39" t="s">
        <v>543</v>
      </c>
      <c r="T886" s="39" t="s">
        <v>177</v>
      </c>
      <c r="U886" s="35" t="s">
        <v>81</v>
      </c>
      <c r="V886" s="39" t="s">
        <v>509</v>
      </c>
      <c r="W886" s="39" t="s">
        <v>123</v>
      </c>
      <c r="X886" s="39">
        <v>369.35</v>
      </c>
      <c r="Y886" s="39">
        <v>29.55</v>
      </c>
      <c r="Z886" s="39">
        <v>29.55</v>
      </c>
      <c r="AA886" s="39">
        <v>0</v>
      </c>
      <c r="AB886" s="39"/>
      <c r="AC886" s="39">
        <v>0</v>
      </c>
      <c r="AD886" s="39"/>
      <c r="AE886" s="39">
        <v>0</v>
      </c>
      <c r="AF886" s="39"/>
      <c r="AG886" s="39">
        <v>0</v>
      </c>
      <c r="AH886" s="39"/>
      <c r="AI886" s="41">
        <v>0</v>
      </c>
    </row>
    <row r="887" spans="1:35" x14ac:dyDescent="0.25">
      <c r="A887" s="34" t="s">
        <v>110</v>
      </c>
      <c r="B887" s="35" t="s">
        <v>993</v>
      </c>
      <c r="C887" s="35" t="s">
        <v>2645</v>
      </c>
      <c r="D887" s="35">
        <v>23347</v>
      </c>
      <c r="E887" s="35" t="s">
        <v>3528</v>
      </c>
      <c r="F887" s="35" t="s">
        <v>3529</v>
      </c>
      <c r="G887" s="35" t="s">
        <v>115</v>
      </c>
      <c r="H887" s="35" t="s">
        <v>160</v>
      </c>
      <c r="I887" s="35" t="s">
        <v>117</v>
      </c>
      <c r="J887" s="35" t="s">
        <v>141</v>
      </c>
      <c r="K887" s="36">
        <v>46066</v>
      </c>
      <c r="L887" s="36">
        <v>46082</v>
      </c>
      <c r="M887" s="36"/>
      <c r="N887" s="36"/>
      <c r="O887" s="36"/>
      <c r="P887" s="36"/>
      <c r="Q887" s="36"/>
      <c r="R887" s="35" t="s">
        <v>187</v>
      </c>
      <c r="S887" s="35" t="s">
        <v>543</v>
      </c>
      <c r="T887" s="35" t="s">
        <v>177</v>
      </c>
      <c r="U887" s="35" t="s">
        <v>81</v>
      </c>
      <c r="V887" s="35" t="s">
        <v>509</v>
      </c>
      <c r="W887" s="35" t="s">
        <v>123</v>
      </c>
      <c r="X887" s="35">
        <v>369.35</v>
      </c>
      <c r="Y887" s="35">
        <v>29.55</v>
      </c>
      <c r="Z887" s="35">
        <v>29.55</v>
      </c>
      <c r="AA887" s="35">
        <v>0</v>
      </c>
      <c r="AB887" s="35"/>
      <c r="AC887" s="35">
        <v>0</v>
      </c>
      <c r="AD887" s="35"/>
      <c r="AE887" s="35">
        <v>0</v>
      </c>
      <c r="AF887" s="35"/>
      <c r="AG887" s="35">
        <v>0</v>
      </c>
      <c r="AH887" s="35"/>
      <c r="AI887" s="37">
        <v>0</v>
      </c>
    </row>
    <row r="888" spans="1:35" x14ac:dyDescent="0.25">
      <c r="A888" s="38" t="s">
        <v>110</v>
      </c>
      <c r="B888" s="39" t="s">
        <v>993</v>
      </c>
      <c r="C888" s="39" t="s">
        <v>2646</v>
      </c>
      <c r="D888" s="39">
        <v>23439</v>
      </c>
      <c r="E888" s="39" t="s">
        <v>3530</v>
      </c>
      <c r="F888" s="39" t="s">
        <v>3531</v>
      </c>
      <c r="G888" s="39" t="s">
        <v>115</v>
      </c>
      <c r="H888" s="39" t="s">
        <v>160</v>
      </c>
      <c r="I888" s="39" t="s">
        <v>117</v>
      </c>
      <c r="J888" s="39" t="s">
        <v>141</v>
      </c>
      <c r="K888" s="40">
        <v>46066</v>
      </c>
      <c r="L888" s="40">
        <v>46082</v>
      </c>
      <c r="M888" s="40"/>
      <c r="N888" s="40"/>
      <c r="O888" s="40"/>
      <c r="P888" s="40"/>
      <c r="Q888" s="40"/>
      <c r="R888" s="39" t="s">
        <v>187</v>
      </c>
      <c r="S888" s="39" t="s">
        <v>543</v>
      </c>
      <c r="T888" s="39" t="s">
        <v>177</v>
      </c>
      <c r="U888" s="35" t="s">
        <v>81</v>
      </c>
      <c r="V888" s="39" t="s">
        <v>509</v>
      </c>
      <c r="W888" s="39" t="s">
        <v>123</v>
      </c>
      <c r="X888" s="39">
        <v>369.35</v>
      </c>
      <c r="Y888" s="39">
        <v>29.55</v>
      </c>
      <c r="Z888" s="39">
        <v>29.55</v>
      </c>
      <c r="AA888" s="39">
        <v>0</v>
      </c>
      <c r="AB888" s="39"/>
      <c r="AC888" s="39">
        <v>0</v>
      </c>
      <c r="AD888" s="39"/>
      <c r="AE888" s="39">
        <v>0</v>
      </c>
      <c r="AF888" s="39"/>
      <c r="AG888" s="39">
        <v>0</v>
      </c>
      <c r="AH888" s="39"/>
      <c r="AI888" s="41">
        <v>0</v>
      </c>
    </row>
    <row r="889" spans="1:35" x14ac:dyDescent="0.25">
      <c r="A889" s="34" t="s">
        <v>110</v>
      </c>
      <c r="B889" s="35" t="s">
        <v>1795</v>
      </c>
      <c r="C889" s="35" t="s">
        <v>2647</v>
      </c>
      <c r="D889" s="35">
        <v>23564</v>
      </c>
      <c r="E889" s="35" t="s">
        <v>3532</v>
      </c>
      <c r="F889" s="35" t="s">
        <v>3533</v>
      </c>
      <c r="G889" s="35" t="s">
        <v>115</v>
      </c>
      <c r="H889" s="35" t="s">
        <v>160</v>
      </c>
      <c r="I889" s="35" t="s">
        <v>117</v>
      </c>
      <c r="J889" s="35" t="s">
        <v>141</v>
      </c>
      <c r="K889" s="36">
        <v>46066</v>
      </c>
      <c r="L889" s="36">
        <v>46082</v>
      </c>
      <c r="M889" s="36"/>
      <c r="N889" s="36"/>
      <c r="O889" s="36"/>
      <c r="P889" s="36"/>
      <c r="Q889" s="36"/>
      <c r="R889" s="35" t="s">
        <v>187</v>
      </c>
      <c r="S889" s="35" t="s">
        <v>543</v>
      </c>
      <c r="T889" s="35" t="s">
        <v>177</v>
      </c>
      <c r="U889" s="35" t="s">
        <v>81</v>
      </c>
      <c r="V889" s="35" t="s">
        <v>509</v>
      </c>
      <c r="W889" s="35" t="s">
        <v>123</v>
      </c>
      <c r="X889" s="35">
        <v>503.5</v>
      </c>
      <c r="Y889" s="35">
        <v>40.29</v>
      </c>
      <c r="Z889" s="35">
        <v>40.29</v>
      </c>
      <c r="AA889" s="35">
        <v>0</v>
      </c>
      <c r="AB889" s="35"/>
      <c r="AC889" s="35">
        <v>0</v>
      </c>
      <c r="AD889" s="35"/>
      <c r="AE889" s="35">
        <v>0</v>
      </c>
      <c r="AF889" s="35"/>
      <c r="AG889" s="35">
        <v>0</v>
      </c>
      <c r="AH889" s="35"/>
      <c r="AI889" s="37">
        <v>0</v>
      </c>
    </row>
    <row r="890" spans="1:35" x14ac:dyDescent="0.25">
      <c r="A890" s="38" t="s">
        <v>110</v>
      </c>
      <c r="B890" s="39" t="s">
        <v>1795</v>
      </c>
      <c r="C890" s="39" t="s">
        <v>2648</v>
      </c>
      <c r="D890" s="39">
        <v>23990</v>
      </c>
      <c r="E890" s="39" t="s">
        <v>3534</v>
      </c>
      <c r="F890" s="39" t="s">
        <v>3535</v>
      </c>
      <c r="G890" s="39" t="s">
        <v>115</v>
      </c>
      <c r="H890" s="39" t="s">
        <v>160</v>
      </c>
      <c r="I890" s="39" t="s">
        <v>117</v>
      </c>
      <c r="J890" s="39" t="s">
        <v>141</v>
      </c>
      <c r="K890" s="40">
        <v>46066</v>
      </c>
      <c r="L890" s="40">
        <v>46082</v>
      </c>
      <c r="M890" s="40"/>
      <c r="N890" s="40"/>
      <c r="O890" s="40"/>
      <c r="P890" s="40"/>
      <c r="Q890" s="40"/>
      <c r="R890" s="39" t="s">
        <v>187</v>
      </c>
      <c r="S890" s="39" t="s">
        <v>543</v>
      </c>
      <c r="T890" s="39" t="s">
        <v>177</v>
      </c>
      <c r="U890" s="35" t="s">
        <v>81</v>
      </c>
      <c r="V890" s="39" t="s">
        <v>509</v>
      </c>
      <c r="W890" s="39" t="s">
        <v>123</v>
      </c>
      <c r="X890" s="39">
        <v>556.23</v>
      </c>
      <c r="Y890" s="39">
        <v>44.51</v>
      </c>
      <c r="Z890" s="39">
        <v>44.51</v>
      </c>
      <c r="AA890" s="39">
        <v>0</v>
      </c>
      <c r="AB890" s="39"/>
      <c r="AC890" s="39">
        <v>0</v>
      </c>
      <c r="AD890" s="39"/>
      <c r="AE890" s="39">
        <v>0</v>
      </c>
      <c r="AF890" s="39"/>
      <c r="AG890" s="39">
        <v>0</v>
      </c>
      <c r="AH890" s="39"/>
      <c r="AI890" s="41">
        <v>0</v>
      </c>
    </row>
    <row r="891" spans="1:35" x14ac:dyDescent="0.25">
      <c r="A891" s="34" t="s">
        <v>110</v>
      </c>
      <c r="B891" s="35" t="s">
        <v>1795</v>
      </c>
      <c r="C891" s="35" t="s">
        <v>2649</v>
      </c>
      <c r="D891" s="35">
        <v>23991</v>
      </c>
      <c r="E891" s="35" t="s">
        <v>3536</v>
      </c>
      <c r="F891" s="35" t="s">
        <v>3537</v>
      </c>
      <c r="G891" s="35" t="s">
        <v>115</v>
      </c>
      <c r="H891" s="35" t="s">
        <v>160</v>
      </c>
      <c r="I891" s="35" t="s">
        <v>117</v>
      </c>
      <c r="J891" s="35" t="s">
        <v>141</v>
      </c>
      <c r="K891" s="36">
        <v>46066</v>
      </c>
      <c r="L891" s="36">
        <v>46082</v>
      </c>
      <c r="M891" s="36"/>
      <c r="N891" s="36"/>
      <c r="O891" s="36"/>
      <c r="P891" s="36"/>
      <c r="Q891" s="36"/>
      <c r="R891" s="35" t="s">
        <v>187</v>
      </c>
      <c r="S891" s="35" t="s">
        <v>543</v>
      </c>
      <c r="T891" s="35" t="s">
        <v>177</v>
      </c>
      <c r="U891" s="35" t="s">
        <v>81</v>
      </c>
      <c r="V891" s="35" t="s">
        <v>509</v>
      </c>
      <c r="W891" s="35" t="s">
        <v>123</v>
      </c>
      <c r="X891" s="35">
        <v>556.23</v>
      </c>
      <c r="Y891" s="35">
        <v>44.51</v>
      </c>
      <c r="Z891" s="35">
        <v>44.51</v>
      </c>
      <c r="AA891" s="35">
        <v>0</v>
      </c>
      <c r="AB891" s="35"/>
      <c r="AC891" s="35">
        <v>0</v>
      </c>
      <c r="AD891" s="35"/>
      <c r="AE891" s="35">
        <v>0</v>
      </c>
      <c r="AF891" s="35"/>
      <c r="AG891" s="35">
        <v>0</v>
      </c>
      <c r="AH891" s="35"/>
      <c r="AI891" s="37">
        <v>0</v>
      </c>
    </row>
    <row r="892" spans="1:35" x14ac:dyDescent="0.25">
      <c r="A892" s="38" t="s">
        <v>110</v>
      </c>
      <c r="B892" s="39" t="s">
        <v>1795</v>
      </c>
      <c r="C892" s="39" t="s">
        <v>2650</v>
      </c>
      <c r="D892" s="39">
        <v>25027</v>
      </c>
      <c r="E892" s="39" t="s">
        <v>3538</v>
      </c>
      <c r="F892" s="39" t="s">
        <v>3539</v>
      </c>
      <c r="G892" s="39" t="s">
        <v>115</v>
      </c>
      <c r="H892" s="39" t="s">
        <v>160</v>
      </c>
      <c r="I892" s="39" t="s">
        <v>117</v>
      </c>
      <c r="J892" s="39" t="s">
        <v>141</v>
      </c>
      <c r="K892" s="40">
        <v>46066</v>
      </c>
      <c r="L892" s="40">
        <v>46082</v>
      </c>
      <c r="M892" s="40"/>
      <c r="N892" s="40"/>
      <c r="O892" s="40"/>
      <c r="P892" s="40"/>
      <c r="Q892" s="40"/>
      <c r="R892" s="39" t="s">
        <v>187</v>
      </c>
      <c r="S892" s="39" t="s">
        <v>543</v>
      </c>
      <c r="T892" s="39" t="s">
        <v>177</v>
      </c>
      <c r="U892" s="35" t="s">
        <v>81</v>
      </c>
      <c r="V892" s="39" t="s">
        <v>509</v>
      </c>
      <c r="W892" s="39" t="s">
        <v>123</v>
      </c>
      <c r="X892" s="39">
        <v>94.32</v>
      </c>
      <c r="Y892" s="39">
        <v>7.56</v>
      </c>
      <c r="Z892" s="39">
        <v>7.56</v>
      </c>
      <c r="AA892" s="39">
        <v>0</v>
      </c>
      <c r="AB892" s="39"/>
      <c r="AC892" s="39">
        <v>0</v>
      </c>
      <c r="AD892" s="39"/>
      <c r="AE892" s="39">
        <v>0</v>
      </c>
      <c r="AF892" s="39"/>
      <c r="AG892" s="39">
        <v>0</v>
      </c>
      <c r="AH892" s="39"/>
      <c r="AI892" s="41">
        <v>0</v>
      </c>
    </row>
    <row r="893" spans="1:35" x14ac:dyDescent="0.25">
      <c r="A893" s="34" t="s">
        <v>110</v>
      </c>
      <c r="B893" s="35" t="s">
        <v>1795</v>
      </c>
      <c r="C893" s="35" t="s">
        <v>2652</v>
      </c>
      <c r="D893" s="35">
        <v>25663</v>
      </c>
      <c r="E893" s="35" t="s">
        <v>3540</v>
      </c>
      <c r="F893" s="35" t="s">
        <v>3541</v>
      </c>
      <c r="G893" s="35" t="s">
        <v>115</v>
      </c>
      <c r="H893" s="35" t="s">
        <v>160</v>
      </c>
      <c r="I893" s="35" t="s">
        <v>117</v>
      </c>
      <c r="J893" s="35" t="s">
        <v>141</v>
      </c>
      <c r="K893" s="36">
        <v>46066</v>
      </c>
      <c r="L893" s="36">
        <v>46082</v>
      </c>
      <c r="M893" s="36"/>
      <c r="N893" s="36"/>
      <c r="O893" s="36"/>
      <c r="P893" s="36"/>
      <c r="Q893" s="36"/>
      <c r="R893" s="35" t="s">
        <v>187</v>
      </c>
      <c r="S893" s="35" t="s">
        <v>543</v>
      </c>
      <c r="T893" s="35" t="s">
        <v>177</v>
      </c>
      <c r="U893" s="35" t="s">
        <v>81</v>
      </c>
      <c r="V893" s="35" t="s">
        <v>509</v>
      </c>
      <c r="W893" s="35" t="s">
        <v>123</v>
      </c>
      <c r="X893" s="35">
        <v>503.5</v>
      </c>
      <c r="Y893" s="35">
        <v>40.29</v>
      </c>
      <c r="Z893" s="35">
        <v>40.29</v>
      </c>
      <c r="AA893" s="35">
        <v>0</v>
      </c>
      <c r="AB893" s="35"/>
      <c r="AC893" s="35">
        <v>0</v>
      </c>
      <c r="AD893" s="35"/>
      <c r="AE893" s="35">
        <v>0</v>
      </c>
      <c r="AF893" s="35"/>
      <c r="AG893" s="35">
        <v>0</v>
      </c>
      <c r="AH893" s="35"/>
      <c r="AI893" s="37">
        <v>0</v>
      </c>
    </row>
    <row r="894" spans="1:35" x14ac:dyDescent="0.25">
      <c r="A894" s="38" t="s">
        <v>110</v>
      </c>
      <c r="B894" s="39" t="s">
        <v>993</v>
      </c>
      <c r="C894" s="39" t="s">
        <v>2653</v>
      </c>
      <c r="D894" s="39">
        <v>25981</v>
      </c>
      <c r="E894" s="39" t="s">
        <v>3542</v>
      </c>
      <c r="F894" s="39" t="s">
        <v>3543</v>
      </c>
      <c r="G894" s="39" t="s">
        <v>115</v>
      </c>
      <c r="H894" s="39" t="s">
        <v>160</v>
      </c>
      <c r="I894" s="39" t="s">
        <v>117</v>
      </c>
      <c r="J894" s="39" t="s">
        <v>141</v>
      </c>
      <c r="K894" s="40">
        <v>46066</v>
      </c>
      <c r="L894" s="40">
        <v>46082</v>
      </c>
      <c r="M894" s="40"/>
      <c r="N894" s="40"/>
      <c r="O894" s="40"/>
      <c r="P894" s="40"/>
      <c r="Q894" s="40"/>
      <c r="R894" s="39" t="s">
        <v>142</v>
      </c>
      <c r="S894" s="39" t="s">
        <v>543</v>
      </c>
      <c r="T894" s="39" t="s">
        <v>177</v>
      </c>
      <c r="U894" s="35" t="s">
        <v>81</v>
      </c>
      <c r="V894" s="39" t="s">
        <v>509</v>
      </c>
      <c r="W894" s="39" t="s">
        <v>123</v>
      </c>
      <c r="X894" s="39">
        <v>93.38</v>
      </c>
      <c r="Y894" s="39">
        <v>7.47</v>
      </c>
      <c r="Z894" s="39">
        <v>7.47</v>
      </c>
      <c r="AA894" s="39">
        <v>0</v>
      </c>
      <c r="AB894" s="39"/>
      <c r="AC894" s="39">
        <v>0</v>
      </c>
      <c r="AD894" s="39"/>
      <c r="AE894" s="39">
        <v>0</v>
      </c>
      <c r="AF894" s="39"/>
      <c r="AG894" s="39">
        <v>0</v>
      </c>
      <c r="AH894" s="39"/>
      <c r="AI894" s="41">
        <v>0</v>
      </c>
    </row>
    <row r="895" spans="1:35" x14ac:dyDescent="0.25">
      <c r="A895" s="34" t="s">
        <v>110</v>
      </c>
      <c r="B895" s="35" t="s">
        <v>993</v>
      </c>
      <c r="C895" s="35" t="s">
        <v>2654</v>
      </c>
      <c r="D895" s="35">
        <v>25982</v>
      </c>
      <c r="E895" s="35" t="s">
        <v>3544</v>
      </c>
      <c r="F895" s="35" t="s">
        <v>3545</v>
      </c>
      <c r="G895" s="35" t="s">
        <v>115</v>
      </c>
      <c r="H895" s="35" t="s">
        <v>160</v>
      </c>
      <c r="I895" s="35" t="s">
        <v>117</v>
      </c>
      <c r="J895" s="35" t="s">
        <v>141</v>
      </c>
      <c r="K895" s="36">
        <v>46066</v>
      </c>
      <c r="L895" s="36">
        <v>46082</v>
      </c>
      <c r="M895" s="36"/>
      <c r="N895" s="36"/>
      <c r="O895" s="36"/>
      <c r="P895" s="36"/>
      <c r="Q895" s="36"/>
      <c r="R895" s="35" t="s">
        <v>142</v>
      </c>
      <c r="S895" s="35" t="s">
        <v>543</v>
      </c>
      <c r="T895" s="35" t="s">
        <v>177</v>
      </c>
      <c r="U895" s="35" t="s">
        <v>81</v>
      </c>
      <c r="V895" s="35" t="s">
        <v>509</v>
      </c>
      <c r="W895" s="35" t="s">
        <v>123</v>
      </c>
      <c r="X895" s="35">
        <v>93.38</v>
      </c>
      <c r="Y895" s="35">
        <v>7.47</v>
      </c>
      <c r="Z895" s="35">
        <v>7.47</v>
      </c>
      <c r="AA895" s="35">
        <v>0</v>
      </c>
      <c r="AB895" s="35"/>
      <c r="AC895" s="35">
        <v>0</v>
      </c>
      <c r="AD895" s="35"/>
      <c r="AE895" s="35">
        <v>0</v>
      </c>
      <c r="AF895" s="35"/>
      <c r="AG895" s="35">
        <v>0</v>
      </c>
      <c r="AH895" s="35"/>
      <c r="AI895" s="37">
        <v>0</v>
      </c>
    </row>
    <row r="896" spans="1:35" x14ac:dyDescent="0.25">
      <c r="A896" s="38" t="s">
        <v>110</v>
      </c>
      <c r="B896" s="39" t="s">
        <v>993</v>
      </c>
      <c r="C896" s="39" t="s">
        <v>2655</v>
      </c>
      <c r="D896" s="39">
        <v>26078</v>
      </c>
      <c r="E896" s="39" t="s">
        <v>3546</v>
      </c>
      <c r="F896" s="39" t="s">
        <v>3547</v>
      </c>
      <c r="G896" s="39" t="s">
        <v>115</v>
      </c>
      <c r="H896" s="39" t="s">
        <v>160</v>
      </c>
      <c r="I896" s="39" t="s">
        <v>117</v>
      </c>
      <c r="J896" s="39" t="s">
        <v>141</v>
      </c>
      <c r="K896" s="40">
        <v>46066</v>
      </c>
      <c r="L896" s="40">
        <v>46082</v>
      </c>
      <c r="M896" s="40"/>
      <c r="N896" s="40"/>
      <c r="O896" s="40"/>
      <c r="P896" s="40"/>
      <c r="Q896" s="40"/>
      <c r="R896" s="39" t="s">
        <v>187</v>
      </c>
      <c r="S896" s="39" t="s">
        <v>543</v>
      </c>
      <c r="T896" s="39" t="s">
        <v>177</v>
      </c>
      <c r="U896" s="35" t="s">
        <v>81</v>
      </c>
      <c r="V896" s="39" t="s">
        <v>509</v>
      </c>
      <c r="W896" s="39" t="s">
        <v>123</v>
      </c>
      <c r="X896" s="39">
        <v>338.23</v>
      </c>
      <c r="Y896" s="39">
        <v>27.06</v>
      </c>
      <c r="Z896" s="39">
        <v>27.06</v>
      </c>
      <c r="AA896" s="39">
        <v>0</v>
      </c>
      <c r="AB896" s="39"/>
      <c r="AC896" s="39">
        <v>0</v>
      </c>
      <c r="AD896" s="39"/>
      <c r="AE896" s="39">
        <v>0</v>
      </c>
      <c r="AF896" s="39"/>
      <c r="AG896" s="39">
        <v>0</v>
      </c>
      <c r="AH896" s="39"/>
      <c r="AI896" s="41">
        <v>0</v>
      </c>
    </row>
    <row r="897" spans="1:35" x14ac:dyDescent="0.25">
      <c r="A897" s="34" t="s">
        <v>110</v>
      </c>
      <c r="B897" s="35" t="s">
        <v>993</v>
      </c>
      <c r="C897" s="35" t="s">
        <v>2656</v>
      </c>
      <c r="D897" s="35">
        <v>26264</v>
      </c>
      <c r="E897" s="35" t="s">
        <v>3548</v>
      </c>
      <c r="F897" s="35" t="s">
        <v>3549</v>
      </c>
      <c r="G897" s="35" t="s">
        <v>115</v>
      </c>
      <c r="H897" s="35" t="s">
        <v>160</v>
      </c>
      <c r="I897" s="35" t="s">
        <v>117</v>
      </c>
      <c r="J897" s="35" t="s">
        <v>141</v>
      </c>
      <c r="K897" s="36">
        <v>46066</v>
      </c>
      <c r="L897" s="36">
        <v>46082</v>
      </c>
      <c r="M897" s="36"/>
      <c r="N897" s="36"/>
      <c r="O897" s="36"/>
      <c r="P897" s="36"/>
      <c r="Q897" s="36"/>
      <c r="R897" s="35" t="s">
        <v>187</v>
      </c>
      <c r="S897" s="35" t="s">
        <v>543</v>
      </c>
      <c r="T897" s="35" t="s">
        <v>177</v>
      </c>
      <c r="U897" s="35" t="s">
        <v>81</v>
      </c>
      <c r="V897" s="35" t="s">
        <v>509</v>
      </c>
      <c r="W897" s="35" t="s">
        <v>123</v>
      </c>
      <c r="X897" s="35">
        <v>338.23</v>
      </c>
      <c r="Y897" s="35">
        <v>27.06</v>
      </c>
      <c r="Z897" s="35">
        <v>27.06</v>
      </c>
      <c r="AA897" s="35">
        <v>0</v>
      </c>
      <c r="AB897" s="35"/>
      <c r="AC897" s="35">
        <v>0</v>
      </c>
      <c r="AD897" s="35"/>
      <c r="AE897" s="35">
        <v>0</v>
      </c>
      <c r="AF897" s="35"/>
      <c r="AG897" s="35">
        <v>0</v>
      </c>
      <c r="AH897" s="35"/>
      <c r="AI897" s="37">
        <v>0</v>
      </c>
    </row>
    <row r="898" spans="1:35" x14ac:dyDescent="0.25">
      <c r="A898" s="38" t="s">
        <v>110</v>
      </c>
      <c r="B898" s="39" t="s">
        <v>1795</v>
      </c>
      <c r="C898" s="39" t="s">
        <v>2456</v>
      </c>
      <c r="D898" s="39">
        <v>26410</v>
      </c>
      <c r="E898" s="39" t="s">
        <v>3550</v>
      </c>
      <c r="F898" s="39" t="s">
        <v>3551</v>
      </c>
      <c r="G898" s="39" t="s">
        <v>115</v>
      </c>
      <c r="H898" s="39" t="s">
        <v>160</v>
      </c>
      <c r="I898" s="39" t="s">
        <v>117</v>
      </c>
      <c r="J898" s="39" t="s">
        <v>141</v>
      </c>
      <c r="K898" s="40">
        <v>46066</v>
      </c>
      <c r="L898" s="40">
        <v>46082</v>
      </c>
      <c r="M898" s="40"/>
      <c r="N898" s="40"/>
      <c r="O898" s="40"/>
      <c r="P898" s="40"/>
      <c r="Q898" s="40"/>
      <c r="R898" s="39" t="s">
        <v>187</v>
      </c>
      <c r="S898" s="39" t="s">
        <v>543</v>
      </c>
      <c r="T898" s="39" t="s">
        <v>177</v>
      </c>
      <c r="U898" s="35" t="s">
        <v>81</v>
      </c>
      <c r="V898" s="39" t="s">
        <v>509</v>
      </c>
      <c r="W898" s="39" t="s">
        <v>123</v>
      </c>
      <c r="X898" s="39">
        <v>130.91</v>
      </c>
      <c r="Y898" s="39">
        <v>10.47</v>
      </c>
      <c r="Z898" s="39">
        <v>10.47</v>
      </c>
      <c r="AA898" s="39">
        <v>0</v>
      </c>
      <c r="AB898" s="39"/>
      <c r="AC898" s="39">
        <v>0</v>
      </c>
      <c r="AD898" s="39"/>
      <c r="AE898" s="39">
        <v>0</v>
      </c>
      <c r="AF898" s="39"/>
      <c r="AG898" s="39">
        <v>0</v>
      </c>
      <c r="AH898" s="39"/>
      <c r="AI898" s="41">
        <v>0</v>
      </c>
    </row>
    <row r="899" spans="1:35" x14ac:dyDescent="0.25">
      <c r="A899" s="34" t="s">
        <v>110</v>
      </c>
      <c r="B899" s="35" t="s">
        <v>1795</v>
      </c>
      <c r="C899" s="35" t="s">
        <v>2457</v>
      </c>
      <c r="D899" s="35">
        <v>27120</v>
      </c>
      <c r="E899" s="35" t="s">
        <v>3552</v>
      </c>
      <c r="F899" s="35" t="s">
        <v>3553</v>
      </c>
      <c r="G899" s="35" t="s">
        <v>115</v>
      </c>
      <c r="H899" s="35" t="s">
        <v>160</v>
      </c>
      <c r="I899" s="35" t="s">
        <v>117</v>
      </c>
      <c r="J899" s="35" t="s">
        <v>141</v>
      </c>
      <c r="K899" s="36">
        <v>46066</v>
      </c>
      <c r="L899" s="36">
        <v>46082</v>
      </c>
      <c r="M899" s="36"/>
      <c r="N899" s="36"/>
      <c r="O899" s="36"/>
      <c r="P899" s="36"/>
      <c r="Q899" s="36"/>
      <c r="R899" s="35" t="s">
        <v>187</v>
      </c>
      <c r="S899" s="35" t="s">
        <v>543</v>
      </c>
      <c r="T899" s="35" t="s">
        <v>177</v>
      </c>
      <c r="U899" s="35" t="s">
        <v>81</v>
      </c>
      <c r="V899" s="35" t="s">
        <v>509</v>
      </c>
      <c r="W899" s="35" t="s">
        <v>123</v>
      </c>
      <c r="X899" s="35">
        <v>130.91</v>
      </c>
      <c r="Y899" s="35">
        <v>10.47</v>
      </c>
      <c r="Z899" s="35">
        <v>10.47</v>
      </c>
      <c r="AA899" s="35">
        <v>0</v>
      </c>
      <c r="AB899" s="35"/>
      <c r="AC899" s="35">
        <v>0</v>
      </c>
      <c r="AD899" s="35"/>
      <c r="AE899" s="35">
        <v>0</v>
      </c>
      <c r="AF899" s="35"/>
      <c r="AG899" s="35">
        <v>0</v>
      </c>
      <c r="AH899" s="35"/>
      <c r="AI899" s="37">
        <v>0</v>
      </c>
    </row>
    <row r="900" spans="1:35" x14ac:dyDescent="0.25">
      <c r="A900" s="38" t="s">
        <v>110</v>
      </c>
      <c r="B900" s="39" t="s">
        <v>1795</v>
      </c>
      <c r="C900" s="39" t="s">
        <v>2431</v>
      </c>
      <c r="D900" s="39">
        <v>27635</v>
      </c>
      <c r="E900" s="39" t="s">
        <v>3554</v>
      </c>
      <c r="F900" s="39" t="s">
        <v>3555</v>
      </c>
      <c r="G900" s="39" t="s">
        <v>115</v>
      </c>
      <c r="H900" s="39" t="s">
        <v>160</v>
      </c>
      <c r="I900" s="39" t="s">
        <v>117</v>
      </c>
      <c r="J900" s="39" t="s">
        <v>141</v>
      </c>
      <c r="K900" s="40">
        <v>46066</v>
      </c>
      <c r="L900" s="40">
        <v>46082</v>
      </c>
      <c r="M900" s="40"/>
      <c r="N900" s="40"/>
      <c r="O900" s="40"/>
      <c r="P900" s="40"/>
      <c r="Q900" s="40"/>
      <c r="R900" s="39" t="s">
        <v>187</v>
      </c>
      <c r="S900" s="39" t="s">
        <v>543</v>
      </c>
      <c r="T900" s="39" t="s">
        <v>177</v>
      </c>
      <c r="U900" s="35" t="s">
        <v>81</v>
      </c>
      <c r="V900" s="39" t="s">
        <v>509</v>
      </c>
      <c r="W900" s="39" t="s">
        <v>123</v>
      </c>
      <c r="X900" s="39">
        <v>128.72</v>
      </c>
      <c r="Y900" s="39">
        <v>10.31</v>
      </c>
      <c r="Z900" s="39">
        <v>10.31</v>
      </c>
      <c r="AA900" s="39">
        <v>0</v>
      </c>
      <c r="AB900" s="39"/>
      <c r="AC900" s="39">
        <v>0</v>
      </c>
      <c r="AD900" s="39"/>
      <c r="AE900" s="39">
        <v>0</v>
      </c>
      <c r="AF900" s="39"/>
      <c r="AG900" s="39">
        <v>0</v>
      </c>
      <c r="AH900" s="39"/>
      <c r="AI900" s="41">
        <v>0</v>
      </c>
    </row>
    <row r="901" spans="1:35" x14ac:dyDescent="0.25">
      <c r="A901" s="34" t="s">
        <v>110</v>
      </c>
      <c r="B901" s="35" t="s">
        <v>993</v>
      </c>
      <c r="C901" s="35" t="s">
        <v>2438</v>
      </c>
      <c r="D901" s="35">
        <v>27735</v>
      </c>
      <c r="E901" s="35" t="s">
        <v>3556</v>
      </c>
      <c r="F901" s="35" t="s">
        <v>3557</v>
      </c>
      <c r="G901" s="35" t="s">
        <v>115</v>
      </c>
      <c r="H901" s="35" t="s">
        <v>160</v>
      </c>
      <c r="I901" s="35" t="s">
        <v>117</v>
      </c>
      <c r="J901" s="35" t="s">
        <v>141</v>
      </c>
      <c r="K901" s="36">
        <v>46066</v>
      </c>
      <c r="L901" s="36">
        <v>46082</v>
      </c>
      <c r="M901" s="36"/>
      <c r="N901" s="36"/>
      <c r="O901" s="36"/>
      <c r="P901" s="36"/>
      <c r="Q901" s="36"/>
      <c r="R901" s="35" t="s">
        <v>187</v>
      </c>
      <c r="S901" s="35" t="s">
        <v>543</v>
      </c>
      <c r="T901" s="35" t="s">
        <v>177</v>
      </c>
      <c r="U901" s="35" t="s">
        <v>81</v>
      </c>
      <c r="V901" s="35" t="s">
        <v>509</v>
      </c>
      <c r="W901" s="35" t="s">
        <v>123</v>
      </c>
      <c r="X901" s="35">
        <v>338.23</v>
      </c>
      <c r="Y901" s="35">
        <v>27.06</v>
      </c>
      <c r="Z901" s="35">
        <v>27.06</v>
      </c>
      <c r="AA901" s="35">
        <v>0</v>
      </c>
      <c r="AB901" s="35"/>
      <c r="AC901" s="35">
        <v>0</v>
      </c>
      <c r="AD901" s="35"/>
      <c r="AE901" s="35">
        <v>0</v>
      </c>
      <c r="AF901" s="35"/>
      <c r="AG901" s="35">
        <v>0</v>
      </c>
      <c r="AH901" s="35"/>
      <c r="AI901" s="37">
        <v>0</v>
      </c>
    </row>
    <row r="902" spans="1:35" x14ac:dyDescent="0.25">
      <c r="A902" s="38" t="s">
        <v>110</v>
      </c>
      <c r="B902" s="39" t="s">
        <v>993</v>
      </c>
      <c r="C902" s="39" t="s">
        <v>2439</v>
      </c>
      <c r="D902" s="39">
        <v>27736</v>
      </c>
      <c r="E902" s="39" t="s">
        <v>3558</v>
      </c>
      <c r="F902" s="39" t="s">
        <v>3559</v>
      </c>
      <c r="G902" s="39" t="s">
        <v>115</v>
      </c>
      <c r="H902" s="39" t="s">
        <v>160</v>
      </c>
      <c r="I902" s="39" t="s">
        <v>117</v>
      </c>
      <c r="J902" s="39" t="s">
        <v>141</v>
      </c>
      <c r="K902" s="40">
        <v>46066</v>
      </c>
      <c r="L902" s="40">
        <v>46082</v>
      </c>
      <c r="M902" s="40"/>
      <c r="N902" s="40"/>
      <c r="O902" s="40"/>
      <c r="P902" s="40"/>
      <c r="Q902" s="40"/>
      <c r="R902" s="39" t="s">
        <v>187</v>
      </c>
      <c r="S902" s="39" t="s">
        <v>543</v>
      </c>
      <c r="T902" s="39" t="s">
        <v>177</v>
      </c>
      <c r="U902" s="35" t="s">
        <v>81</v>
      </c>
      <c r="V902" s="39" t="s">
        <v>509</v>
      </c>
      <c r="W902" s="39" t="s">
        <v>123</v>
      </c>
      <c r="X902" s="39">
        <v>338.23</v>
      </c>
      <c r="Y902" s="39">
        <v>27.06</v>
      </c>
      <c r="Z902" s="39">
        <v>27.06</v>
      </c>
      <c r="AA902" s="39">
        <v>0</v>
      </c>
      <c r="AB902" s="39"/>
      <c r="AC902" s="39">
        <v>0</v>
      </c>
      <c r="AD902" s="39"/>
      <c r="AE902" s="39">
        <v>0</v>
      </c>
      <c r="AF902" s="39"/>
      <c r="AG902" s="39">
        <v>0</v>
      </c>
      <c r="AH902" s="39"/>
      <c r="AI902" s="41">
        <v>0</v>
      </c>
    </row>
    <row r="903" spans="1:35" x14ac:dyDescent="0.25">
      <c r="A903" s="34" t="s">
        <v>110</v>
      </c>
      <c r="B903" s="35" t="s">
        <v>993</v>
      </c>
      <c r="C903" s="35" t="s">
        <v>2726</v>
      </c>
      <c r="D903" s="35">
        <v>27965</v>
      </c>
      <c r="E903" s="35" t="s">
        <v>3560</v>
      </c>
      <c r="F903" s="35" t="s">
        <v>3561</v>
      </c>
      <c r="G903" s="35" t="s">
        <v>115</v>
      </c>
      <c r="H903" s="35" t="s">
        <v>160</v>
      </c>
      <c r="I903" s="35" t="s">
        <v>117</v>
      </c>
      <c r="J903" s="35" t="s">
        <v>141</v>
      </c>
      <c r="K903" s="36">
        <v>46066</v>
      </c>
      <c r="L903" s="36">
        <v>46082</v>
      </c>
      <c r="M903" s="36"/>
      <c r="N903" s="36"/>
      <c r="O903" s="36"/>
      <c r="P903" s="36"/>
      <c r="Q903" s="36"/>
      <c r="R903" s="35" t="s">
        <v>187</v>
      </c>
      <c r="S903" s="35" t="s">
        <v>543</v>
      </c>
      <c r="T903" s="35" t="s">
        <v>177</v>
      </c>
      <c r="U903" s="35" t="s">
        <v>81</v>
      </c>
      <c r="V903" s="35" t="s">
        <v>509</v>
      </c>
      <c r="W903" s="35" t="s">
        <v>123</v>
      </c>
      <c r="X903" s="35">
        <v>338.62</v>
      </c>
      <c r="Y903" s="35">
        <v>26.74</v>
      </c>
      <c r="Z903" s="35">
        <v>26.74</v>
      </c>
      <c r="AA903" s="35">
        <v>0</v>
      </c>
      <c r="AB903" s="35"/>
      <c r="AC903" s="35">
        <v>0</v>
      </c>
      <c r="AD903" s="35"/>
      <c r="AE903" s="35">
        <v>0</v>
      </c>
      <c r="AF903" s="35"/>
      <c r="AG903" s="35">
        <v>0</v>
      </c>
      <c r="AH903" s="35"/>
      <c r="AI903" s="37">
        <v>0</v>
      </c>
    </row>
    <row r="904" spans="1:35" x14ac:dyDescent="0.25">
      <c r="A904" s="38" t="s">
        <v>110</v>
      </c>
      <c r="B904" s="39" t="s">
        <v>993</v>
      </c>
      <c r="C904" s="39" t="s">
        <v>2727</v>
      </c>
      <c r="D904" s="39">
        <v>27966</v>
      </c>
      <c r="E904" s="39" t="s">
        <v>3562</v>
      </c>
      <c r="F904" s="39" t="s">
        <v>3563</v>
      </c>
      <c r="G904" s="39" t="s">
        <v>115</v>
      </c>
      <c r="H904" s="39" t="s">
        <v>160</v>
      </c>
      <c r="I904" s="39" t="s">
        <v>117</v>
      </c>
      <c r="J904" s="39" t="s">
        <v>141</v>
      </c>
      <c r="K904" s="40">
        <v>46066</v>
      </c>
      <c r="L904" s="40">
        <v>46082</v>
      </c>
      <c r="M904" s="40"/>
      <c r="N904" s="40"/>
      <c r="O904" s="40"/>
      <c r="P904" s="40"/>
      <c r="Q904" s="40"/>
      <c r="R904" s="39" t="s">
        <v>187</v>
      </c>
      <c r="S904" s="39" t="s">
        <v>543</v>
      </c>
      <c r="T904" s="39" t="s">
        <v>177</v>
      </c>
      <c r="U904" s="35" t="s">
        <v>81</v>
      </c>
      <c r="V904" s="39" t="s">
        <v>509</v>
      </c>
      <c r="W904" s="39" t="s">
        <v>123</v>
      </c>
      <c r="X904" s="39">
        <v>338.62</v>
      </c>
      <c r="Y904" s="39">
        <v>27.09</v>
      </c>
      <c r="Z904" s="39">
        <v>27.09</v>
      </c>
      <c r="AA904" s="39">
        <v>0</v>
      </c>
      <c r="AB904" s="39"/>
      <c r="AC904" s="39">
        <v>0</v>
      </c>
      <c r="AD904" s="39"/>
      <c r="AE904" s="39">
        <v>0</v>
      </c>
      <c r="AF904" s="39"/>
      <c r="AG904" s="39">
        <v>0</v>
      </c>
      <c r="AH904" s="39"/>
      <c r="AI904" s="41">
        <v>0</v>
      </c>
    </row>
    <row r="905" spans="1:35" x14ac:dyDescent="0.25">
      <c r="A905" s="34" t="s">
        <v>110</v>
      </c>
      <c r="B905" s="35" t="s">
        <v>1795</v>
      </c>
      <c r="C905" s="35" t="s">
        <v>2815</v>
      </c>
      <c r="D905" s="35">
        <v>28467</v>
      </c>
      <c r="E905" s="35" t="s">
        <v>3564</v>
      </c>
      <c r="F905" s="35" t="s">
        <v>3565</v>
      </c>
      <c r="G905" s="35" t="s">
        <v>115</v>
      </c>
      <c r="H905" s="35" t="s">
        <v>160</v>
      </c>
      <c r="I905" s="35" t="s">
        <v>117</v>
      </c>
      <c r="J905" s="35" t="s">
        <v>141</v>
      </c>
      <c r="K905" s="36">
        <v>46066</v>
      </c>
      <c r="L905" s="36">
        <v>46082</v>
      </c>
      <c r="M905" s="36"/>
      <c r="N905" s="36"/>
      <c r="O905" s="36"/>
      <c r="P905" s="36"/>
      <c r="Q905" s="36"/>
      <c r="R905" s="35" t="s">
        <v>187</v>
      </c>
      <c r="S905" s="35" t="s">
        <v>543</v>
      </c>
      <c r="T905" s="35" t="s">
        <v>177</v>
      </c>
      <c r="U905" s="35" t="s">
        <v>81</v>
      </c>
      <c r="V905" s="35" t="s">
        <v>509</v>
      </c>
      <c r="W905" s="35" t="s">
        <v>123</v>
      </c>
      <c r="X905" s="35">
        <v>560.66999999999996</v>
      </c>
      <c r="Y905" s="35">
        <v>44.87</v>
      </c>
      <c r="Z905" s="35">
        <v>44.87</v>
      </c>
      <c r="AA905" s="35">
        <v>0</v>
      </c>
      <c r="AB905" s="35"/>
      <c r="AC905" s="35">
        <v>0</v>
      </c>
      <c r="AD905" s="35"/>
      <c r="AE905" s="35">
        <v>0</v>
      </c>
      <c r="AF905" s="35"/>
      <c r="AG905" s="35">
        <v>0</v>
      </c>
      <c r="AH905" s="35"/>
      <c r="AI905" s="37">
        <v>0</v>
      </c>
    </row>
    <row r="906" spans="1:35" x14ac:dyDescent="0.25">
      <c r="A906" s="38" t="s">
        <v>110</v>
      </c>
      <c r="B906" s="39" t="s">
        <v>993</v>
      </c>
      <c r="C906" s="39" t="s">
        <v>2817</v>
      </c>
      <c r="D906" s="39">
        <v>28474</v>
      </c>
      <c r="E906" s="39" t="s">
        <v>3566</v>
      </c>
      <c r="F906" s="39" t="s">
        <v>3567</v>
      </c>
      <c r="G906" s="39" t="s">
        <v>115</v>
      </c>
      <c r="H906" s="39" t="s">
        <v>160</v>
      </c>
      <c r="I906" s="39" t="s">
        <v>117</v>
      </c>
      <c r="J906" s="39" t="s">
        <v>141</v>
      </c>
      <c r="K906" s="40">
        <v>46066</v>
      </c>
      <c r="L906" s="40">
        <v>46082</v>
      </c>
      <c r="M906" s="40"/>
      <c r="N906" s="40"/>
      <c r="O906" s="40"/>
      <c r="P906" s="40"/>
      <c r="Q906" s="40"/>
      <c r="R906" s="39" t="s">
        <v>187</v>
      </c>
      <c r="S906" s="39" t="s">
        <v>543</v>
      </c>
      <c r="T906" s="39" t="s">
        <v>177</v>
      </c>
      <c r="U906" s="35" t="s">
        <v>81</v>
      </c>
      <c r="V906" s="39" t="s">
        <v>509</v>
      </c>
      <c r="W906" s="39" t="s">
        <v>123</v>
      </c>
      <c r="X906" s="39">
        <v>1005.49</v>
      </c>
      <c r="Y906" s="39">
        <v>80.44</v>
      </c>
      <c r="Z906" s="39">
        <v>80.44</v>
      </c>
      <c r="AA906" s="39">
        <v>0</v>
      </c>
      <c r="AB906" s="39"/>
      <c r="AC906" s="39">
        <v>0</v>
      </c>
      <c r="AD906" s="39"/>
      <c r="AE906" s="39">
        <v>0</v>
      </c>
      <c r="AF906" s="39"/>
      <c r="AG906" s="39">
        <v>0</v>
      </c>
      <c r="AH906" s="39"/>
      <c r="AI906" s="41">
        <v>0</v>
      </c>
    </row>
    <row r="907" spans="1:35" x14ac:dyDescent="0.25">
      <c r="A907" s="34" t="s">
        <v>110</v>
      </c>
      <c r="B907" s="35" t="s">
        <v>993</v>
      </c>
      <c r="C907" s="35" t="s">
        <v>2818</v>
      </c>
      <c r="D907" s="35">
        <v>28548</v>
      </c>
      <c r="E907" s="35" t="s">
        <v>3568</v>
      </c>
      <c r="F907" s="35" t="s">
        <v>3569</v>
      </c>
      <c r="G907" s="35" t="s">
        <v>115</v>
      </c>
      <c r="H907" s="35" t="s">
        <v>160</v>
      </c>
      <c r="I907" s="35" t="s">
        <v>117</v>
      </c>
      <c r="J907" s="35" t="s">
        <v>141</v>
      </c>
      <c r="K907" s="36">
        <v>46066</v>
      </c>
      <c r="L907" s="36">
        <v>46082</v>
      </c>
      <c r="M907" s="36"/>
      <c r="N907" s="36"/>
      <c r="O907" s="36"/>
      <c r="P907" s="36"/>
      <c r="Q907" s="36"/>
      <c r="R907" s="35" t="s">
        <v>187</v>
      </c>
      <c r="S907" s="35" t="s">
        <v>543</v>
      </c>
      <c r="T907" s="35" t="s">
        <v>177</v>
      </c>
      <c r="U907" s="35" t="s">
        <v>81</v>
      </c>
      <c r="V907" s="35" t="s">
        <v>509</v>
      </c>
      <c r="W907" s="35" t="s">
        <v>123</v>
      </c>
      <c r="X907" s="35">
        <v>93.38</v>
      </c>
      <c r="Y907" s="35">
        <v>7.47</v>
      </c>
      <c r="Z907" s="35">
        <v>7.47</v>
      </c>
      <c r="AA907" s="35">
        <v>0</v>
      </c>
      <c r="AB907" s="35"/>
      <c r="AC907" s="35">
        <v>0</v>
      </c>
      <c r="AD907" s="35"/>
      <c r="AE907" s="35">
        <v>0</v>
      </c>
      <c r="AF907" s="35"/>
      <c r="AG907" s="35">
        <v>0</v>
      </c>
      <c r="AH907" s="35"/>
      <c r="AI907" s="37">
        <v>0</v>
      </c>
    </row>
    <row r="908" spans="1:35" x14ac:dyDescent="0.25">
      <c r="A908" s="38" t="s">
        <v>110</v>
      </c>
      <c r="B908" s="39" t="s">
        <v>993</v>
      </c>
      <c r="C908" s="39" t="s">
        <v>2833</v>
      </c>
      <c r="D908" s="39">
        <v>29082</v>
      </c>
      <c r="E908" s="39" t="s">
        <v>3570</v>
      </c>
      <c r="F908" s="39" t="s">
        <v>3571</v>
      </c>
      <c r="G908" s="39" t="s">
        <v>115</v>
      </c>
      <c r="H908" s="39" t="s">
        <v>160</v>
      </c>
      <c r="I908" s="39" t="s">
        <v>117</v>
      </c>
      <c r="J908" s="39" t="s">
        <v>141</v>
      </c>
      <c r="K908" s="40">
        <v>46066</v>
      </c>
      <c r="L908" s="40">
        <v>46082</v>
      </c>
      <c r="M908" s="40"/>
      <c r="N908" s="40"/>
      <c r="O908" s="40"/>
      <c r="P908" s="40"/>
      <c r="Q908" s="40"/>
      <c r="R908" s="39" t="s">
        <v>187</v>
      </c>
      <c r="S908" s="39" t="s">
        <v>543</v>
      </c>
      <c r="T908" s="39" t="s">
        <v>177</v>
      </c>
      <c r="U908" s="35" t="s">
        <v>81</v>
      </c>
      <c r="V908" s="39" t="s">
        <v>509</v>
      </c>
      <c r="W908" s="39" t="s">
        <v>123</v>
      </c>
      <c r="X908" s="39">
        <v>369.42</v>
      </c>
      <c r="Y908" s="39">
        <v>29.56</v>
      </c>
      <c r="Z908" s="39">
        <v>29.56</v>
      </c>
      <c r="AA908" s="39">
        <v>0</v>
      </c>
      <c r="AB908" s="39"/>
      <c r="AC908" s="39">
        <v>0</v>
      </c>
      <c r="AD908" s="39"/>
      <c r="AE908" s="39">
        <v>0</v>
      </c>
      <c r="AF908" s="39"/>
      <c r="AG908" s="39">
        <v>0</v>
      </c>
      <c r="AH908" s="39"/>
      <c r="AI908" s="41">
        <v>0</v>
      </c>
    </row>
    <row r="909" spans="1:35" x14ac:dyDescent="0.25">
      <c r="A909" s="34" t="s">
        <v>110</v>
      </c>
      <c r="B909" s="35" t="s">
        <v>993</v>
      </c>
      <c r="C909" s="35" t="s">
        <v>2834</v>
      </c>
      <c r="D909" s="35">
        <v>29083</v>
      </c>
      <c r="E909" s="35" t="s">
        <v>3572</v>
      </c>
      <c r="F909" s="35" t="s">
        <v>3573</v>
      </c>
      <c r="G909" s="35" t="s">
        <v>115</v>
      </c>
      <c r="H909" s="35" t="s">
        <v>160</v>
      </c>
      <c r="I909" s="35" t="s">
        <v>117</v>
      </c>
      <c r="J909" s="35" t="s">
        <v>141</v>
      </c>
      <c r="K909" s="36">
        <v>46066</v>
      </c>
      <c r="L909" s="36">
        <v>46082</v>
      </c>
      <c r="M909" s="36"/>
      <c r="N909" s="36"/>
      <c r="O909" s="36"/>
      <c r="P909" s="36"/>
      <c r="Q909" s="36"/>
      <c r="R909" s="35" t="s">
        <v>187</v>
      </c>
      <c r="S909" s="35" t="s">
        <v>543</v>
      </c>
      <c r="T909" s="35" t="s">
        <v>177</v>
      </c>
      <c r="U909" s="35" t="s">
        <v>81</v>
      </c>
      <c r="V909" s="35" t="s">
        <v>509</v>
      </c>
      <c r="W909" s="35" t="s">
        <v>123</v>
      </c>
      <c r="X909" s="35">
        <v>369.42</v>
      </c>
      <c r="Y909" s="35">
        <v>29.56</v>
      </c>
      <c r="Z909" s="35">
        <v>29.56</v>
      </c>
      <c r="AA909" s="35">
        <v>0</v>
      </c>
      <c r="AB909" s="35"/>
      <c r="AC909" s="35">
        <v>0</v>
      </c>
      <c r="AD909" s="35"/>
      <c r="AE909" s="35">
        <v>0</v>
      </c>
      <c r="AF909" s="35"/>
      <c r="AG909" s="35">
        <v>0</v>
      </c>
      <c r="AH909" s="35"/>
      <c r="AI909" s="37">
        <v>0</v>
      </c>
    </row>
    <row r="910" spans="1:35" x14ac:dyDescent="0.25">
      <c r="A910" s="38" t="s">
        <v>110</v>
      </c>
      <c r="B910" s="39" t="s">
        <v>993</v>
      </c>
      <c r="C910" s="39" t="s">
        <v>2846</v>
      </c>
      <c r="D910" s="39">
        <v>29241</v>
      </c>
      <c r="E910" s="39" t="s">
        <v>3574</v>
      </c>
      <c r="F910" s="39" t="s">
        <v>3575</v>
      </c>
      <c r="G910" s="39" t="s">
        <v>115</v>
      </c>
      <c r="H910" s="39" t="s">
        <v>160</v>
      </c>
      <c r="I910" s="39" t="s">
        <v>117</v>
      </c>
      <c r="J910" s="39" t="s">
        <v>141</v>
      </c>
      <c r="K910" s="40">
        <v>46066</v>
      </c>
      <c r="L910" s="40">
        <v>46082</v>
      </c>
      <c r="M910" s="40"/>
      <c r="N910" s="40"/>
      <c r="O910" s="40"/>
      <c r="P910" s="40"/>
      <c r="Q910" s="40"/>
      <c r="R910" s="39" t="s">
        <v>187</v>
      </c>
      <c r="S910" s="39" t="s">
        <v>543</v>
      </c>
      <c r="T910" s="39" t="s">
        <v>177</v>
      </c>
      <c r="U910" s="35" t="s">
        <v>81</v>
      </c>
      <c r="V910" s="39" t="s">
        <v>509</v>
      </c>
      <c r="W910" s="39" t="s">
        <v>123</v>
      </c>
      <c r="X910" s="39">
        <v>93.38</v>
      </c>
      <c r="Y910" s="39">
        <v>7.47</v>
      </c>
      <c r="Z910" s="39">
        <v>7.47</v>
      </c>
      <c r="AA910" s="39">
        <v>0</v>
      </c>
      <c r="AB910" s="39"/>
      <c r="AC910" s="39">
        <v>0</v>
      </c>
      <c r="AD910" s="39"/>
      <c r="AE910" s="39">
        <v>0</v>
      </c>
      <c r="AF910" s="39"/>
      <c r="AG910" s="39">
        <v>0</v>
      </c>
      <c r="AH910" s="39"/>
      <c r="AI910" s="41">
        <v>0</v>
      </c>
    </row>
    <row r="911" spans="1:35" x14ac:dyDescent="0.25">
      <c r="A911" s="34" t="s">
        <v>110</v>
      </c>
      <c r="B911" s="35" t="s">
        <v>993</v>
      </c>
      <c r="C911" s="35" t="s">
        <v>2847</v>
      </c>
      <c r="D911" s="35">
        <v>29242</v>
      </c>
      <c r="E911" s="35" t="s">
        <v>3576</v>
      </c>
      <c r="F911" s="35" t="s">
        <v>3577</v>
      </c>
      <c r="G911" s="35" t="s">
        <v>115</v>
      </c>
      <c r="H911" s="35" t="s">
        <v>160</v>
      </c>
      <c r="I911" s="35" t="s">
        <v>117</v>
      </c>
      <c r="J911" s="35" t="s">
        <v>141</v>
      </c>
      <c r="K911" s="36">
        <v>46066</v>
      </c>
      <c r="L911" s="36">
        <v>46082</v>
      </c>
      <c r="M911" s="36"/>
      <c r="N911" s="36"/>
      <c r="O911" s="36"/>
      <c r="P911" s="36"/>
      <c r="Q911" s="36"/>
      <c r="R911" s="35" t="s">
        <v>187</v>
      </c>
      <c r="S911" s="35" t="s">
        <v>543</v>
      </c>
      <c r="T911" s="35" t="s">
        <v>177</v>
      </c>
      <c r="U911" s="35" t="s">
        <v>81</v>
      </c>
      <c r="V911" s="35" t="s">
        <v>509</v>
      </c>
      <c r="W911" s="35" t="s">
        <v>123</v>
      </c>
      <c r="X911" s="35">
        <v>93.38</v>
      </c>
      <c r="Y911" s="35">
        <v>7.47</v>
      </c>
      <c r="Z911" s="35">
        <v>7.47</v>
      </c>
      <c r="AA911" s="35">
        <v>0</v>
      </c>
      <c r="AB911" s="35"/>
      <c r="AC911" s="35">
        <v>0</v>
      </c>
      <c r="AD911" s="35"/>
      <c r="AE911" s="35">
        <v>0</v>
      </c>
      <c r="AF911" s="35"/>
      <c r="AG911" s="35">
        <v>0</v>
      </c>
      <c r="AH911" s="35"/>
      <c r="AI911" s="37">
        <v>0</v>
      </c>
    </row>
    <row r="912" spans="1:35" x14ac:dyDescent="0.25">
      <c r="A912" s="38" t="s">
        <v>110</v>
      </c>
      <c r="B912" s="39" t="s">
        <v>993</v>
      </c>
      <c r="C912" s="39" t="s">
        <v>2848</v>
      </c>
      <c r="D912" s="39">
        <v>29243</v>
      </c>
      <c r="E912" s="39" t="s">
        <v>3578</v>
      </c>
      <c r="F912" s="39" t="s">
        <v>3579</v>
      </c>
      <c r="G912" s="39" t="s">
        <v>115</v>
      </c>
      <c r="H912" s="39" t="s">
        <v>160</v>
      </c>
      <c r="I912" s="39" t="s">
        <v>117</v>
      </c>
      <c r="J912" s="39" t="s">
        <v>141</v>
      </c>
      <c r="K912" s="40">
        <v>46066</v>
      </c>
      <c r="L912" s="40">
        <v>46082</v>
      </c>
      <c r="M912" s="40"/>
      <c r="N912" s="40"/>
      <c r="O912" s="40"/>
      <c r="P912" s="40"/>
      <c r="Q912" s="40"/>
      <c r="R912" s="39" t="s">
        <v>187</v>
      </c>
      <c r="S912" s="39" t="s">
        <v>543</v>
      </c>
      <c r="T912" s="39" t="s">
        <v>177</v>
      </c>
      <c r="U912" s="35" t="s">
        <v>81</v>
      </c>
      <c r="V912" s="39" t="s">
        <v>509</v>
      </c>
      <c r="W912" s="39" t="s">
        <v>123</v>
      </c>
      <c r="X912" s="39">
        <v>93.38</v>
      </c>
      <c r="Y912" s="39">
        <v>7.47</v>
      </c>
      <c r="Z912" s="39">
        <v>7.47</v>
      </c>
      <c r="AA912" s="39">
        <v>0</v>
      </c>
      <c r="AB912" s="39"/>
      <c r="AC912" s="39">
        <v>0</v>
      </c>
      <c r="AD912" s="39"/>
      <c r="AE912" s="39">
        <v>0</v>
      </c>
      <c r="AF912" s="39"/>
      <c r="AG912" s="39">
        <v>0</v>
      </c>
      <c r="AH912" s="39"/>
      <c r="AI912" s="41">
        <v>0</v>
      </c>
    </row>
    <row r="913" spans="1:35" x14ac:dyDescent="0.25">
      <c r="A913" s="34" t="s">
        <v>110</v>
      </c>
      <c r="B913" s="35" t="s">
        <v>993</v>
      </c>
      <c r="C913" s="35" t="s">
        <v>2877</v>
      </c>
      <c r="D913" s="35">
        <v>30421</v>
      </c>
      <c r="E913" s="35" t="s">
        <v>3580</v>
      </c>
      <c r="F913" s="35" t="s">
        <v>3581</v>
      </c>
      <c r="G913" s="35" t="s">
        <v>115</v>
      </c>
      <c r="H913" s="35" t="s">
        <v>160</v>
      </c>
      <c r="I913" s="35" t="s">
        <v>117</v>
      </c>
      <c r="J913" s="35" t="s">
        <v>141</v>
      </c>
      <c r="K913" s="36">
        <v>46066</v>
      </c>
      <c r="L913" s="36">
        <v>46082</v>
      </c>
      <c r="M913" s="36"/>
      <c r="N913" s="36"/>
      <c r="O913" s="36"/>
      <c r="P913" s="36"/>
      <c r="Q913" s="36"/>
      <c r="R913" s="35" t="s">
        <v>187</v>
      </c>
      <c r="S913" s="35" t="s">
        <v>543</v>
      </c>
      <c r="T913" s="35" t="s">
        <v>177</v>
      </c>
      <c r="U913" s="35" t="s">
        <v>81</v>
      </c>
      <c r="V913" s="35" t="s">
        <v>509</v>
      </c>
      <c r="W913" s="35" t="s">
        <v>123</v>
      </c>
      <c r="X913" s="35">
        <v>369.42</v>
      </c>
      <c r="Y913" s="35">
        <v>29.56</v>
      </c>
      <c r="Z913" s="35">
        <v>29.56</v>
      </c>
      <c r="AA913" s="35">
        <v>0</v>
      </c>
      <c r="AB913" s="35"/>
      <c r="AC913" s="35">
        <v>0</v>
      </c>
      <c r="AD913" s="35"/>
      <c r="AE913" s="35">
        <v>0</v>
      </c>
      <c r="AF913" s="35"/>
      <c r="AG913" s="35">
        <v>0</v>
      </c>
      <c r="AH913" s="35"/>
      <c r="AI913" s="37">
        <v>0</v>
      </c>
    </row>
    <row r="914" spans="1:35" x14ac:dyDescent="0.25">
      <c r="A914" s="38" t="s">
        <v>110</v>
      </c>
      <c r="B914" s="39" t="s">
        <v>993</v>
      </c>
      <c r="C914" s="39" t="s">
        <v>2878</v>
      </c>
      <c r="D914" s="39">
        <v>30422</v>
      </c>
      <c r="E914" s="39" t="s">
        <v>3582</v>
      </c>
      <c r="F914" s="39" t="s">
        <v>3583</v>
      </c>
      <c r="G914" s="39" t="s">
        <v>115</v>
      </c>
      <c r="H914" s="39" t="s">
        <v>160</v>
      </c>
      <c r="I914" s="39" t="s">
        <v>117</v>
      </c>
      <c r="J914" s="39" t="s">
        <v>141</v>
      </c>
      <c r="K914" s="40">
        <v>46066</v>
      </c>
      <c r="L914" s="40">
        <v>46082</v>
      </c>
      <c r="M914" s="40"/>
      <c r="N914" s="40"/>
      <c r="O914" s="40"/>
      <c r="P914" s="40"/>
      <c r="Q914" s="40"/>
      <c r="R914" s="39" t="s">
        <v>187</v>
      </c>
      <c r="S914" s="39" t="s">
        <v>543</v>
      </c>
      <c r="T914" s="39" t="s">
        <v>177</v>
      </c>
      <c r="U914" s="35" t="s">
        <v>81</v>
      </c>
      <c r="V914" s="39" t="s">
        <v>509</v>
      </c>
      <c r="W914" s="39" t="s">
        <v>123</v>
      </c>
      <c r="X914" s="39">
        <v>369.42</v>
      </c>
      <c r="Y914" s="39">
        <v>29.56</v>
      </c>
      <c r="Z914" s="39">
        <v>29.56</v>
      </c>
      <c r="AA914" s="39">
        <v>0</v>
      </c>
      <c r="AB914" s="39"/>
      <c r="AC914" s="39">
        <v>0</v>
      </c>
      <c r="AD914" s="39"/>
      <c r="AE914" s="39">
        <v>0</v>
      </c>
      <c r="AF914" s="39"/>
      <c r="AG914" s="39">
        <v>0</v>
      </c>
      <c r="AH914" s="39"/>
      <c r="AI914" s="41">
        <v>0</v>
      </c>
    </row>
    <row r="915" spans="1:35" x14ac:dyDescent="0.25">
      <c r="A915" s="34" t="s">
        <v>110</v>
      </c>
      <c r="B915" s="35" t="s">
        <v>156</v>
      </c>
      <c r="C915" s="35" t="s">
        <v>2464</v>
      </c>
      <c r="D915" s="35">
        <v>21847</v>
      </c>
      <c r="E915" s="35" t="s">
        <v>3584</v>
      </c>
      <c r="F915" s="35" t="s">
        <v>3585</v>
      </c>
      <c r="G915" s="35" t="s">
        <v>115</v>
      </c>
      <c r="H915" s="35" t="s">
        <v>160</v>
      </c>
      <c r="I915" s="35" t="s">
        <v>117</v>
      </c>
      <c r="J915" s="35" t="s">
        <v>141</v>
      </c>
      <c r="K915" s="36">
        <v>46066</v>
      </c>
      <c r="L915" s="36">
        <v>46110</v>
      </c>
      <c r="M915" s="36"/>
      <c r="N915" s="36"/>
      <c r="O915" s="36"/>
      <c r="P915" s="36"/>
      <c r="Q915" s="36"/>
      <c r="R915" s="35" t="s">
        <v>187</v>
      </c>
      <c r="S915" s="35" t="s">
        <v>88</v>
      </c>
      <c r="T915" s="35" t="s">
        <v>744</v>
      </c>
      <c r="U915" s="35" t="s">
        <v>88</v>
      </c>
      <c r="V915" s="35" t="s">
        <v>509</v>
      </c>
      <c r="W915" s="35" t="s">
        <v>123</v>
      </c>
      <c r="X915" s="35">
        <v>9272.5499999999993</v>
      </c>
      <c r="Y915" s="35">
        <v>1854.51</v>
      </c>
      <c r="Z915" s="35">
        <v>1854.51</v>
      </c>
      <c r="AA915" s="35">
        <v>0</v>
      </c>
      <c r="AB915" s="35"/>
      <c r="AC915" s="35">
        <v>0</v>
      </c>
      <c r="AD915" s="35"/>
      <c r="AE915" s="35">
        <v>0</v>
      </c>
      <c r="AF915" s="35"/>
      <c r="AG915" s="35">
        <v>0</v>
      </c>
      <c r="AH915" s="35"/>
      <c r="AI915" s="37">
        <v>0</v>
      </c>
    </row>
    <row r="916" spans="1:35" x14ac:dyDescent="0.25">
      <c r="A916" s="38" t="s">
        <v>110</v>
      </c>
      <c r="B916" s="39" t="s">
        <v>156</v>
      </c>
      <c r="C916" s="39" t="s">
        <v>2399</v>
      </c>
      <c r="D916" s="39">
        <v>21944</v>
      </c>
      <c r="E916" s="39" t="s">
        <v>3586</v>
      </c>
      <c r="F916" s="39" t="s">
        <v>3587</v>
      </c>
      <c r="G916" s="39" t="s">
        <v>115</v>
      </c>
      <c r="H916" s="39" t="s">
        <v>160</v>
      </c>
      <c r="I916" s="39" t="s">
        <v>117</v>
      </c>
      <c r="J916" s="39" t="s">
        <v>141</v>
      </c>
      <c r="K916" s="40">
        <v>46066</v>
      </c>
      <c r="L916" s="40">
        <v>46111</v>
      </c>
      <c r="M916" s="40"/>
      <c r="N916" s="40"/>
      <c r="O916" s="40"/>
      <c r="P916" s="40"/>
      <c r="Q916" s="40"/>
      <c r="R916" s="39" t="s">
        <v>187</v>
      </c>
      <c r="S916" s="39" t="s">
        <v>2400</v>
      </c>
      <c r="T916" s="39" t="s">
        <v>974</v>
      </c>
      <c r="U916" s="35" t="s">
        <v>91</v>
      </c>
      <c r="V916" s="39" t="s">
        <v>509</v>
      </c>
      <c r="W916" s="39" t="s">
        <v>123</v>
      </c>
      <c r="X916" s="39">
        <v>15926.33</v>
      </c>
      <c r="Y916" s="39">
        <v>3185.27</v>
      </c>
      <c r="Z916" s="39">
        <v>3185.27</v>
      </c>
      <c r="AA916" s="39">
        <v>0</v>
      </c>
      <c r="AB916" s="39"/>
      <c r="AC916" s="39">
        <v>0</v>
      </c>
      <c r="AD916" s="39"/>
      <c r="AE916" s="39">
        <v>0</v>
      </c>
      <c r="AF916" s="39"/>
      <c r="AG916" s="39">
        <v>0</v>
      </c>
      <c r="AH916" s="39"/>
      <c r="AI916" s="41">
        <v>0</v>
      </c>
    </row>
    <row r="917" spans="1:35" x14ac:dyDescent="0.25">
      <c r="A917" s="34" t="s">
        <v>110</v>
      </c>
      <c r="B917" s="35" t="s">
        <v>993</v>
      </c>
      <c r="C917" s="35" t="s">
        <v>2471</v>
      </c>
      <c r="D917" s="35">
        <v>21116</v>
      </c>
      <c r="E917" s="35" t="s">
        <v>3588</v>
      </c>
      <c r="F917" s="35" t="s">
        <v>3589</v>
      </c>
      <c r="G917" s="35" t="s">
        <v>115</v>
      </c>
      <c r="H917" s="35" t="s">
        <v>160</v>
      </c>
      <c r="I917" s="35" t="s">
        <v>117</v>
      </c>
      <c r="J917" s="35" t="s">
        <v>141</v>
      </c>
      <c r="K917" s="36">
        <v>46066</v>
      </c>
      <c r="L917" s="36">
        <v>46082</v>
      </c>
      <c r="M917" s="36"/>
      <c r="N917" s="36"/>
      <c r="O917" s="36"/>
      <c r="P917" s="36"/>
      <c r="Q917" s="36"/>
      <c r="R917" s="35" t="s">
        <v>187</v>
      </c>
      <c r="S917" s="35" t="s">
        <v>997</v>
      </c>
      <c r="T917" s="35" t="s">
        <v>998</v>
      </c>
      <c r="U917" s="35" t="s">
        <v>91</v>
      </c>
      <c r="V917" s="35" t="s">
        <v>509</v>
      </c>
      <c r="W917" s="35" t="s">
        <v>123</v>
      </c>
      <c r="X917" s="35">
        <v>192.5</v>
      </c>
      <c r="Y917" s="35">
        <v>15.4</v>
      </c>
      <c r="Z917" s="35">
        <v>15.4</v>
      </c>
      <c r="AA917" s="35">
        <v>0</v>
      </c>
      <c r="AB917" s="35"/>
      <c r="AC917" s="35">
        <v>0</v>
      </c>
      <c r="AD917" s="35"/>
      <c r="AE917" s="35">
        <v>0</v>
      </c>
      <c r="AF917" s="35"/>
      <c r="AG917" s="35">
        <v>0</v>
      </c>
      <c r="AH917" s="35"/>
      <c r="AI917" s="37">
        <v>0</v>
      </c>
    </row>
    <row r="918" spans="1:35" x14ac:dyDescent="0.25">
      <c r="A918" s="38" t="s">
        <v>110</v>
      </c>
      <c r="B918" s="39" t="s">
        <v>993</v>
      </c>
      <c r="C918" s="39" t="s">
        <v>2472</v>
      </c>
      <c r="D918" s="39">
        <v>22525</v>
      </c>
      <c r="E918" s="39" t="s">
        <v>3590</v>
      </c>
      <c r="F918" s="39" t="s">
        <v>3591</v>
      </c>
      <c r="G918" s="39" t="s">
        <v>115</v>
      </c>
      <c r="H918" s="39" t="s">
        <v>160</v>
      </c>
      <c r="I918" s="39" t="s">
        <v>117</v>
      </c>
      <c r="J918" s="39" t="s">
        <v>141</v>
      </c>
      <c r="K918" s="40">
        <v>46066</v>
      </c>
      <c r="L918" s="40">
        <v>46082</v>
      </c>
      <c r="M918" s="40"/>
      <c r="N918" s="40"/>
      <c r="O918" s="40"/>
      <c r="P918" s="40"/>
      <c r="Q918" s="40"/>
      <c r="R918" s="39" t="s">
        <v>187</v>
      </c>
      <c r="S918" s="39" t="s">
        <v>997</v>
      </c>
      <c r="T918" s="39" t="s">
        <v>998</v>
      </c>
      <c r="U918" s="35" t="s">
        <v>91</v>
      </c>
      <c r="V918" s="39" t="s">
        <v>509</v>
      </c>
      <c r="W918" s="39" t="s">
        <v>123</v>
      </c>
      <c r="X918" s="39">
        <v>196.15</v>
      </c>
      <c r="Y918" s="39">
        <v>15.69</v>
      </c>
      <c r="Z918" s="39">
        <v>15.69</v>
      </c>
      <c r="AA918" s="39">
        <v>0</v>
      </c>
      <c r="AB918" s="39"/>
      <c r="AC918" s="39">
        <v>0</v>
      </c>
      <c r="AD918" s="39"/>
      <c r="AE918" s="39">
        <v>0</v>
      </c>
      <c r="AF918" s="39"/>
      <c r="AG918" s="39">
        <v>0</v>
      </c>
      <c r="AH918" s="39"/>
      <c r="AI918" s="41">
        <v>0</v>
      </c>
    </row>
    <row r="919" spans="1:35" x14ac:dyDescent="0.25">
      <c r="A919" s="34" t="s">
        <v>110</v>
      </c>
      <c r="B919" s="35" t="s">
        <v>993</v>
      </c>
      <c r="C919" s="35" t="s">
        <v>2473</v>
      </c>
      <c r="D919" s="35">
        <v>23230</v>
      </c>
      <c r="E919" s="35" t="s">
        <v>3592</v>
      </c>
      <c r="F919" s="35" t="s">
        <v>3593</v>
      </c>
      <c r="G919" s="35" t="s">
        <v>115</v>
      </c>
      <c r="H919" s="35" t="s">
        <v>160</v>
      </c>
      <c r="I919" s="35" t="s">
        <v>117</v>
      </c>
      <c r="J919" s="35" t="s">
        <v>141</v>
      </c>
      <c r="K919" s="36">
        <v>46066</v>
      </c>
      <c r="L919" s="36">
        <v>46082</v>
      </c>
      <c r="M919" s="36"/>
      <c r="N919" s="36"/>
      <c r="O919" s="36"/>
      <c r="P919" s="36"/>
      <c r="Q919" s="36"/>
      <c r="R919" s="35" t="s">
        <v>187</v>
      </c>
      <c r="S919" s="35" t="s">
        <v>997</v>
      </c>
      <c r="T919" s="35" t="s">
        <v>998</v>
      </c>
      <c r="U919" s="35" t="s">
        <v>91</v>
      </c>
      <c r="V919" s="35" t="s">
        <v>509</v>
      </c>
      <c r="W919" s="35" t="s">
        <v>123</v>
      </c>
      <c r="X919" s="35">
        <v>236.5</v>
      </c>
      <c r="Y919" s="35">
        <v>18.920000000000002</v>
      </c>
      <c r="Z919" s="35">
        <v>18.920000000000002</v>
      </c>
      <c r="AA919" s="35">
        <v>0</v>
      </c>
      <c r="AB919" s="35"/>
      <c r="AC919" s="35">
        <v>0</v>
      </c>
      <c r="AD919" s="35"/>
      <c r="AE919" s="35">
        <v>0</v>
      </c>
      <c r="AF919" s="35"/>
      <c r="AG919" s="35">
        <v>0</v>
      </c>
      <c r="AH919" s="35"/>
      <c r="AI919" s="37">
        <v>0</v>
      </c>
    </row>
    <row r="920" spans="1:35" x14ac:dyDescent="0.25">
      <c r="A920" s="38" t="s">
        <v>110</v>
      </c>
      <c r="B920" s="39" t="s">
        <v>993</v>
      </c>
      <c r="C920" s="39" t="s">
        <v>2474</v>
      </c>
      <c r="D920" s="39">
        <v>23272</v>
      </c>
      <c r="E920" s="39" t="s">
        <v>3594</v>
      </c>
      <c r="F920" s="39" t="s">
        <v>3595</v>
      </c>
      <c r="G920" s="39" t="s">
        <v>115</v>
      </c>
      <c r="H920" s="39" t="s">
        <v>160</v>
      </c>
      <c r="I920" s="39" t="s">
        <v>117</v>
      </c>
      <c r="J920" s="39" t="s">
        <v>141</v>
      </c>
      <c r="K920" s="40">
        <v>46066</v>
      </c>
      <c r="L920" s="40">
        <v>46082</v>
      </c>
      <c r="M920" s="40"/>
      <c r="N920" s="40"/>
      <c r="O920" s="40"/>
      <c r="P920" s="40"/>
      <c r="Q920" s="40"/>
      <c r="R920" s="39" t="s">
        <v>187</v>
      </c>
      <c r="S920" s="39" t="s">
        <v>997</v>
      </c>
      <c r="T920" s="39" t="s">
        <v>998</v>
      </c>
      <c r="U920" s="35" t="s">
        <v>91</v>
      </c>
      <c r="V920" s="39" t="s">
        <v>509</v>
      </c>
      <c r="W920" s="39" t="s">
        <v>123</v>
      </c>
      <c r="X920" s="39">
        <v>190.69</v>
      </c>
      <c r="Y920" s="39">
        <v>15.26</v>
      </c>
      <c r="Z920" s="39">
        <v>15.26</v>
      </c>
      <c r="AA920" s="39">
        <v>0</v>
      </c>
      <c r="AB920" s="39"/>
      <c r="AC920" s="39">
        <v>0</v>
      </c>
      <c r="AD920" s="39"/>
      <c r="AE920" s="39">
        <v>0</v>
      </c>
      <c r="AF920" s="39"/>
      <c r="AG920" s="39">
        <v>0</v>
      </c>
      <c r="AH920" s="39"/>
      <c r="AI920" s="41">
        <v>0</v>
      </c>
    </row>
    <row r="921" spans="1:35" x14ac:dyDescent="0.25">
      <c r="A921" s="34" t="s">
        <v>110</v>
      </c>
      <c r="B921" s="35" t="s">
        <v>993</v>
      </c>
      <c r="C921" s="35" t="s">
        <v>2475</v>
      </c>
      <c r="D921" s="35">
        <v>23286</v>
      </c>
      <c r="E921" s="35" t="s">
        <v>3596</v>
      </c>
      <c r="F921" s="35" t="s">
        <v>3597</v>
      </c>
      <c r="G921" s="35" t="s">
        <v>115</v>
      </c>
      <c r="H921" s="35" t="s">
        <v>160</v>
      </c>
      <c r="I921" s="35" t="s">
        <v>117</v>
      </c>
      <c r="J921" s="35" t="s">
        <v>141</v>
      </c>
      <c r="K921" s="36">
        <v>46066</v>
      </c>
      <c r="L921" s="36">
        <v>46082</v>
      </c>
      <c r="M921" s="36"/>
      <c r="N921" s="36"/>
      <c r="O921" s="36"/>
      <c r="P921" s="36"/>
      <c r="Q921" s="36"/>
      <c r="R921" s="35" t="s">
        <v>187</v>
      </c>
      <c r="S921" s="35" t="s">
        <v>997</v>
      </c>
      <c r="T921" s="35" t="s">
        <v>998</v>
      </c>
      <c r="U921" s="35" t="s">
        <v>91</v>
      </c>
      <c r="V921" s="35" t="s">
        <v>509</v>
      </c>
      <c r="W921" s="35" t="s">
        <v>123</v>
      </c>
      <c r="X921" s="35">
        <v>442.9</v>
      </c>
      <c r="Y921" s="35">
        <v>35.43</v>
      </c>
      <c r="Z921" s="35">
        <v>35.43</v>
      </c>
      <c r="AA921" s="35">
        <v>0</v>
      </c>
      <c r="AB921" s="35"/>
      <c r="AC921" s="35">
        <v>0</v>
      </c>
      <c r="AD921" s="35"/>
      <c r="AE921" s="35">
        <v>0</v>
      </c>
      <c r="AF921" s="35"/>
      <c r="AG921" s="35">
        <v>0</v>
      </c>
      <c r="AH921" s="35"/>
      <c r="AI921" s="37">
        <v>0</v>
      </c>
    </row>
    <row r="922" spans="1:35" x14ac:dyDescent="0.25">
      <c r="A922" s="38" t="s">
        <v>110</v>
      </c>
      <c r="B922" s="39" t="s">
        <v>993</v>
      </c>
      <c r="C922" s="39" t="s">
        <v>2476</v>
      </c>
      <c r="D922" s="39">
        <v>23348</v>
      </c>
      <c r="E922" s="39" t="s">
        <v>3598</v>
      </c>
      <c r="F922" s="39" t="s">
        <v>3599</v>
      </c>
      <c r="G922" s="39" t="s">
        <v>115</v>
      </c>
      <c r="H922" s="39" t="s">
        <v>160</v>
      </c>
      <c r="I922" s="39" t="s">
        <v>117</v>
      </c>
      <c r="J922" s="39" t="s">
        <v>141</v>
      </c>
      <c r="K922" s="40">
        <v>46066</v>
      </c>
      <c r="L922" s="40">
        <v>46082</v>
      </c>
      <c r="M922" s="40"/>
      <c r="N922" s="40"/>
      <c r="O922" s="40"/>
      <c r="P922" s="40"/>
      <c r="Q922" s="40"/>
      <c r="R922" s="39" t="s">
        <v>187</v>
      </c>
      <c r="S922" s="39" t="s">
        <v>997</v>
      </c>
      <c r="T922" s="39" t="s">
        <v>998</v>
      </c>
      <c r="U922" s="35" t="s">
        <v>91</v>
      </c>
      <c r="V922" s="39" t="s">
        <v>509</v>
      </c>
      <c r="W922" s="39" t="s">
        <v>123</v>
      </c>
      <c r="X922" s="39">
        <v>558.66</v>
      </c>
      <c r="Y922" s="39">
        <v>44.69</v>
      </c>
      <c r="Z922" s="39">
        <v>44.69</v>
      </c>
      <c r="AA922" s="39">
        <v>0</v>
      </c>
      <c r="AB922" s="39"/>
      <c r="AC922" s="39">
        <v>0</v>
      </c>
      <c r="AD922" s="39"/>
      <c r="AE922" s="39">
        <v>0</v>
      </c>
      <c r="AF922" s="39"/>
      <c r="AG922" s="39">
        <v>0</v>
      </c>
      <c r="AH922" s="39"/>
      <c r="AI922" s="41">
        <v>0</v>
      </c>
    </row>
    <row r="923" spans="1:35" x14ac:dyDescent="0.25">
      <c r="A923" s="34" t="s">
        <v>110</v>
      </c>
      <c r="B923" s="35" t="s">
        <v>993</v>
      </c>
      <c r="C923" s="35" t="s">
        <v>2477</v>
      </c>
      <c r="D923" s="35">
        <v>23440</v>
      </c>
      <c r="E923" s="35" t="s">
        <v>3600</v>
      </c>
      <c r="F923" s="35" t="s">
        <v>3601</v>
      </c>
      <c r="G923" s="35" t="s">
        <v>115</v>
      </c>
      <c r="H923" s="35" t="s">
        <v>160</v>
      </c>
      <c r="I923" s="35" t="s">
        <v>117</v>
      </c>
      <c r="J923" s="35" t="s">
        <v>141</v>
      </c>
      <c r="K923" s="36">
        <v>46066</v>
      </c>
      <c r="L923" s="36">
        <v>46082</v>
      </c>
      <c r="M923" s="36"/>
      <c r="N923" s="36"/>
      <c r="O923" s="36"/>
      <c r="P923" s="36"/>
      <c r="Q923" s="36"/>
      <c r="R923" s="35" t="s">
        <v>187</v>
      </c>
      <c r="S923" s="35" t="s">
        <v>997</v>
      </c>
      <c r="T923" s="35" t="s">
        <v>998</v>
      </c>
      <c r="U923" s="35" t="s">
        <v>91</v>
      </c>
      <c r="V923" s="35" t="s">
        <v>509</v>
      </c>
      <c r="W923" s="35" t="s">
        <v>123</v>
      </c>
      <c r="X923" s="35">
        <v>558.66</v>
      </c>
      <c r="Y923" s="35">
        <v>44.69</v>
      </c>
      <c r="Z923" s="35">
        <v>44.69</v>
      </c>
      <c r="AA923" s="35">
        <v>0</v>
      </c>
      <c r="AB923" s="35"/>
      <c r="AC923" s="35">
        <v>0</v>
      </c>
      <c r="AD923" s="35"/>
      <c r="AE923" s="35">
        <v>0</v>
      </c>
      <c r="AF923" s="35"/>
      <c r="AG923" s="35">
        <v>0</v>
      </c>
      <c r="AH923" s="35"/>
      <c r="AI923" s="37">
        <v>0</v>
      </c>
    </row>
    <row r="924" spans="1:35" x14ac:dyDescent="0.25">
      <c r="A924" s="38" t="s">
        <v>110</v>
      </c>
      <c r="B924" s="39" t="s">
        <v>993</v>
      </c>
      <c r="C924" s="39" t="s">
        <v>2835</v>
      </c>
      <c r="D924" s="39">
        <v>29084</v>
      </c>
      <c r="E924" s="39" t="s">
        <v>3602</v>
      </c>
      <c r="F924" s="39" t="s">
        <v>3603</v>
      </c>
      <c r="G924" s="39" t="s">
        <v>115</v>
      </c>
      <c r="H924" s="39" t="s">
        <v>160</v>
      </c>
      <c r="I924" s="39" t="s">
        <v>117</v>
      </c>
      <c r="J924" s="39" t="s">
        <v>141</v>
      </c>
      <c r="K924" s="40">
        <v>46066</v>
      </c>
      <c r="L924" s="40">
        <v>46082</v>
      </c>
      <c r="M924" s="40"/>
      <c r="N924" s="40"/>
      <c r="O924" s="40"/>
      <c r="P924" s="40"/>
      <c r="Q924" s="40"/>
      <c r="R924" s="39" t="s">
        <v>187</v>
      </c>
      <c r="S924" s="39" t="s">
        <v>997</v>
      </c>
      <c r="T924" s="39" t="s">
        <v>998</v>
      </c>
      <c r="U924" s="35" t="s">
        <v>91</v>
      </c>
      <c r="V924" s="39" t="s">
        <v>509</v>
      </c>
      <c r="W924" s="39" t="s">
        <v>123</v>
      </c>
      <c r="X924" s="39">
        <v>226.6</v>
      </c>
      <c r="Y924" s="39">
        <v>18.13</v>
      </c>
      <c r="Z924" s="39">
        <v>18.13</v>
      </c>
      <c r="AA924" s="39">
        <v>0</v>
      </c>
      <c r="AB924" s="39"/>
      <c r="AC924" s="39">
        <v>0</v>
      </c>
      <c r="AD924" s="39"/>
      <c r="AE924" s="39">
        <v>0</v>
      </c>
      <c r="AF924" s="39"/>
      <c r="AG924" s="39">
        <v>0</v>
      </c>
      <c r="AH924" s="39"/>
      <c r="AI924" s="41">
        <v>0</v>
      </c>
    </row>
    <row r="925" spans="1:35" x14ac:dyDescent="0.25">
      <c r="A925" s="34" t="s">
        <v>110</v>
      </c>
      <c r="B925" s="35" t="s">
        <v>993</v>
      </c>
      <c r="C925" s="35" t="s">
        <v>2836</v>
      </c>
      <c r="D925" s="35">
        <v>29085</v>
      </c>
      <c r="E925" s="35" t="s">
        <v>3604</v>
      </c>
      <c r="F925" s="35" t="s">
        <v>3605</v>
      </c>
      <c r="G925" s="35" t="s">
        <v>115</v>
      </c>
      <c r="H925" s="35" t="s">
        <v>160</v>
      </c>
      <c r="I925" s="35" t="s">
        <v>117</v>
      </c>
      <c r="J925" s="35" t="s">
        <v>141</v>
      </c>
      <c r="K925" s="36">
        <v>46066</v>
      </c>
      <c r="L925" s="36">
        <v>46082</v>
      </c>
      <c r="M925" s="36"/>
      <c r="N925" s="36"/>
      <c r="O925" s="36"/>
      <c r="P925" s="36"/>
      <c r="Q925" s="36"/>
      <c r="R925" s="35" t="s">
        <v>187</v>
      </c>
      <c r="S925" s="35" t="s">
        <v>997</v>
      </c>
      <c r="T925" s="35" t="s">
        <v>998</v>
      </c>
      <c r="U925" s="35" t="s">
        <v>91</v>
      </c>
      <c r="V925" s="35" t="s">
        <v>509</v>
      </c>
      <c r="W925" s="35" t="s">
        <v>123</v>
      </c>
      <c r="X925" s="35">
        <v>226.6</v>
      </c>
      <c r="Y925" s="35">
        <v>18.13</v>
      </c>
      <c r="Z925" s="35">
        <v>18.13</v>
      </c>
      <c r="AA925" s="35">
        <v>0</v>
      </c>
      <c r="AB925" s="35"/>
      <c r="AC925" s="35">
        <v>0</v>
      </c>
      <c r="AD925" s="35"/>
      <c r="AE925" s="35">
        <v>0</v>
      </c>
      <c r="AF925" s="35"/>
      <c r="AG925" s="35">
        <v>0</v>
      </c>
      <c r="AH925" s="35"/>
      <c r="AI925" s="37">
        <v>0</v>
      </c>
    </row>
    <row r="926" spans="1:35" x14ac:dyDescent="0.25">
      <c r="A926" s="38" t="s">
        <v>110</v>
      </c>
      <c r="B926" s="39" t="s">
        <v>983</v>
      </c>
      <c r="C926" s="39" t="s">
        <v>984</v>
      </c>
      <c r="D926" s="39">
        <v>22922</v>
      </c>
      <c r="E926" s="39" t="s">
        <v>3606</v>
      </c>
      <c r="F926" s="39" t="s">
        <v>3607</v>
      </c>
      <c r="G926" s="39" t="s">
        <v>192</v>
      </c>
      <c r="H926" s="39" t="s">
        <v>160</v>
      </c>
      <c r="I926" s="39" t="s">
        <v>117</v>
      </c>
      <c r="J926" s="39" t="s">
        <v>118</v>
      </c>
      <c r="K926" s="40">
        <v>46066</v>
      </c>
      <c r="L926" s="40">
        <v>46023</v>
      </c>
      <c r="M926" s="40">
        <v>46080</v>
      </c>
      <c r="N926" s="40"/>
      <c r="O926" s="40"/>
      <c r="P926" s="40"/>
      <c r="Q926" s="40">
        <v>46113</v>
      </c>
      <c r="R926" s="39" t="s">
        <v>142</v>
      </c>
      <c r="S926" s="39" t="s">
        <v>987</v>
      </c>
      <c r="T926" s="39" t="s">
        <v>974</v>
      </c>
      <c r="U926" s="35" t="s">
        <v>91</v>
      </c>
      <c r="V926" s="39" t="s">
        <v>509</v>
      </c>
      <c r="W926" s="39" t="s">
        <v>123</v>
      </c>
      <c r="X926" s="39">
        <v>32.54</v>
      </c>
      <c r="Y926" s="39">
        <v>6.51</v>
      </c>
      <c r="Z926" s="39">
        <v>6.51</v>
      </c>
      <c r="AA926" s="39">
        <v>0</v>
      </c>
      <c r="AB926" s="39"/>
      <c r="AC926" s="39">
        <v>0</v>
      </c>
      <c r="AD926" s="39"/>
      <c r="AE926" s="39">
        <v>0</v>
      </c>
      <c r="AF926" s="39"/>
      <c r="AG926" s="39">
        <v>0</v>
      </c>
      <c r="AH926" s="39"/>
      <c r="AI926" s="41">
        <v>0</v>
      </c>
    </row>
    <row r="927" spans="1:35" x14ac:dyDescent="0.25">
      <c r="A927" s="34" t="s">
        <v>110</v>
      </c>
      <c r="B927" s="35" t="s">
        <v>544</v>
      </c>
      <c r="C927" s="35" t="s">
        <v>2850</v>
      </c>
      <c r="D927" s="35">
        <v>29311</v>
      </c>
      <c r="E927" s="35" t="s">
        <v>3608</v>
      </c>
      <c r="F927" s="35" t="s">
        <v>3609</v>
      </c>
      <c r="G927" s="35" t="s">
        <v>440</v>
      </c>
      <c r="H927" s="35" t="s">
        <v>160</v>
      </c>
      <c r="I927" s="35" t="s">
        <v>117</v>
      </c>
      <c r="J927" s="35" t="s">
        <v>118</v>
      </c>
      <c r="K927" s="36">
        <v>46066</v>
      </c>
      <c r="L927" s="36">
        <v>46023</v>
      </c>
      <c r="M927" s="36">
        <v>46066</v>
      </c>
      <c r="N927" s="36"/>
      <c r="O927" s="36"/>
      <c r="P927" s="36"/>
      <c r="Q927" s="36">
        <v>46113</v>
      </c>
      <c r="R927" s="35" t="s">
        <v>187</v>
      </c>
      <c r="S927" s="35" t="s">
        <v>543</v>
      </c>
      <c r="T927" s="35" t="s">
        <v>177</v>
      </c>
      <c r="U927" s="35" t="s">
        <v>81</v>
      </c>
      <c r="V927" s="35" t="s">
        <v>509</v>
      </c>
      <c r="W927" s="35" t="s">
        <v>123</v>
      </c>
      <c r="X927" s="35">
        <v>-259.55</v>
      </c>
      <c r="Y927" s="35">
        <v>-10.38</v>
      </c>
      <c r="Z927" s="35">
        <v>-10.38</v>
      </c>
      <c r="AA927" s="35">
        <v>0</v>
      </c>
      <c r="AB927" s="35"/>
      <c r="AC927" s="35">
        <v>0</v>
      </c>
      <c r="AD927" s="35"/>
      <c r="AE927" s="35">
        <v>0</v>
      </c>
      <c r="AF927" s="35"/>
      <c r="AG927" s="35">
        <v>0</v>
      </c>
      <c r="AH927" s="35"/>
      <c r="AI927" s="37">
        <v>0</v>
      </c>
    </row>
    <row r="928" spans="1:35" x14ac:dyDescent="0.25">
      <c r="A928" s="38" t="s">
        <v>110</v>
      </c>
      <c r="B928" s="39" t="s">
        <v>544</v>
      </c>
      <c r="C928" s="39" t="s">
        <v>2851</v>
      </c>
      <c r="D928" s="39">
        <v>29321</v>
      </c>
      <c r="E928" s="39" t="s">
        <v>3610</v>
      </c>
      <c r="F928" s="39" t="s">
        <v>3611</v>
      </c>
      <c r="G928" s="39" t="s">
        <v>440</v>
      </c>
      <c r="H928" s="39" t="s">
        <v>160</v>
      </c>
      <c r="I928" s="39" t="s">
        <v>117</v>
      </c>
      <c r="J928" s="39" t="s">
        <v>118</v>
      </c>
      <c r="K928" s="40">
        <v>46066</v>
      </c>
      <c r="L928" s="40">
        <v>46023</v>
      </c>
      <c r="M928" s="40">
        <v>46066</v>
      </c>
      <c r="N928" s="40"/>
      <c r="O928" s="40"/>
      <c r="P928" s="40"/>
      <c r="Q928" s="40">
        <v>46113</v>
      </c>
      <c r="R928" s="39" t="s">
        <v>187</v>
      </c>
      <c r="S928" s="39" t="s">
        <v>543</v>
      </c>
      <c r="T928" s="39" t="s">
        <v>177</v>
      </c>
      <c r="U928" s="35" t="s">
        <v>81</v>
      </c>
      <c r="V928" s="39" t="s">
        <v>509</v>
      </c>
      <c r="W928" s="39" t="s">
        <v>123</v>
      </c>
      <c r="X928" s="39">
        <v>-259.55</v>
      </c>
      <c r="Y928" s="39">
        <v>-10.38</v>
      </c>
      <c r="Z928" s="39">
        <v>-10.38</v>
      </c>
      <c r="AA928" s="39">
        <v>0</v>
      </c>
      <c r="AB928" s="39"/>
      <c r="AC928" s="39">
        <v>0</v>
      </c>
      <c r="AD928" s="39"/>
      <c r="AE928" s="39">
        <v>0</v>
      </c>
      <c r="AF928" s="39"/>
      <c r="AG928" s="39">
        <v>0</v>
      </c>
      <c r="AH928" s="39"/>
      <c r="AI928" s="41">
        <v>0</v>
      </c>
    </row>
    <row r="929" spans="1:35" x14ac:dyDescent="0.25">
      <c r="A929" s="34" t="s">
        <v>110</v>
      </c>
      <c r="B929" s="35" t="s">
        <v>544</v>
      </c>
      <c r="C929" s="35" t="s">
        <v>2852</v>
      </c>
      <c r="D929" s="35">
        <v>29323</v>
      </c>
      <c r="E929" s="35" t="s">
        <v>3612</v>
      </c>
      <c r="F929" s="35" t="s">
        <v>3613</v>
      </c>
      <c r="G929" s="35" t="s">
        <v>440</v>
      </c>
      <c r="H929" s="35" t="s">
        <v>160</v>
      </c>
      <c r="I929" s="35" t="s">
        <v>117</v>
      </c>
      <c r="J929" s="35" t="s">
        <v>118</v>
      </c>
      <c r="K929" s="36">
        <v>46066</v>
      </c>
      <c r="L929" s="36">
        <v>46023</v>
      </c>
      <c r="M929" s="36">
        <v>46066</v>
      </c>
      <c r="N929" s="36"/>
      <c r="O929" s="36"/>
      <c r="P929" s="36"/>
      <c r="Q929" s="36">
        <v>46113</v>
      </c>
      <c r="R929" s="35" t="s">
        <v>187</v>
      </c>
      <c r="S929" s="35" t="s">
        <v>543</v>
      </c>
      <c r="T929" s="35" t="s">
        <v>177</v>
      </c>
      <c r="U929" s="35" t="s">
        <v>81</v>
      </c>
      <c r="V929" s="35" t="s">
        <v>509</v>
      </c>
      <c r="W929" s="35" t="s">
        <v>123</v>
      </c>
      <c r="X929" s="35">
        <v>-259.55</v>
      </c>
      <c r="Y929" s="35">
        <v>-10.38</v>
      </c>
      <c r="Z929" s="35">
        <v>-10.38</v>
      </c>
      <c r="AA929" s="35">
        <v>0</v>
      </c>
      <c r="AB929" s="35"/>
      <c r="AC929" s="35">
        <v>0</v>
      </c>
      <c r="AD929" s="35"/>
      <c r="AE929" s="35">
        <v>0</v>
      </c>
      <c r="AF929" s="35"/>
      <c r="AG929" s="35">
        <v>0</v>
      </c>
      <c r="AH929" s="35"/>
      <c r="AI929" s="37">
        <v>0</v>
      </c>
    </row>
    <row r="930" spans="1:35" x14ac:dyDescent="0.25">
      <c r="A930" s="38" t="s">
        <v>110</v>
      </c>
      <c r="B930" s="39" t="s">
        <v>544</v>
      </c>
      <c r="C930" s="39" t="s">
        <v>2853</v>
      </c>
      <c r="D930" s="39">
        <v>29333</v>
      </c>
      <c r="E930" s="39" t="s">
        <v>3614</v>
      </c>
      <c r="F930" s="39" t="s">
        <v>3615</v>
      </c>
      <c r="G930" s="39" t="s">
        <v>440</v>
      </c>
      <c r="H930" s="39" t="s">
        <v>160</v>
      </c>
      <c r="I930" s="39" t="s">
        <v>117</v>
      </c>
      <c r="J930" s="39" t="s">
        <v>118</v>
      </c>
      <c r="K930" s="40">
        <v>46066</v>
      </c>
      <c r="L930" s="40">
        <v>46023</v>
      </c>
      <c r="M930" s="40">
        <v>46066</v>
      </c>
      <c r="N930" s="40"/>
      <c r="O930" s="40"/>
      <c r="P930" s="40"/>
      <c r="Q930" s="40">
        <v>46113</v>
      </c>
      <c r="R930" s="39" t="s">
        <v>187</v>
      </c>
      <c r="S930" s="39" t="s">
        <v>543</v>
      </c>
      <c r="T930" s="39" t="s">
        <v>177</v>
      </c>
      <c r="U930" s="35" t="s">
        <v>81</v>
      </c>
      <c r="V930" s="39" t="s">
        <v>509</v>
      </c>
      <c r="W930" s="39" t="s">
        <v>123</v>
      </c>
      <c r="X930" s="39">
        <v>-366.92</v>
      </c>
      <c r="Y930" s="39">
        <v>-14.68</v>
      </c>
      <c r="Z930" s="39">
        <v>-14.68</v>
      </c>
      <c r="AA930" s="39">
        <v>0</v>
      </c>
      <c r="AB930" s="39"/>
      <c r="AC930" s="39">
        <v>0</v>
      </c>
      <c r="AD930" s="39"/>
      <c r="AE930" s="39">
        <v>0</v>
      </c>
      <c r="AF930" s="39"/>
      <c r="AG930" s="39">
        <v>0</v>
      </c>
      <c r="AH930" s="39"/>
      <c r="AI930" s="41">
        <v>0</v>
      </c>
    </row>
    <row r="931" spans="1:35" x14ac:dyDescent="0.25">
      <c r="A931" s="34" t="s">
        <v>110</v>
      </c>
      <c r="B931" s="35" t="s">
        <v>544</v>
      </c>
      <c r="C931" s="35" t="s">
        <v>2854</v>
      </c>
      <c r="D931" s="35">
        <v>29334</v>
      </c>
      <c r="E931" s="35" t="s">
        <v>3616</v>
      </c>
      <c r="F931" s="35" t="s">
        <v>3617</v>
      </c>
      <c r="G931" s="35" t="s">
        <v>440</v>
      </c>
      <c r="H931" s="35" t="s">
        <v>160</v>
      </c>
      <c r="I931" s="35" t="s">
        <v>117</v>
      </c>
      <c r="J931" s="35" t="s">
        <v>118</v>
      </c>
      <c r="K931" s="36">
        <v>46066</v>
      </c>
      <c r="L931" s="36">
        <v>46023</v>
      </c>
      <c r="M931" s="36">
        <v>46066</v>
      </c>
      <c r="N931" s="36"/>
      <c r="O931" s="36"/>
      <c r="P931" s="36"/>
      <c r="Q931" s="36">
        <v>46113</v>
      </c>
      <c r="R931" s="35" t="s">
        <v>187</v>
      </c>
      <c r="S931" s="35" t="s">
        <v>543</v>
      </c>
      <c r="T931" s="35" t="s">
        <v>177</v>
      </c>
      <c r="U931" s="35" t="s">
        <v>81</v>
      </c>
      <c r="V931" s="35" t="s">
        <v>509</v>
      </c>
      <c r="W931" s="35" t="s">
        <v>123</v>
      </c>
      <c r="X931" s="35">
        <v>-366.92</v>
      </c>
      <c r="Y931" s="35">
        <v>-14.68</v>
      </c>
      <c r="Z931" s="35">
        <v>-14.68</v>
      </c>
      <c r="AA931" s="35">
        <v>0</v>
      </c>
      <c r="AB931" s="35"/>
      <c r="AC931" s="35">
        <v>0</v>
      </c>
      <c r="AD931" s="35"/>
      <c r="AE931" s="35">
        <v>0</v>
      </c>
      <c r="AF931" s="35"/>
      <c r="AG931" s="35">
        <v>0</v>
      </c>
      <c r="AH931" s="35"/>
      <c r="AI931" s="37">
        <v>0</v>
      </c>
    </row>
    <row r="932" spans="1:35" x14ac:dyDescent="0.25">
      <c r="A932" s="38" t="s">
        <v>110</v>
      </c>
      <c r="B932" s="39" t="s">
        <v>544</v>
      </c>
      <c r="C932" s="39" t="s">
        <v>2855</v>
      </c>
      <c r="D932" s="39">
        <v>29336</v>
      </c>
      <c r="E932" s="39" t="s">
        <v>3618</v>
      </c>
      <c r="F932" s="39" t="s">
        <v>3619</v>
      </c>
      <c r="G932" s="39" t="s">
        <v>440</v>
      </c>
      <c r="H932" s="39" t="s">
        <v>160</v>
      </c>
      <c r="I932" s="39" t="s">
        <v>117</v>
      </c>
      <c r="J932" s="39" t="s">
        <v>118</v>
      </c>
      <c r="K932" s="40">
        <v>46066</v>
      </c>
      <c r="L932" s="40">
        <v>46023</v>
      </c>
      <c r="M932" s="40">
        <v>46066</v>
      </c>
      <c r="N932" s="40"/>
      <c r="O932" s="40"/>
      <c r="P932" s="40"/>
      <c r="Q932" s="40">
        <v>46113</v>
      </c>
      <c r="R932" s="39" t="s">
        <v>187</v>
      </c>
      <c r="S932" s="39" t="s">
        <v>543</v>
      </c>
      <c r="T932" s="39" t="s">
        <v>177</v>
      </c>
      <c r="U932" s="35" t="s">
        <v>81</v>
      </c>
      <c r="V932" s="39" t="s">
        <v>509</v>
      </c>
      <c r="W932" s="39" t="s">
        <v>123</v>
      </c>
      <c r="X932" s="39">
        <v>-366.92</v>
      </c>
      <c r="Y932" s="39">
        <v>-14.68</v>
      </c>
      <c r="Z932" s="39">
        <v>-14.68</v>
      </c>
      <c r="AA932" s="39">
        <v>0</v>
      </c>
      <c r="AB932" s="39"/>
      <c r="AC932" s="39">
        <v>0</v>
      </c>
      <c r="AD932" s="39"/>
      <c r="AE932" s="39">
        <v>0</v>
      </c>
      <c r="AF932" s="39"/>
      <c r="AG932" s="39">
        <v>0</v>
      </c>
      <c r="AH932" s="39"/>
      <c r="AI932" s="41">
        <v>0</v>
      </c>
    </row>
    <row r="933" spans="1:35" x14ac:dyDescent="0.25">
      <c r="A933" s="34" t="s">
        <v>110</v>
      </c>
      <c r="B933" s="35" t="s">
        <v>544</v>
      </c>
      <c r="C933" s="35" t="s">
        <v>2857</v>
      </c>
      <c r="D933" s="35">
        <v>29558</v>
      </c>
      <c r="E933" s="35" t="s">
        <v>3620</v>
      </c>
      <c r="F933" s="35" t="s">
        <v>3621</v>
      </c>
      <c r="G933" s="35" t="s">
        <v>440</v>
      </c>
      <c r="H933" s="35" t="s">
        <v>160</v>
      </c>
      <c r="I933" s="35" t="s">
        <v>117</v>
      </c>
      <c r="J933" s="35" t="s">
        <v>118</v>
      </c>
      <c r="K933" s="36">
        <v>46066</v>
      </c>
      <c r="L933" s="36">
        <v>46023</v>
      </c>
      <c r="M933" s="36">
        <v>46066</v>
      </c>
      <c r="N933" s="36"/>
      <c r="O933" s="36"/>
      <c r="P933" s="36"/>
      <c r="Q933" s="36">
        <v>46113</v>
      </c>
      <c r="R933" s="35" t="s">
        <v>187</v>
      </c>
      <c r="S933" s="35" t="s">
        <v>543</v>
      </c>
      <c r="T933" s="35" t="s">
        <v>177</v>
      </c>
      <c r="U933" s="35" t="s">
        <v>81</v>
      </c>
      <c r="V933" s="35" t="s">
        <v>509</v>
      </c>
      <c r="W933" s="35" t="s">
        <v>123</v>
      </c>
      <c r="X933" s="35">
        <v>-366.92</v>
      </c>
      <c r="Y933" s="35">
        <v>-14.68</v>
      </c>
      <c r="Z933" s="35">
        <v>-14.68</v>
      </c>
      <c r="AA933" s="35">
        <v>0</v>
      </c>
      <c r="AB933" s="35"/>
      <c r="AC933" s="35">
        <v>0</v>
      </c>
      <c r="AD933" s="35"/>
      <c r="AE933" s="35">
        <v>0</v>
      </c>
      <c r="AF933" s="35"/>
      <c r="AG933" s="35">
        <v>0</v>
      </c>
      <c r="AH933" s="35"/>
      <c r="AI933" s="37">
        <v>0</v>
      </c>
    </row>
    <row r="934" spans="1:35" x14ac:dyDescent="0.25">
      <c r="A934" s="38" t="s">
        <v>110</v>
      </c>
      <c r="B934" s="39" t="s">
        <v>544</v>
      </c>
      <c r="C934" s="39" t="s">
        <v>2858</v>
      </c>
      <c r="D934" s="39">
        <v>29562</v>
      </c>
      <c r="E934" s="39" t="s">
        <v>3622</v>
      </c>
      <c r="F934" s="39" t="s">
        <v>3623</v>
      </c>
      <c r="G934" s="39" t="s">
        <v>440</v>
      </c>
      <c r="H934" s="39" t="s">
        <v>160</v>
      </c>
      <c r="I934" s="39" t="s">
        <v>117</v>
      </c>
      <c r="J934" s="39" t="s">
        <v>118</v>
      </c>
      <c r="K934" s="40">
        <v>46066</v>
      </c>
      <c r="L934" s="40">
        <v>46023</v>
      </c>
      <c r="M934" s="40">
        <v>46066</v>
      </c>
      <c r="N934" s="40"/>
      <c r="O934" s="40"/>
      <c r="P934" s="40"/>
      <c r="Q934" s="40">
        <v>46113</v>
      </c>
      <c r="R934" s="39" t="s">
        <v>187</v>
      </c>
      <c r="S934" s="39" t="s">
        <v>543</v>
      </c>
      <c r="T934" s="39" t="s">
        <v>177</v>
      </c>
      <c r="U934" s="35" t="s">
        <v>81</v>
      </c>
      <c r="V934" s="39" t="s">
        <v>509</v>
      </c>
      <c r="W934" s="39" t="s">
        <v>123</v>
      </c>
      <c r="X934" s="39">
        <v>-366.92</v>
      </c>
      <c r="Y934" s="39">
        <v>-14.68</v>
      </c>
      <c r="Z934" s="39">
        <v>-14.68</v>
      </c>
      <c r="AA934" s="39">
        <v>0</v>
      </c>
      <c r="AB934" s="39"/>
      <c r="AC934" s="39">
        <v>0</v>
      </c>
      <c r="AD934" s="39"/>
      <c r="AE934" s="39">
        <v>0</v>
      </c>
      <c r="AF934" s="39"/>
      <c r="AG934" s="39">
        <v>0</v>
      </c>
      <c r="AH934" s="39"/>
      <c r="AI934" s="41">
        <v>0</v>
      </c>
    </row>
    <row r="935" spans="1:35" x14ac:dyDescent="0.25">
      <c r="A935" s="34" t="s">
        <v>110</v>
      </c>
      <c r="B935" s="35" t="s">
        <v>544</v>
      </c>
      <c r="C935" s="35" t="s">
        <v>2859</v>
      </c>
      <c r="D935" s="35">
        <v>29583</v>
      </c>
      <c r="E935" s="35" t="s">
        <v>3624</v>
      </c>
      <c r="F935" s="35" t="s">
        <v>3625</v>
      </c>
      <c r="G935" s="35" t="s">
        <v>440</v>
      </c>
      <c r="H935" s="35" t="s">
        <v>160</v>
      </c>
      <c r="I935" s="35" t="s">
        <v>117</v>
      </c>
      <c r="J935" s="35" t="s">
        <v>118</v>
      </c>
      <c r="K935" s="36">
        <v>46066</v>
      </c>
      <c r="L935" s="36">
        <v>46023</v>
      </c>
      <c r="M935" s="36">
        <v>46066</v>
      </c>
      <c r="N935" s="36"/>
      <c r="O935" s="36"/>
      <c r="P935" s="36"/>
      <c r="Q935" s="36">
        <v>46113</v>
      </c>
      <c r="R935" s="35" t="s">
        <v>187</v>
      </c>
      <c r="S935" s="35" t="s">
        <v>543</v>
      </c>
      <c r="T935" s="35" t="s">
        <v>177</v>
      </c>
      <c r="U935" s="35" t="s">
        <v>81</v>
      </c>
      <c r="V935" s="35" t="s">
        <v>509</v>
      </c>
      <c r="W935" s="35" t="s">
        <v>123</v>
      </c>
      <c r="X935" s="35">
        <v>-366.92</v>
      </c>
      <c r="Y935" s="35">
        <v>-14.68</v>
      </c>
      <c r="Z935" s="35">
        <v>-14.68</v>
      </c>
      <c r="AA935" s="35">
        <v>0</v>
      </c>
      <c r="AB935" s="35"/>
      <c r="AC935" s="35">
        <v>0</v>
      </c>
      <c r="AD935" s="35"/>
      <c r="AE935" s="35">
        <v>0</v>
      </c>
      <c r="AF935" s="35"/>
      <c r="AG935" s="35">
        <v>0</v>
      </c>
      <c r="AH935" s="35"/>
      <c r="AI935" s="37">
        <v>0</v>
      </c>
    </row>
    <row r="936" spans="1:35" x14ac:dyDescent="0.25">
      <c r="A936" s="38" t="s">
        <v>110</v>
      </c>
      <c r="B936" s="39" t="s">
        <v>544</v>
      </c>
      <c r="C936" s="39" t="s">
        <v>2860</v>
      </c>
      <c r="D936" s="39">
        <v>29586</v>
      </c>
      <c r="E936" s="39" t="s">
        <v>3626</v>
      </c>
      <c r="F936" s="39" t="s">
        <v>3627</v>
      </c>
      <c r="G936" s="39" t="s">
        <v>440</v>
      </c>
      <c r="H936" s="39" t="s">
        <v>160</v>
      </c>
      <c r="I936" s="39" t="s">
        <v>117</v>
      </c>
      <c r="J936" s="39" t="s">
        <v>118</v>
      </c>
      <c r="K936" s="40">
        <v>46066</v>
      </c>
      <c r="L936" s="40">
        <v>46023</v>
      </c>
      <c r="M936" s="40">
        <v>46066</v>
      </c>
      <c r="N936" s="40"/>
      <c r="O936" s="40"/>
      <c r="P936" s="40"/>
      <c r="Q936" s="40">
        <v>46113</v>
      </c>
      <c r="R936" s="39" t="s">
        <v>187</v>
      </c>
      <c r="S936" s="39" t="s">
        <v>543</v>
      </c>
      <c r="T936" s="39" t="s">
        <v>177</v>
      </c>
      <c r="U936" s="35" t="s">
        <v>81</v>
      </c>
      <c r="V936" s="39" t="s">
        <v>509</v>
      </c>
      <c r="W936" s="39" t="s">
        <v>123</v>
      </c>
      <c r="X936" s="39">
        <v>-366.92</v>
      </c>
      <c r="Y936" s="39">
        <v>-14.68</v>
      </c>
      <c r="Z936" s="39">
        <v>-14.68</v>
      </c>
      <c r="AA936" s="39">
        <v>0</v>
      </c>
      <c r="AB936" s="39"/>
      <c r="AC936" s="39">
        <v>0</v>
      </c>
      <c r="AD936" s="39"/>
      <c r="AE936" s="39">
        <v>0</v>
      </c>
      <c r="AF936" s="39"/>
      <c r="AG936" s="39">
        <v>0</v>
      </c>
      <c r="AH936" s="39"/>
      <c r="AI936" s="41">
        <v>0</v>
      </c>
    </row>
    <row r="937" spans="1:35" x14ac:dyDescent="0.25">
      <c r="A937" s="34" t="s">
        <v>110</v>
      </c>
      <c r="B937" s="35" t="s">
        <v>544</v>
      </c>
      <c r="C937" s="35" t="s">
        <v>2861</v>
      </c>
      <c r="D937" s="35">
        <v>29595</v>
      </c>
      <c r="E937" s="35" t="s">
        <v>3628</v>
      </c>
      <c r="F937" s="35" t="s">
        <v>3629</v>
      </c>
      <c r="G937" s="35" t="s">
        <v>440</v>
      </c>
      <c r="H937" s="35" t="s">
        <v>160</v>
      </c>
      <c r="I937" s="35" t="s">
        <v>117</v>
      </c>
      <c r="J937" s="35" t="s">
        <v>118</v>
      </c>
      <c r="K937" s="36">
        <v>46066</v>
      </c>
      <c r="L937" s="36">
        <v>46023</v>
      </c>
      <c r="M937" s="36">
        <v>46066</v>
      </c>
      <c r="N937" s="36"/>
      <c r="O937" s="36"/>
      <c r="P937" s="36"/>
      <c r="Q937" s="36">
        <v>46113</v>
      </c>
      <c r="R937" s="35" t="s">
        <v>187</v>
      </c>
      <c r="S937" s="35" t="s">
        <v>543</v>
      </c>
      <c r="T937" s="35" t="s">
        <v>177</v>
      </c>
      <c r="U937" s="35" t="s">
        <v>81</v>
      </c>
      <c r="V937" s="35" t="s">
        <v>509</v>
      </c>
      <c r="W937" s="35" t="s">
        <v>123</v>
      </c>
      <c r="X937" s="35">
        <v>-366.92</v>
      </c>
      <c r="Y937" s="35">
        <v>-14.68</v>
      </c>
      <c r="Z937" s="35">
        <v>-14.68</v>
      </c>
      <c r="AA937" s="35">
        <v>0</v>
      </c>
      <c r="AB937" s="35"/>
      <c r="AC937" s="35">
        <v>0</v>
      </c>
      <c r="AD937" s="35"/>
      <c r="AE937" s="35">
        <v>0</v>
      </c>
      <c r="AF937" s="35"/>
      <c r="AG937" s="35">
        <v>0</v>
      </c>
      <c r="AH937" s="35"/>
      <c r="AI937" s="37">
        <v>0</v>
      </c>
    </row>
    <row r="938" spans="1:35" x14ac:dyDescent="0.25">
      <c r="A938" s="38" t="s">
        <v>110</v>
      </c>
      <c r="B938" s="39" t="s">
        <v>544</v>
      </c>
      <c r="C938" s="39" t="s">
        <v>2862</v>
      </c>
      <c r="D938" s="39">
        <v>29752</v>
      </c>
      <c r="E938" s="39" t="s">
        <v>3630</v>
      </c>
      <c r="F938" s="39" t="s">
        <v>3631</v>
      </c>
      <c r="G938" s="39" t="s">
        <v>440</v>
      </c>
      <c r="H938" s="39" t="s">
        <v>160</v>
      </c>
      <c r="I938" s="39" t="s">
        <v>117</v>
      </c>
      <c r="J938" s="39" t="s">
        <v>118</v>
      </c>
      <c r="K938" s="40">
        <v>46066</v>
      </c>
      <c r="L938" s="40">
        <v>46023</v>
      </c>
      <c r="M938" s="40">
        <v>46066</v>
      </c>
      <c r="N938" s="40"/>
      <c r="O938" s="40"/>
      <c r="P938" s="40"/>
      <c r="Q938" s="40">
        <v>46113</v>
      </c>
      <c r="R938" s="39" t="s">
        <v>187</v>
      </c>
      <c r="S938" s="39" t="s">
        <v>543</v>
      </c>
      <c r="T938" s="39" t="s">
        <v>177</v>
      </c>
      <c r="U938" s="35" t="s">
        <v>81</v>
      </c>
      <c r="V938" s="39" t="s">
        <v>509</v>
      </c>
      <c r="W938" s="39" t="s">
        <v>123</v>
      </c>
      <c r="X938" s="39">
        <v>-102.61</v>
      </c>
      <c r="Y938" s="39">
        <v>-4.0999999999999996</v>
      </c>
      <c r="Z938" s="39">
        <v>-4.0999999999999996</v>
      </c>
      <c r="AA938" s="39">
        <v>0</v>
      </c>
      <c r="AB938" s="39"/>
      <c r="AC938" s="39">
        <v>0</v>
      </c>
      <c r="AD938" s="39"/>
      <c r="AE938" s="39">
        <v>0</v>
      </c>
      <c r="AF938" s="39"/>
      <c r="AG938" s="39">
        <v>0</v>
      </c>
      <c r="AH938" s="39"/>
      <c r="AI938" s="41">
        <v>0</v>
      </c>
    </row>
    <row r="939" spans="1:35" x14ac:dyDescent="0.25">
      <c r="A939" s="34" t="s">
        <v>110</v>
      </c>
      <c r="B939" s="35" t="s">
        <v>544</v>
      </c>
      <c r="C939" s="35" t="s">
        <v>2863</v>
      </c>
      <c r="D939" s="35">
        <v>29771</v>
      </c>
      <c r="E939" s="35" t="s">
        <v>3632</v>
      </c>
      <c r="F939" s="35" t="s">
        <v>3633</v>
      </c>
      <c r="G939" s="35" t="s">
        <v>440</v>
      </c>
      <c r="H939" s="35" t="s">
        <v>160</v>
      </c>
      <c r="I939" s="35" t="s">
        <v>117</v>
      </c>
      <c r="J939" s="35" t="s">
        <v>118</v>
      </c>
      <c r="K939" s="36">
        <v>46066</v>
      </c>
      <c r="L939" s="36">
        <v>46023</v>
      </c>
      <c r="M939" s="36">
        <v>46066</v>
      </c>
      <c r="N939" s="36"/>
      <c r="O939" s="36"/>
      <c r="P939" s="36"/>
      <c r="Q939" s="36">
        <v>46113</v>
      </c>
      <c r="R939" s="35" t="s">
        <v>187</v>
      </c>
      <c r="S939" s="35" t="s">
        <v>543</v>
      </c>
      <c r="T939" s="35" t="s">
        <v>177</v>
      </c>
      <c r="U939" s="35" t="s">
        <v>81</v>
      </c>
      <c r="V939" s="35" t="s">
        <v>509</v>
      </c>
      <c r="W939" s="35" t="s">
        <v>123</v>
      </c>
      <c r="X939" s="35">
        <v>-102.61</v>
      </c>
      <c r="Y939" s="35">
        <v>-4.0999999999999996</v>
      </c>
      <c r="Z939" s="35">
        <v>-4.0999999999999996</v>
      </c>
      <c r="AA939" s="35">
        <v>0</v>
      </c>
      <c r="AB939" s="35"/>
      <c r="AC939" s="35">
        <v>0</v>
      </c>
      <c r="AD939" s="35"/>
      <c r="AE939" s="35">
        <v>0</v>
      </c>
      <c r="AF939" s="35"/>
      <c r="AG939" s="35">
        <v>0</v>
      </c>
      <c r="AH939" s="35"/>
      <c r="AI939" s="37">
        <v>0</v>
      </c>
    </row>
    <row r="940" spans="1:35" x14ac:dyDescent="0.25">
      <c r="A940" s="38" t="s">
        <v>110</v>
      </c>
      <c r="B940" s="39" t="s">
        <v>544</v>
      </c>
      <c r="C940" s="39" t="s">
        <v>2864</v>
      </c>
      <c r="D940" s="39">
        <v>29772</v>
      </c>
      <c r="E940" s="39" t="s">
        <v>3634</v>
      </c>
      <c r="F940" s="39" t="s">
        <v>3635</v>
      </c>
      <c r="G940" s="39" t="s">
        <v>440</v>
      </c>
      <c r="H940" s="39" t="s">
        <v>160</v>
      </c>
      <c r="I940" s="39" t="s">
        <v>117</v>
      </c>
      <c r="J940" s="39" t="s">
        <v>118</v>
      </c>
      <c r="K940" s="40">
        <v>46066</v>
      </c>
      <c r="L940" s="40">
        <v>46023</v>
      </c>
      <c r="M940" s="40">
        <v>46066</v>
      </c>
      <c r="N940" s="40"/>
      <c r="O940" s="40"/>
      <c r="P940" s="40"/>
      <c r="Q940" s="40">
        <v>46113</v>
      </c>
      <c r="R940" s="39" t="s">
        <v>187</v>
      </c>
      <c r="S940" s="39" t="s">
        <v>543</v>
      </c>
      <c r="T940" s="39" t="s">
        <v>177</v>
      </c>
      <c r="U940" s="35" t="s">
        <v>81</v>
      </c>
      <c r="V940" s="39" t="s">
        <v>509</v>
      </c>
      <c r="W940" s="39" t="s">
        <v>123</v>
      </c>
      <c r="X940" s="39">
        <v>-102.61</v>
      </c>
      <c r="Y940" s="39">
        <v>-4.0999999999999996</v>
      </c>
      <c r="Z940" s="39">
        <v>-4.0999999999999996</v>
      </c>
      <c r="AA940" s="39">
        <v>0</v>
      </c>
      <c r="AB940" s="39"/>
      <c r="AC940" s="39">
        <v>0</v>
      </c>
      <c r="AD940" s="39"/>
      <c r="AE940" s="39">
        <v>0</v>
      </c>
      <c r="AF940" s="39"/>
      <c r="AG940" s="39">
        <v>0</v>
      </c>
      <c r="AH940" s="39"/>
      <c r="AI940" s="41">
        <v>0</v>
      </c>
    </row>
    <row r="941" spans="1:35" x14ac:dyDescent="0.25">
      <c r="A941" s="34" t="s">
        <v>110</v>
      </c>
      <c r="B941" s="35" t="s">
        <v>544</v>
      </c>
      <c r="C941" s="35" t="s">
        <v>2865</v>
      </c>
      <c r="D941" s="35">
        <v>29775</v>
      </c>
      <c r="E941" s="35" t="s">
        <v>3636</v>
      </c>
      <c r="F941" s="35" t="s">
        <v>3637</v>
      </c>
      <c r="G941" s="35" t="s">
        <v>440</v>
      </c>
      <c r="H941" s="35" t="s">
        <v>160</v>
      </c>
      <c r="I941" s="35" t="s">
        <v>117</v>
      </c>
      <c r="J941" s="35" t="s">
        <v>118</v>
      </c>
      <c r="K941" s="36">
        <v>46066</v>
      </c>
      <c r="L941" s="36">
        <v>46023</v>
      </c>
      <c r="M941" s="36">
        <v>46066</v>
      </c>
      <c r="N941" s="36"/>
      <c r="O941" s="36"/>
      <c r="P941" s="36"/>
      <c r="Q941" s="36">
        <v>46113</v>
      </c>
      <c r="R941" s="35" t="s">
        <v>187</v>
      </c>
      <c r="S941" s="35" t="s">
        <v>543</v>
      </c>
      <c r="T941" s="35" t="s">
        <v>177</v>
      </c>
      <c r="U941" s="35" t="s">
        <v>81</v>
      </c>
      <c r="V941" s="35" t="s">
        <v>509</v>
      </c>
      <c r="W941" s="35" t="s">
        <v>123</v>
      </c>
      <c r="X941" s="35">
        <v>-102.61</v>
      </c>
      <c r="Y941" s="35">
        <v>-4.0999999999999996</v>
      </c>
      <c r="Z941" s="35">
        <v>-4.0999999999999996</v>
      </c>
      <c r="AA941" s="35">
        <v>0</v>
      </c>
      <c r="AB941" s="35"/>
      <c r="AC941" s="35">
        <v>0</v>
      </c>
      <c r="AD941" s="35"/>
      <c r="AE941" s="35">
        <v>0</v>
      </c>
      <c r="AF941" s="35"/>
      <c r="AG941" s="35">
        <v>0</v>
      </c>
      <c r="AH941" s="35"/>
      <c r="AI941" s="37">
        <v>0</v>
      </c>
    </row>
    <row r="942" spans="1:35" x14ac:dyDescent="0.25">
      <c r="A942" s="38" t="s">
        <v>110</v>
      </c>
      <c r="B942" s="39" t="s">
        <v>544</v>
      </c>
      <c r="C942" s="39" t="s">
        <v>2866</v>
      </c>
      <c r="D942" s="39">
        <v>29776</v>
      </c>
      <c r="E942" s="39" t="s">
        <v>3638</v>
      </c>
      <c r="F942" s="39" t="s">
        <v>3639</v>
      </c>
      <c r="G942" s="39" t="s">
        <v>440</v>
      </c>
      <c r="H942" s="39" t="s">
        <v>160</v>
      </c>
      <c r="I942" s="39" t="s">
        <v>117</v>
      </c>
      <c r="J942" s="39" t="s">
        <v>118</v>
      </c>
      <c r="K942" s="40">
        <v>46066</v>
      </c>
      <c r="L942" s="40">
        <v>46023</v>
      </c>
      <c r="M942" s="40">
        <v>46066</v>
      </c>
      <c r="N942" s="40"/>
      <c r="O942" s="40"/>
      <c r="P942" s="40"/>
      <c r="Q942" s="40">
        <v>46113</v>
      </c>
      <c r="R942" s="39" t="s">
        <v>187</v>
      </c>
      <c r="S942" s="39" t="s">
        <v>543</v>
      </c>
      <c r="T942" s="39" t="s">
        <v>177</v>
      </c>
      <c r="U942" s="35" t="s">
        <v>81</v>
      </c>
      <c r="V942" s="39" t="s">
        <v>509</v>
      </c>
      <c r="W942" s="39" t="s">
        <v>123</v>
      </c>
      <c r="X942" s="39">
        <v>-102.61</v>
      </c>
      <c r="Y942" s="39">
        <v>-4.0999999999999996</v>
      </c>
      <c r="Z942" s="39">
        <v>-4.0999999999999996</v>
      </c>
      <c r="AA942" s="39">
        <v>0</v>
      </c>
      <c r="AB942" s="39"/>
      <c r="AC942" s="39">
        <v>0</v>
      </c>
      <c r="AD942" s="39"/>
      <c r="AE942" s="39">
        <v>0</v>
      </c>
      <c r="AF942" s="39"/>
      <c r="AG942" s="39">
        <v>0</v>
      </c>
      <c r="AH942" s="39"/>
      <c r="AI942" s="41">
        <v>0</v>
      </c>
    </row>
    <row r="943" spans="1:35" x14ac:dyDescent="0.25">
      <c r="A943" s="34" t="s">
        <v>110</v>
      </c>
      <c r="B943" s="35" t="s">
        <v>544</v>
      </c>
      <c r="C943" s="35" t="s">
        <v>2867</v>
      </c>
      <c r="D943" s="35">
        <v>29777</v>
      </c>
      <c r="E943" s="35" t="s">
        <v>3640</v>
      </c>
      <c r="F943" s="35" t="s">
        <v>3641</v>
      </c>
      <c r="G943" s="35" t="s">
        <v>440</v>
      </c>
      <c r="H943" s="35" t="s">
        <v>160</v>
      </c>
      <c r="I943" s="35" t="s">
        <v>117</v>
      </c>
      <c r="J943" s="35" t="s">
        <v>118</v>
      </c>
      <c r="K943" s="36">
        <v>46066</v>
      </c>
      <c r="L943" s="36">
        <v>46023</v>
      </c>
      <c r="M943" s="36">
        <v>46066</v>
      </c>
      <c r="N943" s="36"/>
      <c r="O943" s="36"/>
      <c r="P943" s="36"/>
      <c r="Q943" s="36">
        <v>46113</v>
      </c>
      <c r="R943" s="35" t="s">
        <v>187</v>
      </c>
      <c r="S943" s="35" t="s">
        <v>543</v>
      </c>
      <c r="T943" s="35" t="s">
        <v>177</v>
      </c>
      <c r="U943" s="35" t="s">
        <v>81</v>
      </c>
      <c r="V943" s="35" t="s">
        <v>509</v>
      </c>
      <c r="W943" s="35" t="s">
        <v>123</v>
      </c>
      <c r="X943" s="35">
        <v>-102.61</v>
      </c>
      <c r="Y943" s="35">
        <v>-4.0999999999999996</v>
      </c>
      <c r="Z943" s="35">
        <v>-4.0999999999999996</v>
      </c>
      <c r="AA943" s="35">
        <v>0</v>
      </c>
      <c r="AB943" s="35"/>
      <c r="AC943" s="35">
        <v>0</v>
      </c>
      <c r="AD943" s="35"/>
      <c r="AE943" s="35">
        <v>0</v>
      </c>
      <c r="AF943" s="35"/>
      <c r="AG943" s="35">
        <v>0</v>
      </c>
      <c r="AH943" s="35"/>
      <c r="AI943" s="37">
        <v>0</v>
      </c>
    </row>
    <row r="944" spans="1:35" x14ac:dyDescent="0.25">
      <c r="A944" s="38" t="s">
        <v>110</v>
      </c>
      <c r="B944" s="39" t="s">
        <v>544</v>
      </c>
      <c r="C944" s="39" t="s">
        <v>2868</v>
      </c>
      <c r="D944" s="39">
        <v>29778</v>
      </c>
      <c r="E944" s="39" t="s">
        <v>3642</v>
      </c>
      <c r="F944" s="39" t="s">
        <v>3643</v>
      </c>
      <c r="G944" s="39" t="s">
        <v>440</v>
      </c>
      <c r="H944" s="39" t="s">
        <v>160</v>
      </c>
      <c r="I944" s="39" t="s">
        <v>117</v>
      </c>
      <c r="J944" s="39" t="s">
        <v>118</v>
      </c>
      <c r="K944" s="40">
        <v>46066</v>
      </c>
      <c r="L944" s="40">
        <v>46023</v>
      </c>
      <c r="M944" s="40">
        <v>46066</v>
      </c>
      <c r="N944" s="40"/>
      <c r="O944" s="40"/>
      <c r="P944" s="40"/>
      <c r="Q944" s="40">
        <v>46113</v>
      </c>
      <c r="R944" s="39" t="s">
        <v>187</v>
      </c>
      <c r="S944" s="39" t="s">
        <v>543</v>
      </c>
      <c r="T944" s="39" t="s">
        <v>177</v>
      </c>
      <c r="U944" s="35" t="s">
        <v>81</v>
      </c>
      <c r="V944" s="39" t="s">
        <v>509</v>
      </c>
      <c r="W944" s="39" t="s">
        <v>123</v>
      </c>
      <c r="X944" s="39">
        <v>-102.61</v>
      </c>
      <c r="Y944" s="39">
        <v>-4.0999999999999996</v>
      </c>
      <c r="Z944" s="39">
        <v>-4.0999999999999996</v>
      </c>
      <c r="AA944" s="39">
        <v>0</v>
      </c>
      <c r="AB944" s="39"/>
      <c r="AC944" s="39">
        <v>0</v>
      </c>
      <c r="AD944" s="39"/>
      <c r="AE944" s="39">
        <v>0</v>
      </c>
      <c r="AF944" s="39"/>
      <c r="AG944" s="39">
        <v>0</v>
      </c>
      <c r="AH944" s="39"/>
      <c r="AI944" s="41">
        <v>0</v>
      </c>
    </row>
    <row r="945" spans="1:35" x14ac:dyDescent="0.25">
      <c r="A945" s="34" t="s">
        <v>110</v>
      </c>
      <c r="B945" s="35" t="s">
        <v>544</v>
      </c>
      <c r="C945" s="35" t="s">
        <v>2869</v>
      </c>
      <c r="D945" s="35">
        <v>29780</v>
      </c>
      <c r="E945" s="35" t="s">
        <v>3644</v>
      </c>
      <c r="F945" s="35" t="s">
        <v>3645</v>
      </c>
      <c r="G945" s="35" t="s">
        <v>440</v>
      </c>
      <c r="H945" s="35" t="s">
        <v>160</v>
      </c>
      <c r="I945" s="35" t="s">
        <v>117</v>
      </c>
      <c r="J945" s="35" t="s">
        <v>118</v>
      </c>
      <c r="K945" s="36">
        <v>46066</v>
      </c>
      <c r="L945" s="36">
        <v>46023</v>
      </c>
      <c r="M945" s="36">
        <v>46066</v>
      </c>
      <c r="N945" s="36"/>
      <c r="O945" s="36"/>
      <c r="P945" s="36"/>
      <c r="Q945" s="36">
        <v>46113</v>
      </c>
      <c r="R945" s="35" t="s">
        <v>187</v>
      </c>
      <c r="S945" s="35" t="s">
        <v>543</v>
      </c>
      <c r="T945" s="35" t="s">
        <v>177</v>
      </c>
      <c r="U945" s="35" t="s">
        <v>81</v>
      </c>
      <c r="V945" s="35" t="s">
        <v>509</v>
      </c>
      <c r="W945" s="35" t="s">
        <v>123</v>
      </c>
      <c r="X945" s="35">
        <v>-102.61</v>
      </c>
      <c r="Y945" s="35">
        <v>-4.0999999999999996</v>
      </c>
      <c r="Z945" s="35">
        <v>-4.0999999999999996</v>
      </c>
      <c r="AA945" s="35">
        <v>0</v>
      </c>
      <c r="AB945" s="35"/>
      <c r="AC945" s="35">
        <v>0</v>
      </c>
      <c r="AD945" s="35"/>
      <c r="AE945" s="35">
        <v>0</v>
      </c>
      <c r="AF945" s="35"/>
      <c r="AG945" s="35">
        <v>0</v>
      </c>
      <c r="AH945" s="35"/>
      <c r="AI945" s="37">
        <v>0</v>
      </c>
    </row>
    <row r="946" spans="1:35" x14ac:dyDescent="0.25">
      <c r="A946" s="38" t="s">
        <v>110</v>
      </c>
      <c r="B946" s="39" t="s">
        <v>544</v>
      </c>
      <c r="C946" s="39" t="s">
        <v>2870</v>
      </c>
      <c r="D946" s="39">
        <v>29782</v>
      </c>
      <c r="E946" s="39" t="s">
        <v>3646</v>
      </c>
      <c r="F946" s="39" t="s">
        <v>3647</v>
      </c>
      <c r="G946" s="39" t="s">
        <v>440</v>
      </c>
      <c r="H946" s="39" t="s">
        <v>160</v>
      </c>
      <c r="I946" s="39" t="s">
        <v>117</v>
      </c>
      <c r="J946" s="39" t="s">
        <v>118</v>
      </c>
      <c r="K946" s="40">
        <v>46066</v>
      </c>
      <c r="L946" s="40">
        <v>46023</v>
      </c>
      <c r="M946" s="40">
        <v>46066</v>
      </c>
      <c r="N946" s="40"/>
      <c r="O946" s="40"/>
      <c r="P946" s="40"/>
      <c r="Q946" s="40">
        <v>46113</v>
      </c>
      <c r="R946" s="39" t="s">
        <v>187</v>
      </c>
      <c r="S946" s="39" t="s">
        <v>543</v>
      </c>
      <c r="T946" s="39" t="s">
        <v>177</v>
      </c>
      <c r="U946" s="35" t="s">
        <v>81</v>
      </c>
      <c r="V946" s="39" t="s">
        <v>509</v>
      </c>
      <c r="W946" s="39" t="s">
        <v>123</v>
      </c>
      <c r="X946" s="39">
        <v>-102.61</v>
      </c>
      <c r="Y946" s="39">
        <v>-4.0999999999999996</v>
      </c>
      <c r="Z946" s="39">
        <v>-4.0999999999999996</v>
      </c>
      <c r="AA946" s="39">
        <v>0</v>
      </c>
      <c r="AB946" s="39"/>
      <c r="AC946" s="39">
        <v>0</v>
      </c>
      <c r="AD946" s="39"/>
      <c r="AE946" s="39">
        <v>0</v>
      </c>
      <c r="AF946" s="39"/>
      <c r="AG946" s="39">
        <v>0</v>
      </c>
      <c r="AH946" s="39"/>
      <c r="AI946" s="41">
        <v>0</v>
      </c>
    </row>
    <row r="947" spans="1:35" x14ac:dyDescent="0.25">
      <c r="A947" s="34" t="s">
        <v>110</v>
      </c>
      <c r="B947" s="35" t="s">
        <v>544</v>
      </c>
      <c r="C947" s="35" t="s">
        <v>2871</v>
      </c>
      <c r="D947" s="35">
        <v>29783</v>
      </c>
      <c r="E947" s="35" t="s">
        <v>3648</v>
      </c>
      <c r="F947" s="35" t="s">
        <v>3649</v>
      </c>
      <c r="G947" s="35" t="s">
        <v>440</v>
      </c>
      <c r="H947" s="35" t="s">
        <v>160</v>
      </c>
      <c r="I947" s="35" t="s">
        <v>117</v>
      </c>
      <c r="J947" s="35" t="s">
        <v>118</v>
      </c>
      <c r="K947" s="36">
        <v>46066</v>
      </c>
      <c r="L947" s="36">
        <v>46023</v>
      </c>
      <c r="M947" s="36">
        <v>46066</v>
      </c>
      <c r="N947" s="36"/>
      <c r="O947" s="36"/>
      <c r="P947" s="36"/>
      <c r="Q947" s="36">
        <v>46113</v>
      </c>
      <c r="R947" s="35" t="s">
        <v>187</v>
      </c>
      <c r="S947" s="35" t="s">
        <v>543</v>
      </c>
      <c r="T947" s="35" t="s">
        <v>177</v>
      </c>
      <c r="U947" s="35" t="s">
        <v>81</v>
      </c>
      <c r="V947" s="35" t="s">
        <v>509</v>
      </c>
      <c r="W947" s="35" t="s">
        <v>123</v>
      </c>
      <c r="X947" s="35">
        <v>-102.61</v>
      </c>
      <c r="Y947" s="35">
        <v>-4.0999999999999996</v>
      </c>
      <c r="Z947" s="35">
        <v>-4.0999999999999996</v>
      </c>
      <c r="AA947" s="35">
        <v>0</v>
      </c>
      <c r="AB947" s="35"/>
      <c r="AC947" s="35">
        <v>0</v>
      </c>
      <c r="AD947" s="35"/>
      <c r="AE947" s="35">
        <v>0</v>
      </c>
      <c r="AF947" s="35"/>
      <c r="AG947" s="35">
        <v>0</v>
      </c>
      <c r="AH947" s="35"/>
      <c r="AI947" s="37">
        <v>0</v>
      </c>
    </row>
    <row r="948" spans="1:35" x14ac:dyDescent="0.25">
      <c r="A948" s="38" t="s">
        <v>110</v>
      </c>
      <c r="B948" s="39" t="s">
        <v>544</v>
      </c>
      <c r="C948" s="39" t="s">
        <v>2872</v>
      </c>
      <c r="D948" s="39">
        <v>29784</v>
      </c>
      <c r="E948" s="39" t="s">
        <v>3650</v>
      </c>
      <c r="F948" s="39" t="s">
        <v>3651</v>
      </c>
      <c r="G948" s="39" t="s">
        <v>440</v>
      </c>
      <c r="H948" s="39" t="s">
        <v>160</v>
      </c>
      <c r="I948" s="39" t="s">
        <v>117</v>
      </c>
      <c r="J948" s="39" t="s">
        <v>118</v>
      </c>
      <c r="K948" s="40">
        <v>46066</v>
      </c>
      <c r="L948" s="40">
        <v>46023</v>
      </c>
      <c r="M948" s="40">
        <v>46066</v>
      </c>
      <c r="N948" s="40"/>
      <c r="O948" s="40"/>
      <c r="P948" s="40"/>
      <c r="Q948" s="40">
        <v>46113</v>
      </c>
      <c r="R948" s="39" t="s">
        <v>187</v>
      </c>
      <c r="S948" s="39" t="s">
        <v>543</v>
      </c>
      <c r="T948" s="39" t="s">
        <v>177</v>
      </c>
      <c r="U948" s="35" t="s">
        <v>81</v>
      </c>
      <c r="V948" s="39" t="s">
        <v>509</v>
      </c>
      <c r="W948" s="39" t="s">
        <v>123</v>
      </c>
      <c r="X948" s="39">
        <v>-102.61</v>
      </c>
      <c r="Y948" s="39">
        <v>-4.0999999999999996</v>
      </c>
      <c r="Z948" s="39">
        <v>-4.0999999999999996</v>
      </c>
      <c r="AA948" s="39">
        <v>0</v>
      </c>
      <c r="AB948" s="39"/>
      <c r="AC948" s="39">
        <v>0</v>
      </c>
      <c r="AD948" s="39"/>
      <c r="AE948" s="39">
        <v>0</v>
      </c>
      <c r="AF948" s="39"/>
      <c r="AG948" s="39">
        <v>0</v>
      </c>
      <c r="AH948" s="39"/>
      <c r="AI948" s="41">
        <v>0</v>
      </c>
    </row>
    <row r="949" spans="1:35" x14ac:dyDescent="0.25">
      <c r="A949" s="34" t="s">
        <v>110</v>
      </c>
      <c r="B949" s="35" t="s">
        <v>493</v>
      </c>
      <c r="C949" s="35" t="s">
        <v>494</v>
      </c>
      <c r="D949" s="35">
        <v>5092</v>
      </c>
      <c r="E949" s="35" t="s">
        <v>3652</v>
      </c>
      <c r="F949" s="35" t="s">
        <v>3653</v>
      </c>
      <c r="G949" s="35" t="s">
        <v>115</v>
      </c>
      <c r="H949" s="35" t="s">
        <v>116</v>
      </c>
      <c r="I949" s="35" t="s">
        <v>117</v>
      </c>
      <c r="J949" s="35" t="s">
        <v>118</v>
      </c>
      <c r="K949" s="36">
        <v>46066</v>
      </c>
      <c r="L949" s="36">
        <v>46054</v>
      </c>
      <c r="M949" s="36">
        <v>46066</v>
      </c>
      <c r="N949" s="36"/>
      <c r="O949" s="36"/>
      <c r="P949" s="36">
        <v>46082</v>
      </c>
      <c r="Q949" s="36"/>
      <c r="R949" s="35" t="s">
        <v>119</v>
      </c>
      <c r="S949" s="35" t="s">
        <v>497</v>
      </c>
      <c r="T949" s="35" t="s">
        <v>129</v>
      </c>
      <c r="U949" s="35" t="s">
        <v>90</v>
      </c>
      <c r="V949" s="35" t="s">
        <v>122</v>
      </c>
      <c r="W949" s="35" t="s">
        <v>123</v>
      </c>
      <c r="X949" s="35">
        <v>140.29</v>
      </c>
      <c r="Y949" s="35">
        <v>14.03</v>
      </c>
      <c r="Z949" s="35">
        <v>14.03</v>
      </c>
      <c r="AA949" s="35">
        <v>0</v>
      </c>
      <c r="AB949" s="35"/>
      <c r="AC949" s="35">
        <v>0</v>
      </c>
      <c r="AD949" s="35" t="s">
        <v>130</v>
      </c>
      <c r="AE949" s="35">
        <v>0</v>
      </c>
      <c r="AF949" s="35"/>
      <c r="AG949" s="35">
        <v>0</v>
      </c>
      <c r="AH949" s="35"/>
      <c r="AI949" s="37">
        <v>0</v>
      </c>
    </row>
    <row r="950" spans="1:35" x14ac:dyDescent="0.25">
      <c r="A950" s="38" t="s">
        <v>110</v>
      </c>
      <c r="B950" s="39" t="s">
        <v>493</v>
      </c>
      <c r="C950" s="39" t="s">
        <v>494</v>
      </c>
      <c r="D950" s="39">
        <v>5092</v>
      </c>
      <c r="E950" s="39" t="s">
        <v>3654</v>
      </c>
      <c r="F950" s="39" t="s">
        <v>3655</v>
      </c>
      <c r="G950" s="39" t="s">
        <v>440</v>
      </c>
      <c r="H950" s="39" t="s">
        <v>116</v>
      </c>
      <c r="I950" s="39" t="s">
        <v>117</v>
      </c>
      <c r="J950" s="39" t="s">
        <v>118</v>
      </c>
      <c r="K950" s="40">
        <v>46066</v>
      </c>
      <c r="L950" s="40">
        <v>46023</v>
      </c>
      <c r="M950" s="40">
        <v>46065</v>
      </c>
      <c r="N950" s="40"/>
      <c r="O950" s="40"/>
      <c r="P950" s="40">
        <v>46082</v>
      </c>
      <c r="Q950" s="40"/>
      <c r="R950" s="39" t="s">
        <v>119</v>
      </c>
      <c r="S950" s="39" t="s">
        <v>497</v>
      </c>
      <c r="T950" s="39" t="s">
        <v>129</v>
      </c>
      <c r="U950" s="35" t="s">
        <v>90</v>
      </c>
      <c r="V950" s="39" t="s">
        <v>122</v>
      </c>
      <c r="W950" s="39" t="s">
        <v>123</v>
      </c>
      <c r="X950" s="39">
        <v>-146.86000000000001</v>
      </c>
      <c r="Y950" s="39">
        <v>-14.68</v>
      </c>
      <c r="Z950" s="39">
        <v>-14.68</v>
      </c>
      <c r="AA950" s="39">
        <v>0</v>
      </c>
      <c r="AB950" s="39"/>
      <c r="AC950" s="39">
        <v>0</v>
      </c>
      <c r="AD950" s="39" t="s">
        <v>130</v>
      </c>
      <c r="AE950" s="39">
        <v>0</v>
      </c>
      <c r="AF950" s="39"/>
      <c r="AG950" s="39">
        <v>0</v>
      </c>
      <c r="AH950" s="39"/>
      <c r="AI950" s="41">
        <v>0</v>
      </c>
    </row>
    <row r="951" spans="1:35" x14ac:dyDescent="0.25">
      <c r="A951" s="34" t="s">
        <v>110</v>
      </c>
      <c r="B951" s="35" t="s">
        <v>2408</v>
      </c>
      <c r="C951" s="35" t="s">
        <v>2832</v>
      </c>
      <c r="D951" s="35">
        <v>24089</v>
      </c>
      <c r="E951" s="35" t="s">
        <v>3656</v>
      </c>
      <c r="F951" s="35" t="s">
        <v>3657</v>
      </c>
      <c r="G951" s="35" t="s">
        <v>115</v>
      </c>
      <c r="H951" s="35" t="s">
        <v>160</v>
      </c>
      <c r="I951" s="35" t="s">
        <v>117</v>
      </c>
      <c r="J951" s="35" t="s">
        <v>118</v>
      </c>
      <c r="K951" s="36">
        <v>46066</v>
      </c>
      <c r="L951" s="36">
        <v>46022</v>
      </c>
      <c r="M951" s="36">
        <v>46070</v>
      </c>
      <c r="N951" s="36"/>
      <c r="O951" s="36"/>
      <c r="P951" s="36"/>
      <c r="Q951" s="36">
        <v>46082</v>
      </c>
      <c r="R951" s="35" t="s">
        <v>142</v>
      </c>
      <c r="S951" s="35" t="s">
        <v>2440</v>
      </c>
      <c r="T951" s="35" t="s">
        <v>2441</v>
      </c>
      <c r="U951" s="35" t="s">
        <v>88</v>
      </c>
      <c r="V951" s="35" t="s">
        <v>845</v>
      </c>
      <c r="W951" s="35" t="s">
        <v>123</v>
      </c>
      <c r="X951" s="35">
        <v>18453.61</v>
      </c>
      <c r="Y951" s="35">
        <v>2768.04</v>
      </c>
      <c r="Z951" s="35">
        <v>2768.04</v>
      </c>
      <c r="AA951" s="35">
        <v>0</v>
      </c>
      <c r="AB951" s="35"/>
      <c r="AC951" s="35">
        <v>0</v>
      </c>
      <c r="AD951" s="35"/>
      <c r="AE951" s="35">
        <v>0</v>
      </c>
      <c r="AF951" s="35"/>
      <c r="AG951" s="35">
        <v>0</v>
      </c>
      <c r="AH951" s="35"/>
      <c r="AI951" s="37">
        <v>0</v>
      </c>
    </row>
    <row r="952" spans="1:35" x14ac:dyDescent="0.25">
      <c r="A952" s="38" t="s">
        <v>110</v>
      </c>
      <c r="B952" s="39" t="s">
        <v>2901</v>
      </c>
      <c r="C952" s="39" t="s">
        <v>2902</v>
      </c>
      <c r="D952" s="39">
        <v>30809</v>
      </c>
      <c r="E952" s="39" t="s">
        <v>3658</v>
      </c>
      <c r="F952" s="39" t="s">
        <v>3659</v>
      </c>
      <c r="G952" s="39" t="s">
        <v>192</v>
      </c>
      <c r="H952" s="39" t="s">
        <v>160</v>
      </c>
      <c r="I952" s="39" t="s">
        <v>117</v>
      </c>
      <c r="J952" s="39" t="s">
        <v>141</v>
      </c>
      <c r="K952" s="40">
        <v>46066</v>
      </c>
      <c r="L952" s="40">
        <v>46117</v>
      </c>
      <c r="M952" s="40"/>
      <c r="N952" s="40"/>
      <c r="O952" s="40"/>
      <c r="P952" s="40"/>
      <c r="Q952" s="40"/>
      <c r="R952" s="39" t="s">
        <v>142</v>
      </c>
      <c r="S952" s="39" t="s">
        <v>697</v>
      </c>
      <c r="T952" s="39" t="s">
        <v>698</v>
      </c>
      <c r="U952" s="35" t="s">
        <v>88</v>
      </c>
      <c r="V952" s="39" t="s">
        <v>699</v>
      </c>
      <c r="W952" s="39" t="s">
        <v>123</v>
      </c>
      <c r="X952" s="39">
        <v>436.21</v>
      </c>
      <c r="Y952" s="39">
        <v>109.07</v>
      </c>
      <c r="Z952" s="39">
        <v>109.07</v>
      </c>
      <c r="AA952" s="39">
        <v>0</v>
      </c>
      <c r="AB952" s="39"/>
      <c r="AC952" s="39">
        <v>0</v>
      </c>
      <c r="AD952" s="39"/>
      <c r="AE952" s="39">
        <v>0</v>
      </c>
      <c r="AF952" s="39"/>
      <c r="AG952" s="39">
        <v>0</v>
      </c>
      <c r="AH952" s="39"/>
      <c r="AI952" s="41">
        <v>0</v>
      </c>
    </row>
    <row r="953" spans="1:35" x14ac:dyDescent="0.25">
      <c r="A953" s="34" t="s">
        <v>110</v>
      </c>
      <c r="B953" s="35" t="s">
        <v>2420</v>
      </c>
      <c r="C953" s="35" t="s">
        <v>2421</v>
      </c>
      <c r="D953" s="35">
        <v>22926</v>
      </c>
      <c r="E953" s="35" t="s">
        <v>3660</v>
      </c>
      <c r="F953" s="35" t="s">
        <v>3661</v>
      </c>
      <c r="G953" s="35" t="s">
        <v>174</v>
      </c>
      <c r="H953" s="35" t="s">
        <v>160</v>
      </c>
      <c r="I953" s="35" t="s">
        <v>217</v>
      </c>
      <c r="J953" s="35" t="s">
        <v>118</v>
      </c>
      <c r="K953" s="36">
        <v>46066</v>
      </c>
      <c r="L953" s="36">
        <v>46081</v>
      </c>
      <c r="M953" s="36">
        <v>46073</v>
      </c>
      <c r="N953" s="36"/>
      <c r="O953" s="36"/>
      <c r="P953" s="36"/>
      <c r="Q953" s="36"/>
      <c r="R953" s="35" t="s">
        <v>218</v>
      </c>
      <c r="S953" s="35" t="s">
        <v>225</v>
      </c>
      <c r="T953" s="35" t="s">
        <v>225</v>
      </c>
      <c r="U953" s="35" t="s">
        <v>88</v>
      </c>
      <c r="V953" s="35" t="s">
        <v>226</v>
      </c>
      <c r="W953" s="35" t="s">
        <v>123</v>
      </c>
      <c r="X953" s="35">
        <v>277.39</v>
      </c>
      <c r="Y953" s="35">
        <v>50.43</v>
      </c>
      <c r="Z953" s="35">
        <v>50.43</v>
      </c>
      <c r="AA953" s="35">
        <v>0</v>
      </c>
      <c r="AB953" s="35"/>
      <c r="AC953" s="35">
        <v>0</v>
      </c>
      <c r="AD953" s="35"/>
      <c r="AE953" s="35">
        <v>0</v>
      </c>
      <c r="AF953" s="35"/>
      <c r="AG953" s="35">
        <v>0</v>
      </c>
      <c r="AH953" s="35"/>
      <c r="AI953" s="37">
        <v>0</v>
      </c>
    </row>
    <row r="954" spans="1:35" x14ac:dyDescent="0.25">
      <c r="A954" s="38" t="s">
        <v>110</v>
      </c>
      <c r="B954" s="39" t="s">
        <v>2830</v>
      </c>
      <c r="C954" s="39" t="s">
        <v>2920</v>
      </c>
      <c r="D954" s="39">
        <v>31972</v>
      </c>
      <c r="E954" s="39" t="s">
        <v>3662</v>
      </c>
      <c r="F954" s="39" t="s">
        <v>3663</v>
      </c>
      <c r="G954" s="39" t="s">
        <v>174</v>
      </c>
      <c r="H954" s="39" t="s">
        <v>160</v>
      </c>
      <c r="I954" s="39" t="s">
        <v>217</v>
      </c>
      <c r="J954" s="39" t="s">
        <v>118</v>
      </c>
      <c r="K954" s="40">
        <v>46066</v>
      </c>
      <c r="L954" s="40">
        <v>45926</v>
      </c>
      <c r="M954" s="40">
        <v>46069</v>
      </c>
      <c r="N954" s="40"/>
      <c r="O954" s="40"/>
      <c r="P954" s="40"/>
      <c r="Q954" s="40"/>
      <c r="R954" s="39" t="s">
        <v>218</v>
      </c>
      <c r="S954" s="39" t="s">
        <v>1018</v>
      </c>
      <c r="T954" s="39" t="s">
        <v>1018</v>
      </c>
      <c r="U954" s="35" t="s">
        <v>82</v>
      </c>
      <c r="V954" s="39" t="s">
        <v>226</v>
      </c>
      <c r="W954" s="39" t="s">
        <v>123</v>
      </c>
      <c r="X954" s="39">
        <v>1247.42</v>
      </c>
      <c r="Y954" s="39">
        <v>124.74</v>
      </c>
      <c r="Z954" s="39">
        <v>124.74</v>
      </c>
      <c r="AA954" s="39">
        <v>0</v>
      </c>
      <c r="AB954" s="39"/>
      <c r="AC954" s="39">
        <v>0</v>
      </c>
      <c r="AD954" s="39"/>
      <c r="AE954" s="39">
        <v>0</v>
      </c>
      <c r="AF954" s="39"/>
      <c r="AG954" s="39">
        <v>0</v>
      </c>
      <c r="AH954" s="39"/>
      <c r="AI954" s="41">
        <v>0</v>
      </c>
    </row>
    <row r="955" spans="1:35" x14ac:dyDescent="0.25">
      <c r="A955" s="34" t="s">
        <v>110</v>
      </c>
      <c r="B955" s="35" t="s">
        <v>3664</v>
      </c>
      <c r="C955" s="35" t="s">
        <v>3665</v>
      </c>
      <c r="D955" s="35">
        <v>32668</v>
      </c>
      <c r="E955" s="35" t="s">
        <v>3666</v>
      </c>
      <c r="F955" s="35" t="s">
        <v>3667</v>
      </c>
      <c r="G955" s="35" t="s">
        <v>174</v>
      </c>
      <c r="H955" s="35" t="s">
        <v>160</v>
      </c>
      <c r="I955" s="35" t="s">
        <v>217</v>
      </c>
      <c r="J955" s="35" t="s">
        <v>118</v>
      </c>
      <c r="K955" s="36">
        <v>46066</v>
      </c>
      <c r="L955" s="36">
        <v>46066</v>
      </c>
      <c r="M955" s="36">
        <v>46066</v>
      </c>
      <c r="N955" s="36"/>
      <c r="O955" s="36"/>
      <c r="P955" s="36">
        <v>46082</v>
      </c>
      <c r="Q955" s="36"/>
      <c r="R955" s="35" t="s">
        <v>218</v>
      </c>
      <c r="S955" s="35" t="s">
        <v>225</v>
      </c>
      <c r="T955" s="35" t="s">
        <v>225</v>
      </c>
      <c r="U955" s="35" t="s">
        <v>88</v>
      </c>
      <c r="V955" s="35" t="s">
        <v>226</v>
      </c>
      <c r="W955" s="35" t="s">
        <v>123</v>
      </c>
      <c r="X955" s="35">
        <v>1224</v>
      </c>
      <c r="Y955" s="35">
        <v>222.54</v>
      </c>
      <c r="Z955" s="35">
        <v>222.54</v>
      </c>
      <c r="AA955" s="35">
        <v>0</v>
      </c>
      <c r="AB955" s="35"/>
      <c r="AC955" s="35">
        <v>0</v>
      </c>
      <c r="AD955" s="35" t="s">
        <v>333</v>
      </c>
      <c r="AE955" s="35">
        <v>122.4</v>
      </c>
      <c r="AF955" s="35"/>
      <c r="AG955" s="35">
        <v>0</v>
      </c>
      <c r="AH955" s="35"/>
      <c r="AI955" s="37">
        <v>0</v>
      </c>
    </row>
    <row r="956" spans="1:35" x14ac:dyDescent="0.25">
      <c r="A956" s="38" t="s">
        <v>110</v>
      </c>
      <c r="B956" s="39" t="s">
        <v>2885</v>
      </c>
      <c r="C956" s="39" t="s">
        <v>3668</v>
      </c>
      <c r="D956" s="39">
        <v>32669</v>
      </c>
      <c r="E956" s="39" t="s">
        <v>3669</v>
      </c>
      <c r="F956" s="39" t="s">
        <v>3670</v>
      </c>
      <c r="G956" s="39" t="s">
        <v>174</v>
      </c>
      <c r="H956" s="39" t="s">
        <v>160</v>
      </c>
      <c r="I956" s="39" t="s">
        <v>217</v>
      </c>
      <c r="J956" s="39" t="s">
        <v>118</v>
      </c>
      <c r="K956" s="40">
        <v>46066</v>
      </c>
      <c r="L956" s="40">
        <v>46066</v>
      </c>
      <c r="M956" s="40">
        <v>46071</v>
      </c>
      <c r="N956" s="40"/>
      <c r="O956" s="40"/>
      <c r="P956" s="40"/>
      <c r="Q956" s="40"/>
      <c r="R956" s="39" t="s">
        <v>218</v>
      </c>
      <c r="S956" s="39" t="s">
        <v>1018</v>
      </c>
      <c r="T956" s="39" t="s">
        <v>1018</v>
      </c>
      <c r="U956" s="35" t="s">
        <v>82</v>
      </c>
      <c r="V956" s="39" t="s">
        <v>226</v>
      </c>
      <c r="W956" s="39" t="s">
        <v>123</v>
      </c>
      <c r="X956" s="39">
        <v>1100.32</v>
      </c>
      <c r="Y956" s="39">
        <v>200.06</v>
      </c>
      <c r="Z956" s="39">
        <v>200.06</v>
      </c>
      <c r="AA956" s="39">
        <v>0</v>
      </c>
      <c r="AB956" s="39"/>
      <c r="AC956" s="39">
        <v>0</v>
      </c>
      <c r="AD956" s="39"/>
      <c r="AE956" s="39">
        <v>0</v>
      </c>
      <c r="AF956" s="39"/>
      <c r="AG956" s="39">
        <v>0</v>
      </c>
      <c r="AH956" s="39"/>
      <c r="AI956" s="41">
        <v>0</v>
      </c>
    </row>
    <row r="957" spans="1:35" x14ac:dyDescent="0.25">
      <c r="A957" s="34" t="s">
        <v>110</v>
      </c>
      <c r="B957" s="35" t="s">
        <v>2697</v>
      </c>
      <c r="C957" s="35" t="s">
        <v>2698</v>
      </c>
      <c r="D957" s="35">
        <v>27806</v>
      </c>
      <c r="E957" s="35" t="s">
        <v>3671</v>
      </c>
      <c r="F957" s="35" t="s">
        <v>3672</v>
      </c>
      <c r="G957" s="35" t="s">
        <v>192</v>
      </c>
      <c r="H957" s="35" t="s">
        <v>160</v>
      </c>
      <c r="I957" s="35" t="s">
        <v>117</v>
      </c>
      <c r="J957" s="35" t="s">
        <v>141</v>
      </c>
      <c r="K957" s="36">
        <v>46066</v>
      </c>
      <c r="L957" s="36">
        <v>46082</v>
      </c>
      <c r="M957" s="36"/>
      <c r="N957" s="36"/>
      <c r="O957" s="36"/>
      <c r="P957" s="36"/>
      <c r="Q957" s="36"/>
      <c r="R957" s="35" t="s">
        <v>142</v>
      </c>
      <c r="S957" s="35" t="s">
        <v>697</v>
      </c>
      <c r="T957" s="35" t="s">
        <v>698</v>
      </c>
      <c r="U957" s="35" t="s">
        <v>88</v>
      </c>
      <c r="V957" s="35" t="s">
        <v>699</v>
      </c>
      <c r="W957" s="35" t="s">
        <v>123</v>
      </c>
      <c r="X957" s="35">
        <v>436.22</v>
      </c>
      <c r="Y957" s="35">
        <v>109.07</v>
      </c>
      <c r="Z957" s="35">
        <v>109.07</v>
      </c>
      <c r="AA957" s="35">
        <v>0</v>
      </c>
      <c r="AB957" s="35"/>
      <c r="AC957" s="35">
        <v>0</v>
      </c>
      <c r="AD957" s="35"/>
      <c r="AE957" s="35">
        <v>0</v>
      </c>
      <c r="AF957" s="35"/>
      <c r="AG957" s="35">
        <v>0</v>
      </c>
      <c r="AH957" s="35"/>
      <c r="AI957" s="37">
        <v>0</v>
      </c>
    </row>
    <row r="958" spans="1:35" x14ac:dyDescent="0.25">
      <c r="A958" s="38" t="s">
        <v>110</v>
      </c>
      <c r="B958" s="39" t="s">
        <v>3673</v>
      </c>
      <c r="C958" s="39" t="s">
        <v>3674</v>
      </c>
      <c r="D958" s="39">
        <v>32670</v>
      </c>
      <c r="E958" s="39" t="s">
        <v>3675</v>
      </c>
      <c r="F958" s="39" t="s">
        <v>3676</v>
      </c>
      <c r="G958" s="39" t="s">
        <v>174</v>
      </c>
      <c r="H958" s="39" t="s">
        <v>160</v>
      </c>
      <c r="I958" s="39" t="s">
        <v>217</v>
      </c>
      <c r="J958" s="39" t="s">
        <v>118</v>
      </c>
      <c r="K958" s="40">
        <v>46066</v>
      </c>
      <c r="L958" s="40">
        <v>46066</v>
      </c>
      <c r="M958" s="40">
        <v>46076</v>
      </c>
      <c r="N958" s="40"/>
      <c r="O958" s="40"/>
      <c r="P958" s="40"/>
      <c r="Q958" s="40"/>
      <c r="R958" s="39" t="s">
        <v>218</v>
      </c>
      <c r="S958" s="39" t="s">
        <v>225</v>
      </c>
      <c r="T958" s="39" t="s">
        <v>225</v>
      </c>
      <c r="U958" s="35" t="s">
        <v>88</v>
      </c>
      <c r="V958" s="39" t="s">
        <v>226</v>
      </c>
      <c r="W958" s="39" t="s">
        <v>123</v>
      </c>
      <c r="X958" s="39">
        <v>693.48</v>
      </c>
      <c r="Y958" s="39">
        <v>126.08</v>
      </c>
      <c r="Z958" s="39">
        <v>126.08</v>
      </c>
      <c r="AA958" s="39">
        <v>0</v>
      </c>
      <c r="AB958" s="39"/>
      <c r="AC958" s="39">
        <v>0</v>
      </c>
      <c r="AD958" s="39"/>
      <c r="AE958" s="39">
        <v>0</v>
      </c>
      <c r="AF958" s="39"/>
      <c r="AG958" s="39">
        <v>0</v>
      </c>
      <c r="AH958" s="39"/>
      <c r="AI958" s="41">
        <v>0</v>
      </c>
    </row>
    <row r="959" spans="1:35" x14ac:dyDescent="0.25">
      <c r="A959" s="34" t="s">
        <v>110</v>
      </c>
      <c r="B959" s="35" t="s">
        <v>3677</v>
      </c>
      <c r="C959" s="35" t="s">
        <v>3678</v>
      </c>
      <c r="D959" s="35">
        <v>32671</v>
      </c>
      <c r="E959" s="35" t="s">
        <v>3679</v>
      </c>
      <c r="F959" s="35" t="s">
        <v>3680</v>
      </c>
      <c r="G959" s="35" t="s">
        <v>174</v>
      </c>
      <c r="H959" s="35" t="s">
        <v>160</v>
      </c>
      <c r="I959" s="35" t="s">
        <v>217</v>
      </c>
      <c r="J959" s="35" t="s">
        <v>141</v>
      </c>
      <c r="K959" s="36">
        <v>46066</v>
      </c>
      <c r="L959" s="36">
        <v>46092</v>
      </c>
      <c r="M959" s="36"/>
      <c r="N959" s="36"/>
      <c r="O959" s="36"/>
      <c r="P959" s="36"/>
      <c r="Q959" s="36"/>
      <c r="R959" s="35" t="s">
        <v>218</v>
      </c>
      <c r="S959" s="35" t="s">
        <v>225</v>
      </c>
      <c r="T959" s="35" t="s">
        <v>225</v>
      </c>
      <c r="U959" s="35" t="s">
        <v>88</v>
      </c>
      <c r="V959" s="35" t="s">
        <v>226</v>
      </c>
      <c r="W959" s="35" t="s">
        <v>123</v>
      </c>
      <c r="X959" s="35">
        <v>508.55</v>
      </c>
      <c r="Y959" s="35">
        <v>92.46</v>
      </c>
      <c r="Z959" s="35">
        <v>92.46</v>
      </c>
      <c r="AA959" s="35">
        <v>0</v>
      </c>
      <c r="AB959" s="35"/>
      <c r="AC959" s="35">
        <v>0</v>
      </c>
      <c r="AD959" s="35"/>
      <c r="AE959" s="35">
        <v>0</v>
      </c>
      <c r="AF959" s="35"/>
      <c r="AG959" s="35">
        <v>0</v>
      </c>
      <c r="AH959" s="35"/>
      <c r="AI959" s="37">
        <v>0</v>
      </c>
    </row>
    <row r="960" spans="1:35" x14ac:dyDescent="0.25">
      <c r="A960" s="38" t="s">
        <v>110</v>
      </c>
      <c r="B960" s="39" t="s">
        <v>1378</v>
      </c>
      <c r="C960" s="39" t="s">
        <v>3681</v>
      </c>
      <c r="D960" s="39">
        <v>32672</v>
      </c>
      <c r="E960" s="39"/>
      <c r="F960" s="39" t="s">
        <v>3682</v>
      </c>
      <c r="G960" s="39" t="s">
        <v>174</v>
      </c>
      <c r="H960" s="39" t="s">
        <v>160</v>
      </c>
      <c r="I960" s="39" t="s">
        <v>117</v>
      </c>
      <c r="J960" s="39" t="s">
        <v>118</v>
      </c>
      <c r="K960" s="40">
        <v>46066</v>
      </c>
      <c r="L960" s="40">
        <v>46023</v>
      </c>
      <c r="M960" s="40">
        <v>46080</v>
      </c>
      <c r="N960" s="40"/>
      <c r="O960" s="40"/>
      <c r="P960" s="40"/>
      <c r="Q960" s="40">
        <v>46082</v>
      </c>
      <c r="R960" s="39" t="s">
        <v>142</v>
      </c>
      <c r="S960" s="39" t="s">
        <v>730</v>
      </c>
      <c r="T960" s="39" t="s">
        <v>730</v>
      </c>
      <c r="U960" s="35" t="s">
        <v>84</v>
      </c>
      <c r="V960" s="39" t="s">
        <v>699</v>
      </c>
      <c r="W960" s="39" t="s">
        <v>123</v>
      </c>
      <c r="X960" s="39">
        <v>3280.62</v>
      </c>
      <c r="Y960" s="39">
        <v>820.16</v>
      </c>
      <c r="Z960" s="39">
        <v>820.16</v>
      </c>
      <c r="AA960" s="39">
        <v>0</v>
      </c>
      <c r="AB960" s="39"/>
      <c r="AC960" s="39">
        <v>0</v>
      </c>
      <c r="AD960" s="39"/>
      <c r="AE960" s="39">
        <v>0</v>
      </c>
      <c r="AF960" s="39"/>
      <c r="AG960" s="39">
        <v>0</v>
      </c>
      <c r="AH960" s="39"/>
      <c r="AI960" s="41">
        <v>0</v>
      </c>
    </row>
    <row r="961" spans="1:35" x14ac:dyDescent="0.25">
      <c r="A961" s="34" t="s">
        <v>110</v>
      </c>
      <c r="B961" s="35" t="s">
        <v>2917</v>
      </c>
      <c r="C961" s="35" t="s">
        <v>3683</v>
      </c>
      <c r="D961" s="35">
        <v>32584</v>
      </c>
      <c r="E961" s="35" t="s">
        <v>3684</v>
      </c>
      <c r="F961" s="35" t="s">
        <v>3685</v>
      </c>
      <c r="G961" s="35" t="s">
        <v>115</v>
      </c>
      <c r="H961" s="35" t="s">
        <v>116</v>
      </c>
      <c r="I961" s="35" t="s">
        <v>117</v>
      </c>
      <c r="J961" s="35" t="s">
        <v>118</v>
      </c>
      <c r="K961" s="36">
        <v>46066</v>
      </c>
      <c r="L961" s="36">
        <v>46067</v>
      </c>
      <c r="M961" s="36">
        <v>46069</v>
      </c>
      <c r="N961" s="36"/>
      <c r="O961" s="36"/>
      <c r="P961" s="36"/>
      <c r="Q961" s="36">
        <v>46070</v>
      </c>
      <c r="R961" s="35" t="s">
        <v>142</v>
      </c>
      <c r="S961" s="35" t="s">
        <v>2704</v>
      </c>
      <c r="T961" s="35" t="s">
        <v>225</v>
      </c>
      <c r="U961" s="35" t="s">
        <v>88</v>
      </c>
      <c r="V961" s="35" t="s">
        <v>122</v>
      </c>
      <c r="W961" s="35" t="s">
        <v>123</v>
      </c>
      <c r="X961" s="35">
        <v>425.33</v>
      </c>
      <c r="Y961" s="35">
        <v>93.58</v>
      </c>
      <c r="Z961" s="35">
        <v>93.58</v>
      </c>
      <c r="AA961" s="35">
        <v>0</v>
      </c>
      <c r="AB961" s="35"/>
      <c r="AC961" s="35">
        <v>0</v>
      </c>
      <c r="AD961" s="35"/>
      <c r="AE961" s="35">
        <v>0</v>
      </c>
      <c r="AF961" s="35"/>
      <c r="AG961" s="35">
        <v>0</v>
      </c>
      <c r="AH961" s="35"/>
      <c r="AI961" s="37">
        <v>0</v>
      </c>
    </row>
    <row r="962" spans="1:35" x14ac:dyDescent="0.25">
      <c r="A962" s="38" t="s">
        <v>110</v>
      </c>
      <c r="B962" s="39" t="s">
        <v>1509</v>
      </c>
      <c r="C962" s="39" t="s">
        <v>1510</v>
      </c>
      <c r="D962" s="39">
        <v>32612</v>
      </c>
      <c r="E962" s="39" t="s">
        <v>3686</v>
      </c>
      <c r="F962" s="39" t="s">
        <v>3687</v>
      </c>
      <c r="G962" s="39" t="s">
        <v>192</v>
      </c>
      <c r="H962" s="39" t="s">
        <v>160</v>
      </c>
      <c r="I962" s="39" t="s">
        <v>217</v>
      </c>
      <c r="J962" s="39" t="s">
        <v>118</v>
      </c>
      <c r="K962" s="40">
        <v>46066</v>
      </c>
      <c r="L962" s="40">
        <v>46086</v>
      </c>
      <c r="M962" s="40">
        <v>46080</v>
      </c>
      <c r="N962" s="40"/>
      <c r="O962" s="40"/>
      <c r="P962" s="40"/>
      <c r="Q962" s="40"/>
      <c r="R962" s="39" t="s">
        <v>218</v>
      </c>
      <c r="S962" s="39" t="s">
        <v>718</v>
      </c>
      <c r="T962" s="39" t="s">
        <v>519</v>
      </c>
      <c r="U962" s="35" t="s">
        <v>86</v>
      </c>
      <c r="V962" s="39" t="s">
        <v>719</v>
      </c>
      <c r="W962" s="39" t="s">
        <v>123</v>
      </c>
      <c r="X962" s="39">
        <v>21.22</v>
      </c>
      <c r="Y962" s="39">
        <v>5.31</v>
      </c>
      <c r="Z962" s="39">
        <v>5.31</v>
      </c>
      <c r="AA962" s="39">
        <v>0</v>
      </c>
      <c r="AB962" s="39"/>
      <c r="AC962" s="39">
        <v>0</v>
      </c>
      <c r="AD962" s="39"/>
      <c r="AE962" s="39">
        <v>0</v>
      </c>
      <c r="AF962" s="39"/>
      <c r="AG962" s="39">
        <v>0</v>
      </c>
      <c r="AH962" s="39"/>
      <c r="AI962" s="41">
        <v>0</v>
      </c>
    </row>
    <row r="963" spans="1:35" x14ac:dyDescent="0.25">
      <c r="A963" s="34" t="s">
        <v>110</v>
      </c>
      <c r="B963" s="35" t="s">
        <v>447</v>
      </c>
      <c r="C963" s="35" t="s">
        <v>3688</v>
      </c>
      <c r="D963" s="35">
        <v>32673</v>
      </c>
      <c r="E963" s="35" t="s">
        <v>3689</v>
      </c>
      <c r="F963" s="35" t="s">
        <v>3690</v>
      </c>
      <c r="G963" s="35" t="s">
        <v>174</v>
      </c>
      <c r="H963" s="35" t="s">
        <v>116</v>
      </c>
      <c r="I963" s="35" t="s">
        <v>117</v>
      </c>
      <c r="J963" s="35" t="s">
        <v>118</v>
      </c>
      <c r="K963" s="36">
        <v>46067</v>
      </c>
      <c r="L963" s="36">
        <v>46066</v>
      </c>
      <c r="M963" s="36">
        <v>46066</v>
      </c>
      <c r="N963" s="36"/>
      <c r="O963" s="36"/>
      <c r="P963" s="36"/>
      <c r="Q963" s="36"/>
      <c r="R963" s="35" t="s">
        <v>142</v>
      </c>
      <c r="S963" s="35" t="s">
        <v>463</v>
      </c>
      <c r="T963" s="35" t="s">
        <v>177</v>
      </c>
      <c r="U963" s="35" t="s">
        <v>81</v>
      </c>
      <c r="V963" s="35" t="s">
        <v>163</v>
      </c>
      <c r="W963" s="35" t="s">
        <v>123</v>
      </c>
      <c r="X963" s="35">
        <v>51.56</v>
      </c>
      <c r="Y963" s="35">
        <v>4.12</v>
      </c>
      <c r="Z963" s="35">
        <v>4.12</v>
      </c>
      <c r="AA963" s="35">
        <v>0</v>
      </c>
      <c r="AB963" s="35"/>
      <c r="AC963" s="35">
        <v>0</v>
      </c>
      <c r="AD963" s="35"/>
      <c r="AE963" s="35">
        <v>0</v>
      </c>
      <c r="AF963" s="35"/>
      <c r="AG963" s="35">
        <v>0</v>
      </c>
      <c r="AH963" s="35"/>
      <c r="AI963" s="37">
        <v>0</v>
      </c>
    </row>
    <row r="964" spans="1:35" x14ac:dyDescent="0.25">
      <c r="A964" s="38" t="s">
        <v>110</v>
      </c>
      <c r="B964" s="39" t="s">
        <v>2789</v>
      </c>
      <c r="C964" s="39" t="s">
        <v>3691</v>
      </c>
      <c r="D964" s="39">
        <v>32674</v>
      </c>
      <c r="E964" s="39" t="s">
        <v>3692</v>
      </c>
      <c r="F964" s="39" t="s">
        <v>3693</v>
      </c>
      <c r="G964" s="39" t="s">
        <v>174</v>
      </c>
      <c r="H964" s="39" t="s">
        <v>116</v>
      </c>
      <c r="I964" s="39" t="s">
        <v>117</v>
      </c>
      <c r="J964" s="39" t="s">
        <v>118</v>
      </c>
      <c r="K964" s="40">
        <v>46067</v>
      </c>
      <c r="L964" s="40">
        <v>46069</v>
      </c>
      <c r="M964" s="40">
        <v>46073</v>
      </c>
      <c r="N964" s="40"/>
      <c r="O964" s="40"/>
      <c r="P964" s="40"/>
      <c r="Q964" s="40"/>
      <c r="R964" s="39" t="s">
        <v>142</v>
      </c>
      <c r="S964" s="39" t="s">
        <v>543</v>
      </c>
      <c r="T964" s="39" t="s">
        <v>177</v>
      </c>
      <c r="U964" s="35" t="s">
        <v>81</v>
      </c>
      <c r="V964" s="39" t="s">
        <v>509</v>
      </c>
      <c r="W964" s="39" t="s">
        <v>123</v>
      </c>
      <c r="X964" s="39">
        <v>1112.76</v>
      </c>
      <c r="Y964" s="39">
        <v>158.41</v>
      </c>
      <c r="Z964" s="39">
        <v>158.41</v>
      </c>
      <c r="AA964" s="39">
        <v>0</v>
      </c>
      <c r="AB964" s="39"/>
      <c r="AC964" s="39">
        <v>0</v>
      </c>
      <c r="AD964" s="39"/>
      <c r="AE964" s="39">
        <v>0</v>
      </c>
      <c r="AF964" s="39"/>
      <c r="AG964" s="39">
        <v>0</v>
      </c>
      <c r="AH964" s="39"/>
      <c r="AI964" s="41">
        <v>0</v>
      </c>
    </row>
    <row r="965" spans="1:35" x14ac:dyDescent="0.25">
      <c r="A965" s="34" t="s">
        <v>110</v>
      </c>
      <c r="B965" s="35" t="s">
        <v>720</v>
      </c>
      <c r="C965" s="35" t="s">
        <v>3694</v>
      </c>
      <c r="D965" s="35">
        <v>32675</v>
      </c>
      <c r="E965" s="35" t="s">
        <v>3695</v>
      </c>
      <c r="F965" s="35" t="s">
        <v>3696</v>
      </c>
      <c r="G965" s="35" t="s">
        <v>174</v>
      </c>
      <c r="H965" s="35" t="s">
        <v>160</v>
      </c>
      <c r="I965" s="35" t="s">
        <v>217</v>
      </c>
      <c r="J965" s="35" t="s">
        <v>118</v>
      </c>
      <c r="K965" s="36">
        <v>46067</v>
      </c>
      <c r="L965" s="36">
        <v>46065</v>
      </c>
      <c r="M965" s="36">
        <v>46081</v>
      </c>
      <c r="N965" s="36"/>
      <c r="O965" s="36"/>
      <c r="P965" s="36"/>
      <c r="Q965" s="36">
        <v>46113</v>
      </c>
      <c r="R965" s="35" t="s">
        <v>218</v>
      </c>
      <c r="S965" s="35" t="s">
        <v>743</v>
      </c>
      <c r="T965" s="35" t="s">
        <v>744</v>
      </c>
      <c r="U965" s="35" t="s">
        <v>88</v>
      </c>
      <c r="V965" s="35" t="s">
        <v>509</v>
      </c>
      <c r="W965" s="35" t="s">
        <v>123</v>
      </c>
      <c r="X965" s="35">
        <v>14442.91</v>
      </c>
      <c r="Y965" s="35">
        <v>1444.29</v>
      </c>
      <c r="Z965" s="35">
        <v>1444.29</v>
      </c>
      <c r="AA965" s="35">
        <v>0</v>
      </c>
      <c r="AB965" s="35"/>
      <c r="AC965" s="35">
        <v>0</v>
      </c>
      <c r="AD965" s="35"/>
      <c r="AE965" s="35">
        <v>0</v>
      </c>
      <c r="AF965" s="35"/>
      <c r="AG965" s="35">
        <v>0</v>
      </c>
      <c r="AH965" s="35"/>
      <c r="AI965" s="37">
        <v>0</v>
      </c>
    </row>
    <row r="966" spans="1:35" x14ac:dyDescent="0.25">
      <c r="A966" s="38" t="s">
        <v>110</v>
      </c>
      <c r="B966" s="39" t="s">
        <v>3697</v>
      </c>
      <c r="C966" s="39" t="s">
        <v>3698</v>
      </c>
      <c r="D966" s="39">
        <v>32676</v>
      </c>
      <c r="E966" s="39" t="s">
        <v>3699</v>
      </c>
      <c r="F966" s="39" t="s">
        <v>3700</v>
      </c>
      <c r="G966" s="39" t="s">
        <v>174</v>
      </c>
      <c r="H966" s="39" t="s">
        <v>116</v>
      </c>
      <c r="I966" s="39" t="s">
        <v>217</v>
      </c>
      <c r="J966" s="39" t="s">
        <v>118</v>
      </c>
      <c r="K966" s="40">
        <v>46067</v>
      </c>
      <c r="L966" s="40">
        <v>46066</v>
      </c>
      <c r="M966" s="40">
        <v>46067</v>
      </c>
      <c r="N966" s="40"/>
      <c r="O966" s="40"/>
      <c r="P966" s="40"/>
      <c r="Q966" s="40"/>
      <c r="R966" s="39" t="s">
        <v>218</v>
      </c>
      <c r="S966" s="39" t="s">
        <v>3701</v>
      </c>
      <c r="T966" s="39" t="s">
        <v>519</v>
      </c>
      <c r="U966" s="35" t="s">
        <v>86</v>
      </c>
      <c r="V966" s="39" t="s">
        <v>509</v>
      </c>
      <c r="W966" s="39" t="s">
        <v>123</v>
      </c>
      <c r="X966" s="39">
        <v>214.08</v>
      </c>
      <c r="Y966" s="39">
        <v>32.11</v>
      </c>
      <c r="Z966" s="39">
        <v>32.11</v>
      </c>
      <c r="AA966" s="39">
        <v>0</v>
      </c>
      <c r="AB966" s="39"/>
      <c r="AC966" s="39">
        <v>0</v>
      </c>
      <c r="AD966" s="39"/>
      <c r="AE966" s="39">
        <v>0</v>
      </c>
      <c r="AF966" s="39"/>
      <c r="AG966" s="39">
        <v>0</v>
      </c>
      <c r="AH966" s="39"/>
      <c r="AI966" s="41">
        <v>0</v>
      </c>
    </row>
    <row r="967" spans="1:35" x14ac:dyDescent="0.25">
      <c r="A967" s="34" t="s">
        <v>110</v>
      </c>
      <c r="B967" s="35" t="s">
        <v>720</v>
      </c>
      <c r="C967" s="35" t="s">
        <v>3702</v>
      </c>
      <c r="D967" s="35">
        <v>32677</v>
      </c>
      <c r="E967" s="35" t="s">
        <v>3703</v>
      </c>
      <c r="F967" s="35" t="s">
        <v>3704</v>
      </c>
      <c r="G967" s="35" t="s">
        <v>174</v>
      </c>
      <c r="H967" s="35" t="s">
        <v>160</v>
      </c>
      <c r="I967" s="35" t="s">
        <v>217</v>
      </c>
      <c r="J967" s="35" t="s">
        <v>118</v>
      </c>
      <c r="K967" s="36">
        <v>46067</v>
      </c>
      <c r="L967" s="36">
        <v>46065</v>
      </c>
      <c r="M967" s="36">
        <v>46081</v>
      </c>
      <c r="N967" s="36"/>
      <c r="O967" s="36"/>
      <c r="P967" s="36"/>
      <c r="Q967" s="36">
        <v>46113</v>
      </c>
      <c r="R967" s="35" t="s">
        <v>218</v>
      </c>
      <c r="S967" s="35" t="s">
        <v>2662</v>
      </c>
      <c r="T967" s="35" t="s">
        <v>974</v>
      </c>
      <c r="U967" s="35" t="s">
        <v>91</v>
      </c>
      <c r="V967" s="35" t="s">
        <v>509</v>
      </c>
      <c r="W967" s="35" t="s">
        <v>123</v>
      </c>
      <c r="X967" s="35">
        <v>3003.86</v>
      </c>
      <c r="Y967" s="35">
        <v>600.77</v>
      </c>
      <c r="Z967" s="35">
        <v>600.77</v>
      </c>
      <c r="AA967" s="35">
        <v>0</v>
      </c>
      <c r="AB967" s="35"/>
      <c r="AC967" s="35">
        <v>0</v>
      </c>
      <c r="AD967" s="35"/>
      <c r="AE967" s="35">
        <v>0</v>
      </c>
      <c r="AF967" s="35"/>
      <c r="AG967" s="35">
        <v>0</v>
      </c>
      <c r="AH967" s="35"/>
      <c r="AI967" s="37">
        <v>0</v>
      </c>
    </row>
    <row r="968" spans="1:35" x14ac:dyDescent="0.25">
      <c r="A968" s="38" t="s">
        <v>110</v>
      </c>
      <c r="B968" s="39" t="s">
        <v>895</v>
      </c>
      <c r="C968" s="39" t="s">
        <v>990</v>
      </c>
      <c r="D968" s="39">
        <v>22956</v>
      </c>
      <c r="E968" s="39" t="s">
        <v>3705</v>
      </c>
      <c r="F968" s="39" t="s">
        <v>3706</v>
      </c>
      <c r="G968" s="39" t="s">
        <v>192</v>
      </c>
      <c r="H968" s="39" t="s">
        <v>160</v>
      </c>
      <c r="I968" s="39" t="s">
        <v>117</v>
      </c>
      <c r="J968" s="39" t="s">
        <v>118</v>
      </c>
      <c r="K968" s="40">
        <v>46067</v>
      </c>
      <c r="L968" s="40">
        <v>46023</v>
      </c>
      <c r="M968" s="40">
        <v>46081</v>
      </c>
      <c r="N968" s="40"/>
      <c r="O968" s="40"/>
      <c r="P968" s="40"/>
      <c r="Q968" s="40">
        <v>46113</v>
      </c>
      <c r="R968" s="39" t="s">
        <v>119</v>
      </c>
      <c r="S968" s="39" t="s">
        <v>987</v>
      </c>
      <c r="T968" s="39" t="s">
        <v>974</v>
      </c>
      <c r="U968" s="35" t="s">
        <v>91</v>
      </c>
      <c r="V968" s="39" t="s">
        <v>509</v>
      </c>
      <c r="W968" s="39" t="s">
        <v>123</v>
      </c>
      <c r="X968" s="39">
        <v>951.48</v>
      </c>
      <c r="Y968" s="39">
        <v>190.3</v>
      </c>
      <c r="Z968" s="39">
        <v>190.3</v>
      </c>
      <c r="AA968" s="39">
        <v>0</v>
      </c>
      <c r="AB968" s="39"/>
      <c r="AC968" s="39">
        <v>0</v>
      </c>
      <c r="AD968" s="39"/>
      <c r="AE968" s="39">
        <v>0</v>
      </c>
      <c r="AF968" s="39"/>
      <c r="AG968" s="39">
        <v>0</v>
      </c>
      <c r="AH968" s="39"/>
      <c r="AI968" s="41">
        <v>0</v>
      </c>
    </row>
    <row r="969" spans="1:35" x14ac:dyDescent="0.25">
      <c r="A969" s="34" t="s">
        <v>110</v>
      </c>
      <c r="B969" s="35" t="s">
        <v>3707</v>
      </c>
      <c r="C969" s="35" t="s">
        <v>3708</v>
      </c>
      <c r="D969" s="35">
        <v>32635</v>
      </c>
      <c r="E969" s="35" t="s">
        <v>3709</v>
      </c>
      <c r="F969" s="35" t="s">
        <v>3710</v>
      </c>
      <c r="G969" s="35" t="s">
        <v>174</v>
      </c>
      <c r="H969" s="35" t="s">
        <v>116</v>
      </c>
      <c r="I969" s="35" t="s">
        <v>117</v>
      </c>
      <c r="J969" s="35" t="s">
        <v>141</v>
      </c>
      <c r="K969" s="36">
        <v>46067</v>
      </c>
      <c r="L969" s="36">
        <v>46107</v>
      </c>
      <c r="M969" s="36"/>
      <c r="N969" s="36"/>
      <c r="O969" s="36"/>
      <c r="P969" s="36"/>
      <c r="Q969" s="36"/>
      <c r="R969" s="35" t="s">
        <v>142</v>
      </c>
      <c r="S969" s="35" t="s">
        <v>1784</v>
      </c>
      <c r="T969" s="35" t="s">
        <v>177</v>
      </c>
      <c r="U969" s="35" t="s">
        <v>81</v>
      </c>
      <c r="V969" s="35" t="s">
        <v>122</v>
      </c>
      <c r="W969" s="35" t="s">
        <v>123</v>
      </c>
      <c r="X969" s="35">
        <v>571.66999999999996</v>
      </c>
      <c r="Y969" s="35">
        <v>80.03</v>
      </c>
      <c r="Z969" s="35">
        <v>80.03</v>
      </c>
      <c r="AA969" s="35">
        <v>0</v>
      </c>
      <c r="AB969" s="35"/>
      <c r="AC969" s="35">
        <v>0</v>
      </c>
      <c r="AD969" s="35"/>
      <c r="AE969" s="35">
        <v>0</v>
      </c>
      <c r="AF969" s="35"/>
      <c r="AG969" s="35">
        <v>0</v>
      </c>
      <c r="AH969" s="35"/>
      <c r="AI969" s="37">
        <v>0</v>
      </c>
    </row>
    <row r="970" spans="1:35" x14ac:dyDescent="0.25">
      <c r="A970" s="38" t="s">
        <v>110</v>
      </c>
      <c r="B970" s="39" t="s">
        <v>2384</v>
      </c>
      <c r="C970" s="39" t="s">
        <v>2385</v>
      </c>
      <c r="D970" s="39">
        <v>32561</v>
      </c>
      <c r="E970" s="39" t="s">
        <v>3711</v>
      </c>
      <c r="F970" s="39" t="s">
        <v>3712</v>
      </c>
      <c r="G970" s="39" t="s">
        <v>174</v>
      </c>
      <c r="H970" s="39" t="s">
        <v>116</v>
      </c>
      <c r="I970" s="39" t="s">
        <v>117</v>
      </c>
      <c r="J970" s="39" t="s">
        <v>118</v>
      </c>
      <c r="K970" s="40">
        <v>46068</v>
      </c>
      <c r="L970" s="40">
        <v>46054</v>
      </c>
      <c r="M970" s="40">
        <v>46054</v>
      </c>
      <c r="N970" s="40"/>
      <c r="O970" s="40"/>
      <c r="P970" s="40"/>
      <c r="Q970" s="40"/>
      <c r="R970" s="39" t="s">
        <v>119</v>
      </c>
      <c r="S970" s="39" t="s">
        <v>2388</v>
      </c>
      <c r="T970" s="39" t="s">
        <v>121</v>
      </c>
      <c r="U970" s="35" t="s">
        <v>90</v>
      </c>
      <c r="V970" s="39" t="s">
        <v>569</v>
      </c>
      <c r="W970" s="39" t="s">
        <v>123</v>
      </c>
      <c r="X970" s="39">
        <v>71.790000000000006</v>
      </c>
      <c r="Y970" s="39">
        <v>9.9600000000000009</v>
      </c>
      <c r="Z970" s="39">
        <v>9.9600000000000009</v>
      </c>
      <c r="AA970" s="39">
        <v>0</v>
      </c>
      <c r="AB970" s="39"/>
      <c r="AC970" s="39">
        <v>0</v>
      </c>
      <c r="AD970" s="39"/>
      <c r="AE970" s="39">
        <v>0</v>
      </c>
      <c r="AF970" s="39"/>
      <c r="AG970" s="39">
        <v>0</v>
      </c>
      <c r="AH970" s="39"/>
      <c r="AI970" s="41">
        <v>0</v>
      </c>
    </row>
    <row r="971" spans="1:35" x14ac:dyDescent="0.25">
      <c r="A971" s="34" t="s">
        <v>110</v>
      </c>
      <c r="B971" s="35" t="s">
        <v>886</v>
      </c>
      <c r="C971" s="35" t="s">
        <v>887</v>
      </c>
      <c r="D971" s="35">
        <v>14580</v>
      </c>
      <c r="E971" s="35" t="s">
        <v>3713</v>
      </c>
      <c r="F971" s="35" t="s">
        <v>3714</v>
      </c>
      <c r="G971" s="35" t="s">
        <v>115</v>
      </c>
      <c r="H971" s="35" t="s">
        <v>116</v>
      </c>
      <c r="I971" s="35" t="s">
        <v>117</v>
      </c>
      <c r="J971" s="35" t="s">
        <v>118</v>
      </c>
      <c r="K971" s="36">
        <v>46068</v>
      </c>
      <c r="L971" s="36">
        <v>46054</v>
      </c>
      <c r="M971" s="36">
        <v>46054</v>
      </c>
      <c r="N971" s="36"/>
      <c r="O971" s="36"/>
      <c r="P971" s="36"/>
      <c r="Q971" s="36"/>
      <c r="R971" s="35" t="s">
        <v>119</v>
      </c>
      <c r="S971" s="35" t="s">
        <v>574</v>
      </c>
      <c r="T971" s="35" t="s">
        <v>129</v>
      </c>
      <c r="U971" s="35" t="s">
        <v>90</v>
      </c>
      <c r="V971" s="35" t="s">
        <v>569</v>
      </c>
      <c r="W971" s="35" t="s">
        <v>123</v>
      </c>
      <c r="X971" s="35">
        <v>304.58</v>
      </c>
      <c r="Y971" s="35">
        <v>27.41</v>
      </c>
      <c r="Z971" s="35">
        <v>27.41</v>
      </c>
      <c r="AA971" s="35">
        <v>0</v>
      </c>
      <c r="AB971" s="35"/>
      <c r="AC971" s="35">
        <v>0</v>
      </c>
      <c r="AD971" s="35"/>
      <c r="AE971" s="35">
        <v>0</v>
      </c>
      <c r="AF971" s="35"/>
      <c r="AG971" s="35">
        <v>0</v>
      </c>
      <c r="AH971" s="35"/>
      <c r="AI971" s="37">
        <v>0</v>
      </c>
    </row>
    <row r="972" spans="1:35" x14ac:dyDescent="0.25">
      <c r="A972" s="38" t="s">
        <v>110</v>
      </c>
      <c r="B972" s="39" t="s">
        <v>824</v>
      </c>
      <c r="C972" s="39" t="s">
        <v>825</v>
      </c>
      <c r="D972" s="39">
        <v>5120</v>
      </c>
      <c r="E972" s="39" t="s">
        <v>3715</v>
      </c>
      <c r="F972" s="39" t="s">
        <v>3716</v>
      </c>
      <c r="G972" s="39" t="s">
        <v>115</v>
      </c>
      <c r="H972" s="39" t="s">
        <v>116</v>
      </c>
      <c r="I972" s="39" t="s">
        <v>117</v>
      </c>
      <c r="J972" s="39" t="s">
        <v>118</v>
      </c>
      <c r="K972" s="40">
        <v>46068</v>
      </c>
      <c r="L972" s="40">
        <v>46054</v>
      </c>
      <c r="M972" s="40">
        <v>46054</v>
      </c>
      <c r="N972" s="40"/>
      <c r="O972" s="40"/>
      <c r="P972" s="40">
        <v>46082</v>
      </c>
      <c r="Q972" s="40"/>
      <c r="R972" s="39" t="s">
        <v>119</v>
      </c>
      <c r="S972" s="39" t="s">
        <v>817</v>
      </c>
      <c r="T972" s="39" t="s">
        <v>607</v>
      </c>
      <c r="U972" s="35" t="s">
        <v>89</v>
      </c>
      <c r="V972" s="39" t="s">
        <v>569</v>
      </c>
      <c r="W972" s="39" t="s">
        <v>123</v>
      </c>
      <c r="X972" s="39">
        <v>269.68</v>
      </c>
      <c r="Y972" s="39">
        <v>21.57</v>
      </c>
      <c r="Z972" s="39">
        <v>21.57</v>
      </c>
      <c r="AA972" s="39">
        <v>0</v>
      </c>
      <c r="AB972" s="39"/>
      <c r="AC972" s="39">
        <v>0</v>
      </c>
      <c r="AD972" s="39" t="s">
        <v>130</v>
      </c>
      <c r="AE972" s="39">
        <v>0</v>
      </c>
      <c r="AF972" s="39"/>
      <c r="AG972" s="39">
        <v>0</v>
      </c>
      <c r="AH972" s="39"/>
      <c r="AI972" s="41">
        <v>0</v>
      </c>
    </row>
    <row r="973" spans="1:35" x14ac:dyDescent="0.25">
      <c r="A973" s="34" t="s">
        <v>110</v>
      </c>
      <c r="B973" s="35" t="s">
        <v>890</v>
      </c>
      <c r="C973" s="35" t="s">
        <v>891</v>
      </c>
      <c r="D973" s="35">
        <v>20438</v>
      </c>
      <c r="E973" s="35" t="s">
        <v>3717</v>
      </c>
      <c r="F973" s="35" t="s">
        <v>3718</v>
      </c>
      <c r="G973" s="35" t="s">
        <v>115</v>
      </c>
      <c r="H973" s="35" t="s">
        <v>116</v>
      </c>
      <c r="I973" s="35" t="s">
        <v>117</v>
      </c>
      <c r="J973" s="35" t="s">
        <v>118</v>
      </c>
      <c r="K973" s="36">
        <v>46068</v>
      </c>
      <c r="L973" s="36">
        <v>46054</v>
      </c>
      <c r="M973" s="36">
        <v>46054</v>
      </c>
      <c r="N973" s="36"/>
      <c r="O973" s="36"/>
      <c r="P973" s="36"/>
      <c r="Q973" s="36"/>
      <c r="R973" s="35" t="s">
        <v>119</v>
      </c>
      <c r="S973" s="35" t="s">
        <v>894</v>
      </c>
      <c r="T973" s="35" t="s">
        <v>135</v>
      </c>
      <c r="U973" s="35" t="s">
        <v>90</v>
      </c>
      <c r="V973" s="35" t="s">
        <v>569</v>
      </c>
      <c r="W973" s="35" t="s">
        <v>123</v>
      </c>
      <c r="X973" s="35">
        <v>795.03</v>
      </c>
      <c r="Y973" s="35">
        <v>71.56</v>
      </c>
      <c r="Z973" s="35">
        <v>71.56</v>
      </c>
      <c r="AA973" s="35">
        <v>0</v>
      </c>
      <c r="AB973" s="35"/>
      <c r="AC973" s="35">
        <v>0</v>
      </c>
      <c r="AD973" s="35"/>
      <c r="AE973" s="35">
        <v>0</v>
      </c>
      <c r="AF973" s="35"/>
      <c r="AG973" s="35">
        <v>0</v>
      </c>
      <c r="AH973" s="35"/>
      <c r="AI973" s="37">
        <v>0</v>
      </c>
    </row>
    <row r="974" spans="1:35" x14ac:dyDescent="0.25">
      <c r="A974" s="38" t="s">
        <v>110</v>
      </c>
      <c r="B974" s="39" t="s">
        <v>564</v>
      </c>
      <c r="C974" s="39" t="s">
        <v>565</v>
      </c>
      <c r="D974" s="39">
        <v>12680</v>
      </c>
      <c r="E974" s="39" t="s">
        <v>3719</v>
      </c>
      <c r="F974" s="39" t="s">
        <v>3720</v>
      </c>
      <c r="G974" s="39" t="s">
        <v>115</v>
      </c>
      <c r="H974" s="39" t="s">
        <v>116</v>
      </c>
      <c r="I974" s="39" t="s">
        <v>117</v>
      </c>
      <c r="J974" s="39" t="s">
        <v>118</v>
      </c>
      <c r="K974" s="40">
        <v>46068</v>
      </c>
      <c r="L974" s="40">
        <v>46054</v>
      </c>
      <c r="M974" s="40">
        <v>46054</v>
      </c>
      <c r="N974" s="40"/>
      <c r="O974" s="40"/>
      <c r="P974" s="40"/>
      <c r="Q974" s="40"/>
      <c r="R974" s="39" t="s">
        <v>119</v>
      </c>
      <c r="S974" s="39" t="s">
        <v>568</v>
      </c>
      <c r="T974" s="39" t="s">
        <v>568</v>
      </c>
      <c r="U974" s="35" t="s">
        <v>90</v>
      </c>
      <c r="V974" s="39" t="s">
        <v>569</v>
      </c>
      <c r="W974" s="39" t="s">
        <v>123</v>
      </c>
      <c r="X974" s="39">
        <v>11</v>
      </c>
      <c r="Y974" s="39">
        <v>0.99</v>
      </c>
      <c r="Z974" s="39">
        <v>0.99</v>
      </c>
      <c r="AA974" s="39">
        <v>0</v>
      </c>
      <c r="AB974" s="39"/>
      <c r="AC974" s="39">
        <v>0</v>
      </c>
      <c r="AD974" s="39"/>
      <c r="AE974" s="39">
        <v>0</v>
      </c>
      <c r="AF974" s="39"/>
      <c r="AG974" s="39">
        <v>0</v>
      </c>
      <c r="AH974" s="39"/>
      <c r="AI974" s="41">
        <v>0</v>
      </c>
    </row>
    <row r="975" spans="1:35" x14ac:dyDescent="0.25">
      <c r="A975" s="34" t="s">
        <v>110</v>
      </c>
      <c r="B975" s="35" t="s">
        <v>570</v>
      </c>
      <c r="C975" s="35" t="s">
        <v>571</v>
      </c>
      <c r="D975" s="35">
        <v>14638</v>
      </c>
      <c r="E975" s="35" t="s">
        <v>3721</v>
      </c>
      <c r="F975" s="35" t="s">
        <v>3722</v>
      </c>
      <c r="G975" s="35" t="s">
        <v>115</v>
      </c>
      <c r="H975" s="35" t="s">
        <v>116</v>
      </c>
      <c r="I975" s="35" t="s">
        <v>117</v>
      </c>
      <c r="J975" s="35" t="s">
        <v>118</v>
      </c>
      <c r="K975" s="36">
        <v>46068</v>
      </c>
      <c r="L975" s="36">
        <v>46054</v>
      </c>
      <c r="M975" s="36">
        <v>46054</v>
      </c>
      <c r="N975" s="36"/>
      <c r="O975" s="36"/>
      <c r="P975" s="36"/>
      <c r="Q975" s="36"/>
      <c r="R975" s="35" t="s">
        <v>119</v>
      </c>
      <c r="S975" s="35" t="s">
        <v>574</v>
      </c>
      <c r="T975" s="35" t="s">
        <v>129</v>
      </c>
      <c r="U975" s="35" t="s">
        <v>90</v>
      </c>
      <c r="V975" s="35" t="s">
        <v>569</v>
      </c>
      <c r="W975" s="35" t="s">
        <v>123</v>
      </c>
      <c r="X975" s="35">
        <v>112.35</v>
      </c>
      <c r="Y975" s="35">
        <v>10.11</v>
      </c>
      <c r="Z975" s="35">
        <v>10.11</v>
      </c>
      <c r="AA975" s="35">
        <v>0</v>
      </c>
      <c r="AB975" s="35"/>
      <c r="AC975" s="35">
        <v>0</v>
      </c>
      <c r="AD975" s="35"/>
      <c r="AE975" s="35">
        <v>0</v>
      </c>
      <c r="AF975" s="35"/>
      <c r="AG975" s="35">
        <v>0</v>
      </c>
      <c r="AH975" s="35"/>
      <c r="AI975" s="37">
        <v>0</v>
      </c>
    </row>
    <row r="976" spans="1:35" x14ac:dyDescent="0.25">
      <c r="A976" s="38" t="s">
        <v>110</v>
      </c>
      <c r="B976" s="39" t="s">
        <v>813</v>
      </c>
      <c r="C976" s="39" t="s">
        <v>814</v>
      </c>
      <c r="D976" s="39">
        <v>5084</v>
      </c>
      <c r="E976" s="39" t="s">
        <v>3723</v>
      </c>
      <c r="F976" s="39" t="s">
        <v>3724</v>
      </c>
      <c r="G976" s="39" t="s">
        <v>115</v>
      </c>
      <c r="H976" s="39" t="s">
        <v>116</v>
      </c>
      <c r="I976" s="39" t="s">
        <v>117</v>
      </c>
      <c r="J976" s="39" t="s">
        <v>118</v>
      </c>
      <c r="K976" s="40">
        <v>46068</v>
      </c>
      <c r="L976" s="40">
        <v>46054</v>
      </c>
      <c r="M976" s="40">
        <v>46054</v>
      </c>
      <c r="N976" s="40"/>
      <c r="O976" s="40"/>
      <c r="P976" s="40">
        <v>46082</v>
      </c>
      <c r="Q976" s="40"/>
      <c r="R976" s="39" t="s">
        <v>119</v>
      </c>
      <c r="S976" s="39" t="s">
        <v>817</v>
      </c>
      <c r="T976" s="39" t="s">
        <v>607</v>
      </c>
      <c r="U976" s="35" t="s">
        <v>89</v>
      </c>
      <c r="V976" s="39" t="s">
        <v>569</v>
      </c>
      <c r="W976" s="39" t="s">
        <v>123</v>
      </c>
      <c r="X976" s="39">
        <v>414.52</v>
      </c>
      <c r="Y976" s="39">
        <v>33.159999999999997</v>
      </c>
      <c r="Z976" s="39">
        <v>33.159999999999997</v>
      </c>
      <c r="AA976" s="39">
        <v>0</v>
      </c>
      <c r="AB976" s="39"/>
      <c r="AC976" s="39">
        <v>0</v>
      </c>
      <c r="AD976" s="39" t="s">
        <v>130</v>
      </c>
      <c r="AE976" s="39">
        <v>0</v>
      </c>
      <c r="AF976" s="39"/>
      <c r="AG976" s="39">
        <v>0</v>
      </c>
      <c r="AH976" s="39"/>
      <c r="AI976" s="41">
        <v>0</v>
      </c>
    </row>
    <row r="977" spans="1:35" x14ac:dyDescent="0.25">
      <c r="A977" s="34" t="s">
        <v>110</v>
      </c>
      <c r="B977" s="35" t="s">
        <v>902</v>
      </c>
      <c r="C977" s="35" t="s">
        <v>903</v>
      </c>
      <c r="D977" s="35">
        <v>23198</v>
      </c>
      <c r="E977" s="35" t="s">
        <v>3725</v>
      </c>
      <c r="F977" s="35" t="s">
        <v>3726</v>
      </c>
      <c r="G977" s="35" t="s">
        <v>115</v>
      </c>
      <c r="H977" s="35" t="s">
        <v>116</v>
      </c>
      <c r="I977" s="35" t="s">
        <v>117</v>
      </c>
      <c r="J977" s="35" t="s">
        <v>118</v>
      </c>
      <c r="K977" s="36">
        <v>46068</v>
      </c>
      <c r="L977" s="36">
        <v>46054</v>
      </c>
      <c r="M977" s="36">
        <v>46054</v>
      </c>
      <c r="N977" s="36"/>
      <c r="O977" s="36"/>
      <c r="P977" s="36"/>
      <c r="Q977" s="36"/>
      <c r="R977" s="35" t="s">
        <v>119</v>
      </c>
      <c r="S977" s="35" t="s">
        <v>899</v>
      </c>
      <c r="T977" s="35" t="s">
        <v>129</v>
      </c>
      <c r="U977" s="35" t="s">
        <v>90</v>
      </c>
      <c r="V977" s="35" t="s">
        <v>569</v>
      </c>
      <c r="W977" s="35" t="s">
        <v>123</v>
      </c>
      <c r="X977" s="35">
        <v>85.13</v>
      </c>
      <c r="Y977" s="35">
        <v>7.66</v>
      </c>
      <c r="Z977" s="35">
        <v>7.66</v>
      </c>
      <c r="AA977" s="35">
        <v>0</v>
      </c>
      <c r="AB977" s="35"/>
      <c r="AC977" s="35">
        <v>0</v>
      </c>
      <c r="AD977" s="35"/>
      <c r="AE977" s="35">
        <v>0</v>
      </c>
      <c r="AF977" s="35"/>
      <c r="AG977" s="35">
        <v>0</v>
      </c>
      <c r="AH977" s="35"/>
      <c r="AI977" s="37">
        <v>0</v>
      </c>
    </row>
    <row r="978" spans="1:35" x14ac:dyDescent="0.25">
      <c r="A978" s="38" t="s">
        <v>110</v>
      </c>
      <c r="B978" s="39" t="s">
        <v>1374</v>
      </c>
      <c r="C978" s="39" t="s">
        <v>1375</v>
      </c>
      <c r="D978" s="39">
        <v>28903</v>
      </c>
      <c r="E978" s="39" t="s">
        <v>3727</v>
      </c>
      <c r="F978" s="39" t="s">
        <v>3728</v>
      </c>
      <c r="G978" s="39" t="s">
        <v>174</v>
      </c>
      <c r="H978" s="39" t="s">
        <v>160</v>
      </c>
      <c r="I978" s="39" t="s">
        <v>217</v>
      </c>
      <c r="J978" s="39" t="s">
        <v>118</v>
      </c>
      <c r="K978" s="40">
        <v>46068</v>
      </c>
      <c r="L978" s="40">
        <v>45929</v>
      </c>
      <c r="M978" s="40">
        <v>46068</v>
      </c>
      <c r="N978" s="40"/>
      <c r="O978" s="40"/>
      <c r="P978" s="40"/>
      <c r="Q978" s="40">
        <v>46068</v>
      </c>
      <c r="R978" s="39" t="s">
        <v>218</v>
      </c>
      <c r="S978" s="39" t="s">
        <v>225</v>
      </c>
      <c r="T978" s="39" t="s">
        <v>225</v>
      </c>
      <c r="U978" s="35" t="s">
        <v>88</v>
      </c>
      <c r="V978" s="39" t="s">
        <v>226</v>
      </c>
      <c r="W978" s="39" t="s">
        <v>123</v>
      </c>
      <c r="X978" s="39">
        <v>0</v>
      </c>
      <c r="Y978" s="39">
        <v>-353.04</v>
      </c>
      <c r="Z978" s="39">
        <v>-353.04</v>
      </c>
      <c r="AA978" s="39">
        <v>0</v>
      </c>
      <c r="AB978" s="39"/>
      <c r="AC978" s="39">
        <v>0</v>
      </c>
      <c r="AD978" s="39"/>
      <c r="AE978" s="39">
        <v>0</v>
      </c>
      <c r="AF978" s="39"/>
      <c r="AG978" s="39">
        <v>0</v>
      </c>
      <c r="AH978" s="39"/>
      <c r="AI978" s="41">
        <v>0</v>
      </c>
    </row>
    <row r="979" spans="1:35" x14ac:dyDescent="0.25">
      <c r="A979" s="34" t="s">
        <v>110</v>
      </c>
      <c r="B979" s="35" t="s">
        <v>2922</v>
      </c>
      <c r="C979" s="35" t="s">
        <v>2914</v>
      </c>
      <c r="D979" s="35">
        <v>31490</v>
      </c>
      <c r="E979" s="35" t="s">
        <v>3729</v>
      </c>
      <c r="F979" s="35" t="s">
        <v>3730</v>
      </c>
      <c r="G979" s="35" t="s">
        <v>174</v>
      </c>
      <c r="H979" s="35" t="s">
        <v>160</v>
      </c>
      <c r="I979" s="35" t="s">
        <v>217</v>
      </c>
      <c r="J979" s="35" t="s">
        <v>118</v>
      </c>
      <c r="K979" s="36">
        <v>46068</v>
      </c>
      <c r="L979" s="36">
        <v>45804</v>
      </c>
      <c r="M979" s="36">
        <v>46068</v>
      </c>
      <c r="N979" s="36"/>
      <c r="O979" s="36"/>
      <c r="P979" s="36"/>
      <c r="Q979" s="36">
        <v>46068</v>
      </c>
      <c r="R979" s="35" t="s">
        <v>218</v>
      </c>
      <c r="S979" s="35" t="s">
        <v>1018</v>
      </c>
      <c r="T979" s="35" t="s">
        <v>1018</v>
      </c>
      <c r="U979" s="35" t="s">
        <v>82</v>
      </c>
      <c r="V979" s="35" t="s">
        <v>226</v>
      </c>
      <c r="W979" s="35" t="s">
        <v>123</v>
      </c>
      <c r="X979" s="35">
        <v>0</v>
      </c>
      <c r="Y979" s="35">
        <v>-637</v>
      </c>
      <c r="Z979" s="35">
        <v>-637</v>
      </c>
      <c r="AA979" s="35">
        <v>0</v>
      </c>
      <c r="AB979" s="35"/>
      <c r="AC979" s="35">
        <v>0</v>
      </c>
      <c r="AD979" s="35"/>
      <c r="AE979" s="35">
        <v>0</v>
      </c>
      <c r="AF979" s="35"/>
      <c r="AG979" s="35">
        <v>0</v>
      </c>
      <c r="AH979" s="35"/>
      <c r="AI979" s="37">
        <v>0</v>
      </c>
    </row>
    <row r="980" spans="1:35" x14ac:dyDescent="0.25">
      <c r="A980" s="38" t="s">
        <v>110</v>
      </c>
      <c r="B980" s="39" t="s">
        <v>2805</v>
      </c>
      <c r="C980" s="39" t="s">
        <v>2915</v>
      </c>
      <c r="D980" s="39">
        <v>31509</v>
      </c>
      <c r="E980" s="39" t="s">
        <v>3731</v>
      </c>
      <c r="F980" s="39" t="s">
        <v>3732</v>
      </c>
      <c r="G980" s="39" t="s">
        <v>174</v>
      </c>
      <c r="H980" s="39" t="s">
        <v>160</v>
      </c>
      <c r="I980" s="39" t="s">
        <v>217</v>
      </c>
      <c r="J980" s="39" t="s">
        <v>118</v>
      </c>
      <c r="K980" s="40">
        <v>46068</v>
      </c>
      <c r="L980" s="40">
        <v>45804</v>
      </c>
      <c r="M980" s="40">
        <v>46068</v>
      </c>
      <c r="N980" s="40"/>
      <c r="O980" s="40"/>
      <c r="P980" s="40"/>
      <c r="Q980" s="40">
        <v>46068</v>
      </c>
      <c r="R980" s="39" t="s">
        <v>218</v>
      </c>
      <c r="S980" s="39" t="s">
        <v>1018</v>
      </c>
      <c r="T980" s="39" t="s">
        <v>1018</v>
      </c>
      <c r="U980" s="35" t="s">
        <v>82</v>
      </c>
      <c r="V980" s="39" t="s">
        <v>226</v>
      </c>
      <c r="W980" s="39" t="s">
        <v>123</v>
      </c>
      <c r="X980" s="39">
        <v>2048.41</v>
      </c>
      <c r="Y980" s="39">
        <v>372.43</v>
      </c>
      <c r="Z980" s="39">
        <v>372.43</v>
      </c>
      <c r="AA980" s="39">
        <v>0</v>
      </c>
      <c r="AB980" s="39"/>
      <c r="AC980" s="39">
        <v>0</v>
      </c>
      <c r="AD980" s="39"/>
      <c r="AE980" s="39">
        <v>0</v>
      </c>
      <c r="AF980" s="39"/>
      <c r="AG980" s="39">
        <v>0</v>
      </c>
      <c r="AH980" s="39"/>
      <c r="AI980" s="41">
        <v>0</v>
      </c>
    </row>
    <row r="981" spans="1:35" x14ac:dyDescent="0.25">
      <c r="A981" s="34" t="s">
        <v>110</v>
      </c>
      <c r="B981" s="35" t="s">
        <v>156</v>
      </c>
      <c r="C981" s="35" t="s">
        <v>1349</v>
      </c>
      <c r="D981" s="35">
        <v>1621</v>
      </c>
      <c r="E981" s="35" t="s">
        <v>3733</v>
      </c>
      <c r="F981" s="35" t="s">
        <v>3734</v>
      </c>
      <c r="G981" s="35" t="s">
        <v>440</v>
      </c>
      <c r="H981" s="35" t="s">
        <v>160</v>
      </c>
      <c r="I981" s="35" t="s">
        <v>117</v>
      </c>
      <c r="J981" s="35" t="s">
        <v>118</v>
      </c>
      <c r="K981" s="36">
        <v>46069</v>
      </c>
      <c r="L981" s="36">
        <v>45339</v>
      </c>
      <c r="M981" s="36">
        <v>46069</v>
      </c>
      <c r="N981" s="36"/>
      <c r="O981" s="36"/>
      <c r="P981" s="36"/>
      <c r="Q981" s="36"/>
      <c r="R981" s="35" t="s">
        <v>142</v>
      </c>
      <c r="S981" s="35" t="s">
        <v>1352</v>
      </c>
      <c r="T981" s="35" t="s">
        <v>183</v>
      </c>
      <c r="U981" s="35" t="s">
        <v>90</v>
      </c>
      <c r="V981" s="35" t="s">
        <v>443</v>
      </c>
      <c r="W981" s="35" t="s">
        <v>123</v>
      </c>
      <c r="X981" s="35">
        <v>-76.73</v>
      </c>
      <c r="Y981" s="35">
        <v>-17.27</v>
      </c>
      <c r="Z981" s="35">
        <v>-15.35</v>
      </c>
      <c r="AA981" s="35">
        <v>0</v>
      </c>
      <c r="AB981" s="35"/>
      <c r="AC981" s="35">
        <v>0</v>
      </c>
      <c r="AD981" s="35"/>
      <c r="AE981" s="35">
        <v>0</v>
      </c>
      <c r="AF981" s="35"/>
      <c r="AG981" s="35">
        <v>0</v>
      </c>
      <c r="AH981" s="35"/>
      <c r="AI981" s="37">
        <v>0</v>
      </c>
    </row>
    <row r="982" spans="1:35" x14ac:dyDescent="0.25">
      <c r="A982" s="38" t="s">
        <v>110</v>
      </c>
      <c r="B982" s="39" t="s">
        <v>2692</v>
      </c>
      <c r="C982" s="39" t="s">
        <v>2693</v>
      </c>
      <c r="D982" s="39">
        <v>27799</v>
      </c>
      <c r="E982" s="39" t="s">
        <v>3735</v>
      </c>
      <c r="F982" s="39" t="s">
        <v>3736</v>
      </c>
      <c r="G982" s="39" t="s">
        <v>174</v>
      </c>
      <c r="H982" s="39" t="s">
        <v>160</v>
      </c>
      <c r="I982" s="39" t="s">
        <v>217</v>
      </c>
      <c r="J982" s="39" t="s">
        <v>141</v>
      </c>
      <c r="K982" s="40">
        <v>46070</v>
      </c>
      <c r="L982" s="40">
        <v>45750</v>
      </c>
      <c r="M982" s="40"/>
      <c r="N982" s="40"/>
      <c r="O982" s="40"/>
      <c r="P982" s="40"/>
      <c r="Q982" s="40"/>
      <c r="R982" s="39" t="s">
        <v>218</v>
      </c>
      <c r="S982" s="39" t="s">
        <v>225</v>
      </c>
      <c r="T982" s="39" t="s">
        <v>225</v>
      </c>
      <c r="U982" s="35" t="s">
        <v>88</v>
      </c>
      <c r="V982" s="39" t="s">
        <v>226</v>
      </c>
      <c r="W982" s="39" t="s">
        <v>123</v>
      </c>
      <c r="X982" s="39">
        <v>1224</v>
      </c>
      <c r="Y982" s="39">
        <v>222.54</v>
      </c>
      <c r="Z982" s="39">
        <v>222.54</v>
      </c>
      <c r="AA982" s="39">
        <v>0</v>
      </c>
      <c r="AB982" s="39"/>
      <c r="AC982" s="39">
        <v>0</v>
      </c>
      <c r="AD982" s="39"/>
      <c r="AE982" s="39">
        <v>0</v>
      </c>
      <c r="AF982" s="39"/>
      <c r="AG982" s="39">
        <v>0</v>
      </c>
      <c r="AH982" s="39"/>
      <c r="AI982" s="41">
        <v>0</v>
      </c>
    </row>
    <row r="983" spans="1:35" x14ac:dyDescent="0.25">
      <c r="A983" s="34" t="s">
        <v>110</v>
      </c>
      <c r="B983" s="35" t="s">
        <v>2824</v>
      </c>
      <c r="C983" s="35" t="s">
        <v>2825</v>
      </c>
      <c r="D983" s="35">
        <v>28654</v>
      </c>
      <c r="E983" s="35" t="s">
        <v>3737</v>
      </c>
      <c r="F983" s="35" t="s">
        <v>3738</v>
      </c>
      <c r="G983" s="35" t="s">
        <v>174</v>
      </c>
      <c r="H983" s="35" t="s">
        <v>160</v>
      </c>
      <c r="I983" s="35" t="s">
        <v>217</v>
      </c>
      <c r="J983" s="35" t="s">
        <v>141</v>
      </c>
      <c r="K983" s="36">
        <v>46070</v>
      </c>
      <c r="L983" s="36">
        <v>45536</v>
      </c>
      <c r="M983" s="36"/>
      <c r="N983" s="36"/>
      <c r="O983" s="36"/>
      <c r="P983" s="36"/>
      <c r="Q983" s="36"/>
      <c r="R983" s="35" t="s">
        <v>218</v>
      </c>
      <c r="S983" s="35" t="s">
        <v>225</v>
      </c>
      <c r="T983" s="35" t="s">
        <v>225</v>
      </c>
      <c r="U983" s="35" t="s">
        <v>88</v>
      </c>
      <c r="V983" s="35" t="s">
        <v>226</v>
      </c>
      <c r="W983" s="35" t="s">
        <v>123</v>
      </c>
      <c r="X983" s="35">
        <v>142.6</v>
      </c>
      <c r="Y983" s="35">
        <v>25.92</v>
      </c>
      <c r="Z983" s="35">
        <v>25.92</v>
      </c>
      <c r="AA983" s="35">
        <v>0</v>
      </c>
      <c r="AB983" s="35"/>
      <c r="AC983" s="35">
        <v>0</v>
      </c>
      <c r="AD983" s="35"/>
      <c r="AE983" s="35">
        <v>0</v>
      </c>
      <c r="AF983" s="35"/>
      <c r="AG983" s="35">
        <v>0</v>
      </c>
      <c r="AH983" s="35"/>
      <c r="AI983" s="37">
        <v>0</v>
      </c>
    </row>
    <row r="984" spans="1:35" x14ac:dyDescent="0.25">
      <c r="A984" s="38" t="s">
        <v>110</v>
      </c>
      <c r="B984" s="39" t="s">
        <v>420</v>
      </c>
      <c r="C984" s="39" t="s">
        <v>1099</v>
      </c>
      <c r="D984" s="39">
        <v>32247</v>
      </c>
      <c r="E984" s="39" t="s">
        <v>3739</v>
      </c>
      <c r="F984" s="39" t="s">
        <v>3740</v>
      </c>
      <c r="G984" s="39" t="s">
        <v>174</v>
      </c>
      <c r="H984" s="39" t="s">
        <v>160</v>
      </c>
      <c r="I984" s="39" t="s">
        <v>217</v>
      </c>
      <c r="J984" s="39" t="s">
        <v>118</v>
      </c>
      <c r="K984" s="40">
        <v>46070</v>
      </c>
      <c r="L984" s="40">
        <v>45985</v>
      </c>
      <c r="M984" s="40">
        <v>46070</v>
      </c>
      <c r="N984" s="40"/>
      <c r="O984" s="40"/>
      <c r="P984" s="40"/>
      <c r="Q984" s="40"/>
      <c r="R984" s="39" t="s">
        <v>218</v>
      </c>
      <c r="S984" s="39" t="s">
        <v>1018</v>
      </c>
      <c r="T984" s="39" t="s">
        <v>1018</v>
      </c>
      <c r="U984" s="35" t="s">
        <v>82</v>
      </c>
      <c r="V984" s="39" t="s">
        <v>226</v>
      </c>
      <c r="W984" s="39" t="s">
        <v>123</v>
      </c>
      <c r="X984" s="39">
        <v>9377.82</v>
      </c>
      <c r="Y984" s="39">
        <v>1705.06</v>
      </c>
      <c r="Z984" s="39">
        <v>1705.06</v>
      </c>
      <c r="AA984" s="39">
        <v>0</v>
      </c>
      <c r="AB984" s="39"/>
      <c r="AC984" s="39">
        <v>0</v>
      </c>
      <c r="AD984" s="39"/>
      <c r="AE984" s="39">
        <v>0</v>
      </c>
      <c r="AF984" s="39"/>
      <c r="AG984" s="39">
        <v>0</v>
      </c>
      <c r="AH984" s="39"/>
      <c r="AI984" s="41">
        <v>0</v>
      </c>
    </row>
    <row r="985" spans="1:35" x14ac:dyDescent="0.25">
      <c r="A985" s="34" t="s">
        <v>110</v>
      </c>
      <c r="B985" s="35" t="s">
        <v>420</v>
      </c>
      <c r="C985" s="35" t="s">
        <v>1106</v>
      </c>
      <c r="D985" s="35">
        <v>32251</v>
      </c>
      <c r="E985" s="35" t="s">
        <v>3741</v>
      </c>
      <c r="F985" s="35" t="s">
        <v>3742</v>
      </c>
      <c r="G985" s="35" t="s">
        <v>174</v>
      </c>
      <c r="H985" s="35" t="s">
        <v>160</v>
      </c>
      <c r="I985" s="35" t="s">
        <v>217</v>
      </c>
      <c r="J985" s="35" t="s">
        <v>118</v>
      </c>
      <c r="K985" s="36">
        <v>46070</v>
      </c>
      <c r="L985" s="36">
        <v>45985</v>
      </c>
      <c r="M985" s="36">
        <v>46070</v>
      </c>
      <c r="N985" s="36"/>
      <c r="O985" s="36"/>
      <c r="P985" s="36"/>
      <c r="Q985" s="36"/>
      <c r="R985" s="35" t="s">
        <v>218</v>
      </c>
      <c r="S985" s="35" t="s">
        <v>1018</v>
      </c>
      <c r="T985" s="35" t="s">
        <v>1018</v>
      </c>
      <c r="U985" s="35" t="s">
        <v>82</v>
      </c>
      <c r="V985" s="35" t="s">
        <v>226</v>
      </c>
      <c r="W985" s="35" t="s">
        <v>123</v>
      </c>
      <c r="X985" s="35">
        <v>4528.66</v>
      </c>
      <c r="Y985" s="35">
        <v>823.4</v>
      </c>
      <c r="Z985" s="35">
        <v>823.4</v>
      </c>
      <c r="AA985" s="35">
        <v>0</v>
      </c>
      <c r="AB985" s="35"/>
      <c r="AC985" s="35">
        <v>0</v>
      </c>
      <c r="AD985" s="35"/>
      <c r="AE985" s="35">
        <v>0</v>
      </c>
      <c r="AF985" s="35"/>
      <c r="AG985" s="35">
        <v>0</v>
      </c>
      <c r="AH985" s="35"/>
      <c r="AI985" s="37">
        <v>0</v>
      </c>
    </row>
    <row r="986" spans="1:35" x14ac:dyDescent="0.25">
      <c r="A986" s="38" t="s">
        <v>110</v>
      </c>
      <c r="B986" s="39" t="s">
        <v>420</v>
      </c>
      <c r="C986" s="39" t="s">
        <v>1269</v>
      </c>
      <c r="D986" s="39">
        <v>32544</v>
      </c>
      <c r="E986" s="39" t="s">
        <v>3743</v>
      </c>
      <c r="F986" s="39" t="s">
        <v>3744</v>
      </c>
      <c r="G986" s="39" t="s">
        <v>174</v>
      </c>
      <c r="H986" s="39" t="s">
        <v>160</v>
      </c>
      <c r="I986" s="39" t="s">
        <v>217</v>
      </c>
      <c r="J986" s="39" t="s">
        <v>118</v>
      </c>
      <c r="K986" s="40">
        <v>46070</v>
      </c>
      <c r="L986" s="40">
        <v>46037</v>
      </c>
      <c r="M986" s="40">
        <v>46070</v>
      </c>
      <c r="N986" s="40"/>
      <c r="O986" s="40"/>
      <c r="P986" s="40"/>
      <c r="Q986" s="40"/>
      <c r="R986" s="39" t="s">
        <v>218</v>
      </c>
      <c r="S986" s="39" t="s">
        <v>1018</v>
      </c>
      <c r="T986" s="39" t="s">
        <v>1018</v>
      </c>
      <c r="U986" s="35" t="s">
        <v>82</v>
      </c>
      <c r="V986" s="39" t="s">
        <v>226</v>
      </c>
      <c r="W986" s="39" t="s">
        <v>123</v>
      </c>
      <c r="X986" s="39">
        <v>576.87</v>
      </c>
      <c r="Y986" s="39">
        <v>104.89</v>
      </c>
      <c r="Z986" s="39">
        <v>104.89</v>
      </c>
      <c r="AA986" s="39">
        <v>0</v>
      </c>
      <c r="AB986" s="39"/>
      <c r="AC986" s="39">
        <v>0</v>
      </c>
      <c r="AD986" s="39"/>
      <c r="AE986" s="39">
        <v>0</v>
      </c>
      <c r="AF986" s="39"/>
      <c r="AG986" s="39">
        <v>0</v>
      </c>
      <c r="AH986" s="39"/>
      <c r="AI986" s="41">
        <v>0</v>
      </c>
    </row>
    <row r="987" spans="1:35" x14ac:dyDescent="0.25">
      <c r="A987" s="34" t="s">
        <v>110</v>
      </c>
      <c r="B987" s="35" t="s">
        <v>2910</v>
      </c>
      <c r="C987" s="35" t="s">
        <v>3745</v>
      </c>
      <c r="D987" s="35">
        <v>32678</v>
      </c>
      <c r="E987" s="35" t="s">
        <v>3746</v>
      </c>
      <c r="F987" s="35" t="s">
        <v>3747</v>
      </c>
      <c r="G987" s="35" t="s">
        <v>174</v>
      </c>
      <c r="H987" s="35" t="s">
        <v>160</v>
      </c>
      <c r="I987" s="35" t="s">
        <v>217</v>
      </c>
      <c r="J987" s="35" t="s">
        <v>141</v>
      </c>
      <c r="K987" s="36">
        <v>46070</v>
      </c>
      <c r="L987" s="36">
        <v>46065</v>
      </c>
      <c r="M987" s="36"/>
      <c r="N987" s="36"/>
      <c r="O987" s="36"/>
      <c r="P987" s="36"/>
      <c r="Q987" s="36"/>
      <c r="R987" s="35" t="s">
        <v>218</v>
      </c>
      <c r="S987" s="35" t="s">
        <v>1018</v>
      </c>
      <c r="T987" s="35" t="s">
        <v>1018</v>
      </c>
      <c r="U987" s="35" t="s">
        <v>82</v>
      </c>
      <c r="V987" s="35" t="s">
        <v>226</v>
      </c>
      <c r="W987" s="35" t="s">
        <v>123</v>
      </c>
      <c r="X987" s="35">
        <v>29636.1</v>
      </c>
      <c r="Y987" s="35">
        <v>5388.38</v>
      </c>
      <c r="Z987" s="35">
        <v>5388.38</v>
      </c>
      <c r="AA987" s="35">
        <v>0</v>
      </c>
      <c r="AB987" s="35"/>
      <c r="AC987" s="35">
        <v>0</v>
      </c>
      <c r="AD987" s="35"/>
      <c r="AE987" s="35">
        <v>0</v>
      </c>
      <c r="AF987" s="35"/>
      <c r="AG987" s="35">
        <v>0</v>
      </c>
      <c r="AH987" s="35"/>
      <c r="AI987" s="37">
        <v>0</v>
      </c>
    </row>
    <row r="988" spans="1:35" x14ac:dyDescent="0.25">
      <c r="A988" s="38" t="s">
        <v>110</v>
      </c>
      <c r="B988" s="39" t="s">
        <v>2910</v>
      </c>
      <c r="C988" s="39" t="s">
        <v>3745</v>
      </c>
      <c r="D988" s="39">
        <v>32678</v>
      </c>
      <c r="E988" s="39" t="s">
        <v>3748</v>
      </c>
      <c r="F988" s="39" t="s">
        <v>3749</v>
      </c>
      <c r="G988" s="39" t="s">
        <v>174</v>
      </c>
      <c r="H988" s="39" t="s">
        <v>160</v>
      </c>
      <c r="I988" s="39" t="s">
        <v>217</v>
      </c>
      <c r="J988" s="39" t="s">
        <v>141</v>
      </c>
      <c r="K988" s="40">
        <v>46070</v>
      </c>
      <c r="L988" s="40">
        <v>46065</v>
      </c>
      <c r="M988" s="40"/>
      <c r="N988" s="40"/>
      <c r="O988" s="40"/>
      <c r="P988" s="40"/>
      <c r="Q988" s="40"/>
      <c r="R988" s="39" t="s">
        <v>218</v>
      </c>
      <c r="S988" s="39" t="s">
        <v>1018</v>
      </c>
      <c r="T988" s="39" t="s">
        <v>1018</v>
      </c>
      <c r="U988" s="35" t="s">
        <v>82</v>
      </c>
      <c r="V988" s="39" t="s">
        <v>226</v>
      </c>
      <c r="W988" s="39" t="s">
        <v>123</v>
      </c>
      <c r="X988" s="39">
        <v>-5927.22</v>
      </c>
      <c r="Y988" s="39">
        <v>-1077.67</v>
      </c>
      <c r="Z988" s="39">
        <v>-1077.67</v>
      </c>
      <c r="AA988" s="39">
        <v>0</v>
      </c>
      <c r="AB988" s="39"/>
      <c r="AC988" s="39">
        <v>0</v>
      </c>
      <c r="AD988" s="39"/>
      <c r="AE988" s="39">
        <v>0</v>
      </c>
      <c r="AF988" s="39"/>
      <c r="AG988" s="39">
        <v>0</v>
      </c>
      <c r="AH988" s="39"/>
      <c r="AI988" s="41">
        <v>0</v>
      </c>
    </row>
    <row r="989" spans="1:35" x14ac:dyDescent="0.25">
      <c r="A989" s="34" t="s">
        <v>110</v>
      </c>
      <c r="B989" s="35" t="s">
        <v>2910</v>
      </c>
      <c r="C989" s="35" t="s">
        <v>3750</v>
      </c>
      <c r="D989" s="35">
        <v>32679</v>
      </c>
      <c r="E989" s="35" t="s">
        <v>3751</v>
      </c>
      <c r="F989" s="35" t="s">
        <v>3752</v>
      </c>
      <c r="G989" s="35" t="s">
        <v>174</v>
      </c>
      <c r="H989" s="35" t="s">
        <v>160</v>
      </c>
      <c r="I989" s="35" t="s">
        <v>217</v>
      </c>
      <c r="J989" s="35" t="s">
        <v>141</v>
      </c>
      <c r="K989" s="36">
        <v>46070</v>
      </c>
      <c r="L989" s="36">
        <v>46065</v>
      </c>
      <c r="M989" s="36"/>
      <c r="N989" s="36"/>
      <c r="O989" s="36"/>
      <c r="P989" s="36"/>
      <c r="Q989" s="36"/>
      <c r="R989" s="35" t="s">
        <v>218</v>
      </c>
      <c r="S989" s="35" t="s">
        <v>1018</v>
      </c>
      <c r="T989" s="35" t="s">
        <v>1018</v>
      </c>
      <c r="U989" s="35" t="s">
        <v>82</v>
      </c>
      <c r="V989" s="35" t="s">
        <v>226</v>
      </c>
      <c r="W989" s="35" t="s">
        <v>123</v>
      </c>
      <c r="X989" s="35">
        <v>38431.760000000002</v>
      </c>
      <c r="Y989" s="35">
        <v>6987.6</v>
      </c>
      <c r="Z989" s="35">
        <v>6987.6</v>
      </c>
      <c r="AA989" s="35">
        <v>0</v>
      </c>
      <c r="AB989" s="35"/>
      <c r="AC989" s="35">
        <v>0</v>
      </c>
      <c r="AD989" s="35"/>
      <c r="AE989" s="35">
        <v>0</v>
      </c>
      <c r="AF989" s="35"/>
      <c r="AG989" s="35">
        <v>0</v>
      </c>
      <c r="AH989" s="35"/>
      <c r="AI989" s="37">
        <v>0</v>
      </c>
    </row>
    <row r="990" spans="1:35" x14ac:dyDescent="0.25">
      <c r="A990" s="38" t="s">
        <v>110</v>
      </c>
      <c r="B990" s="39" t="s">
        <v>2910</v>
      </c>
      <c r="C990" s="39" t="s">
        <v>3750</v>
      </c>
      <c r="D990" s="39">
        <v>32679</v>
      </c>
      <c r="E990" s="39" t="s">
        <v>3753</v>
      </c>
      <c r="F990" s="39" t="s">
        <v>3754</v>
      </c>
      <c r="G990" s="39" t="s">
        <v>174</v>
      </c>
      <c r="H990" s="39" t="s">
        <v>160</v>
      </c>
      <c r="I990" s="39" t="s">
        <v>217</v>
      </c>
      <c r="J990" s="39" t="s">
        <v>141</v>
      </c>
      <c r="K990" s="40">
        <v>46070</v>
      </c>
      <c r="L990" s="40">
        <v>46065</v>
      </c>
      <c r="M990" s="40"/>
      <c r="N990" s="40"/>
      <c r="O990" s="40"/>
      <c r="P990" s="40"/>
      <c r="Q990" s="40"/>
      <c r="R990" s="39" t="s">
        <v>218</v>
      </c>
      <c r="S990" s="39" t="s">
        <v>1018</v>
      </c>
      <c r="T990" s="39" t="s">
        <v>1018</v>
      </c>
      <c r="U990" s="35" t="s">
        <v>82</v>
      </c>
      <c r="V990" s="39" t="s">
        <v>226</v>
      </c>
      <c r="W990" s="39" t="s">
        <v>123</v>
      </c>
      <c r="X990" s="39">
        <v>-7686.37</v>
      </c>
      <c r="Y990" s="39">
        <v>-1397.52</v>
      </c>
      <c r="Z990" s="39">
        <v>-1397.52</v>
      </c>
      <c r="AA990" s="39">
        <v>0</v>
      </c>
      <c r="AB990" s="39"/>
      <c r="AC990" s="39">
        <v>0</v>
      </c>
      <c r="AD990" s="39"/>
      <c r="AE990" s="39">
        <v>0</v>
      </c>
      <c r="AF990" s="39"/>
      <c r="AG990" s="39">
        <v>0</v>
      </c>
      <c r="AH990" s="39"/>
      <c r="AI990" s="41">
        <v>0</v>
      </c>
    </row>
    <row r="991" spans="1:35" x14ac:dyDescent="0.25">
      <c r="A991" s="34" t="s">
        <v>110</v>
      </c>
      <c r="B991" s="35" t="s">
        <v>1019</v>
      </c>
      <c r="C991" s="35" t="s">
        <v>3755</v>
      </c>
      <c r="D991" s="35">
        <v>32680</v>
      </c>
      <c r="E991" s="35" t="s">
        <v>3756</v>
      </c>
      <c r="F991" s="35" t="s">
        <v>3757</v>
      </c>
      <c r="G991" s="35" t="s">
        <v>174</v>
      </c>
      <c r="H991" s="35" t="s">
        <v>160</v>
      </c>
      <c r="I991" s="35" t="s">
        <v>217</v>
      </c>
      <c r="J991" s="35" t="s">
        <v>118</v>
      </c>
      <c r="K991" s="36">
        <v>46070</v>
      </c>
      <c r="L991" s="36">
        <v>46065</v>
      </c>
      <c r="M991" s="36">
        <v>46083</v>
      </c>
      <c r="N991" s="36"/>
      <c r="O991" s="36"/>
      <c r="P991" s="36"/>
      <c r="Q991" s="36"/>
      <c r="R991" s="35" t="s">
        <v>218</v>
      </c>
      <c r="S991" s="35" t="s">
        <v>1018</v>
      </c>
      <c r="T991" s="35" t="s">
        <v>1018</v>
      </c>
      <c r="U991" s="35" t="s">
        <v>82</v>
      </c>
      <c r="V991" s="35" t="s">
        <v>226</v>
      </c>
      <c r="W991" s="35" t="s">
        <v>123</v>
      </c>
      <c r="X991" s="35">
        <v>5154.8500000000004</v>
      </c>
      <c r="Y991" s="35">
        <v>937.25</v>
      </c>
      <c r="Z991" s="35">
        <v>937.25</v>
      </c>
      <c r="AA991" s="35">
        <v>0</v>
      </c>
      <c r="AB991" s="35"/>
      <c r="AC991" s="35">
        <v>0</v>
      </c>
      <c r="AD991" s="35"/>
      <c r="AE991" s="35">
        <v>0</v>
      </c>
      <c r="AF991" s="35"/>
      <c r="AG991" s="35">
        <v>0</v>
      </c>
      <c r="AH991" s="35"/>
      <c r="AI991" s="37">
        <v>0</v>
      </c>
    </row>
    <row r="992" spans="1:35" x14ac:dyDescent="0.25">
      <c r="A992" s="38" t="s">
        <v>110</v>
      </c>
      <c r="B992" s="39" t="s">
        <v>1019</v>
      </c>
      <c r="C992" s="39" t="s">
        <v>3755</v>
      </c>
      <c r="D992" s="39">
        <v>32680</v>
      </c>
      <c r="E992" s="39" t="s">
        <v>3758</v>
      </c>
      <c r="F992" s="39" t="s">
        <v>3759</v>
      </c>
      <c r="G992" s="39" t="s">
        <v>174</v>
      </c>
      <c r="H992" s="39" t="s">
        <v>160</v>
      </c>
      <c r="I992" s="39" t="s">
        <v>217</v>
      </c>
      <c r="J992" s="39" t="s">
        <v>141</v>
      </c>
      <c r="K992" s="40">
        <v>46070</v>
      </c>
      <c r="L992" s="40">
        <v>46065</v>
      </c>
      <c r="M992" s="40"/>
      <c r="N992" s="40"/>
      <c r="O992" s="40"/>
      <c r="P992" s="40"/>
      <c r="Q992" s="40"/>
      <c r="R992" s="39" t="s">
        <v>218</v>
      </c>
      <c r="S992" s="39" t="s">
        <v>1018</v>
      </c>
      <c r="T992" s="39" t="s">
        <v>1018</v>
      </c>
      <c r="U992" s="35" t="s">
        <v>82</v>
      </c>
      <c r="V992" s="39" t="s">
        <v>226</v>
      </c>
      <c r="W992" s="39" t="s">
        <v>123</v>
      </c>
      <c r="X992" s="39">
        <v>-1030.97</v>
      </c>
      <c r="Y992" s="39">
        <v>-187.44</v>
      </c>
      <c r="Z992" s="39">
        <v>-187.44</v>
      </c>
      <c r="AA992" s="39">
        <v>0</v>
      </c>
      <c r="AB992" s="39"/>
      <c r="AC992" s="39">
        <v>0</v>
      </c>
      <c r="AD992" s="39"/>
      <c r="AE992" s="39">
        <v>0</v>
      </c>
      <c r="AF992" s="39"/>
      <c r="AG992" s="39">
        <v>0</v>
      </c>
      <c r="AH992" s="39"/>
      <c r="AI992" s="41">
        <v>0</v>
      </c>
    </row>
    <row r="993" spans="1:35" x14ac:dyDescent="0.25">
      <c r="A993" s="34" t="s">
        <v>110</v>
      </c>
      <c r="B993" s="35" t="s">
        <v>2912</v>
      </c>
      <c r="C993" s="35" t="s">
        <v>3760</v>
      </c>
      <c r="D993" s="35">
        <v>32681</v>
      </c>
      <c r="E993" s="35" t="s">
        <v>3761</v>
      </c>
      <c r="F993" s="35" t="s">
        <v>3762</v>
      </c>
      <c r="G993" s="35" t="s">
        <v>174</v>
      </c>
      <c r="H993" s="35" t="s">
        <v>160</v>
      </c>
      <c r="I993" s="35" t="s">
        <v>217</v>
      </c>
      <c r="J993" s="35" t="s">
        <v>118</v>
      </c>
      <c r="K993" s="36">
        <v>46070</v>
      </c>
      <c r="L993" s="36">
        <v>46069</v>
      </c>
      <c r="M993" s="36">
        <v>46072</v>
      </c>
      <c r="N993" s="36"/>
      <c r="O993" s="36"/>
      <c r="P993" s="36"/>
      <c r="Q993" s="36"/>
      <c r="R993" s="35" t="s">
        <v>218</v>
      </c>
      <c r="S993" s="35" t="s">
        <v>1018</v>
      </c>
      <c r="T993" s="35" t="s">
        <v>1018</v>
      </c>
      <c r="U993" s="35" t="s">
        <v>82</v>
      </c>
      <c r="V993" s="35" t="s">
        <v>226</v>
      </c>
      <c r="W993" s="35" t="s">
        <v>123</v>
      </c>
      <c r="X993" s="35">
        <v>10239.52</v>
      </c>
      <c r="Y993" s="35">
        <v>1861.73</v>
      </c>
      <c r="Z993" s="35">
        <v>1861.73</v>
      </c>
      <c r="AA993" s="35">
        <v>0</v>
      </c>
      <c r="AB993" s="35"/>
      <c r="AC993" s="35">
        <v>0</v>
      </c>
      <c r="AD993" s="35"/>
      <c r="AE993" s="35">
        <v>0</v>
      </c>
      <c r="AF993" s="35"/>
      <c r="AG993" s="35">
        <v>0</v>
      </c>
      <c r="AH993" s="35"/>
      <c r="AI993" s="37">
        <v>0</v>
      </c>
    </row>
    <row r="994" spans="1:35" x14ac:dyDescent="0.25">
      <c r="A994" s="38" t="s">
        <v>110</v>
      </c>
      <c r="B994" s="39" t="s">
        <v>420</v>
      </c>
      <c r="C994" s="39" t="s">
        <v>1311</v>
      </c>
      <c r="D994" s="39">
        <v>32611</v>
      </c>
      <c r="E994" s="39" t="s">
        <v>3763</v>
      </c>
      <c r="F994" s="39" t="s">
        <v>3764</v>
      </c>
      <c r="G994" s="39" t="s">
        <v>174</v>
      </c>
      <c r="H994" s="39" t="s">
        <v>160</v>
      </c>
      <c r="I994" s="39" t="s">
        <v>217</v>
      </c>
      <c r="J994" s="39" t="s">
        <v>118</v>
      </c>
      <c r="K994" s="40">
        <v>46070</v>
      </c>
      <c r="L994" s="40">
        <v>46051</v>
      </c>
      <c r="M994" s="40">
        <v>46070</v>
      </c>
      <c r="N994" s="40"/>
      <c r="O994" s="40"/>
      <c r="P994" s="40"/>
      <c r="Q994" s="40"/>
      <c r="R994" s="39" t="s">
        <v>218</v>
      </c>
      <c r="S994" s="39" t="s">
        <v>1018</v>
      </c>
      <c r="T994" s="39" t="s">
        <v>1018</v>
      </c>
      <c r="U994" s="35" t="s">
        <v>82</v>
      </c>
      <c r="V994" s="39" t="s">
        <v>226</v>
      </c>
      <c r="W994" s="39" t="s">
        <v>123</v>
      </c>
      <c r="X994" s="39">
        <v>1161.56</v>
      </c>
      <c r="Y994" s="39">
        <v>211.19</v>
      </c>
      <c r="Z994" s="39">
        <v>211.19</v>
      </c>
      <c r="AA994" s="39">
        <v>0</v>
      </c>
      <c r="AB994" s="39"/>
      <c r="AC994" s="39">
        <v>0</v>
      </c>
      <c r="AD994" s="39"/>
      <c r="AE994" s="39">
        <v>0</v>
      </c>
      <c r="AF994" s="39"/>
      <c r="AG994" s="39">
        <v>0</v>
      </c>
      <c r="AH994" s="39"/>
      <c r="AI994" s="41">
        <v>0</v>
      </c>
    </row>
    <row r="995" spans="1:35" x14ac:dyDescent="0.25">
      <c r="A995" s="34" t="s">
        <v>110</v>
      </c>
      <c r="B995" s="35" t="s">
        <v>428</v>
      </c>
      <c r="C995" s="35" t="s">
        <v>3765</v>
      </c>
      <c r="D995" s="35">
        <v>32682</v>
      </c>
      <c r="E995" s="35" t="s">
        <v>3766</v>
      </c>
      <c r="F995" s="35" t="s">
        <v>3767</v>
      </c>
      <c r="G995" s="35" t="s">
        <v>174</v>
      </c>
      <c r="H995" s="35" t="s">
        <v>160</v>
      </c>
      <c r="I995" s="35" t="s">
        <v>217</v>
      </c>
      <c r="J995" s="35" t="s">
        <v>118</v>
      </c>
      <c r="K995" s="36">
        <v>46070</v>
      </c>
      <c r="L995" s="36">
        <v>46069</v>
      </c>
      <c r="M995" s="36">
        <v>46083</v>
      </c>
      <c r="N995" s="36"/>
      <c r="O995" s="36"/>
      <c r="P995" s="36"/>
      <c r="Q995" s="36"/>
      <c r="R995" s="35" t="s">
        <v>218</v>
      </c>
      <c r="S995" s="35" t="s">
        <v>1018</v>
      </c>
      <c r="T995" s="35" t="s">
        <v>1018</v>
      </c>
      <c r="U995" s="35" t="s">
        <v>82</v>
      </c>
      <c r="V995" s="35" t="s">
        <v>226</v>
      </c>
      <c r="W995" s="35" t="s">
        <v>123</v>
      </c>
      <c r="X995" s="35">
        <v>17191.490000000002</v>
      </c>
      <c r="Y995" s="35">
        <v>3125.73</v>
      </c>
      <c r="Z995" s="35">
        <v>3125.73</v>
      </c>
      <c r="AA995" s="35">
        <v>0</v>
      </c>
      <c r="AB995" s="35"/>
      <c r="AC995" s="35">
        <v>0</v>
      </c>
      <c r="AD995" s="35"/>
      <c r="AE995" s="35">
        <v>0</v>
      </c>
      <c r="AF995" s="35"/>
      <c r="AG995" s="35">
        <v>0</v>
      </c>
      <c r="AH995" s="35"/>
      <c r="AI995" s="37">
        <v>0</v>
      </c>
    </row>
    <row r="996" spans="1:35" x14ac:dyDescent="0.25">
      <c r="A996" s="38" t="s">
        <v>110</v>
      </c>
      <c r="B996" s="39" t="s">
        <v>1174</v>
      </c>
      <c r="C996" s="39" t="s">
        <v>3768</v>
      </c>
      <c r="D996" s="39">
        <v>32683</v>
      </c>
      <c r="E996" s="39" t="s">
        <v>3769</v>
      </c>
      <c r="F996" s="39" t="s">
        <v>3770</v>
      </c>
      <c r="G996" s="39" t="s">
        <v>174</v>
      </c>
      <c r="H996" s="39" t="s">
        <v>160</v>
      </c>
      <c r="I996" s="39" t="s">
        <v>217</v>
      </c>
      <c r="J996" s="39" t="s">
        <v>118</v>
      </c>
      <c r="K996" s="40">
        <v>46070</v>
      </c>
      <c r="L996" s="40">
        <v>46069</v>
      </c>
      <c r="M996" s="40">
        <v>46080</v>
      </c>
      <c r="N996" s="40"/>
      <c r="O996" s="40"/>
      <c r="P996" s="40"/>
      <c r="Q996" s="40"/>
      <c r="R996" s="39" t="s">
        <v>218</v>
      </c>
      <c r="S996" s="39" t="s">
        <v>1018</v>
      </c>
      <c r="T996" s="39" t="s">
        <v>1018</v>
      </c>
      <c r="U996" s="35" t="s">
        <v>82</v>
      </c>
      <c r="V996" s="39" t="s">
        <v>226</v>
      </c>
      <c r="W996" s="39" t="s">
        <v>123</v>
      </c>
      <c r="X996" s="39">
        <v>3304.48</v>
      </c>
      <c r="Y996" s="39">
        <v>600.82000000000005</v>
      </c>
      <c r="Z996" s="39">
        <v>600.82000000000005</v>
      </c>
      <c r="AA996" s="39">
        <v>0</v>
      </c>
      <c r="AB996" s="39"/>
      <c r="AC996" s="39">
        <v>0</v>
      </c>
      <c r="AD996" s="39"/>
      <c r="AE996" s="39">
        <v>0</v>
      </c>
      <c r="AF996" s="39"/>
      <c r="AG996" s="39">
        <v>0</v>
      </c>
      <c r="AH996" s="39"/>
      <c r="AI996" s="41">
        <v>0</v>
      </c>
    </row>
    <row r="997" spans="1:35" x14ac:dyDescent="0.25">
      <c r="A997" s="34" t="s">
        <v>110</v>
      </c>
      <c r="B997" s="35" t="s">
        <v>1174</v>
      </c>
      <c r="C997" s="35" t="s">
        <v>3768</v>
      </c>
      <c r="D997" s="35">
        <v>32683</v>
      </c>
      <c r="E997" s="35" t="s">
        <v>3771</v>
      </c>
      <c r="F997" s="35" t="s">
        <v>3772</v>
      </c>
      <c r="G997" s="35" t="s">
        <v>174</v>
      </c>
      <c r="H997" s="35" t="s">
        <v>160</v>
      </c>
      <c r="I997" s="35" t="s">
        <v>217</v>
      </c>
      <c r="J997" s="35" t="s">
        <v>141</v>
      </c>
      <c r="K997" s="36">
        <v>46070</v>
      </c>
      <c r="L997" s="36">
        <v>46069</v>
      </c>
      <c r="M997" s="36"/>
      <c r="N997" s="36"/>
      <c r="O997" s="36"/>
      <c r="P997" s="36"/>
      <c r="Q997" s="36"/>
      <c r="R997" s="35" t="s">
        <v>218</v>
      </c>
      <c r="S997" s="35" t="s">
        <v>1018</v>
      </c>
      <c r="T997" s="35" t="s">
        <v>1018</v>
      </c>
      <c r="U997" s="35" t="s">
        <v>82</v>
      </c>
      <c r="V997" s="35" t="s">
        <v>226</v>
      </c>
      <c r="W997" s="35" t="s">
        <v>123</v>
      </c>
      <c r="X997" s="35">
        <v>3304.48</v>
      </c>
      <c r="Y997" s="35">
        <v>600.82000000000005</v>
      </c>
      <c r="Z997" s="35">
        <v>600.82000000000005</v>
      </c>
      <c r="AA997" s="35">
        <v>0</v>
      </c>
      <c r="AB997" s="35"/>
      <c r="AC997" s="35">
        <v>0</v>
      </c>
      <c r="AD997" s="35"/>
      <c r="AE997" s="35">
        <v>0</v>
      </c>
      <c r="AF997" s="35"/>
      <c r="AG997" s="35">
        <v>0</v>
      </c>
      <c r="AH997" s="35"/>
      <c r="AI997" s="37">
        <v>0</v>
      </c>
    </row>
    <row r="998" spans="1:35" x14ac:dyDescent="0.25">
      <c r="A998" s="38" t="s">
        <v>110</v>
      </c>
      <c r="B998" s="39" t="s">
        <v>1174</v>
      </c>
      <c r="C998" s="39" t="s">
        <v>3768</v>
      </c>
      <c r="D998" s="39">
        <v>32683</v>
      </c>
      <c r="E998" s="39" t="s">
        <v>3773</v>
      </c>
      <c r="F998" s="39" t="s">
        <v>3774</v>
      </c>
      <c r="G998" s="39" t="s">
        <v>174</v>
      </c>
      <c r="H998" s="39" t="s">
        <v>160</v>
      </c>
      <c r="I998" s="39" t="s">
        <v>217</v>
      </c>
      <c r="J998" s="39" t="s">
        <v>141</v>
      </c>
      <c r="K998" s="40">
        <v>46070</v>
      </c>
      <c r="L998" s="40">
        <v>46069</v>
      </c>
      <c r="M998" s="40"/>
      <c r="N998" s="40"/>
      <c r="O998" s="40"/>
      <c r="P998" s="40"/>
      <c r="Q998" s="40"/>
      <c r="R998" s="39" t="s">
        <v>218</v>
      </c>
      <c r="S998" s="39" t="s">
        <v>1018</v>
      </c>
      <c r="T998" s="39" t="s">
        <v>1018</v>
      </c>
      <c r="U998" s="35" t="s">
        <v>82</v>
      </c>
      <c r="V998" s="39" t="s">
        <v>226</v>
      </c>
      <c r="W998" s="39" t="s">
        <v>123</v>
      </c>
      <c r="X998" s="39">
        <v>3304.48</v>
      </c>
      <c r="Y998" s="39">
        <v>600.82000000000005</v>
      </c>
      <c r="Z998" s="39">
        <v>600.82000000000005</v>
      </c>
      <c r="AA998" s="39">
        <v>0</v>
      </c>
      <c r="AB998" s="39"/>
      <c r="AC998" s="39">
        <v>0</v>
      </c>
      <c r="AD998" s="39"/>
      <c r="AE998" s="39">
        <v>0</v>
      </c>
      <c r="AF998" s="39"/>
      <c r="AG998" s="39">
        <v>0</v>
      </c>
      <c r="AH998" s="39"/>
      <c r="AI998" s="41">
        <v>0</v>
      </c>
    </row>
    <row r="999" spans="1:35" x14ac:dyDescent="0.25">
      <c r="A999" s="34" t="s">
        <v>110</v>
      </c>
      <c r="B999" s="35" t="s">
        <v>3775</v>
      </c>
      <c r="C999" s="35" t="s">
        <v>3776</v>
      </c>
      <c r="D999" s="35">
        <v>32684</v>
      </c>
      <c r="E999" s="35" t="s">
        <v>3777</v>
      </c>
      <c r="F999" s="35" t="s">
        <v>3778</v>
      </c>
      <c r="G999" s="35" t="s">
        <v>174</v>
      </c>
      <c r="H999" s="35" t="s">
        <v>160</v>
      </c>
      <c r="I999" s="35" t="s">
        <v>217</v>
      </c>
      <c r="J999" s="35" t="s">
        <v>141</v>
      </c>
      <c r="K999" s="36">
        <v>46070</v>
      </c>
      <c r="L999" s="36">
        <v>46065</v>
      </c>
      <c r="M999" s="36"/>
      <c r="N999" s="36"/>
      <c r="O999" s="36"/>
      <c r="P999" s="36"/>
      <c r="Q999" s="36"/>
      <c r="R999" s="35" t="s">
        <v>218</v>
      </c>
      <c r="S999" s="35" t="s">
        <v>1018</v>
      </c>
      <c r="T999" s="35" t="s">
        <v>1018</v>
      </c>
      <c r="U999" s="35" t="s">
        <v>82</v>
      </c>
      <c r="V999" s="35" t="s">
        <v>226</v>
      </c>
      <c r="W999" s="35" t="s">
        <v>123</v>
      </c>
      <c r="X999" s="35">
        <v>6331.23</v>
      </c>
      <c r="Y999" s="35">
        <v>1151.1400000000001</v>
      </c>
      <c r="Z999" s="35">
        <v>1151.1400000000001</v>
      </c>
      <c r="AA999" s="35">
        <v>0</v>
      </c>
      <c r="AB999" s="35"/>
      <c r="AC999" s="35">
        <v>0</v>
      </c>
      <c r="AD999" s="35"/>
      <c r="AE999" s="35">
        <v>0</v>
      </c>
      <c r="AF999" s="35"/>
      <c r="AG999" s="35">
        <v>0</v>
      </c>
      <c r="AH999" s="35"/>
      <c r="AI999" s="37">
        <v>0</v>
      </c>
    </row>
    <row r="1000" spans="1:35" x14ac:dyDescent="0.25">
      <c r="A1000" s="38" t="s">
        <v>110</v>
      </c>
      <c r="B1000" s="39" t="s">
        <v>3775</v>
      </c>
      <c r="C1000" s="39" t="s">
        <v>3776</v>
      </c>
      <c r="D1000" s="39">
        <v>32684</v>
      </c>
      <c r="E1000" s="39" t="s">
        <v>3779</v>
      </c>
      <c r="F1000" s="39" t="s">
        <v>3780</v>
      </c>
      <c r="G1000" s="39" t="s">
        <v>174</v>
      </c>
      <c r="H1000" s="39" t="s">
        <v>160</v>
      </c>
      <c r="I1000" s="39" t="s">
        <v>217</v>
      </c>
      <c r="J1000" s="39" t="s">
        <v>141</v>
      </c>
      <c r="K1000" s="40">
        <v>46070</v>
      </c>
      <c r="L1000" s="40">
        <v>46065</v>
      </c>
      <c r="M1000" s="40"/>
      <c r="N1000" s="40"/>
      <c r="O1000" s="40"/>
      <c r="P1000" s="40"/>
      <c r="Q1000" s="40"/>
      <c r="R1000" s="39" t="s">
        <v>218</v>
      </c>
      <c r="S1000" s="39" t="s">
        <v>1018</v>
      </c>
      <c r="T1000" s="39" t="s">
        <v>1018</v>
      </c>
      <c r="U1000" s="35" t="s">
        <v>82</v>
      </c>
      <c r="V1000" s="39" t="s">
        <v>226</v>
      </c>
      <c r="W1000" s="39" t="s">
        <v>123</v>
      </c>
      <c r="X1000" s="39">
        <v>-1266.27</v>
      </c>
      <c r="Y1000" s="39">
        <v>-230.24</v>
      </c>
      <c r="Z1000" s="39">
        <v>-230.24</v>
      </c>
      <c r="AA1000" s="39">
        <v>0</v>
      </c>
      <c r="AB1000" s="39"/>
      <c r="AC1000" s="39">
        <v>0</v>
      </c>
      <c r="AD1000" s="39"/>
      <c r="AE1000" s="39">
        <v>0</v>
      </c>
      <c r="AF1000" s="39"/>
      <c r="AG1000" s="39">
        <v>0</v>
      </c>
      <c r="AH1000" s="39"/>
      <c r="AI1000" s="41">
        <v>0</v>
      </c>
    </row>
    <row r="1001" spans="1:35" x14ac:dyDescent="0.25">
      <c r="A1001" s="34" t="s">
        <v>110</v>
      </c>
      <c r="B1001" s="35" t="s">
        <v>2903</v>
      </c>
      <c r="C1001" s="35" t="s">
        <v>3781</v>
      </c>
      <c r="D1001" s="35">
        <v>32685</v>
      </c>
      <c r="E1001" s="35" t="s">
        <v>3782</v>
      </c>
      <c r="F1001" s="35" t="s">
        <v>3783</v>
      </c>
      <c r="G1001" s="35" t="s">
        <v>174</v>
      </c>
      <c r="H1001" s="35" t="s">
        <v>160</v>
      </c>
      <c r="I1001" s="35" t="s">
        <v>217</v>
      </c>
      <c r="J1001" s="35" t="s">
        <v>141</v>
      </c>
      <c r="K1001" s="36">
        <v>46070</v>
      </c>
      <c r="L1001" s="36">
        <v>46065</v>
      </c>
      <c r="M1001" s="36"/>
      <c r="N1001" s="36"/>
      <c r="O1001" s="36"/>
      <c r="P1001" s="36"/>
      <c r="Q1001" s="36"/>
      <c r="R1001" s="35" t="s">
        <v>218</v>
      </c>
      <c r="S1001" s="35" t="s">
        <v>1018</v>
      </c>
      <c r="T1001" s="35" t="s">
        <v>1018</v>
      </c>
      <c r="U1001" s="35" t="s">
        <v>82</v>
      </c>
      <c r="V1001" s="35" t="s">
        <v>226</v>
      </c>
      <c r="W1001" s="35" t="s">
        <v>123</v>
      </c>
      <c r="X1001" s="35">
        <v>19567.78</v>
      </c>
      <c r="Y1001" s="35">
        <v>3557.78</v>
      </c>
      <c r="Z1001" s="35">
        <v>3557.78</v>
      </c>
      <c r="AA1001" s="35">
        <v>0</v>
      </c>
      <c r="AB1001" s="35"/>
      <c r="AC1001" s="35">
        <v>0</v>
      </c>
      <c r="AD1001" s="35"/>
      <c r="AE1001" s="35">
        <v>0</v>
      </c>
      <c r="AF1001" s="35"/>
      <c r="AG1001" s="35">
        <v>0</v>
      </c>
      <c r="AH1001" s="35"/>
      <c r="AI1001" s="37">
        <v>0</v>
      </c>
    </row>
    <row r="1002" spans="1:35" x14ac:dyDescent="0.25">
      <c r="A1002" s="38" t="s">
        <v>110</v>
      </c>
      <c r="B1002" s="39" t="s">
        <v>2903</v>
      </c>
      <c r="C1002" s="39" t="s">
        <v>3781</v>
      </c>
      <c r="D1002" s="39">
        <v>32685</v>
      </c>
      <c r="E1002" s="39" t="s">
        <v>3784</v>
      </c>
      <c r="F1002" s="39" t="s">
        <v>3785</v>
      </c>
      <c r="G1002" s="39" t="s">
        <v>174</v>
      </c>
      <c r="H1002" s="39" t="s">
        <v>160</v>
      </c>
      <c r="I1002" s="39" t="s">
        <v>217</v>
      </c>
      <c r="J1002" s="39" t="s">
        <v>141</v>
      </c>
      <c r="K1002" s="40">
        <v>46070</v>
      </c>
      <c r="L1002" s="40">
        <v>46065</v>
      </c>
      <c r="M1002" s="40"/>
      <c r="N1002" s="40"/>
      <c r="O1002" s="40"/>
      <c r="P1002" s="40"/>
      <c r="Q1002" s="40"/>
      <c r="R1002" s="39" t="s">
        <v>218</v>
      </c>
      <c r="S1002" s="39" t="s">
        <v>1018</v>
      </c>
      <c r="T1002" s="39" t="s">
        <v>1018</v>
      </c>
      <c r="U1002" s="35" t="s">
        <v>82</v>
      </c>
      <c r="V1002" s="39" t="s">
        <v>226</v>
      </c>
      <c r="W1002" s="39" t="s">
        <v>123</v>
      </c>
      <c r="X1002" s="39">
        <v>-3913.56</v>
      </c>
      <c r="Y1002" s="39">
        <v>-711.55</v>
      </c>
      <c r="Z1002" s="39">
        <v>-711.55</v>
      </c>
      <c r="AA1002" s="39">
        <v>0</v>
      </c>
      <c r="AB1002" s="39"/>
      <c r="AC1002" s="39">
        <v>0</v>
      </c>
      <c r="AD1002" s="39"/>
      <c r="AE1002" s="39">
        <v>0</v>
      </c>
      <c r="AF1002" s="39"/>
      <c r="AG1002" s="39">
        <v>0</v>
      </c>
      <c r="AH1002" s="39"/>
      <c r="AI1002" s="41">
        <v>0</v>
      </c>
    </row>
    <row r="1003" spans="1:35" x14ac:dyDescent="0.25">
      <c r="A1003" s="34" t="s">
        <v>110</v>
      </c>
      <c r="B1003" s="35" t="s">
        <v>2813</v>
      </c>
      <c r="C1003" s="35" t="s">
        <v>3786</v>
      </c>
      <c r="D1003" s="35">
        <v>32686</v>
      </c>
      <c r="E1003" s="35" t="s">
        <v>3787</v>
      </c>
      <c r="F1003" s="35" t="s">
        <v>3788</v>
      </c>
      <c r="G1003" s="35" t="s">
        <v>174</v>
      </c>
      <c r="H1003" s="35" t="s">
        <v>160</v>
      </c>
      <c r="I1003" s="35" t="s">
        <v>217</v>
      </c>
      <c r="J1003" s="35" t="s">
        <v>141</v>
      </c>
      <c r="K1003" s="36">
        <v>46070</v>
      </c>
      <c r="L1003" s="36">
        <v>46065</v>
      </c>
      <c r="M1003" s="36"/>
      <c r="N1003" s="36"/>
      <c r="O1003" s="36"/>
      <c r="P1003" s="36"/>
      <c r="Q1003" s="36"/>
      <c r="R1003" s="35" t="s">
        <v>218</v>
      </c>
      <c r="S1003" s="35" t="s">
        <v>1018</v>
      </c>
      <c r="T1003" s="35" t="s">
        <v>1018</v>
      </c>
      <c r="U1003" s="35" t="s">
        <v>82</v>
      </c>
      <c r="V1003" s="35" t="s">
        <v>226</v>
      </c>
      <c r="W1003" s="35" t="s">
        <v>123</v>
      </c>
      <c r="X1003" s="35">
        <v>6981.13</v>
      </c>
      <c r="Y1003" s="35">
        <v>1269.3</v>
      </c>
      <c r="Z1003" s="35">
        <v>1269.3</v>
      </c>
      <c r="AA1003" s="35">
        <v>0</v>
      </c>
      <c r="AB1003" s="35"/>
      <c r="AC1003" s="35">
        <v>0</v>
      </c>
      <c r="AD1003" s="35"/>
      <c r="AE1003" s="35">
        <v>0</v>
      </c>
      <c r="AF1003" s="35"/>
      <c r="AG1003" s="35">
        <v>0</v>
      </c>
      <c r="AH1003" s="35"/>
      <c r="AI1003" s="37">
        <v>0</v>
      </c>
    </row>
    <row r="1004" spans="1:35" x14ac:dyDescent="0.25">
      <c r="A1004" s="38" t="s">
        <v>110</v>
      </c>
      <c r="B1004" s="39" t="s">
        <v>2813</v>
      </c>
      <c r="C1004" s="39" t="s">
        <v>3786</v>
      </c>
      <c r="D1004" s="39">
        <v>32686</v>
      </c>
      <c r="E1004" s="39" t="s">
        <v>3789</v>
      </c>
      <c r="F1004" s="39" t="s">
        <v>3790</v>
      </c>
      <c r="G1004" s="39" t="s">
        <v>174</v>
      </c>
      <c r="H1004" s="39" t="s">
        <v>160</v>
      </c>
      <c r="I1004" s="39" t="s">
        <v>217</v>
      </c>
      <c r="J1004" s="39" t="s">
        <v>141</v>
      </c>
      <c r="K1004" s="40">
        <v>46070</v>
      </c>
      <c r="L1004" s="40">
        <v>46065</v>
      </c>
      <c r="M1004" s="40"/>
      <c r="N1004" s="40"/>
      <c r="O1004" s="40"/>
      <c r="P1004" s="40"/>
      <c r="Q1004" s="40"/>
      <c r="R1004" s="39" t="s">
        <v>218</v>
      </c>
      <c r="S1004" s="39" t="s">
        <v>1018</v>
      </c>
      <c r="T1004" s="39" t="s">
        <v>1018</v>
      </c>
      <c r="U1004" s="35" t="s">
        <v>82</v>
      </c>
      <c r="V1004" s="39" t="s">
        <v>226</v>
      </c>
      <c r="W1004" s="39" t="s">
        <v>123</v>
      </c>
      <c r="X1004" s="39">
        <v>-1396.23</v>
      </c>
      <c r="Y1004" s="39">
        <v>-253.86</v>
      </c>
      <c r="Z1004" s="39">
        <v>-253.86</v>
      </c>
      <c r="AA1004" s="39">
        <v>0</v>
      </c>
      <c r="AB1004" s="39"/>
      <c r="AC1004" s="39">
        <v>0</v>
      </c>
      <c r="AD1004" s="39"/>
      <c r="AE1004" s="39">
        <v>0</v>
      </c>
      <c r="AF1004" s="39"/>
      <c r="AG1004" s="39">
        <v>0</v>
      </c>
      <c r="AH1004" s="39"/>
      <c r="AI1004" s="41">
        <v>0</v>
      </c>
    </row>
    <row r="1005" spans="1:35" x14ac:dyDescent="0.25">
      <c r="A1005" s="34" t="s">
        <v>110</v>
      </c>
      <c r="B1005" s="35" t="s">
        <v>2699</v>
      </c>
      <c r="C1005" s="35" t="s">
        <v>3791</v>
      </c>
      <c r="D1005" s="35">
        <v>32687</v>
      </c>
      <c r="E1005" s="35" t="s">
        <v>3792</v>
      </c>
      <c r="F1005" s="35" t="s">
        <v>3793</v>
      </c>
      <c r="G1005" s="35" t="s">
        <v>174</v>
      </c>
      <c r="H1005" s="35" t="s">
        <v>160</v>
      </c>
      <c r="I1005" s="35" t="s">
        <v>217</v>
      </c>
      <c r="J1005" s="35" t="s">
        <v>141</v>
      </c>
      <c r="K1005" s="36">
        <v>46070</v>
      </c>
      <c r="L1005" s="36">
        <v>46065</v>
      </c>
      <c r="M1005" s="36"/>
      <c r="N1005" s="36"/>
      <c r="O1005" s="36"/>
      <c r="P1005" s="36"/>
      <c r="Q1005" s="36"/>
      <c r="R1005" s="35" t="s">
        <v>218</v>
      </c>
      <c r="S1005" s="35" t="s">
        <v>1018</v>
      </c>
      <c r="T1005" s="35" t="s">
        <v>1018</v>
      </c>
      <c r="U1005" s="35" t="s">
        <v>82</v>
      </c>
      <c r="V1005" s="35" t="s">
        <v>226</v>
      </c>
      <c r="W1005" s="35" t="s">
        <v>123</v>
      </c>
      <c r="X1005" s="35">
        <v>23573.73</v>
      </c>
      <c r="Y1005" s="35">
        <v>4286.1400000000003</v>
      </c>
      <c r="Z1005" s="35">
        <v>4286.1400000000003</v>
      </c>
      <c r="AA1005" s="35">
        <v>0</v>
      </c>
      <c r="AB1005" s="35"/>
      <c r="AC1005" s="35">
        <v>0</v>
      </c>
      <c r="AD1005" s="35"/>
      <c r="AE1005" s="35">
        <v>0</v>
      </c>
      <c r="AF1005" s="35"/>
      <c r="AG1005" s="35">
        <v>0</v>
      </c>
      <c r="AH1005" s="35"/>
      <c r="AI1005" s="37">
        <v>0</v>
      </c>
    </row>
    <row r="1006" spans="1:35" x14ac:dyDescent="0.25">
      <c r="A1006" s="38" t="s">
        <v>110</v>
      </c>
      <c r="B1006" s="39" t="s">
        <v>2699</v>
      </c>
      <c r="C1006" s="39" t="s">
        <v>3791</v>
      </c>
      <c r="D1006" s="39">
        <v>32687</v>
      </c>
      <c r="E1006" s="39" t="s">
        <v>3794</v>
      </c>
      <c r="F1006" s="39" t="s">
        <v>3795</v>
      </c>
      <c r="G1006" s="39" t="s">
        <v>174</v>
      </c>
      <c r="H1006" s="39" t="s">
        <v>160</v>
      </c>
      <c r="I1006" s="39" t="s">
        <v>217</v>
      </c>
      <c r="J1006" s="39" t="s">
        <v>141</v>
      </c>
      <c r="K1006" s="40">
        <v>46070</v>
      </c>
      <c r="L1006" s="40">
        <v>46065</v>
      </c>
      <c r="M1006" s="40"/>
      <c r="N1006" s="40"/>
      <c r="O1006" s="40"/>
      <c r="P1006" s="40"/>
      <c r="Q1006" s="40"/>
      <c r="R1006" s="39" t="s">
        <v>218</v>
      </c>
      <c r="S1006" s="39" t="s">
        <v>1018</v>
      </c>
      <c r="T1006" s="39" t="s">
        <v>1018</v>
      </c>
      <c r="U1006" s="35" t="s">
        <v>82</v>
      </c>
      <c r="V1006" s="39" t="s">
        <v>226</v>
      </c>
      <c r="W1006" s="39" t="s">
        <v>123</v>
      </c>
      <c r="X1006" s="39">
        <v>-4714.76</v>
      </c>
      <c r="Y1006" s="39">
        <v>-857.23</v>
      </c>
      <c r="Z1006" s="39">
        <v>-857.23</v>
      </c>
      <c r="AA1006" s="39">
        <v>0</v>
      </c>
      <c r="AB1006" s="39"/>
      <c r="AC1006" s="39">
        <v>0</v>
      </c>
      <c r="AD1006" s="39"/>
      <c r="AE1006" s="39">
        <v>0</v>
      </c>
      <c r="AF1006" s="39"/>
      <c r="AG1006" s="39">
        <v>0</v>
      </c>
      <c r="AH1006" s="39"/>
      <c r="AI1006" s="41">
        <v>0</v>
      </c>
    </row>
    <row r="1007" spans="1:35" x14ac:dyDescent="0.25">
      <c r="A1007" s="34" t="s">
        <v>110</v>
      </c>
      <c r="B1007" s="35" t="s">
        <v>2823</v>
      </c>
      <c r="C1007" s="35" t="s">
        <v>3796</v>
      </c>
      <c r="D1007" s="35">
        <v>32688</v>
      </c>
      <c r="E1007" s="35" t="s">
        <v>3797</v>
      </c>
      <c r="F1007" s="35" t="s">
        <v>3798</v>
      </c>
      <c r="G1007" s="35" t="s">
        <v>174</v>
      </c>
      <c r="H1007" s="35" t="s">
        <v>160</v>
      </c>
      <c r="I1007" s="35" t="s">
        <v>217</v>
      </c>
      <c r="J1007" s="35" t="s">
        <v>141</v>
      </c>
      <c r="K1007" s="36">
        <v>46070</v>
      </c>
      <c r="L1007" s="36">
        <v>46065</v>
      </c>
      <c r="M1007" s="36"/>
      <c r="N1007" s="36"/>
      <c r="O1007" s="36"/>
      <c r="P1007" s="36"/>
      <c r="Q1007" s="36"/>
      <c r="R1007" s="35" t="s">
        <v>218</v>
      </c>
      <c r="S1007" s="35" t="s">
        <v>1018</v>
      </c>
      <c r="T1007" s="35" t="s">
        <v>1018</v>
      </c>
      <c r="U1007" s="35" t="s">
        <v>82</v>
      </c>
      <c r="V1007" s="35" t="s">
        <v>226</v>
      </c>
      <c r="W1007" s="35" t="s">
        <v>123</v>
      </c>
      <c r="X1007" s="35">
        <v>137.22</v>
      </c>
      <c r="Y1007" s="35">
        <v>24.94</v>
      </c>
      <c r="Z1007" s="35">
        <v>24.94</v>
      </c>
      <c r="AA1007" s="35">
        <v>0</v>
      </c>
      <c r="AB1007" s="35"/>
      <c r="AC1007" s="35">
        <v>0</v>
      </c>
      <c r="AD1007" s="35"/>
      <c r="AE1007" s="35">
        <v>0</v>
      </c>
      <c r="AF1007" s="35"/>
      <c r="AG1007" s="35">
        <v>0</v>
      </c>
      <c r="AH1007" s="35"/>
      <c r="AI1007" s="37">
        <v>0</v>
      </c>
    </row>
    <row r="1008" spans="1:35" x14ac:dyDescent="0.25">
      <c r="A1008" s="38" t="s">
        <v>110</v>
      </c>
      <c r="B1008" s="39" t="s">
        <v>2823</v>
      </c>
      <c r="C1008" s="39" t="s">
        <v>3796</v>
      </c>
      <c r="D1008" s="39">
        <v>32688</v>
      </c>
      <c r="E1008" s="39" t="s">
        <v>3799</v>
      </c>
      <c r="F1008" s="39" t="s">
        <v>3800</v>
      </c>
      <c r="G1008" s="39" t="s">
        <v>174</v>
      </c>
      <c r="H1008" s="39" t="s">
        <v>160</v>
      </c>
      <c r="I1008" s="39" t="s">
        <v>217</v>
      </c>
      <c r="J1008" s="39" t="s">
        <v>141</v>
      </c>
      <c r="K1008" s="40">
        <v>46070</v>
      </c>
      <c r="L1008" s="40">
        <v>46065</v>
      </c>
      <c r="M1008" s="40"/>
      <c r="N1008" s="40"/>
      <c r="O1008" s="40"/>
      <c r="P1008" s="40"/>
      <c r="Q1008" s="40"/>
      <c r="R1008" s="39" t="s">
        <v>218</v>
      </c>
      <c r="S1008" s="39" t="s">
        <v>1018</v>
      </c>
      <c r="T1008" s="39" t="s">
        <v>1018</v>
      </c>
      <c r="U1008" s="35" t="s">
        <v>82</v>
      </c>
      <c r="V1008" s="39" t="s">
        <v>226</v>
      </c>
      <c r="W1008" s="39" t="s">
        <v>123</v>
      </c>
      <c r="X1008" s="39">
        <v>-27.44</v>
      </c>
      <c r="Y1008" s="39">
        <v>-4.99</v>
      </c>
      <c r="Z1008" s="39">
        <v>-4.99</v>
      </c>
      <c r="AA1008" s="39">
        <v>0</v>
      </c>
      <c r="AB1008" s="39"/>
      <c r="AC1008" s="39">
        <v>0</v>
      </c>
      <c r="AD1008" s="39"/>
      <c r="AE1008" s="39">
        <v>0</v>
      </c>
      <c r="AF1008" s="39"/>
      <c r="AG1008" s="39">
        <v>0</v>
      </c>
      <c r="AH1008" s="39"/>
      <c r="AI1008" s="41">
        <v>0</v>
      </c>
    </row>
    <row r="1009" spans="1:35" x14ac:dyDescent="0.25">
      <c r="A1009" s="34" t="s">
        <v>110</v>
      </c>
      <c r="B1009" s="35" t="s">
        <v>3801</v>
      </c>
      <c r="C1009" s="35" t="s">
        <v>3802</v>
      </c>
      <c r="D1009" s="35">
        <v>32689</v>
      </c>
      <c r="E1009" s="35" t="s">
        <v>3803</v>
      </c>
      <c r="F1009" s="35" t="s">
        <v>3804</v>
      </c>
      <c r="G1009" s="35" t="s">
        <v>174</v>
      </c>
      <c r="H1009" s="35" t="s">
        <v>160</v>
      </c>
      <c r="I1009" s="35" t="s">
        <v>217</v>
      </c>
      <c r="J1009" s="35" t="s">
        <v>118</v>
      </c>
      <c r="K1009" s="36">
        <v>46070</v>
      </c>
      <c r="L1009" s="36">
        <v>46082</v>
      </c>
      <c r="M1009" s="36">
        <v>46083</v>
      </c>
      <c r="N1009" s="36"/>
      <c r="O1009" s="36"/>
      <c r="P1009" s="36"/>
      <c r="Q1009" s="36"/>
      <c r="R1009" s="35" t="s">
        <v>218</v>
      </c>
      <c r="S1009" s="35" t="s">
        <v>225</v>
      </c>
      <c r="T1009" s="35" t="s">
        <v>225</v>
      </c>
      <c r="U1009" s="35" t="s">
        <v>88</v>
      </c>
      <c r="V1009" s="35" t="s">
        <v>226</v>
      </c>
      <c r="W1009" s="35" t="s">
        <v>123</v>
      </c>
      <c r="X1009" s="35">
        <v>878.41</v>
      </c>
      <c r="Y1009" s="35">
        <v>159.71</v>
      </c>
      <c r="Z1009" s="35">
        <v>159.71</v>
      </c>
      <c r="AA1009" s="35">
        <v>0</v>
      </c>
      <c r="AB1009" s="35"/>
      <c r="AC1009" s="35">
        <v>0</v>
      </c>
      <c r="AD1009" s="35"/>
      <c r="AE1009" s="35">
        <v>0</v>
      </c>
      <c r="AF1009" s="35"/>
      <c r="AG1009" s="35">
        <v>0</v>
      </c>
      <c r="AH1009" s="35"/>
      <c r="AI1009" s="37">
        <v>0</v>
      </c>
    </row>
    <row r="1010" spans="1:35" x14ac:dyDescent="0.25">
      <c r="A1010" s="38" t="s">
        <v>110</v>
      </c>
      <c r="B1010" s="39" t="s">
        <v>420</v>
      </c>
      <c r="C1010" s="39" t="s">
        <v>3805</v>
      </c>
      <c r="D1010" s="39">
        <v>32690</v>
      </c>
      <c r="E1010" s="39" t="s">
        <v>3806</v>
      </c>
      <c r="F1010" s="39" t="s">
        <v>3807</v>
      </c>
      <c r="G1010" s="39" t="s">
        <v>174</v>
      </c>
      <c r="H1010" s="39" t="s">
        <v>160</v>
      </c>
      <c r="I1010" s="39" t="s">
        <v>217</v>
      </c>
      <c r="J1010" s="39" t="s">
        <v>118</v>
      </c>
      <c r="K1010" s="40">
        <v>46070</v>
      </c>
      <c r="L1010" s="40">
        <v>46066</v>
      </c>
      <c r="M1010" s="40">
        <v>46070</v>
      </c>
      <c r="N1010" s="40"/>
      <c r="O1010" s="40"/>
      <c r="P1010" s="40"/>
      <c r="Q1010" s="40"/>
      <c r="R1010" s="39" t="s">
        <v>218</v>
      </c>
      <c r="S1010" s="39" t="s">
        <v>1018</v>
      </c>
      <c r="T1010" s="39" t="s">
        <v>1018</v>
      </c>
      <c r="U1010" s="35" t="s">
        <v>82</v>
      </c>
      <c r="V1010" s="39" t="s">
        <v>226</v>
      </c>
      <c r="W1010" s="39" t="s">
        <v>123</v>
      </c>
      <c r="X1010" s="39">
        <v>6735.7</v>
      </c>
      <c r="Y1010" s="39">
        <v>1224.67</v>
      </c>
      <c r="Z1010" s="39">
        <v>1224.67</v>
      </c>
      <c r="AA1010" s="39">
        <v>0</v>
      </c>
      <c r="AB1010" s="39"/>
      <c r="AC1010" s="39">
        <v>0</v>
      </c>
      <c r="AD1010" s="39"/>
      <c r="AE1010" s="39">
        <v>0</v>
      </c>
      <c r="AF1010" s="39"/>
      <c r="AG1010" s="39">
        <v>0</v>
      </c>
      <c r="AH1010" s="39"/>
      <c r="AI1010" s="41">
        <v>0</v>
      </c>
    </row>
    <row r="1011" spans="1:35" x14ac:dyDescent="0.25">
      <c r="A1011" s="34" t="s">
        <v>110</v>
      </c>
      <c r="B1011" s="35" t="s">
        <v>2729</v>
      </c>
      <c r="C1011" s="35" t="s">
        <v>2730</v>
      </c>
      <c r="D1011" s="35">
        <v>4818</v>
      </c>
      <c r="E1011" s="35"/>
      <c r="F1011" s="35" t="s">
        <v>3808</v>
      </c>
      <c r="G1011" s="35" t="s">
        <v>115</v>
      </c>
      <c r="H1011" s="35" t="s">
        <v>116</v>
      </c>
      <c r="I1011" s="35" t="s">
        <v>117</v>
      </c>
      <c r="J1011" s="35" t="s">
        <v>118</v>
      </c>
      <c r="K1011" s="36">
        <v>46070</v>
      </c>
      <c r="L1011" s="36">
        <v>45931</v>
      </c>
      <c r="M1011" s="36">
        <v>46071</v>
      </c>
      <c r="N1011" s="36"/>
      <c r="O1011" s="36"/>
      <c r="P1011" s="36"/>
      <c r="Q1011" s="36">
        <v>46071</v>
      </c>
      <c r="R1011" s="35" t="s">
        <v>119</v>
      </c>
      <c r="S1011" s="35" t="s">
        <v>2731</v>
      </c>
      <c r="T1011" s="35" t="s">
        <v>129</v>
      </c>
      <c r="U1011" s="35" t="s">
        <v>90</v>
      </c>
      <c r="V1011" s="35" t="s">
        <v>2732</v>
      </c>
      <c r="W1011" s="35" t="s">
        <v>123</v>
      </c>
      <c r="X1011" s="35">
        <v>265.83999999999997</v>
      </c>
      <c r="Y1011" s="35">
        <v>10.68</v>
      </c>
      <c r="Z1011" s="35">
        <v>10.68</v>
      </c>
      <c r="AA1011" s="35">
        <v>0</v>
      </c>
      <c r="AB1011" s="35"/>
      <c r="AC1011" s="35">
        <v>0</v>
      </c>
      <c r="AD1011" s="35"/>
      <c r="AE1011" s="35">
        <v>0</v>
      </c>
      <c r="AF1011" s="35"/>
      <c r="AG1011" s="35">
        <v>0</v>
      </c>
      <c r="AH1011" s="35"/>
      <c r="AI1011" s="37">
        <v>0</v>
      </c>
    </row>
    <row r="1012" spans="1:35" x14ac:dyDescent="0.25">
      <c r="A1012" s="38" t="s">
        <v>110</v>
      </c>
      <c r="B1012" s="39" t="s">
        <v>2729</v>
      </c>
      <c r="C1012" s="39" t="s">
        <v>2730</v>
      </c>
      <c r="D1012" s="39">
        <v>4818</v>
      </c>
      <c r="E1012" s="39"/>
      <c r="F1012" s="39" t="s">
        <v>3809</v>
      </c>
      <c r="G1012" s="39" t="s">
        <v>115</v>
      </c>
      <c r="H1012" s="39" t="s">
        <v>116</v>
      </c>
      <c r="I1012" s="39" t="s">
        <v>117</v>
      </c>
      <c r="J1012" s="39" t="s">
        <v>118</v>
      </c>
      <c r="K1012" s="40">
        <v>46070</v>
      </c>
      <c r="L1012" s="40">
        <v>45962</v>
      </c>
      <c r="M1012" s="40">
        <v>46071</v>
      </c>
      <c r="N1012" s="40"/>
      <c r="O1012" s="40"/>
      <c r="P1012" s="40"/>
      <c r="Q1012" s="40">
        <v>46071</v>
      </c>
      <c r="R1012" s="39" t="s">
        <v>119</v>
      </c>
      <c r="S1012" s="39" t="s">
        <v>2731</v>
      </c>
      <c r="T1012" s="39" t="s">
        <v>129</v>
      </c>
      <c r="U1012" s="35" t="s">
        <v>90</v>
      </c>
      <c r="V1012" s="39" t="s">
        <v>2732</v>
      </c>
      <c r="W1012" s="39" t="s">
        <v>123</v>
      </c>
      <c r="X1012" s="39">
        <v>265.83999999999997</v>
      </c>
      <c r="Y1012" s="39">
        <v>10.68</v>
      </c>
      <c r="Z1012" s="39">
        <v>10.68</v>
      </c>
      <c r="AA1012" s="39">
        <v>0</v>
      </c>
      <c r="AB1012" s="39"/>
      <c r="AC1012" s="39">
        <v>0</v>
      </c>
      <c r="AD1012" s="39"/>
      <c r="AE1012" s="39">
        <v>0</v>
      </c>
      <c r="AF1012" s="39"/>
      <c r="AG1012" s="39">
        <v>0</v>
      </c>
      <c r="AH1012" s="39"/>
      <c r="AI1012" s="41">
        <v>0</v>
      </c>
    </row>
    <row r="1013" spans="1:35" x14ac:dyDescent="0.25">
      <c r="A1013" s="34" t="s">
        <v>110</v>
      </c>
      <c r="B1013" s="35" t="s">
        <v>2729</v>
      </c>
      <c r="C1013" s="35" t="s">
        <v>2730</v>
      </c>
      <c r="D1013" s="35">
        <v>4818</v>
      </c>
      <c r="E1013" s="35"/>
      <c r="F1013" s="35" t="s">
        <v>3810</v>
      </c>
      <c r="G1013" s="35" t="s">
        <v>115</v>
      </c>
      <c r="H1013" s="35" t="s">
        <v>116</v>
      </c>
      <c r="I1013" s="35" t="s">
        <v>117</v>
      </c>
      <c r="J1013" s="35" t="s">
        <v>118</v>
      </c>
      <c r="K1013" s="36">
        <v>46070</v>
      </c>
      <c r="L1013" s="36">
        <v>45992</v>
      </c>
      <c r="M1013" s="36">
        <v>46071</v>
      </c>
      <c r="N1013" s="36"/>
      <c r="O1013" s="36"/>
      <c r="P1013" s="36"/>
      <c r="Q1013" s="36">
        <v>46071</v>
      </c>
      <c r="R1013" s="35" t="s">
        <v>119</v>
      </c>
      <c r="S1013" s="35" t="s">
        <v>2731</v>
      </c>
      <c r="T1013" s="35" t="s">
        <v>129</v>
      </c>
      <c r="U1013" s="35" t="s">
        <v>90</v>
      </c>
      <c r="V1013" s="35" t="s">
        <v>2732</v>
      </c>
      <c r="W1013" s="35" t="s">
        <v>123</v>
      </c>
      <c r="X1013" s="35">
        <v>265.83999999999997</v>
      </c>
      <c r="Y1013" s="35">
        <v>10.68</v>
      </c>
      <c r="Z1013" s="35">
        <v>10.68</v>
      </c>
      <c r="AA1013" s="35">
        <v>0</v>
      </c>
      <c r="AB1013" s="35"/>
      <c r="AC1013" s="35">
        <v>0</v>
      </c>
      <c r="AD1013" s="35"/>
      <c r="AE1013" s="35">
        <v>0</v>
      </c>
      <c r="AF1013" s="35"/>
      <c r="AG1013" s="35">
        <v>0</v>
      </c>
      <c r="AH1013" s="35"/>
      <c r="AI1013" s="37">
        <v>0</v>
      </c>
    </row>
    <row r="1014" spans="1:35" x14ac:dyDescent="0.25">
      <c r="A1014" s="38" t="s">
        <v>110</v>
      </c>
      <c r="B1014" s="39" t="s">
        <v>2722</v>
      </c>
      <c r="C1014" s="39" t="s">
        <v>2733</v>
      </c>
      <c r="D1014" s="39">
        <v>10261</v>
      </c>
      <c r="E1014" s="39"/>
      <c r="F1014" s="39" t="s">
        <v>3811</v>
      </c>
      <c r="G1014" s="39" t="s">
        <v>115</v>
      </c>
      <c r="H1014" s="39" t="s">
        <v>116</v>
      </c>
      <c r="I1014" s="39" t="s">
        <v>117</v>
      </c>
      <c r="J1014" s="39" t="s">
        <v>118</v>
      </c>
      <c r="K1014" s="40">
        <v>46070</v>
      </c>
      <c r="L1014" s="40">
        <v>45931</v>
      </c>
      <c r="M1014" s="40">
        <v>46071</v>
      </c>
      <c r="N1014" s="40"/>
      <c r="O1014" s="40"/>
      <c r="P1014" s="40"/>
      <c r="Q1014" s="40">
        <v>46071</v>
      </c>
      <c r="R1014" s="39" t="s">
        <v>119</v>
      </c>
      <c r="S1014" s="39" t="s">
        <v>2731</v>
      </c>
      <c r="T1014" s="39" t="s">
        <v>129</v>
      </c>
      <c r="U1014" s="35" t="s">
        <v>90</v>
      </c>
      <c r="V1014" s="39" t="s">
        <v>2732</v>
      </c>
      <c r="W1014" s="39" t="s">
        <v>123</v>
      </c>
      <c r="X1014" s="39">
        <v>415.96</v>
      </c>
      <c r="Y1014" s="39">
        <v>15.71</v>
      </c>
      <c r="Z1014" s="39">
        <v>15.71</v>
      </c>
      <c r="AA1014" s="39">
        <v>0</v>
      </c>
      <c r="AB1014" s="39"/>
      <c r="AC1014" s="39">
        <v>0</v>
      </c>
      <c r="AD1014" s="39"/>
      <c r="AE1014" s="39">
        <v>0</v>
      </c>
      <c r="AF1014" s="39"/>
      <c r="AG1014" s="39">
        <v>0</v>
      </c>
      <c r="AH1014" s="39"/>
      <c r="AI1014" s="41">
        <v>0</v>
      </c>
    </row>
    <row r="1015" spans="1:35" x14ac:dyDescent="0.25">
      <c r="A1015" s="34" t="s">
        <v>110</v>
      </c>
      <c r="B1015" s="35" t="s">
        <v>2722</v>
      </c>
      <c r="C1015" s="35" t="s">
        <v>2733</v>
      </c>
      <c r="D1015" s="35">
        <v>10261</v>
      </c>
      <c r="E1015" s="35"/>
      <c r="F1015" s="35" t="s">
        <v>3812</v>
      </c>
      <c r="G1015" s="35" t="s">
        <v>115</v>
      </c>
      <c r="H1015" s="35" t="s">
        <v>116</v>
      </c>
      <c r="I1015" s="35" t="s">
        <v>117</v>
      </c>
      <c r="J1015" s="35" t="s">
        <v>118</v>
      </c>
      <c r="K1015" s="36">
        <v>46070</v>
      </c>
      <c r="L1015" s="36">
        <v>45962</v>
      </c>
      <c r="M1015" s="36">
        <v>46071</v>
      </c>
      <c r="N1015" s="36"/>
      <c r="O1015" s="36"/>
      <c r="P1015" s="36"/>
      <c r="Q1015" s="36">
        <v>46071</v>
      </c>
      <c r="R1015" s="35" t="s">
        <v>119</v>
      </c>
      <c r="S1015" s="35" t="s">
        <v>2731</v>
      </c>
      <c r="T1015" s="35" t="s">
        <v>129</v>
      </c>
      <c r="U1015" s="35" t="s">
        <v>90</v>
      </c>
      <c r="V1015" s="35" t="s">
        <v>2732</v>
      </c>
      <c r="W1015" s="35" t="s">
        <v>123</v>
      </c>
      <c r="X1015" s="35">
        <v>415.96</v>
      </c>
      <c r="Y1015" s="35">
        <v>15.71</v>
      </c>
      <c r="Z1015" s="35">
        <v>15.71</v>
      </c>
      <c r="AA1015" s="35">
        <v>0</v>
      </c>
      <c r="AB1015" s="35"/>
      <c r="AC1015" s="35">
        <v>0</v>
      </c>
      <c r="AD1015" s="35"/>
      <c r="AE1015" s="35">
        <v>0</v>
      </c>
      <c r="AF1015" s="35"/>
      <c r="AG1015" s="35">
        <v>0</v>
      </c>
      <c r="AH1015" s="35"/>
      <c r="AI1015" s="37">
        <v>0</v>
      </c>
    </row>
    <row r="1016" spans="1:35" x14ac:dyDescent="0.25">
      <c r="A1016" s="38" t="s">
        <v>110</v>
      </c>
      <c r="B1016" s="39" t="s">
        <v>2722</v>
      </c>
      <c r="C1016" s="39" t="s">
        <v>2733</v>
      </c>
      <c r="D1016" s="39">
        <v>10261</v>
      </c>
      <c r="E1016" s="39"/>
      <c r="F1016" s="39" t="s">
        <v>3813</v>
      </c>
      <c r="G1016" s="39" t="s">
        <v>115</v>
      </c>
      <c r="H1016" s="39" t="s">
        <v>116</v>
      </c>
      <c r="I1016" s="39" t="s">
        <v>117</v>
      </c>
      <c r="J1016" s="39" t="s">
        <v>118</v>
      </c>
      <c r="K1016" s="40">
        <v>46070</v>
      </c>
      <c r="L1016" s="40">
        <v>45992</v>
      </c>
      <c r="M1016" s="40">
        <v>46071</v>
      </c>
      <c r="N1016" s="40"/>
      <c r="O1016" s="40"/>
      <c r="P1016" s="40"/>
      <c r="Q1016" s="40">
        <v>46071</v>
      </c>
      <c r="R1016" s="39" t="s">
        <v>119</v>
      </c>
      <c r="S1016" s="39" t="s">
        <v>2731</v>
      </c>
      <c r="T1016" s="39" t="s">
        <v>129</v>
      </c>
      <c r="U1016" s="35" t="s">
        <v>90</v>
      </c>
      <c r="V1016" s="39" t="s">
        <v>2732</v>
      </c>
      <c r="W1016" s="39" t="s">
        <v>123</v>
      </c>
      <c r="X1016" s="39">
        <v>415.96</v>
      </c>
      <c r="Y1016" s="39">
        <v>15.71</v>
      </c>
      <c r="Z1016" s="39">
        <v>15.71</v>
      </c>
      <c r="AA1016" s="39">
        <v>0</v>
      </c>
      <c r="AB1016" s="39"/>
      <c r="AC1016" s="39">
        <v>0</v>
      </c>
      <c r="AD1016" s="39"/>
      <c r="AE1016" s="39">
        <v>0</v>
      </c>
      <c r="AF1016" s="39"/>
      <c r="AG1016" s="39">
        <v>0</v>
      </c>
      <c r="AH1016" s="39"/>
      <c r="AI1016" s="41">
        <v>0</v>
      </c>
    </row>
    <row r="1017" spans="1:35" x14ac:dyDescent="0.25">
      <c r="A1017" s="34" t="s">
        <v>110</v>
      </c>
      <c r="B1017" s="35" t="s">
        <v>2734</v>
      </c>
      <c r="C1017" s="35" t="s">
        <v>2735</v>
      </c>
      <c r="D1017" s="35">
        <v>5864</v>
      </c>
      <c r="E1017" s="35"/>
      <c r="F1017" s="35" t="s">
        <v>3814</v>
      </c>
      <c r="G1017" s="35" t="s">
        <v>115</v>
      </c>
      <c r="H1017" s="35" t="s">
        <v>116</v>
      </c>
      <c r="I1017" s="35" t="s">
        <v>117</v>
      </c>
      <c r="J1017" s="35" t="s">
        <v>118</v>
      </c>
      <c r="K1017" s="36">
        <v>46070</v>
      </c>
      <c r="L1017" s="36">
        <v>45931</v>
      </c>
      <c r="M1017" s="36">
        <v>46071</v>
      </c>
      <c r="N1017" s="36"/>
      <c r="O1017" s="36"/>
      <c r="P1017" s="36"/>
      <c r="Q1017" s="36">
        <v>46071</v>
      </c>
      <c r="R1017" s="35" t="s">
        <v>119</v>
      </c>
      <c r="S1017" s="35" t="s">
        <v>2736</v>
      </c>
      <c r="T1017" s="35" t="s">
        <v>607</v>
      </c>
      <c r="U1017" s="35" t="s">
        <v>89</v>
      </c>
      <c r="V1017" s="35" t="s">
        <v>2737</v>
      </c>
      <c r="W1017" s="35" t="s">
        <v>123</v>
      </c>
      <c r="X1017" s="35">
        <v>691.12</v>
      </c>
      <c r="Y1017" s="35">
        <v>27.6</v>
      </c>
      <c r="Z1017" s="35">
        <v>27.6</v>
      </c>
      <c r="AA1017" s="35">
        <v>0</v>
      </c>
      <c r="AB1017" s="35"/>
      <c r="AC1017" s="35">
        <v>0</v>
      </c>
      <c r="AD1017" s="35"/>
      <c r="AE1017" s="35">
        <v>0</v>
      </c>
      <c r="AF1017" s="35"/>
      <c r="AG1017" s="35">
        <v>0</v>
      </c>
      <c r="AH1017" s="35"/>
      <c r="AI1017" s="37">
        <v>0</v>
      </c>
    </row>
    <row r="1018" spans="1:35" x14ac:dyDescent="0.25">
      <c r="A1018" s="38" t="s">
        <v>110</v>
      </c>
      <c r="B1018" s="39" t="s">
        <v>2734</v>
      </c>
      <c r="C1018" s="39" t="s">
        <v>2735</v>
      </c>
      <c r="D1018" s="39">
        <v>5864</v>
      </c>
      <c r="E1018" s="39"/>
      <c r="F1018" s="39" t="s">
        <v>3815</v>
      </c>
      <c r="G1018" s="39" t="s">
        <v>115</v>
      </c>
      <c r="H1018" s="39" t="s">
        <v>116</v>
      </c>
      <c r="I1018" s="39" t="s">
        <v>117</v>
      </c>
      <c r="J1018" s="39" t="s">
        <v>118</v>
      </c>
      <c r="K1018" s="40">
        <v>46070</v>
      </c>
      <c r="L1018" s="40">
        <v>45962</v>
      </c>
      <c r="M1018" s="40">
        <v>46071</v>
      </c>
      <c r="N1018" s="40"/>
      <c r="O1018" s="40"/>
      <c r="P1018" s="40"/>
      <c r="Q1018" s="40">
        <v>46071</v>
      </c>
      <c r="R1018" s="39" t="s">
        <v>119</v>
      </c>
      <c r="S1018" s="39" t="s">
        <v>2736</v>
      </c>
      <c r="T1018" s="39" t="s">
        <v>607</v>
      </c>
      <c r="U1018" s="35" t="s">
        <v>89</v>
      </c>
      <c r="V1018" s="39" t="s">
        <v>2737</v>
      </c>
      <c r="W1018" s="39" t="s">
        <v>123</v>
      </c>
      <c r="X1018" s="39">
        <v>691.12</v>
      </c>
      <c r="Y1018" s="39">
        <v>27.6</v>
      </c>
      <c r="Z1018" s="39">
        <v>27.6</v>
      </c>
      <c r="AA1018" s="39">
        <v>0</v>
      </c>
      <c r="AB1018" s="39"/>
      <c r="AC1018" s="39">
        <v>0</v>
      </c>
      <c r="AD1018" s="39"/>
      <c r="AE1018" s="39">
        <v>0</v>
      </c>
      <c r="AF1018" s="39"/>
      <c r="AG1018" s="39">
        <v>0</v>
      </c>
      <c r="AH1018" s="39"/>
      <c r="AI1018" s="41">
        <v>0</v>
      </c>
    </row>
    <row r="1019" spans="1:35" x14ac:dyDescent="0.25">
      <c r="A1019" s="34" t="s">
        <v>110</v>
      </c>
      <c r="B1019" s="35" t="s">
        <v>2734</v>
      </c>
      <c r="C1019" s="35" t="s">
        <v>2735</v>
      </c>
      <c r="D1019" s="35">
        <v>5864</v>
      </c>
      <c r="E1019" s="35"/>
      <c r="F1019" s="35" t="s">
        <v>3816</v>
      </c>
      <c r="G1019" s="35" t="s">
        <v>115</v>
      </c>
      <c r="H1019" s="35" t="s">
        <v>116</v>
      </c>
      <c r="I1019" s="35" t="s">
        <v>117</v>
      </c>
      <c r="J1019" s="35" t="s">
        <v>118</v>
      </c>
      <c r="K1019" s="36">
        <v>46070</v>
      </c>
      <c r="L1019" s="36">
        <v>45992</v>
      </c>
      <c r="M1019" s="36">
        <v>46071</v>
      </c>
      <c r="N1019" s="36"/>
      <c r="O1019" s="36"/>
      <c r="P1019" s="36"/>
      <c r="Q1019" s="36">
        <v>46071</v>
      </c>
      <c r="R1019" s="35" t="s">
        <v>119</v>
      </c>
      <c r="S1019" s="35" t="s">
        <v>2736</v>
      </c>
      <c r="T1019" s="35" t="s">
        <v>607</v>
      </c>
      <c r="U1019" s="35" t="s">
        <v>89</v>
      </c>
      <c r="V1019" s="35" t="s">
        <v>2737</v>
      </c>
      <c r="W1019" s="35" t="s">
        <v>123</v>
      </c>
      <c r="X1019" s="35">
        <v>691.12</v>
      </c>
      <c r="Y1019" s="35">
        <v>27.6</v>
      </c>
      <c r="Z1019" s="35">
        <v>27.6</v>
      </c>
      <c r="AA1019" s="35">
        <v>0</v>
      </c>
      <c r="AB1019" s="35"/>
      <c r="AC1019" s="35">
        <v>0</v>
      </c>
      <c r="AD1019" s="35"/>
      <c r="AE1019" s="35">
        <v>0</v>
      </c>
      <c r="AF1019" s="35"/>
      <c r="AG1019" s="35">
        <v>0</v>
      </c>
      <c r="AH1019" s="35"/>
      <c r="AI1019" s="37">
        <v>0</v>
      </c>
    </row>
    <row r="1020" spans="1:35" x14ac:dyDescent="0.25">
      <c r="A1020" s="38" t="s">
        <v>110</v>
      </c>
      <c r="B1020" s="39"/>
      <c r="C1020" s="39" t="s">
        <v>2738</v>
      </c>
      <c r="D1020" s="39">
        <v>10244</v>
      </c>
      <c r="E1020" s="39"/>
      <c r="F1020" s="39" t="s">
        <v>3817</v>
      </c>
      <c r="G1020" s="39" t="s">
        <v>115</v>
      </c>
      <c r="H1020" s="39" t="s">
        <v>116</v>
      </c>
      <c r="I1020" s="39" t="s">
        <v>117</v>
      </c>
      <c r="J1020" s="39" t="s">
        <v>118</v>
      </c>
      <c r="K1020" s="40">
        <v>46070</v>
      </c>
      <c r="L1020" s="40">
        <v>45931</v>
      </c>
      <c r="M1020" s="40">
        <v>46071</v>
      </c>
      <c r="N1020" s="40"/>
      <c r="O1020" s="40"/>
      <c r="P1020" s="40"/>
      <c r="Q1020" s="40">
        <v>46071</v>
      </c>
      <c r="R1020" s="39" t="s">
        <v>119</v>
      </c>
      <c r="S1020" s="39" t="s">
        <v>2731</v>
      </c>
      <c r="T1020" s="39" t="s">
        <v>129</v>
      </c>
      <c r="U1020" s="35" t="s">
        <v>90</v>
      </c>
      <c r="V1020" s="39" t="s">
        <v>2732</v>
      </c>
      <c r="W1020" s="39" t="s">
        <v>123</v>
      </c>
      <c r="X1020" s="39">
        <v>90.16</v>
      </c>
      <c r="Y1020" s="39">
        <v>4.47</v>
      </c>
      <c r="Z1020" s="39">
        <v>4.47</v>
      </c>
      <c r="AA1020" s="39">
        <v>0</v>
      </c>
      <c r="AB1020" s="39"/>
      <c r="AC1020" s="39">
        <v>0</v>
      </c>
      <c r="AD1020" s="39"/>
      <c r="AE1020" s="39">
        <v>0</v>
      </c>
      <c r="AF1020" s="39"/>
      <c r="AG1020" s="39">
        <v>0</v>
      </c>
      <c r="AH1020" s="39"/>
      <c r="AI1020" s="41">
        <v>0</v>
      </c>
    </row>
    <row r="1021" spans="1:35" x14ac:dyDescent="0.25">
      <c r="A1021" s="34" t="s">
        <v>110</v>
      </c>
      <c r="B1021" s="35"/>
      <c r="C1021" s="35" t="s">
        <v>2738</v>
      </c>
      <c r="D1021" s="35">
        <v>10244</v>
      </c>
      <c r="E1021" s="35"/>
      <c r="F1021" s="35" t="s">
        <v>3818</v>
      </c>
      <c r="G1021" s="35" t="s">
        <v>115</v>
      </c>
      <c r="H1021" s="35" t="s">
        <v>116</v>
      </c>
      <c r="I1021" s="35" t="s">
        <v>117</v>
      </c>
      <c r="J1021" s="35" t="s">
        <v>118</v>
      </c>
      <c r="K1021" s="36">
        <v>46070</v>
      </c>
      <c r="L1021" s="36">
        <v>45962</v>
      </c>
      <c r="M1021" s="36">
        <v>46071</v>
      </c>
      <c r="N1021" s="36"/>
      <c r="O1021" s="36"/>
      <c r="P1021" s="36"/>
      <c r="Q1021" s="36">
        <v>46071</v>
      </c>
      <c r="R1021" s="35" t="s">
        <v>119</v>
      </c>
      <c r="S1021" s="35" t="s">
        <v>2731</v>
      </c>
      <c r="T1021" s="35" t="s">
        <v>129</v>
      </c>
      <c r="U1021" s="35" t="s">
        <v>90</v>
      </c>
      <c r="V1021" s="35" t="s">
        <v>2732</v>
      </c>
      <c r="W1021" s="35" t="s">
        <v>123</v>
      </c>
      <c r="X1021" s="35">
        <v>90.16</v>
      </c>
      <c r="Y1021" s="35">
        <v>4.47</v>
      </c>
      <c r="Z1021" s="35">
        <v>4.47</v>
      </c>
      <c r="AA1021" s="35">
        <v>0</v>
      </c>
      <c r="AB1021" s="35"/>
      <c r="AC1021" s="35">
        <v>0</v>
      </c>
      <c r="AD1021" s="35"/>
      <c r="AE1021" s="35">
        <v>0</v>
      </c>
      <c r="AF1021" s="35"/>
      <c r="AG1021" s="35">
        <v>0</v>
      </c>
      <c r="AH1021" s="35"/>
      <c r="AI1021" s="37">
        <v>0</v>
      </c>
    </row>
    <row r="1022" spans="1:35" x14ac:dyDescent="0.25">
      <c r="A1022" s="38" t="s">
        <v>110</v>
      </c>
      <c r="B1022" s="39"/>
      <c r="C1022" s="39" t="s">
        <v>2738</v>
      </c>
      <c r="D1022" s="39">
        <v>10244</v>
      </c>
      <c r="E1022" s="39"/>
      <c r="F1022" s="39" t="s">
        <v>3819</v>
      </c>
      <c r="G1022" s="39" t="s">
        <v>115</v>
      </c>
      <c r="H1022" s="39" t="s">
        <v>116</v>
      </c>
      <c r="I1022" s="39" t="s">
        <v>117</v>
      </c>
      <c r="J1022" s="39" t="s">
        <v>118</v>
      </c>
      <c r="K1022" s="40">
        <v>46070</v>
      </c>
      <c r="L1022" s="40">
        <v>45992</v>
      </c>
      <c r="M1022" s="40">
        <v>46071</v>
      </c>
      <c r="N1022" s="40"/>
      <c r="O1022" s="40"/>
      <c r="P1022" s="40"/>
      <c r="Q1022" s="40">
        <v>46071</v>
      </c>
      <c r="R1022" s="39" t="s">
        <v>119</v>
      </c>
      <c r="S1022" s="39" t="s">
        <v>2731</v>
      </c>
      <c r="T1022" s="39" t="s">
        <v>129</v>
      </c>
      <c r="U1022" s="35" t="s">
        <v>90</v>
      </c>
      <c r="V1022" s="39" t="s">
        <v>2732</v>
      </c>
      <c r="W1022" s="39" t="s">
        <v>123</v>
      </c>
      <c r="X1022" s="39">
        <v>90.16</v>
      </c>
      <c r="Y1022" s="39">
        <v>4.47</v>
      </c>
      <c r="Z1022" s="39">
        <v>4.47</v>
      </c>
      <c r="AA1022" s="39">
        <v>0</v>
      </c>
      <c r="AB1022" s="39"/>
      <c r="AC1022" s="39">
        <v>0</v>
      </c>
      <c r="AD1022" s="39"/>
      <c r="AE1022" s="39">
        <v>0</v>
      </c>
      <c r="AF1022" s="39"/>
      <c r="AG1022" s="39">
        <v>0</v>
      </c>
      <c r="AH1022" s="39"/>
      <c r="AI1022" s="41">
        <v>0</v>
      </c>
    </row>
    <row r="1023" spans="1:35" x14ac:dyDescent="0.25">
      <c r="A1023" s="34" t="s">
        <v>110</v>
      </c>
      <c r="B1023" s="35" t="s">
        <v>2739</v>
      </c>
      <c r="C1023" s="35" t="s">
        <v>2740</v>
      </c>
      <c r="D1023" s="35">
        <v>19146</v>
      </c>
      <c r="E1023" s="35"/>
      <c r="F1023" s="35" t="s">
        <v>3820</v>
      </c>
      <c r="G1023" s="35" t="s">
        <v>115</v>
      </c>
      <c r="H1023" s="35" t="s">
        <v>116</v>
      </c>
      <c r="I1023" s="35" t="s">
        <v>117</v>
      </c>
      <c r="J1023" s="35" t="s">
        <v>118</v>
      </c>
      <c r="K1023" s="36">
        <v>46070</v>
      </c>
      <c r="L1023" s="36">
        <v>45931</v>
      </c>
      <c r="M1023" s="36">
        <v>46071</v>
      </c>
      <c r="N1023" s="36"/>
      <c r="O1023" s="36"/>
      <c r="P1023" s="36"/>
      <c r="Q1023" s="36">
        <v>46071</v>
      </c>
      <c r="R1023" s="35" t="s">
        <v>119</v>
      </c>
      <c r="S1023" s="35" t="s">
        <v>2451</v>
      </c>
      <c r="T1023" s="35" t="s">
        <v>135</v>
      </c>
      <c r="U1023" s="35" t="s">
        <v>90</v>
      </c>
      <c r="V1023" s="35" t="s">
        <v>2732</v>
      </c>
      <c r="W1023" s="35" t="s">
        <v>123</v>
      </c>
      <c r="X1023" s="35">
        <v>1023.62</v>
      </c>
      <c r="Y1023" s="35">
        <v>50.76</v>
      </c>
      <c r="Z1023" s="35">
        <v>50.76</v>
      </c>
      <c r="AA1023" s="35">
        <v>0</v>
      </c>
      <c r="AB1023" s="35"/>
      <c r="AC1023" s="35">
        <v>0</v>
      </c>
      <c r="AD1023" s="35"/>
      <c r="AE1023" s="35">
        <v>0</v>
      </c>
      <c r="AF1023" s="35"/>
      <c r="AG1023" s="35">
        <v>0</v>
      </c>
      <c r="AH1023" s="35"/>
      <c r="AI1023" s="37">
        <v>0</v>
      </c>
    </row>
    <row r="1024" spans="1:35" x14ac:dyDescent="0.25">
      <c r="A1024" s="38" t="s">
        <v>110</v>
      </c>
      <c r="B1024" s="39" t="s">
        <v>2739</v>
      </c>
      <c r="C1024" s="39" t="s">
        <v>2740</v>
      </c>
      <c r="D1024" s="39">
        <v>19146</v>
      </c>
      <c r="E1024" s="39"/>
      <c r="F1024" s="39" t="s">
        <v>3821</v>
      </c>
      <c r="G1024" s="39" t="s">
        <v>115</v>
      </c>
      <c r="H1024" s="39" t="s">
        <v>116</v>
      </c>
      <c r="I1024" s="39" t="s">
        <v>117</v>
      </c>
      <c r="J1024" s="39" t="s">
        <v>118</v>
      </c>
      <c r="K1024" s="40">
        <v>46070</v>
      </c>
      <c r="L1024" s="40">
        <v>45962</v>
      </c>
      <c r="M1024" s="40">
        <v>46071</v>
      </c>
      <c r="N1024" s="40"/>
      <c r="O1024" s="40"/>
      <c r="P1024" s="40"/>
      <c r="Q1024" s="40">
        <v>46071</v>
      </c>
      <c r="R1024" s="39" t="s">
        <v>119</v>
      </c>
      <c r="S1024" s="39" t="s">
        <v>2451</v>
      </c>
      <c r="T1024" s="39" t="s">
        <v>135</v>
      </c>
      <c r="U1024" s="35" t="s">
        <v>90</v>
      </c>
      <c r="V1024" s="39" t="s">
        <v>2732</v>
      </c>
      <c r="W1024" s="39" t="s">
        <v>123</v>
      </c>
      <c r="X1024" s="39">
        <v>1023.62</v>
      </c>
      <c r="Y1024" s="39">
        <v>50.76</v>
      </c>
      <c r="Z1024" s="39">
        <v>50.76</v>
      </c>
      <c r="AA1024" s="39">
        <v>0</v>
      </c>
      <c r="AB1024" s="39"/>
      <c r="AC1024" s="39">
        <v>0</v>
      </c>
      <c r="AD1024" s="39"/>
      <c r="AE1024" s="39">
        <v>0</v>
      </c>
      <c r="AF1024" s="39"/>
      <c r="AG1024" s="39">
        <v>0</v>
      </c>
      <c r="AH1024" s="39"/>
      <c r="AI1024" s="41">
        <v>0</v>
      </c>
    </row>
    <row r="1025" spans="1:35" x14ac:dyDescent="0.25">
      <c r="A1025" s="34" t="s">
        <v>110</v>
      </c>
      <c r="B1025" s="35" t="s">
        <v>2739</v>
      </c>
      <c r="C1025" s="35" t="s">
        <v>2740</v>
      </c>
      <c r="D1025" s="35">
        <v>19146</v>
      </c>
      <c r="E1025" s="35"/>
      <c r="F1025" s="35" t="s">
        <v>3822</v>
      </c>
      <c r="G1025" s="35" t="s">
        <v>115</v>
      </c>
      <c r="H1025" s="35" t="s">
        <v>116</v>
      </c>
      <c r="I1025" s="35" t="s">
        <v>117</v>
      </c>
      <c r="J1025" s="35" t="s">
        <v>118</v>
      </c>
      <c r="K1025" s="36">
        <v>46070</v>
      </c>
      <c r="L1025" s="36">
        <v>45992</v>
      </c>
      <c r="M1025" s="36">
        <v>46071</v>
      </c>
      <c r="N1025" s="36"/>
      <c r="O1025" s="36"/>
      <c r="P1025" s="36"/>
      <c r="Q1025" s="36">
        <v>46071</v>
      </c>
      <c r="R1025" s="35" t="s">
        <v>119</v>
      </c>
      <c r="S1025" s="35" t="s">
        <v>2451</v>
      </c>
      <c r="T1025" s="35" t="s">
        <v>135</v>
      </c>
      <c r="U1025" s="35" t="s">
        <v>90</v>
      </c>
      <c r="V1025" s="35" t="s">
        <v>2732</v>
      </c>
      <c r="W1025" s="35" t="s">
        <v>123</v>
      </c>
      <c r="X1025" s="35">
        <v>1023.62</v>
      </c>
      <c r="Y1025" s="35">
        <v>50.76</v>
      </c>
      <c r="Z1025" s="35">
        <v>50.76</v>
      </c>
      <c r="AA1025" s="35">
        <v>0</v>
      </c>
      <c r="AB1025" s="35"/>
      <c r="AC1025" s="35">
        <v>0</v>
      </c>
      <c r="AD1025" s="35"/>
      <c r="AE1025" s="35">
        <v>0</v>
      </c>
      <c r="AF1025" s="35"/>
      <c r="AG1025" s="35">
        <v>0</v>
      </c>
      <c r="AH1025" s="35"/>
      <c r="AI1025" s="37">
        <v>0</v>
      </c>
    </row>
    <row r="1026" spans="1:35" x14ac:dyDescent="0.25">
      <c r="A1026" s="38" t="s">
        <v>110</v>
      </c>
      <c r="B1026" s="39" t="s">
        <v>2741</v>
      </c>
      <c r="C1026" s="39" t="s">
        <v>2742</v>
      </c>
      <c r="D1026" s="39">
        <v>7755</v>
      </c>
      <c r="E1026" s="39"/>
      <c r="F1026" s="39" t="s">
        <v>3823</v>
      </c>
      <c r="G1026" s="39" t="s">
        <v>115</v>
      </c>
      <c r="H1026" s="39" t="s">
        <v>116</v>
      </c>
      <c r="I1026" s="39" t="s">
        <v>117</v>
      </c>
      <c r="J1026" s="39" t="s">
        <v>118</v>
      </c>
      <c r="K1026" s="40">
        <v>46070</v>
      </c>
      <c r="L1026" s="40">
        <v>45931</v>
      </c>
      <c r="M1026" s="40">
        <v>46071</v>
      </c>
      <c r="N1026" s="40"/>
      <c r="O1026" s="40"/>
      <c r="P1026" s="40"/>
      <c r="Q1026" s="40">
        <v>46071</v>
      </c>
      <c r="R1026" s="39" t="s">
        <v>119</v>
      </c>
      <c r="S1026" s="39" t="s">
        <v>2743</v>
      </c>
      <c r="T1026" s="39" t="s">
        <v>135</v>
      </c>
      <c r="U1026" s="35" t="s">
        <v>90</v>
      </c>
      <c r="V1026" s="39" t="s">
        <v>2744</v>
      </c>
      <c r="W1026" s="39" t="s">
        <v>123</v>
      </c>
      <c r="X1026" s="39">
        <v>96.11</v>
      </c>
      <c r="Y1026" s="39">
        <v>4.8</v>
      </c>
      <c r="Z1026" s="39">
        <v>4.8</v>
      </c>
      <c r="AA1026" s="39">
        <v>0</v>
      </c>
      <c r="AB1026" s="39"/>
      <c r="AC1026" s="39">
        <v>0</v>
      </c>
      <c r="AD1026" s="39"/>
      <c r="AE1026" s="39">
        <v>0</v>
      </c>
      <c r="AF1026" s="39"/>
      <c r="AG1026" s="39">
        <v>0</v>
      </c>
      <c r="AH1026" s="39"/>
      <c r="AI1026" s="41">
        <v>0</v>
      </c>
    </row>
    <row r="1027" spans="1:35" x14ac:dyDescent="0.25">
      <c r="A1027" s="34" t="s">
        <v>110</v>
      </c>
      <c r="B1027" s="35" t="s">
        <v>2741</v>
      </c>
      <c r="C1027" s="35" t="s">
        <v>2742</v>
      </c>
      <c r="D1027" s="35">
        <v>7755</v>
      </c>
      <c r="E1027" s="35"/>
      <c r="F1027" s="35" t="s">
        <v>3824</v>
      </c>
      <c r="G1027" s="35" t="s">
        <v>115</v>
      </c>
      <c r="H1027" s="35" t="s">
        <v>116</v>
      </c>
      <c r="I1027" s="35" t="s">
        <v>117</v>
      </c>
      <c r="J1027" s="35" t="s">
        <v>118</v>
      </c>
      <c r="K1027" s="36">
        <v>46070</v>
      </c>
      <c r="L1027" s="36">
        <v>45962</v>
      </c>
      <c r="M1027" s="36">
        <v>46071</v>
      </c>
      <c r="N1027" s="36"/>
      <c r="O1027" s="36"/>
      <c r="P1027" s="36"/>
      <c r="Q1027" s="36">
        <v>46071</v>
      </c>
      <c r="R1027" s="35" t="s">
        <v>119</v>
      </c>
      <c r="S1027" s="35" t="s">
        <v>2743</v>
      </c>
      <c r="T1027" s="35" t="s">
        <v>135</v>
      </c>
      <c r="U1027" s="35" t="s">
        <v>90</v>
      </c>
      <c r="V1027" s="35" t="s">
        <v>2744</v>
      </c>
      <c r="W1027" s="35" t="s">
        <v>123</v>
      </c>
      <c r="X1027" s="35">
        <v>96.11</v>
      </c>
      <c r="Y1027" s="35">
        <v>4.8</v>
      </c>
      <c r="Z1027" s="35">
        <v>4.8</v>
      </c>
      <c r="AA1027" s="35">
        <v>0</v>
      </c>
      <c r="AB1027" s="35"/>
      <c r="AC1027" s="35">
        <v>0</v>
      </c>
      <c r="AD1027" s="35"/>
      <c r="AE1027" s="35">
        <v>0</v>
      </c>
      <c r="AF1027" s="35"/>
      <c r="AG1027" s="35">
        <v>0</v>
      </c>
      <c r="AH1027" s="35"/>
      <c r="AI1027" s="37">
        <v>0</v>
      </c>
    </row>
    <row r="1028" spans="1:35" x14ac:dyDescent="0.25">
      <c r="A1028" s="38" t="s">
        <v>110</v>
      </c>
      <c r="B1028" s="39" t="s">
        <v>2741</v>
      </c>
      <c r="C1028" s="39" t="s">
        <v>2742</v>
      </c>
      <c r="D1028" s="39">
        <v>7755</v>
      </c>
      <c r="E1028" s="39"/>
      <c r="F1028" s="39" t="s">
        <v>3825</v>
      </c>
      <c r="G1028" s="39" t="s">
        <v>115</v>
      </c>
      <c r="H1028" s="39" t="s">
        <v>116</v>
      </c>
      <c r="I1028" s="39" t="s">
        <v>117</v>
      </c>
      <c r="J1028" s="39" t="s">
        <v>118</v>
      </c>
      <c r="K1028" s="40">
        <v>46070</v>
      </c>
      <c r="L1028" s="40">
        <v>45992</v>
      </c>
      <c r="M1028" s="40">
        <v>46071</v>
      </c>
      <c r="N1028" s="40"/>
      <c r="O1028" s="40"/>
      <c r="P1028" s="40"/>
      <c r="Q1028" s="40">
        <v>46071</v>
      </c>
      <c r="R1028" s="39" t="s">
        <v>119</v>
      </c>
      <c r="S1028" s="39" t="s">
        <v>2743</v>
      </c>
      <c r="T1028" s="39" t="s">
        <v>135</v>
      </c>
      <c r="U1028" s="35" t="s">
        <v>90</v>
      </c>
      <c r="V1028" s="39" t="s">
        <v>2744</v>
      </c>
      <c r="W1028" s="39" t="s">
        <v>123</v>
      </c>
      <c r="X1028" s="39">
        <v>96.11</v>
      </c>
      <c r="Y1028" s="39">
        <v>4.8</v>
      </c>
      <c r="Z1028" s="39">
        <v>4.8</v>
      </c>
      <c r="AA1028" s="39">
        <v>0</v>
      </c>
      <c r="AB1028" s="39"/>
      <c r="AC1028" s="39">
        <v>0</v>
      </c>
      <c r="AD1028" s="39"/>
      <c r="AE1028" s="39">
        <v>0</v>
      </c>
      <c r="AF1028" s="39"/>
      <c r="AG1028" s="39">
        <v>0</v>
      </c>
      <c r="AH1028" s="39"/>
      <c r="AI1028" s="41">
        <v>0</v>
      </c>
    </row>
    <row r="1029" spans="1:35" x14ac:dyDescent="0.25">
      <c r="A1029" s="34" t="s">
        <v>110</v>
      </c>
      <c r="B1029" s="35"/>
      <c r="C1029" s="35" t="s">
        <v>2745</v>
      </c>
      <c r="D1029" s="35">
        <v>10245</v>
      </c>
      <c r="E1029" s="35"/>
      <c r="F1029" s="35" t="s">
        <v>3826</v>
      </c>
      <c r="G1029" s="35" t="s">
        <v>115</v>
      </c>
      <c r="H1029" s="35" t="s">
        <v>116</v>
      </c>
      <c r="I1029" s="35" t="s">
        <v>117</v>
      </c>
      <c r="J1029" s="35" t="s">
        <v>118</v>
      </c>
      <c r="K1029" s="36">
        <v>46070</v>
      </c>
      <c r="L1029" s="36">
        <v>45931</v>
      </c>
      <c r="M1029" s="36">
        <v>46071</v>
      </c>
      <c r="N1029" s="36"/>
      <c r="O1029" s="36"/>
      <c r="P1029" s="36"/>
      <c r="Q1029" s="36">
        <v>46071</v>
      </c>
      <c r="R1029" s="35" t="s">
        <v>119</v>
      </c>
      <c r="S1029" s="35" t="s">
        <v>2731</v>
      </c>
      <c r="T1029" s="35" t="s">
        <v>129</v>
      </c>
      <c r="U1029" s="35" t="s">
        <v>90</v>
      </c>
      <c r="V1029" s="35" t="s">
        <v>2732</v>
      </c>
      <c r="W1029" s="35" t="s">
        <v>123</v>
      </c>
      <c r="X1029" s="35">
        <v>270.48</v>
      </c>
      <c r="Y1029" s="35">
        <v>13.41</v>
      </c>
      <c r="Z1029" s="35">
        <v>13.41</v>
      </c>
      <c r="AA1029" s="35">
        <v>0</v>
      </c>
      <c r="AB1029" s="35"/>
      <c r="AC1029" s="35">
        <v>0</v>
      </c>
      <c r="AD1029" s="35"/>
      <c r="AE1029" s="35">
        <v>0</v>
      </c>
      <c r="AF1029" s="35"/>
      <c r="AG1029" s="35">
        <v>0</v>
      </c>
      <c r="AH1029" s="35"/>
      <c r="AI1029" s="37">
        <v>0</v>
      </c>
    </row>
    <row r="1030" spans="1:35" x14ac:dyDescent="0.25">
      <c r="A1030" s="38" t="s">
        <v>110</v>
      </c>
      <c r="B1030" s="39"/>
      <c r="C1030" s="39" t="s">
        <v>2745</v>
      </c>
      <c r="D1030" s="39">
        <v>10245</v>
      </c>
      <c r="E1030" s="39"/>
      <c r="F1030" s="39" t="s">
        <v>3827</v>
      </c>
      <c r="G1030" s="39" t="s">
        <v>115</v>
      </c>
      <c r="H1030" s="39" t="s">
        <v>116</v>
      </c>
      <c r="I1030" s="39" t="s">
        <v>117</v>
      </c>
      <c r="J1030" s="39" t="s">
        <v>118</v>
      </c>
      <c r="K1030" s="40">
        <v>46070</v>
      </c>
      <c r="L1030" s="40">
        <v>45962</v>
      </c>
      <c r="M1030" s="40">
        <v>46071</v>
      </c>
      <c r="N1030" s="40"/>
      <c r="O1030" s="40"/>
      <c r="P1030" s="40"/>
      <c r="Q1030" s="40">
        <v>46071</v>
      </c>
      <c r="R1030" s="39" t="s">
        <v>119</v>
      </c>
      <c r="S1030" s="39" t="s">
        <v>2731</v>
      </c>
      <c r="T1030" s="39" t="s">
        <v>129</v>
      </c>
      <c r="U1030" s="35" t="s">
        <v>90</v>
      </c>
      <c r="V1030" s="39" t="s">
        <v>2732</v>
      </c>
      <c r="W1030" s="39" t="s">
        <v>123</v>
      </c>
      <c r="X1030" s="39">
        <v>270.48</v>
      </c>
      <c r="Y1030" s="39">
        <v>13.41</v>
      </c>
      <c r="Z1030" s="39">
        <v>13.41</v>
      </c>
      <c r="AA1030" s="39">
        <v>0</v>
      </c>
      <c r="AB1030" s="39"/>
      <c r="AC1030" s="39">
        <v>0</v>
      </c>
      <c r="AD1030" s="39"/>
      <c r="AE1030" s="39">
        <v>0</v>
      </c>
      <c r="AF1030" s="39"/>
      <c r="AG1030" s="39">
        <v>0</v>
      </c>
      <c r="AH1030" s="39"/>
      <c r="AI1030" s="41">
        <v>0</v>
      </c>
    </row>
    <row r="1031" spans="1:35" x14ac:dyDescent="0.25">
      <c r="A1031" s="34" t="s">
        <v>110</v>
      </c>
      <c r="B1031" s="35"/>
      <c r="C1031" s="35" t="s">
        <v>2745</v>
      </c>
      <c r="D1031" s="35">
        <v>10245</v>
      </c>
      <c r="E1031" s="35"/>
      <c r="F1031" s="35" t="s">
        <v>3828</v>
      </c>
      <c r="G1031" s="35" t="s">
        <v>115</v>
      </c>
      <c r="H1031" s="35" t="s">
        <v>116</v>
      </c>
      <c r="I1031" s="35" t="s">
        <v>117</v>
      </c>
      <c r="J1031" s="35" t="s">
        <v>118</v>
      </c>
      <c r="K1031" s="36">
        <v>46070</v>
      </c>
      <c r="L1031" s="36">
        <v>45992</v>
      </c>
      <c r="M1031" s="36">
        <v>46071</v>
      </c>
      <c r="N1031" s="36"/>
      <c r="O1031" s="36"/>
      <c r="P1031" s="36"/>
      <c r="Q1031" s="36">
        <v>46071</v>
      </c>
      <c r="R1031" s="35" t="s">
        <v>119</v>
      </c>
      <c r="S1031" s="35" t="s">
        <v>2731</v>
      </c>
      <c r="T1031" s="35" t="s">
        <v>129</v>
      </c>
      <c r="U1031" s="35" t="s">
        <v>90</v>
      </c>
      <c r="V1031" s="35" t="s">
        <v>2732</v>
      </c>
      <c r="W1031" s="35" t="s">
        <v>123</v>
      </c>
      <c r="X1031" s="35">
        <v>270.48</v>
      </c>
      <c r="Y1031" s="35">
        <v>13.41</v>
      </c>
      <c r="Z1031" s="35">
        <v>13.41</v>
      </c>
      <c r="AA1031" s="35">
        <v>0</v>
      </c>
      <c r="AB1031" s="35"/>
      <c r="AC1031" s="35">
        <v>0</v>
      </c>
      <c r="AD1031" s="35"/>
      <c r="AE1031" s="35">
        <v>0</v>
      </c>
      <c r="AF1031" s="35"/>
      <c r="AG1031" s="35">
        <v>0</v>
      </c>
      <c r="AH1031" s="35"/>
      <c r="AI1031" s="37">
        <v>0</v>
      </c>
    </row>
    <row r="1032" spans="1:35" x14ac:dyDescent="0.25">
      <c r="A1032" s="38" t="s">
        <v>110</v>
      </c>
      <c r="B1032" s="39" t="s">
        <v>1444</v>
      </c>
      <c r="C1032" s="39" t="s">
        <v>2746</v>
      </c>
      <c r="D1032" s="39">
        <v>21804</v>
      </c>
      <c r="E1032" s="39"/>
      <c r="F1032" s="39" t="s">
        <v>3829</v>
      </c>
      <c r="G1032" s="39" t="s">
        <v>115</v>
      </c>
      <c r="H1032" s="39" t="s">
        <v>116</v>
      </c>
      <c r="I1032" s="39" t="s">
        <v>117</v>
      </c>
      <c r="J1032" s="39" t="s">
        <v>118</v>
      </c>
      <c r="K1032" s="40">
        <v>46070</v>
      </c>
      <c r="L1032" s="40">
        <v>45992</v>
      </c>
      <c r="M1032" s="40">
        <v>46071</v>
      </c>
      <c r="N1032" s="40"/>
      <c r="O1032" s="40"/>
      <c r="P1032" s="40"/>
      <c r="Q1032" s="40">
        <v>46071</v>
      </c>
      <c r="R1032" s="39" t="s">
        <v>142</v>
      </c>
      <c r="S1032" s="39" t="s">
        <v>568</v>
      </c>
      <c r="T1032" s="39" t="s">
        <v>568</v>
      </c>
      <c r="U1032" s="35" t="s">
        <v>90</v>
      </c>
      <c r="V1032" s="39" t="s">
        <v>2747</v>
      </c>
      <c r="W1032" s="39" t="s">
        <v>123</v>
      </c>
      <c r="X1032" s="39">
        <v>162.24</v>
      </c>
      <c r="Y1032" s="39">
        <v>5.67</v>
      </c>
      <c r="Z1032" s="39">
        <v>5.67</v>
      </c>
      <c r="AA1032" s="39">
        <v>0</v>
      </c>
      <c r="AB1032" s="39"/>
      <c r="AC1032" s="39">
        <v>0</v>
      </c>
      <c r="AD1032" s="39"/>
      <c r="AE1032" s="39">
        <v>0</v>
      </c>
      <c r="AF1032" s="39"/>
      <c r="AG1032" s="39">
        <v>0</v>
      </c>
      <c r="AH1032" s="39"/>
      <c r="AI1032" s="41">
        <v>0</v>
      </c>
    </row>
    <row r="1033" spans="1:35" x14ac:dyDescent="0.25">
      <c r="A1033" s="34" t="s">
        <v>110</v>
      </c>
      <c r="B1033" s="35" t="s">
        <v>3830</v>
      </c>
      <c r="C1033" s="35" t="s">
        <v>3831</v>
      </c>
      <c r="D1033" s="35">
        <v>32691</v>
      </c>
      <c r="E1033" s="35" t="s">
        <v>3832</v>
      </c>
      <c r="F1033" s="35" t="s">
        <v>3833</v>
      </c>
      <c r="G1033" s="35" t="s">
        <v>174</v>
      </c>
      <c r="H1033" s="35" t="s">
        <v>160</v>
      </c>
      <c r="I1033" s="35" t="s">
        <v>217</v>
      </c>
      <c r="J1033" s="35" t="s">
        <v>118</v>
      </c>
      <c r="K1033" s="36">
        <v>46071</v>
      </c>
      <c r="L1033" s="36">
        <v>46072</v>
      </c>
      <c r="M1033" s="36">
        <v>46078</v>
      </c>
      <c r="N1033" s="36"/>
      <c r="O1033" s="36"/>
      <c r="P1033" s="36"/>
      <c r="Q1033" s="36">
        <v>46082</v>
      </c>
      <c r="R1033" s="35" t="s">
        <v>218</v>
      </c>
      <c r="S1033" s="35" t="s">
        <v>718</v>
      </c>
      <c r="T1033" s="35" t="s">
        <v>519</v>
      </c>
      <c r="U1033" s="35" t="s">
        <v>86</v>
      </c>
      <c r="V1033" s="35" t="s">
        <v>719</v>
      </c>
      <c r="W1033" s="35" t="s">
        <v>123</v>
      </c>
      <c r="X1033" s="35">
        <v>342.8</v>
      </c>
      <c r="Y1033" s="35">
        <v>85.7</v>
      </c>
      <c r="Z1033" s="35">
        <v>85.7</v>
      </c>
      <c r="AA1033" s="35">
        <v>0</v>
      </c>
      <c r="AB1033" s="35"/>
      <c r="AC1033" s="35">
        <v>0</v>
      </c>
      <c r="AD1033" s="35"/>
      <c r="AE1033" s="35">
        <v>0</v>
      </c>
      <c r="AF1033" s="35"/>
      <c r="AG1033" s="35">
        <v>0</v>
      </c>
      <c r="AH1033" s="35"/>
      <c r="AI1033" s="37">
        <v>0</v>
      </c>
    </row>
    <row r="1034" spans="1:35" x14ac:dyDescent="0.25">
      <c r="A1034" s="38" t="s">
        <v>110</v>
      </c>
      <c r="B1034" s="39" t="s">
        <v>447</v>
      </c>
      <c r="C1034" s="39" t="s">
        <v>2837</v>
      </c>
      <c r="D1034" s="39">
        <v>14191</v>
      </c>
      <c r="E1034" s="39" t="s">
        <v>3834</v>
      </c>
      <c r="F1034" s="39" t="s">
        <v>3835</v>
      </c>
      <c r="G1034" s="39" t="s">
        <v>440</v>
      </c>
      <c r="H1034" s="39" t="s">
        <v>160</v>
      </c>
      <c r="I1034" s="39" t="s">
        <v>117</v>
      </c>
      <c r="J1034" s="39" t="s">
        <v>118</v>
      </c>
      <c r="K1034" s="40">
        <v>46071</v>
      </c>
      <c r="L1034" s="40">
        <v>45674</v>
      </c>
      <c r="M1034" s="40">
        <v>46071</v>
      </c>
      <c r="N1034" s="40"/>
      <c r="O1034" s="40"/>
      <c r="P1034" s="40"/>
      <c r="Q1034" s="40">
        <v>46113</v>
      </c>
      <c r="R1034" s="39" t="s">
        <v>142</v>
      </c>
      <c r="S1034" s="39" t="s">
        <v>182</v>
      </c>
      <c r="T1034" s="39" t="s">
        <v>183</v>
      </c>
      <c r="U1034" s="35" t="s">
        <v>90</v>
      </c>
      <c r="V1034" s="39" t="s">
        <v>163</v>
      </c>
      <c r="W1034" s="39" t="s">
        <v>123</v>
      </c>
      <c r="X1034" s="39">
        <v>-21.36</v>
      </c>
      <c r="Y1034" s="39">
        <v>-4.2699999999999996</v>
      </c>
      <c r="Z1034" s="39">
        <v>-4.2699999999999996</v>
      </c>
      <c r="AA1034" s="39">
        <v>0</v>
      </c>
      <c r="AB1034" s="39"/>
      <c r="AC1034" s="39">
        <v>0</v>
      </c>
      <c r="AD1034" s="39"/>
      <c r="AE1034" s="39">
        <v>0</v>
      </c>
      <c r="AF1034" s="39"/>
      <c r="AG1034" s="39">
        <v>0</v>
      </c>
      <c r="AH1034" s="39"/>
      <c r="AI1034" s="41">
        <v>0</v>
      </c>
    </row>
    <row r="1035" spans="1:35" x14ac:dyDescent="0.25">
      <c r="A1035" s="34" t="s">
        <v>110</v>
      </c>
      <c r="B1035" s="35" t="s">
        <v>1174</v>
      </c>
      <c r="C1035" s="35" t="s">
        <v>2819</v>
      </c>
      <c r="D1035" s="35">
        <v>22983</v>
      </c>
      <c r="E1035" s="35" t="s">
        <v>3836</v>
      </c>
      <c r="F1035" s="35" t="s">
        <v>3837</v>
      </c>
      <c r="G1035" s="35" t="s">
        <v>192</v>
      </c>
      <c r="H1035" s="35" t="s">
        <v>160</v>
      </c>
      <c r="I1035" s="35" t="s">
        <v>117</v>
      </c>
      <c r="J1035" s="35" t="s">
        <v>118</v>
      </c>
      <c r="K1035" s="36">
        <v>46071</v>
      </c>
      <c r="L1035" s="36">
        <v>45536</v>
      </c>
      <c r="M1035" s="36">
        <v>46085</v>
      </c>
      <c r="N1035" s="36"/>
      <c r="O1035" s="36"/>
      <c r="P1035" s="36"/>
      <c r="Q1035" s="36"/>
      <c r="R1035" s="35" t="s">
        <v>142</v>
      </c>
      <c r="S1035" s="35" t="s">
        <v>182</v>
      </c>
      <c r="T1035" s="35" t="s">
        <v>183</v>
      </c>
      <c r="U1035" s="35" t="s">
        <v>90</v>
      </c>
      <c r="V1035" s="35" t="s">
        <v>163</v>
      </c>
      <c r="W1035" s="35" t="s">
        <v>123</v>
      </c>
      <c r="X1035" s="35">
        <v>364.54</v>
      </c>
      <c r="Y1035" s="35">
        <v>72.91</v>
      </c>
      <c r="Z1035" s="35">
        <v>72.91</v>
      </c>
      <c r="AA1035" s="35">
        <v>0</v>
      </c>
      <c r="AB1035" s="35"/>
      <c r="AC1035" s="35">
        <v>0</v>
      </c>
      <c r="AD1035" s="35"/>
      <c r="AE1035" s="35">
        <v>0</v>
      </c>
      <c r="AF1035" s="35"/>
      <c r="AG1035" s="35">
        <v>0</v>
      </c>
      <c r="AH1035" s="35"/>
      <c r="AI1035" s="37">
        <v>0</v>
      </c>
    </row>
    <row r="1036" spans="1:35" x14ac:dyDescent="0.25">
      <c r="A1036" s="38" t="s">
        <v>110</v>
      </c>
      <c r="B1036" s="39" t="s">
        <v>2917</v>
      </c>
      <c r="C1036" s="39" t="s">
        <v>3683</v>
      </c>
      <c r="D1036" s="39">
        <v>32584</v>
      </c>
      <c r="E1036" s="39" t="s">
        <v>3838</v>
      </c>
      <c r="F1036" s="39" t="s">
        <v>3839</v>
      </c>
      <c r="G1036" s="39" t="s">
        <v>192</v>
      </c>
      <c r="H1036" s="39" t="s">
        <v>116</v>
      </c>
      <c r="I1036" s="39" t="s">
        <v>117</v>
      </c>
      <c r="J1036" s="39" t="s">
        <v>2195</v>
      </c>
      <c r="K1036" s="40">
        <v>46071</v>
      </c>
      <c r="L1036" s="40">
        <v>46067</v>
      </c>
      <c r="M1036" s="40"/>
      <c r="N1036" s="40"/>
      <c r="O1036" s="40">
        <v>46067</v>
      </c>
      <c r="P1036" s="40"/>
      <c r="Q1036" s="40"/>
      <c r="R1036" s="39" t="s">
        <v>142</v>
      </c>
      <c r="S1036" s="39" t="s">
        <v>2704</v>
      </c>
      <c r="T1036" s="39" t="s">
        <v>225</v>
      </c>
      <c r="U1036" s="35" t="s">
        <v>88</v>
      </c>
      <c r="V1036" s="39" t="s">
        <v>122</v>
      </c>
      <c r="W1036" s="39" t="s">
        <v>123</v>
      </c>
      <c r="X1036" s="39">
        <v>464.33</v>
      </c>
      <c r="Y1036" s="39">
        <v>102.16</v>
      </c>
      <c r="Z1036" s="39">
        <v>92.87</v>
      </c>
      <c r="AA1036" s="39">
        <v>0</v>
      </c>
      <c r="AB1036" s="39"/>
      <c r="AC1036" s="39">
        <v>0</v>
      </c>
      <c r="AD1036" s="39"/>
      <c r="AE1036" s="39">
        <v>0</v>
      </c>
      <c r="AF1036" s="39"/>
      <c r="AG1036" s="39">
        <v>0</v>
      </c>
      <c r="AH1036" s="39"/>
      <c r="AI1036" s="41">
        <v>0</v>
      </c>
    </row>
    <row r="1037" spans="1:35" x14ac:dyDescent="0.25">
      <c r="A1037" s="34" t="s">
        <v>110</v>
      </c>
      <c r="B1037" s="35" t="s">
        <v>2917</v>
      </c>
      <c r="C1037" s="35" t="s">
        <v>3683</v>
      </c>
      <c r="D1037" s="35">
        <v>32584</v>
      </c>
      <c r="E1037" s="35" t="s">
        <v>3840</v>
      </c>
      <c r="F1037" s="35" t="s">
        <v>3841</v>
      </c>
      <c r="G1037" s="35" t="s">
        <v>192</v>
      </c>
      <c r="H1037" s="35" t="s">
        <v>116</v>
      </c>
      <c r="I1037" s="35" t="s">
        <v>117</v>
      </c>
      <c r="J1037" s="35" t="s">
        <v>2195</v>
      </c>
      <c r="K1037" s="36">
        <v>46071</v>
      </c>
      <c r="L1037" s="36">
        <v>46067</v>
      </c>
      <c r="M1037" s="36"/>
      <c r="N1037" s="36"/>
      <c r="O1037" s="36">
        <v>46067</v>
      </c>
      <c r="P1037" s="36"/>
      <c r="Q1037" s="36"/>
      <c r="R1037" s="35" t="s">
        <v>142</v>
      </c>
      <c r="S1037" s="35" t="s">
        <v>2704</v>
      </c>
      <c r="T1037" s="35" t="s">
        <v>225</v>
      </c>
      <c r="U1037" s="35" t="s">
        <v>88</v>
      </c>
      <c r="V1037" s="35" t="s">
        <v>122</v>
      </c>
      <c r="W1037" s="35" t="s">
        <v>123</v>
      </c>
      <c r="X1037" s="35">
        <v>464.34</v>
      </c>
      <c r="Y1037" s="35">
        <v>102.16</v>
      </c>
      <c r="Z1037" s="35">
        <v>92.87</v>
      </c>
      <c r="AA1037" s="35">
        <v>0</v>
      </c>
      <c r="AB1037" s="35"/>
      <c r="AC1037" s="35">
        <v>0</v>
      </c>
      <c r="AD1037" s="35"/>
      <c r="AE1037" s="35">
        <v>0</v>
      </c>
      <c r="AF1037" s="35"/>
      <c r="AG1037" s="35">
        <v>0</v>
      </c>
      <c r="AH1037" s="35"/>
      <c r="AI1037" s="37">
        <v>0</v>
      </c>
    </row>
    <row r="1038" spans="1:35" x14ac:dyDescent="0.25">
      <c r="A1038" s="38" t="s">
        <v>110</v>
      </c>
      <c r="B1038" s="39" t="s">
        <v>170</v>
      </c>
      <c r="C1038" s="39" t="s">
        <v>669</v>
      </c>
      <c r="D1038" s="39">
        <v>32307</v>
      </c>
      <c r="E1038" s="39" t="s">
        <v>3842</v>
      </c>
      <c r="F1038" s="39" t="s">
        <v>3843</v>
      </c>
      <c r="G1038" s="39" t="s">
        <v>174</v>
      </c>
      <c r="H1038" s="39" t="s">
        <v>116</v>
      </c>
      <c r="I1038" s="39" t="s">
        <v>117</v>
      </c>
      <c r="J1038" s="39" t="s">
        <v>118</v>
      </c>
      <c r="K1038" s="40">
        <v>46071</v>
      </c>
      <c r="L1038" s="40">
        <v>46054</v>
      </c>
      <c r="M1038" s="40">
        <v>46077</v>
      </c>
      <c r="N1038" s="40"/>
      <c r="O1038" s="40"/>
      <c r="P1038" s="40"/>
      <c r="Q1038" s="40"/>
      <c r="R1038" s="39" t="s">
        <v>119</v>
      </c>
      <c r="S1038" s="39" t="s">
        <v>668</v>
      </c>
      <c r="T1038" s="39" t="s">
        <v>607</v>
      </c>
      <c r="U1038" s="35" t="s">
        <v>89</v>
      </c>
      <c r="V1038" s="39" t="s">
        <v>509</v>
      </c>
      <c r="W1038" s="39" t="s">
        <v>123</v>
      </c>
      <c r="X1038" s="39">
        <v>7969.04</v>
      </c>
      <c r="Y1038" s="39">
        <v>398.45</v>
      </c>
      <c r="Z1038" s="39">
        <v>398.45</v>
      </c>
      <c r="AA1038" s="39">
        <v>0</v>
      </c>
      <c r="AB1038" s="39"/>
      <c r="AC1038" s="39">
        <v>0</v>
      </c>
      <c r="AD1038" s="39"/>
      <c r="AE1038" s="39">
        <v>0</v>
      </c>
      <c r="AF1038" s="39"/>
      <c r="AG1038" s="39">
        <v>0</v>
      </c>
      <c r="AH1038" s="39"/>
      <c r="AI1038" s="41">
        <v>0</v>
      </c>
    </row>
    <row r="1039" spans="1:35" x14ac:dyDescent="0.25">
      <c r="A1039" s="34" t="s">
        <v>110</v>
      </c>
      <c r="B1039" s="35" t="s">
        <v>3844</v>
      </c>
      <c r="C1039" s="35" t="s">
        <v>3845</v>
      </c>
      <c r="D1039" s="35">
        <v>32692</v>
      </c>
      <c r="E1039" s="35" t="s">
        <v>3846</v>
      </c>
      <c r="F1039" s="35" t="s">
        <v>3847</v>
      </c>
      <c r="G1039" s="35" t="s">
        <v>174</v>
      </c>
      <c r="H1039" s="35" t="s">
        <v>160</v>
      </c>
      <c r="I1039" s="35" t="s">
        <v>217</v>
      </c>
      <c r="J1039" s="35" t="s">
        <v>118</v>
      </c>
      <c r="K1039" s="36">
        <v>46071</v>
      </c>
      <c r="L1039" s="36">
        <v>46075</v>
      </c>
      <c r="M1039" s="36">
        <v>46085</v>
      </c>
      <c r="N1039" s="36"/>
      <c r="O1039" s="36"/>
      <c r="P1039" s="36"/>
      <c r="Q1039" s="36"/>
      <c r="R1039" s="35" t="s">
        <v>218</v>
      </c>
      <c r="S1039" s="35" t="s">
        <v>718</v>
      </c>
      <c r="T1039" s="35" t="s">
        <v>519</v>
      </c>
      <c r="U1039" s="35" t="s">
        <v>86</v>
      </c>
      <c r="V1039" s="35" t="s">
        <v>719</v>
      </c>
      <c r="W1039" s="35" t="s">
        <v>123</v>
      </c>
      <c r="X1039" s="35">
        <v>2673.84</v>
      </c>
      <c r="Y1039" s="35">
        <v>668.46</v>
      </c>
      <c r="Z1039" s="35">
        <v>668.46</v>
      </c>
      <c r="AA1039" s="35">
        <v>0</v>
      </c>
      <c r="AB1039" s="35"/>
      <c r="AC1039" s="35">
        <v>0</v>
      </c>
      <c r="AD1039" s="35"/>
      <c r="AE1039" s="35">
        <v>0</v>
      </c>
      <c r="AF1039" s="35"/>
      <c r="AG1039" s="35">
        <v>0</v>
      </c>
      <c r="AH1039" s="35"/>
      <c r="AI1039" s="37">
        <v>0</v>
      </c>
    </row>
    <row r="1040" spans="1:35" x14ac:dyDescent="0.25">
      <c r="A1040" s="38" t="s">
        <v>110</v>
      </c>
      <c r="B1040" s="39" t="s">
        <v>544</v>
      </c>
      <c r="C1040" s="39" t="s">
        <v>2856</v>
      </c>
      <c r="D1040" s="39">
        <v>29474</v>
      </c>
      <c r="E1040" s="39" t="s">
        <v>3848</v>
      </c>
      <c r="F1040" s="39" t="s">
        <v>3849</v>
      </c>
      <c r="G1040" s="39" t="s">
        <v>440</v>
      </c>
      <c r="H1040" s="39" t="s">
        <v>160</v>
      </c>
      <c r="I1040" s="39" t="s">
        <v>117</v>
      </c>
      <c r="J1040" s="39" t="s">
        <v>118</v>
      </c>
      <c r="K1040" s="40">
        <v>46071</v>
      </c>
      <c r="L1040" s="40">
        <v>46023</v>
      </c>
      <c r="M1040" s="40">
        <v>46071</v>
      </c>
      <c r="N1040" s="40"/>
      <c r="O1040" s="40"/>
      <c r="P1040" s="40"/>
      <c r="Q1040" s="40">
        <v>46113</v>
      </c>
      <c r="R1040" s="39" t="s">
        <v>187</v>
      </c>
      <c r="S1040" s="39" t="s">
        <v>543</v>
      </c>
      <c r="T1040" s="39" t="s">
        <v>177</v>
      </c>
      <c r="U1040" s="35" t="s">
        <v>81</v>
      </c>
      <c r="V1040" s="39" t="s">
        <v>509</v>
      </c>
      <c r="W1040" s="39" t="s">
        <v>123</v>
      </c>
      <c r="X1040" s="39">
        <v>-366.92</v>
      </c>
      <c r="Y1040" s="39">
        <v>-14.68</v>
      </c>
      <c r="Z1040" s="39">
        <v>-14.68</v>
      </c>
      <c r="AA1040" s="39">
        <v>0</v>
      </c>
      <c r="AB1040" s="39"/>
      <c r="AC1040" s="39">
        <v>0</v>
      </c>
      <c r="AD1040" s="39"/>
      <c r="AE1040" s="39">
        <v>0</v>
      </c>
      <c r="AF1040" s="39"/>
      <c r="AG1040" s="39">
        <v>0</v>
      </c>
      <c r="AH1040" s="39"/>
      <c r="AI1040" s="41">
        <v>0</v>
      </c>
    </row>
    <row r="1041" spans="1:35" x14ac:dyDescent="0.25">
      <c r="A1041" s="34" t="s">
        <v>110</v>
      </c>
      <c r="B1041" s="35" t="s">
        <v>2428</v>
      </c>
      <c r="C1041" s="35" t="s">
        <v>3850</v>
      </c>
      <c r="D1041" s="35">
        <v>32693</v>
      </c>
      <c r="E1041" s="35" t="s">
        <v>3851</v>
      </c>
      <c r="F1041" s="35" t="s">
        <v>3852</v>
      </c>
      <c r="G1041" s="35" t="s">
        <v>174</v>
      </c>
      <c r="H1041" s="35" t="s">
        <v>116</v>
      </c>
      <c r="I1041" s="35" t="s">
        <v>217</v>
      </c>
      <c r="J1041" s="35" t="s">
        <v>141</v>
      </c>
      <c r="K1041" s="36">
        <v>46071</v>
      </c>
      <c r="L1041" s="36">
        <v>46086</v>
      </c>
      <c r="M1041" s="36"/>
      <c r="N1041" s="36"/>
      <c r="O1041" s="36"/>
      <c r="P1041" s="36"/>
      <c r="Q1041" s="36"/>
      <c r="R1041" s="35" t="s">
        <v>218</v>
      </c>
      <c r="S1041" s="35" t="s">
        <v>684</v>
      </c>
      <c r="T1041" s="35" t="s">
        <v>205</v>
      </c>
      <c r="U1041" s="35" t="s">
        <v>89</v>
      </c>
      <c r="V1041" s="35" t="s">
        <v>509</v>
      </c>
      <c r="W1041" s="35" t="s">
        <v>123</v>
      </c>
      <c r="X1041" s="35">
        <v>81.209999999999994</v>
      </c>
      <c r="Y1041" s="35">
        <v>16.239999999999998</v>
      </c>
      <c r="Z1041" s="35">
        <v>16.239999999999998</v>
      </c>
      <c r="AA1041" s="35">
        <v>0</v>
      </c>
      <c r="AB1041" s="35"/>
      <c r="AC1041" s="35">
        <v>0</v>
      </c>
      <c r="AD1041" s="35"/>
      <c r="AE1041" s="35">
        <v>0</v>
      </c>
      <c r="AF1041" s="35"/>
      <c r="AG1041" s="35">
        <v>0</v>
      </c>
      <c r="AH1041" s="35"/>
      <c r="AI1041" s="37">
        <v>0</v>
      </c>
    </row>
    <row r="1042" spans="1:35" x14ac:dyDescent="0.25">
      <c r="A1042" s="38" t="s">
        <v>110</v>
      </c>
      <c r="B1042" s="39" t="s">
        <v>544</v>
      </c>
      <c r="C1042" s="39" t="s">
        <v>2840</v>
      </c>
      <c r="D1042" s="39">
        <v>22615</v>
      </c>
      <c r="E1042" s="39" t="s">
        <v>3853</v>
      </c>
      <c r="F1042" s="39" t="s">
        <v>3854</v>
      </c>
      <c r="G1042" s="39" t="s">
        <v>192</v>
      </c>
      <c r="H1042" s="39" t="s">
        <v>160</v>
      </c>
      <c r="I1042" s="39" t="s">
        <v>117</v>
      </c>
      <c r="J1042" s="39" t="s">
        <v>118</v>
      </c>
      <c r="K1042" s="40">
        <v>46071</v>
      </c>
      <c r="L1042" s="40">
        <v>45657</v>
      </c>
      <c r="M1042" s="40">
        <v>46071</v>
      </c>
      <c r="N1042" s="40"/>
      <c r="O1042" s="40"/>
      <c r="P1042" s="40"/>
      <c r="Q1042" s="40">
        <v>46113</v>
      </c>
      <c r="R1042" s="39" t="s">
        <v>142</v>
      </c>
      <c r="S1042" s="39" t="s">
        <v>183</v>
      </c>
      <c r="T1042" s="39" t="s">
        <v>205</v>
      </c>
      <c r="U1042" s="35" t="s">
        <v>89</v>
      </c>
      <c r="V1042" s="39" t="s">
        <v>509</v>
      </c>
      <c r="W1042" s="39" t="s">
        <v>123</v>
      </c>
      <c r="X1042" s="39">
        <v>10711.62</v>
      </c>
      <c r="Y1042" s="39">
        <v>2142.3200000000002</v>
      </c>
      <c r="Z1042" s="39">
        <v>2142.3200000000002</v>
      </c>
      <c r="AA1042" s="39">
        <v>0</v>
      </c>
      <c r="AB1042" s="39"/>
      <c r="AC1042" s="39">
        <v>0</v>
      </c>
      <c r="AD1042" s="39"/>
      <c r="AE1042" s="39">
        <v>0</v>
      </c>
      <c r="AF1042" s="39"/>
      <c r="AG1042" s="39">
        <v>0</v>
      </c>
      <c r="AH1042" s="39"/>
      <c r="AI1042" s="41">
        <v>0</v>
      </c>
    </row>
    <row r="1043" spans="1:35" x14ac:dyDescent="0.25">
      <c r="A1043" s="34" t="s">
        <v>110</v>
      </c>
      <c r="B1043" s="35" t="s">
        <v>1815</v>
      </c>
      <c r="C1043" s="35" t="s">
        <v>2328</v>
      </c>
      <c r="D1043" s="35">
        <v>23150</v>
      </c>
      <c r="E1043" s="35" t="s">
        <v>3855</v>
      </c>
      <c r="F1043" s="35" t="s">
        <v>3856</v>
      </c>
      <c r="G1043" s="35" t="s">
        <v>192</v>
      </c>
      <c r="H1043" s="35" t="s">
        <v>160</v>
      </c>
      <c r="I1043" s="35" t="s">
        <v>117</v>
      </c>
      <c r="J1043" s="35" t="s">
        <v>141</v>
      </c>
      <c r="K1043" s="36">
        <v>46071</v>
      </c>
      <c r="L1043" s="36">
        <v>46069</v>
      </c>
      <c r="M1043" s="36"/>
      <c r="N1043" s="36"/>
      <c r="O1043" s="36"/>
      <c r="P1043" s="36"/>
      <c r="Q1043" s="36"/>
      <c r="R1043" s="35" t="s">
        <v>142</v>
      </c>
      <c r="S1043" s="35" t="s">
        <v>2331</v>
      </c>
      <c r="T1043" s="35" t="s">
        <v>974</v>
      </c>
      <c r="U1043" s="35" t="s">
        <v>91</v>
      </c>
      <c r="V1043" s="35" t="s">
        <v>509</v>
      </c>
      <c r="W1043" s="35" t="s">
        <v>123</v>
      </c>
      <c r="X1043" s="35">
        <v>359.13</v>
      </c>
      <c r="Y1043" s="35">
        <v>71.83</v>
      </c>
      <c r="Z1043" s="35">
        <v>71.83</v>
      </c>
      <c r="AA1043" s="35">
        <v>0</v>
      </c>
      <c r="AB1043" s="35"/>
      <c r="AC1043" s="35">
        <v>0</v>
      </c>
      <c r="AD1043" s="35"/>
      <c r="AE1043" s="35">
        <v>0</v>
      </c>
      <c r="AF1043" s="35"/>
      <c r="AG1043" s="35">
        <v>0</v>
      </c>
      <c r="AH1043" s="35"/>
      <c r="AI1043" s="37">
        <v>0</v>
      </c>
    </row>
    <row r="1044" spans="1:35" x14ac:dyDescent="0.25">
      <c r="A1044" s="38" t="s">
        <v>110</v>
      </c>
      <c r="B1044" s="39" t="s">
        <v>2751</v>
      </c>
      <c r="C1044" s="39" t="s">
        <v>2752</v>
      </c>
      <c r="D1044" s="39">
        <v>27982</v>
      </c>
      <c r="E1044" s="39" t="s">
        <v>3857</v>
      </c>
      <c r="F1044" s="39" t="s">
        <v>3858</v>
      </c>
      <c r="G1044" s="39" t="s">
        <v>192</v>
      </c>
      <c r="H1044" s="39" t="s">
        <v>160</v>
      </c>
      <c r="I1044" s="39" t="s">
        <v>117</v>
      </c>
      <c r="J1044" s="39" t="s">
        <v>141</v>
      </c>
      <c r="K1044" s="40">
        <v>46071</v>
      </c>
      <c r="L1044" s="40">
        <v>46111</v>
      </c>
      <c r="M1044" s="40"/>
      <c r="N1044" s="40"/>
      <c r="O1044" s="40"/>
      <c r="P1044" s="40"/>
      <c r="Q1044" s="40"/>
      <c r="R1044" s="39" t="s">
        <v>142</v>
      </c>
      <c r="S1044" s="39" t="s">
        <v>697</v>
      </c>
      <c r="T1044" s="39" t="s">
        <v>698</v>
      </c>
      <c r="U1044" s="35" t="s">
        <v>88</v>
      </c>
      <c r="V1044" s="39" t="s">
        <v>699</v>
      </c>
      <c r="W1044" s="39" t="s">
        <v>123</v>
      </c>
      <c r="X1044" s="39">
        <v>507.57</v>
      </c>
      <c r="Y1044" s="39">
        <v>126.91</v>
      </c>
      <c r="Z1044" s="39">
        <v>126.91</v>
      </c>
      <c r="AA1044" s="39">
        <v>0</v>
      </c>
      <c r="AB1044" s="39"/>
      <c r="AC1044" s="39">
        <v>0</v>
      </c>
      <c r="AD1044" s="39"/>
      <c r="AE1044" s="39">
        <v>0</v>
      </c>
      <c r="AF1044" s="39"/>
      <c r="AG1044" s="39">
        <v>0</v>
      </c>
      <c r="AH1044" s="39"/>
      <c r="AI1044" s="41">
        <v>0</v>
      </c>
    </row>
    <row r="1045" spans="1:35" x14ac:dyDescent="0.25">
      <c r="A1045" s="34" t="s">
        <v>110</v>
      </c>
      <c r="B1045" s="35" t="s">
        <v>2885</v>
      </c>
      <c r="C1045" s="35" t="s">
        <v>2886</v>
      </c>
      <c r="D1045" s="35">
        <v>30570</v>
      </c>
      <c r="E1045" s="35" t="s">
        <v>3859</v>
      </c>
      <c r="F1045" s="35" t="s">
        <v>3860</v>
      </c>
      <c r="G1045" s="35" t="s">
        <v>174</v>
      </c>
      <c r="H1045" s="35" t="s">
        <v>160</v>
      </c>
      <c r="I1045" s="35" t="s">
        <v>217</v>
      </c>
      <c r="J1045" s="35" t="s">
        <v>118</v>
      </c>
      <c r="K1045" s="36">
        <v>46071</v>
      </c>
      <c r="L1045" s="36">
        <v>46066</v>
      </c>
      <c r="M1045" s="36">
        <v>46076</v>
      </c>
      <c r="N1045" s="36"/>
      <c r="O1045" s="36"/>
      <c r="P1045" s="36"/>
      <c r="Q1045" s="36"/>
      <c r="R1045" s="35" t="s">
        <v>218</v>
      </c>
      <c r="S1045" s="35" t="s">
        <v>225</v>
      </c>
      <c r="T1045" s="35" t="s">
        <v>225</v>
      </c>
      <c r="U1045" s="35" t="s">
        <v>88</v>
      </c>
      <c r="V1045" s="35" t="s">
        <v>226</v>
      </c>
      <c r="W1045" s="35" t="s">
        <v>123</v>
      </c>
      <c r="X1045" s="35">
        <v>138.69999999999999</v>
      </c>
      <c r="Y1045" s="35">
        <v>25.22</v>
      </c>
      <c r="Z1045" s="35">
        <v>25.22</v>
      </c>
      <c r="AA1045" s="35">
        <v>0</v>
      </c>
      <c r="AB1045" s="35"/>
      <c r="AC1045" s="35">
        <v>0</v>
      </c>
      <c r="AD1045" s="35"/>
      <c r="AE1045" s="35">
        <v>0</v>
      </c>
      <c r="AF1045" s="35"/>
      <c r="AG1045" s="35">
        <v>0</v>
      </c>
      <c r="AH1045" s="35"/>
      <c r="AI1045" s="37">
        <v>0</v>
      </c>
    </row>
    <row r="1046" spans="1:35" x14ac:dyDescent="0.25">
      <c r="A1046" s="38" t="s">
        <v>110</v>
      </c>
      <c r="B1046" s="39" t="s">
        <v>2892</v>
      </c>
      <c r="C1046" s="39" t="s">
        <v>2893</v>
      </c>
      <c r="D1046" s="39">
        <v>30652</v>
      </c>
      <c r="E1046" s="39" t="s">
        <v>3861</v>
      </c>
      <c r="F1046" s="39" t="s">
        <v>3862</v>
      </c>
      <c r="G1046" s="39" t="s">
        <v>174</v>
      </c>
      <c r="H1046" s="39" t="s">
        <v>160</v>
      </c>
      <c r="I1046" s="39" t="s">
        <v>217</v>
      </c>
      <c r="J1046" s="39" t="s">
        <v>141</v>
      </c>
      <c r="K1046" s="40">
        <v>46071</v>
      </c>
      <c r="L1046" s="40">
        <v>46082</v>
      </c>
      <c r="M1046" s="40"/>
      <c r="N1046" s="40"/>
      <c r="O1046" s="40"/>
      <c r="P1046" s="40"/>
      <c r="Q1046" s="40"/>
      <c r="R1046" s="39" t="s">
        <v>218</v>
      </c>
      <c r="S1046" s="39" t="s">
        <v>225</v>
      </c>
      <c r="T1046" s="39" t="s">
        <v>225</v>
      </c>
      <c r="U1046" s="35" t="s">
        <v>88</v>
      </c>
      <c r="V1046" s="39" t="s">
        <v>226</v>
      </c>
      <c r="W1046" s="39" t="s">
        <v>123</v>
      </c>
      <c r="X1046" s="39">
        <v>554.79</v>
      </c>
      <c r="Y1046" s="39">
        <v>100.87</v>
      </c>
      <c r="Z1046" s="39">
        <v>100.87</v>
      </c>
      <c r="AA1046" s="39">
        <v>0</v>
      </c>
      <c r="AB1046" s="39"/>
      <c r="AC1046" s="39">
        <v>0</v>
      </c>
      <c r="AD1046" s="39" t="s">
        <v>387</v>
      </c>
      <c r="AE1046" s="39">
        <v>55.48</v>
      </c>
      <c r="AF1046" s="39"/>
      <c r="AG1046" s="39">
        <v>0</v>
      </c>
      <c r="AH1046" s="39"/>
      <c r="AI1046" s="41">
        <v>0</v>
      </c>
    </row>
    <row r="1047" spans="1:35" x14ac:dyDescent="0.25">
      <c r="A1047" s="34" t="s">
        <v>110</v>
      </c>
      <c r="B1047" s="35" t="s">
        <v>351</v>
      </c>
      <c r="C1047" s="35" t="s">
        <v>352</v>
      </c>
      <c r="D1047" s="35">
        <v>32546</v>
      </c>
      <c r="E1047" s="35" t="s">
        <v>3863</v>
      </c>
      <c r="F1047" s="35" t="s">
        <v>3864</v>
      </c>
      <c r="G1047" s="35" t="s">
        <v>174</v>
      </c>
      <c r="H1047" s="35" t="s">
        <v>160</v>
      </c>
      <c r="I1047" s="35" t="s">
        <v>217</v>
      </c>
      <c r="J1047" s="35" t="s">
        <v>118</v>
      </c>
      <c r="K1047" s="36">
        <v>46071</v>
      </c>
      <c r="L1047" s="36">
        <v>46054</v>
      </c>
      <c r="M1047" s="36">
        <v>46071</v>
      </c>
      <c r="N1047" s="36"/>
      <c r="O1047" s="36"/>
      <c r="P1047" s="36"/>
      <c r="Q1047" s="36"/>
      <c r="R1047" s="35" t="s">
        <v>218</v>
      </c>
      <c r="S1047" s="35" t="s">
        <v>225</v>
      </c>
      <c r="T1047" s="35" t="s">
        <v>225</v>
      </c>
      <c r="U1047" s="35" t="s">
        <v>88</v>
      </c>
      <c r="V1047" s="35" t="s">
        <v>226</v>
      </c>
      <c r="W1047" s="35" t="s">
        <v>123</v>
      </c>
      <c r="X1047" s="35">
        <v>-508.55</v>
      </c>
      <c r="Y1047" s="35">
        <v>-92.46</v>
      </c>
      <c r="Z1047" s="35">
        <v>-92.46</v>
      </c>
      <c r="AA1047" s="35">
        <v>0</v>
      </c>
      <c r="AB1047" s="35"/>
      <c r="AC1047" s="35">
        <v>0</v>
      </c>
      <c r="AD1047" s="35"/>
      <c r="AE1047" s="35">
        <v>0</v>
      </c>
      <c r="AF1047" s="35"/>
      <c r="AG1047" s="35">
        <v>0</v>
      </c>
      <c r="AH1047" s="35"/>
      <c r="AI1047" s="37">
        <v>0</v>
      </c>
    </row>
    <row r="1048" spans="1:35" x14ac:dyDescent="0.25">
      <c r="A1048" s="38" t="s">
        <v>110</v>
      </c>
      <c r="B1048" s="39" t="s">
        <v>2823</v>
      </c>
      <c r="C1048" s="39" t="s">
        <v>3865</v>
      </c>
      <c r="D1048" s="39">
        <v>32695</v>
      </c>
      <c r="E1048" s="39" t="s">
        <v>3866</v>
      </c>
      <c r="F1048" s="39" t="s">
        <v>3867</v>
      </c>
      <c r="G1048" s="39" t="s">
        <v>174</v>
      </c>
      <c r="H1048" s="39" t="s">
        <v>160</v>
      </c>
      <c r="I1048" s="39" t="s">
        <v>217</v>
      </c>
      <c r="J1048" s="39" t="s">
        <v>141</v>
      </c>
      <c r="K1048" s="40">
        <v>46071</v>
      </c>
      <c r="L1048" s="40">
        <v>46065</v>
      </c>
      <c r="M1048" s="40"/>
      <c r="N1048" s="40"/>
      <c r="O1048" s="40"/>
      <c r="P1048" s="40"/>
      <c r="Q1048" s="40"/>
      <c r="R1048" s="39" t="s">
        <v>218</v>
      </c>
      <c r="S1048" s="39" t="s">
        <v>1018</v>
      </c>
      <c r="T1048" s="39" t="s">
        <v>1018</v>
      </c>
      <c r="U1048" s="35" t="s">
        <v>82</v>
      </c>
      <c r="V1048" s="39" t="s">
        <v>226</v>
      </c>
      <c r="W1048" s="39" t="s">
        <v>123</v>
      </c>
      <c r="X1048" s="39">
        <v>546.52</v>
      </c>
      <c r="Y1048" s="39">
        <v>99.36</v>
      </c>
      <c r="Z1048" s="39">
        <v>99.36</v>
      </c>
      <c r="AA1048" s="39">
        <v>0</v>
      </c>
      <c r="AB1048" s="39"/>
      <c r="AC1048" s="39">
        <v>0</v>
      </c>
      <c r="AD1048" s="39"/>
      <c r="AE1048" s="39">
        <v>0</v>
      </c>
      <c r="AF1048" s="39"/>
      <c r="AG1048" s="39">
        <v>0</v>
      </c>
      <c r="AH1048" s="39"/>
      <c r="AI1048" s="41">
        <v>0</v>
      </c>
    </row>
    <row r="1049" spans="1:35" x14ac:dyDescent="0.25">
      <c r="A1049" s="34" t="s">
        <v>110</v>
      </c>
      <c r="B1049" s="35" t="s">
        <v>2823</v>
      </c>
      <c r="C1049" s="35" t="s">
        <v>3865</v>
      </c>
      <c r="D1049" s="35">
        <v>32695</v>
      </c>
      <c r="E1049" s="35" t="s">
        <v>3868</v>
      </c>
      <c r="F1049" s="35" t="s">
        <v>3869</v>
      </c>
      <c r="G1049" s="35" t="s">
        <v>174</v>
      </c>
      <c r="H1049" s="35" t="s">
        <v>160</v>
      </c>
      <c r="I1049" s="35" t="s">
        <v>217</v>
      </c>
      <c r="J1049" s="35" t="s">
        <v>141</v>
      </c>
      <c r="K1049" s="36">
        <v>46071</v>
      </c>
      <c r="L1049" s="36">
        <v>46065</v>
      </c>
      <c r="M1049" s="36"/>
      <c r="N1049" s="36"/>
      <c r="O1049" s="36"/>
      <c r="P1049" s="36"/>
      <c r="Q1049" s="36"/>
      <c r="R1049" s="35" t="s">
        <v>218</v>
      </c>
      <c r="S1049" s="35" t="s">
        <v>1018</v>
      </c>
      <c r="T1049" s="35" t="s">
        <v>1018</v>
      </c>
      <c r="U1049" s="35" t="s">
        <v>82</v>
      </c>
      <c r="V1049" s="35" t="s">
        <v>226</v>
      </c>
      <c r="W1049" s="35" t="s">
        <v>123</v>
      </c>
      <c r="X1049" s="35">
        <v>-109.31</v>
      </c>
      <c r="Y1049" s="35">
        <v>-19.88</v>
      </c>
      <c r="Z1049" s="35">
        <v>-19.88</v>
      </c>
      <c r="AA1049" s="35">
        <v>0</v>
      </c>
      <c r="AB1049" s="35"/>
      <c r="AC1049" s="35">
        <v>0</v>
      </c>
      <c r="AD1049" s="35"/>
      <c r="AE1049" s="35">
        <v>0</v>
      </c>
      <c r="AF1049" s="35"/>
      <c r="AG1049" s="35">
        <v>0</v>
      </c>
      <c r="AH1049" s="35"/>
      <c r="AI1049" s="37">
        <v>0</v>
      </c>
    </row>
    <row r="1050" spans="1:35" x14ac:dyDescent="0.25">
      <c r="A1050" s="38" t="s">
        <v>110</v>
      </c>
      <c r="B1050" s="39" t="s">
        <v>1026</v>
      </c>
      <c r="C1050" s="39" t="s">
        <v>3870</v>
      </c>
      <c r="D1050" s="39">
        <v>32696</v>
      </c>
      <c r="E1050" s="39" t="s">
        <v>3871</v>
      </c>
      <c r="F1050" s="39" t="s">
        <v>3872</v>
      </c>
      <c r="G1050" s="39" t="s">
        <v>174</v>
      </c>
      <c r="H1050" s="39" t="s">
        <v>160</v>
      </c>
      <c r="I1050" s="39" t="s">
        <v>217</v>
      </c>
      <c r="J1050" s="39" t="s">
        <v>141</v>
      </c>
      <c r="K1050" s="40">
        <v>46071</v>
      </c>
      <c r="L1050" s="40">
        <v>46065</v>
      </c>
      <c r="M1050" s="40"/>
      <c r="N1050" s="40"/>
      <c r="O1050" s="40"/>
      <c r="P1050" s="40"/>
      <c r="Q1050" s="40"/>
      <c r="R1050" s="39" t="s">
        <v>218</v>
      </c>
      <c r="S1050" s="39" t="s">
        <v>1018</v>
      </c>
      <c r="T1050" s="39" t="s">
        <v>1018</v>
      </c>
      <c r="U1050" s="35" t="s">
        <v>82</v>
      </c>
      <c r="V1050" s="39" t="s">
        <v>226</v>
      </c>
      <c r="W1050" s="39" t="s">
        <v>123</v>
      </c>
      <c r="X1050" s="39">
        <v>5222.62</v>
      </c>
      <c r="Y1050" s="39">
        <v>949.57</v>
      </c>
      <c r="Z1050" s="39">
        <v>949.57</v>
      </c>
      <c r="AA1050" s="39">
        <v>0</v>
      </c>
      <c r="AB1050" s="39"/>
      <c r="AC1050" s="39">
        <v>0</v>
      </c>
      <c r="AD1050" s="39"/>
      <c r="AE1050" s="39">
        <v>0</v>
      </c>
      <c r="AF1050" s="39"/>
      <c r="AG1050" s="39">
        <v>0</v>
      </c>
      <c r="AH1050" s="39"/>
      <c r="AI1050" s="41">
        <v>0</v>
      </c>
    </row>
    <row r="1051" spans="1:35" x14ac:dyDescent="0.25">
      <c r="A1051" s="34" t="s">
        <v>110</v>
      </c>
      <c r="B1051" s="35" t="s">
        <v>1026</v>
      </c>
      <c r="C1051" s="35" t="s">
        <v>3870</v>
      </c>
      <c r="D1051" s="35">
        <v>32696</v>
      </c>
      <c r="E1051" s="35" t="s">
        <v>3873</v>
      </c>
      <c r="F1051" s="35" t="s">
        <v>3874</v>
      </c>
      <c r="G1051" s="35" t="s">
        <v>174</v>
      </c>
      <c r="H1051" s="35" t="s">
        <v>160</v>
      </c>
      <c r="I1051" s="35" t="s">
        <v>217</v>
      </c>
      <c r="J1051" s="35" t="s">
        <v>141</v>
      </c>
      <c r="K1051" s="36">
        <v>46071</v>
      </c>
      <c r="L1051" s="36">
        <v>46065</v>
      </c>
      <c r="M1051" s="36"/>
      <c r="N1051" s="36"/>
      <c r="O1051" s="36"/>
      <c r="P1051" s="36"/>
      <c r="Q1051" s="36"/>
      <c r="R1051" s="35" t="s">
        <v>218</v>
      </c>
      <c r="S1051" s="35" t="s">
        <v>1018</v>
      </c>
      <c r="T1051" s="35" t="s">
        <v>1018</v>
      </c>
      <c r="U1051" s="35" t="s">
        <v>82</v>
      </c>
      <c r="V1051" s="35" t="s">
        <v>226</v>
      </c>
      <c r="W1051" s="35" t="s">
        <v>123</v>
      </c>
      <c r="X1051" s="35">
        <v>-1044.51</v>
      </c>
      <c r="Y1051" s="35">
        <v>-189.91</v>
      </c>
      <c r="Z1051" s="35">
        <v>-189.91</v>
      </c>
      <c r="AA1051" s="35">
        <v>0</v>
      </c>
      <c r="AB1051" s="35"/>
      <c r="AC1051" s="35">
        <v>0</v>
      </c>
      <c r="AD1051" s="35"/>
      <c r="AE1051" s="35">
        <v>0</v>
      </c>
      <c r="AF1051" s="35"/>
      <c r="AG1051" s="35">
        <v>0</v>
      </c>
      <c r="AH1051" s="35"/>
      <c r="AI1051" s="37">
        <v>0</v>
      </c>
    </row>
    <row r="1052" spans="1:35" x14ac:dyDescent="0.25">
      <c r="A1052" s="38" t="s">
        <v>110</v>
      </c>
      <c r="B1052" s="39" t="s">
        <v>1019</v>
      </c>
      <c r="C1052" s="39" t="s">
        <v>3875</v>
      </c>
      <c r="D1052" s="39">
        <v>32697</v>
      </c>
      <c r="E1052" s="39" t="s">
        <v>3876</v>
      </c>
      <c r="F1052" s="39" t="s">
        <v>3877</v>
      </c>
      <c r="G1052" s="39" t="s">
        <v>174</v>
      </c>
      <c r="H1052" s="39" t="s">
        <v>160</v>
      </c>
      <c r="I1052" s="39" t="s">
        <v>217</v>
      </c>
      <c r="J1052" s="39" t="s">
        <v>141</v>
      </c>
      <c r="K1052" s="40">
        <v>46071</v>
      </c>
      <c r="L1052" s="40">
        <v>46065</v>
      </c>
      <c r="M1052" s="40"/>
      <c r="N1052" s="40"/>
      <c r="O1052" s="40"/>
      <c r="P1052" s="40"/>
      <c r="Q1052" s="40"/>
      <c r="R1052" s="39" t="s">
        <v>218</v>
      </c>
      <c r="S1052" s="39" t="s">
        <v>1018</v>
      </c>
      <c r="T1052" s="39" t="s">
        <v>1018</v>
      </c>
      <c r="U1052" s="35" t="s">
        <v>82</v>
      </c>
      <c r="V1052" s="39" t="s">
        <v>226</v>
      </c>
      <c r="W1052" s="39" t="s">
        <v>123</v>
      </c>
      <c r="X1052" s="39">
        <v>2090.5700000000002</v>
      </c>
      <c r="Y1052" s="39">
        <v>380.1</v>
      </c>
      <c r="Z1052" s="39">
        <v>380.1</v>
      </c>
      <c r="AA1052" s="39">
        <v>0</v>
      </c>
      <c r="AB1052" s="39"/>
      <c r="AC1052" s="39">
        <v>0</v>
      </c>
      <c r="AD1052" s="39"/>
      <c r="AE1052" s="39">
        <v>0</v>
      </c>
      <c r="AF1052" s="39"/>
      <c r="AG1052" s="39">
        <v>0</v>
      </c>
      <c r="AH1052" s="39"/>
      <c r="AI1052" s="41">
        <v>0</v>
      </c>
    </row>
    <row r="1053" spans="1:35" x14ac:dyDescent="0.25">
      <c r="A1053" s="34" t="s">
        <v>110</v>
      </c>
      <c r="B1053" s="35" t="s">
        <v>1019</v>
      </c>
      <c r="C1053" s="35" t="s">
        <v>3875</v>
      </c>
      <c r="D1053" s="35">
        <v>32697</v>
      </c>
      <c r="E1053" s="35" t="s">
        <v>3878</v>
      </c>
      <c r="F1053" s="35" t="s">
        <v>3879</v>
      </c>
      <c r="G1053" s="35" t="s">
        <v>174</v>
      </c>
      <c r="H1053" s="35" t="s">
        <v>160</v>
      </c>
      <c r="I1053" s="35" t="s">
        <v>217</v>
      </c>
      <c r="J1053" s="35" t="s">
        <v>141</v>
      </c>
      <c r="K1053" s="36">
        <v>46071</v>
      </c>
      <c r="L1053" s="36">
        <v>46065</v>
      </c>
      <c r="M1053" s="36"/>
      <c r="N1053" s="36"/>
      <c r="O1053" s="36"/>
      <c r="P1053" s="36"/>
      <c r="Q1053" s="36"/>
      <c r="R1053" s="35" t="s">
        <v>218</v>
      </c>
      <c r="S1053" s="35" t="s">
        <v>1018</v>
      </c>
      <c r="T1053" s="35" t="s">
        <v>1018</v>
      </c>
      <c r="U1053" s="35" t="s">
        <v>82</v>
      </c>
      <c r="V1053" s="35" t="s">
        <v>226</v>
      </c>
      <c r="W1053" s="35" t="s">
        <v>123</v>
      </c>
      <c r="X1053" s="35">
        <v>-418.11</v>
      </c>
      <c r="Y1053" s="35">
        <v>-76.02</v>
      </c>
      <c r="Z1053" s="35">
        <v>-76.02</v>
      </c>
      <c r="AA1053" s="35">
        <v>0</v>
      </c>
      <c r="AB1053" s="35"/>
      <c r="AC1053" s="35">
        <v>0</v>
      </c>
      <c r="AD1053" s="35"/>
      <c r="AE1053" s="35">
        <v>0</v>
      </c>
      <c r="AF1053" s="35"/>
      <c r="AG1053" s="35">
        <v>0</v>
      </c>
      <c r="AH1053" s="35"/>
      <c r="AI1053" s="37">
        <v>0</v>
      </c>
    </row>
    <row r="1054" spans="1:35" x14ac:dyDescent="0.25">
      <c r="A1054" s="38" t="s">
        <v>110</v>
      </c>
      <c r="B1054" s="39" t="s">
        <v>1019</v>
      </c>
      <c r="C1054" s="39" t="s">
        <v>3880</v>
      </c>
      <c r="D1054" s="39">
        <v>32698</v>
      </c>
      <c r="E1054" s="39" t="s">
        <v>3881</v>
      </c>
      <c r="F1054" s="39" t="s">
        <v>3882</v>
      </c>
      <c r="G1054" s="39" t="s">
        <v>174</v>
      </c>
      <c r="H1054" s="39" t="s">
        <v>160</v>
      </c>
      <c r="I1054" s="39" t="s">
        <v>217</v>
      </c>
      <c r="J1054" s="39" t="s">
        <v>141</v>
      </c>
      <c r="K1054" s="40">
        <v>46071</v>
      </c>
      <c r="L1054" s="40">
        <v>46065</v>
      </c>
      <c r="M1054" s="40"/>
      <c r="N1054" s="40"/>
      <c r="O1054" s="40"/>
      <c r="P1054" s="40"/>
      <c r="Q1054" s="40"/>
      <c r="R1054" s="39" t="s">
        <v>218</v>
      </c>
      <c r="S1054" s="39" t="s">
        <v>1018</v>
      </c>
      <c r="T1054" s="39" t="s">
        <v>1018</v>
      </c>
      <c r="U1054" s="35" t="s">
        <v>82</v>
      </c>
      <c r="V1054" s="39" t="s">
        <v>226</v>
      </c>
      <c r="W1054" s="39" t="s">
        <v>123</v>
      </c>
      <c r="X1054" s="39">
        <v>447.24</v>
      </c>
      <c r="Y1054" s="39">
        <v>81.319999999999993</v>
      </c>
      <c r="Z1054" s="39">
        <v>81.319999999999993</v>
      </c>
      <c r="AA1054" s="39">
        <v>0</v>
      </c>
      <c r="AB1054" s="39"/>
      <c r="AC1054" s="39">
        <v>0</v>
      </c>
      <c r="AD1054" s="39"/>
      <c r="AE1054" s="39">
        <v>0</v>
      </c>
      <c r="AF1054" s="39"/>
      <c r="AG1054" s="39">
        <v>0</v>
      </c>
      <c r="AH1054" s="39"/>
      <c r="AI1054" s="41">
        <v>0</v>
      </c>
    </row>
    <row r="1055" spans="1:35" x14ac:dyDescent="0.25">
      <c r="A1055" s="34" t="s">
        <v>110</v>
      </c>
      <c r="B1055" s="35" t="s">
        <v>1019</v>
      </c>
      <c r="C1055" s="35" t="s">
        <v>3880</v>
      </c>
      <c r="D1055" s="35">
        <v>32698</v>
      </c>
      <c r="E1055" s="35" t="s">
        <v>3883</v>
      </c>
      <c r="F1055" s="35" t="s">
        <v>3884</v>
      </c>
      <c r="G1055" s="35" t="s">
        <v>174</v>
      </c>
      <c r="H1055" s="35" t="s">
        <v>160</v>
      </c>
      <c r="I1055" s="35" t="s">
        <v>217</v>
      </c>
      <c r="J1055" s="35" t="s">
        <v>141</v>
      </c>
      <c r="K1055" s="36">
        <v>46071</v>
      </c>
      <c r="L1055" s="36">
        <v>46065</v>
      </c>
      <c r="M1055" s="36"/>
      <c r="N1055" s="36"/>
      <c r="O1055" s="36"/>
      <c r="P1055" s="36"/>
      <c r="Q1055" s="36"/>
      <c r="R1055" s="35" t="s">
        <v>218</v>
      </c>
      <c r="S1055" s="35" t="s">
        <v>1018</v>
      </c>
      <c r="T1055" s="35" t="s">
        <v>1018</v>
      </c>
      <c r="U1055" s="35" t="s">
        <v>82</v>
      </c>
      <c r="V1055" s="35" t="s">
        <v>226</v>
      </c>
      <c r="W1055" s="35" t="s">
        <v>123</v>
      </c>
      <c r="X1055" s="35">
        <v>-89.44</v>
      </c>
      <c r="Y1055" s="35">
        <v>-16.260000000000002</v>
      </c>
      <c r="Z1055" s="35">
        <v>-16.260000000000002</v>
      </c>
      <c r="AA1055" s="35">
        <v>0</v>
      </c>
      <c r="AB1055" s="35"/>
      <c r="AC1055" s="35">
        <v>0</v>
      </c>
      <c r="AD1055" s="35"/>
      <c r="AE1055" s="35">
        <v>0</v>
      </c>
      <c r="AF1055" s="35"/>
      <c r="AG1055" s="35">
        <v>0</v>
      </c>
      <c r="AH1055" s="35"/>
      <c r="AI1055" s="37">
        <v>0</v>
      </c>
    </row>
    <row r="1056" spans="1:35" x14ac:dyDescent="0.25">
      <c r="A1056" s="38" t="s">
        <v>110</v>
      </c>
      <c r="B1056" s="39" t="s">
        <v>1019</v>
      </c>
      <c r="C1056" s="39" t="s">
        <v>3885</v>
      </c>
      <c r="D1056" s="39">
        <v>32699</v>
      </c>
      <c r="E1056" s="39" t="s">
        <v>3886</v>
      </c>
      <c r="F1056" s="39" t="s">
        <v>3887</v>
      </c>
      <c r="G1056" s="39" t="s">
        <v>174</v>
      </c>
      <c r="H1056" s="39" t="s">
        <v>160</v>
      </c>
      <c r="I1056" s="39" t="s">
        <v>217</v>
      </c>
      <c r="J1056" s="39" t="s">
        <v>141</v>
      </c>
      <c r="K1056" s="40">
        <v>46071</v>
      </c>
      <c r="L1056" s="40">
        <v>46065</v>
      </c>
      <c r="M1056" s="40"/>
      <c r="N1056" s="40"/>
      <c r="O1056" s="40"/>
      <c r="P1056" s="40"/>
      <c r="Q1056" s="40"/>
      <c r="R1056" s="39" t="s">
        <v>218</v>
      </c>
      <c r="S1056" s="39" t="s">
        <v>1018</v>
      </c>
      <c r="T1056" s="39" t="s">
        <v>1018</v>
      </c>
      <c r="U1056" s="35" t="s">
        <v>82</v>
      </c>
      <c r="V1056" s="39" t="s">
        <v>226</v>
      </c>
      <c r="W1056" s="39" t="s">
        <v>123</v>
      </c>
      <c r="X1056" s="39">
        <v>1293.95</v>
      </c>
      <c r="Y1056" s="39">
        <v>235.26</v>
      </c>
      <c r="Z1056" s="39">
        <v>235.26</v>
      </c>
      <c r="AA1056" s="39">
        <v>0</v>
      </c>
      <c r="AB1056" s="39"/>
      <c r="AC1056" s="39">
        <v>0</v>
      </c>
      <c r="AD1056" s="39"/>
      <c r="AE1056" s="39">
        <v>0</v>
      </c>
      <c r="AF1056" s="39"/>
      <c r="AG1056" s="39">
        <v>0</v>
      </c>
      <c r="AH1056" s="39"/>
      <c r="AI1056" s="41">
        <v>0</v>
      </c>
    </row>
    <row r="1057" spans="1:35" x14ac:dyDescent="0.25">
      <c r="A1057" s="34" t="s">
        <v>110</v>
      </c>
      <c r="B1057" s="35" t="s">
        <v>1019</v>
      </c>
      <c r="C1057" s="35" t="s">
        <v>3885</v>
      </c>
      <c r="D1057" s="35">
        <v>32699</v>
      </c>
      <c r="E1057" s="35" t="s">
        <v>3888</v>
      </c>
      <c r="F1057" s="35" t="s">
        <v>3889</v>
      </c>
      <c r="G1057" s="35" t="s">
        <v>174</v>
      </c>
      <c r="H1057" s="35" t="s">
        <v>160</v>
      </c>
      <c r="I1057" s="35" t="s">
        <v>217</v>
      </c>
      <c r="J1057" s="35" t="s">
        <v>141</v>
      </c>
      <c r="K1057" s="36">
        <v>46071</v>
      </c>
      <c r="L1057" s="36">
        <v>46065</v>
      </c>
      <c r="M1057" s="36"/>
      <c r="N1057" s="36"/>
      <c r="O1057" s="36"/>
      <c r="P1057" s="36"/>
      <c r="Q1057" s="36"/>
      <c r="R1057" s="35" t="s">
        <v>218</v>
      </c>
      <c r="S1057" s="35" t="s">
        <v>1018</v>
      </c>
      <c r="T1057" s="35" t="s">
        <v>1018</v>
      </c>
      <c r="U1057" s="35" t="s">
        <v>82</v>
      </c>
      <c r="V1057" s="35" t="s">
        <v>226</v>
      </c>
      <c r="W1057" s="35" t="s">
        <v>123</v>
      </c>
      <c r="X1057" s="35">
        <v>-258.79000000000002</v>
      </c>
      <c r="Y1057" s="35">
        <v>-47.05</v>
      </c>
      <c r="Z1057" s="35">
        <v>-47.05</v>
      </c>
      <c r="AA1057" s="35">
        <v>0</v>
      </c>
      <c r="AB1057" s="35"/>
      <c r="AC1057" s="35">
        <v>0</v>
      </c>
      <c r="AD1057" s="35"/>
      <c r="AE1057" s="35">
        <v>0</v>
      </c>
      <c r="AF1057" s="35"/>
      <c r="AG1057" s="35">
        <v>0</v>
      </c>
      <c r="AH1057" s="35"/>
      <c r="AI1057" s="37">
        <v>0</v>
      </c>
    </row>
    <row r="1058" spans="1:35" x14ac:dyDescent="0.25">
      <c r="A1058" s="38" t="s">
        <v>110</v>
      </c>
      <c r="B1058" s="39" t="s">
        <v>447</v>
      </c>
      <c r="C1058" s="39" t="s">
        <v>3890</v>
      </c>
      <c r="D1058" s="39">
        <v>32700</v>
      </c>
      <c r="E1058" s="39" t="s">
        <v>3891</v>
      </c>
      <c r="F1058" s="39" t="s">
        <v>3892</v>
      </c>
      <c r="G1058" s="39" t="s">
        <v>174</v>
      </c>
      <c r="H1058" s="39" t="s">
        <v>116</v>
      </c>
      <c r="I1058" s="39" t="s">
        <v>117</v>
      </c>
      <c r="J1058" s="39" t="s">
        <v>2195</v>
      </c>
      <c r="K1058" s="40">
        <v>46072</v>
      </c>
      <c r="L1058" s="40">
        <v>46071</v>
      </c>
      <c r="M1058" s="40"/>
      <c r="N1058" s="40"/>
      <c r="O1058" s="40">
        <v>46080</v>
      </c>
      <c r="P1058" s="40"/>
      <c r="Q1058" s="40"/>
      <c r="R1058" s="39" t="s">
        <v>142</v>
      </c>
      <c r="S1058" s="39" t="s">
        <v>487</v>
      </c>
      <c r="T1058" s="39" t="s">
        <v>177</v>
      </c>
      <c r="U1058" s="35" t="s">
        <v>81</v>
      </c>
      <c r="V1058" s="39" t="s">
        <v>163</v>
      </c>
      <c r="W1058" s="39" t="s">
        <v>123</v>
      </c>
      <c r="X1058" s="39">
        <v>46.08</v>
      </c>
      <c r="Y1058" s="39">
        <v>3.69</v>
      </c>
      <c r="Z1058" s="39">
        <v>3.69</v>
      </c>
      <c r="AA1058" s="39">
        <v>0</v>
      </c>
      <c r="AB1058" s="39"/>
      <c r="AC1058" s="39">
        <v>0</v>
      </c>
      <c r="AD1058" s="39"/>
      <c r="AE1058" s="39">
        <v>0</v>
      </c>
      <c r="AF1058" s="39"/>
      <c r="AG1058" s="39">
        <v>0</v>
      </c>
      <c r="AH1058" s="39"/>
      <c r="AI1058" s="41">
        <v>0</v>
      </c>
    </row>
    <row r="1059" spans="1:35" x14ac:dyDescent="0.25">
      <c r="A1059" s="34" t="s">
        <v>110</v>
      </c>
      <c r="B1059" s="35" t="s">
        <v>2404</v>
      </c>
      <c r="C1059" s="35" t="s">
        <v>2427</v>
      </c>
      <c r="D1059" s="35">
        <v>19011</v>
      </c>
      <c r="E1059" s="35" t="s">
        <v>3893</v>
      </c>
      <c r="F1059" s="35" t="s">
        <v>3894</v>
      </c>
      <c r="G1059" s="35" t="s">
        <v>192</v>
      </c>
      <c r="H1059" s="35" t="s">
        <v>160</v>
      </c>
      <c r="I1059" s="35" t="s">
        <v>117</v>
      </c>
      <c r="J1059" s="35" t="s">
        <v>118</v>
      </c>
      <c r="K1059" s="36">
        <v>46072</v>
      </c>
      <c r="L1059" s="36">
        <v>45352</v>
      </c>
      <c r="M1059" s="36">
        <v>46073</v>
      </c>
      <c r="N1059" s="36"/>
      <c r="O1059" s="36"/>
      <c r="P1059" s="36"/>
      <c r="Q1059" s="36">
        <v>46113</v>
      </c>
      <c r="R1059" s="35" t="s">
        <v>142</v>
      </c>
      <c r="S1059" s="35" t="s">
        <v>182</v>
      </c>
      <c r="T1059" s="35" t="s">
        <v>183</v>
      </c>
      <c r="U1059" s="35" t="s">
        <v>90</v>
      </c>
      <c r="V1059" s="35" t="s">
        <v>163</v>
      </c>
      <c r="W1059" s="35" t="s">
        <v>123</v>
      </c>
      <c r="X1059" s="35">
        <v>138.24</v>
      </c>
      <c r="Y1059" s="35">
        <v>27.65</v>
      </c>
      <c r="Z1059" s="35">
        <v>27.65</v>
      </c>
      <c r="AA1059" s="35">
        <v>0</v>
      </c>
      <c r="AB1059" s="35"/>
      <c r="AC1059" s="35">
        <v>0</v>
      </c>
      <c r="AD1059" s="35"/>
      <c r="AE1059" s="35">
        <v>0</v>
      </c>
      <c r="AF1059" s="35"/>
      <c r="AG1059" s="35">
        <v>0</v>
      </c>
      <c r="AH1059" s="35"/>
      <c r="AI1059" s="37">
        <v>0</v>
      </c>
    </row>
    <row r="1060" spans="1:35" x14ac:dyDescent="0.25">
      <c r="A1060" s="38" t="s">
        <v>110</v>
      </c>
      <c r="B1060" s="39" t="s">
        <v>2789</v>
      </c>
      <c r="C1060" s="39" t="s">
        <v>3691</v>
      </c>
      <c r="D1060" s="39">
        <v>32674</v>
      </c>
      <c r="E1060" s="39" t="s">
        <v>3895</v>
      </c>
      <c r="F1060" s="39" t="s">
        <v>3896</v>
      </c>
      <c r="G1060" s="39" t="s">
        <v>192</v>
      </c>
      <c r="H1060" s="39" t="s">
        <v>116</v>
      </c>
      <c r="I1060" s="39" t="s">
        <v>117</v>
      </c>
      <c r="J1060" s="39" t="s">
        <v>118</v>
      </c>
      <c r="K1060" s="40">
        <v>46072</v>
      </c>
      <c r="L1060" s="40">
        <v>46070</v>
      </c>
      <c r="M1060" s="40">
        <v>46077</v>
      </c>
      <c r="N1060" s="40"/>
      <c r="O1060" s="40"/>
      <c r="P1060" s="40"/>
      <c r="Q1060" s="40"/>
      <c r="R1060" s="39" t="s">
        <v>142</v>
      </c>
      <c r="S1060" s="39" t="s">
        <v>543</v>
      </c>
      <c r="T1060" s="39" t="s">
        <v>177</v>
      </c>
      <c r="U1060" s="35" t="s">
        <v>81</v>
      </c>
      <c r="V1060" s="39" t="s">
        <v>509</v>
      </c>
      <c r="W1060" s="39" t="s">
        <v>123</v>
      </c>
      <c r="X1060" s="39">
        <v>210.41</v>
      </c>
      <c r="Y1060" s="39">
        <v>29.46</v>
      </c>
      <c r="Z1060" s="39">
        <v>29.46</v>
      </c>
      <c r="AA1060" s="39">
        <v>0</v>
      </c>
      <c r="AB1060" s="39"/>
      <c r="AC1060" s="39">
        <v>0</v>
      </c>
      <c r="AD1060" s="39"/>
      <c r="AE1060" s="39">
        <v>0</v>
      </c>
      <c r="AF1060" s="39"/>
      <c r="AG1060" s="39">
        <v>0</v>
      </c>
      <c r="AH1060" s="39"/>
      <c r="AI1060" s="41">
        <v>0</v>
      </c>
    </row>
    <row r="1061" spans="1:35" x14ac:dyDescent="0.25">
      <c r="A1061" s="34" t="s">
        <v>110</v>
      </c>
      <c r="B1061" s="35" t="s">
        <v>2812</v>
      </c>
      <c r="C1061" s="35" t="s">
        <v>2841</v>
      </c>
      <c r="D1061" s="35">
        <v>5519</v>
      </c>
      <c r="E1061" s="35" t="s">
        <v>3897</v>
      </c>
      <c r="F1061" s="35" t="s">
        <v>3898</v>
      </c>
      <c r="G1061" s="35" t="s">
        <v>192</v>
      </c>
      <c r="H1061" s="35" t="s">
        <v>160</v>
      </c>
      <c r="I1061" s="35" t="s">
        <v>117</v>
      </c>
      <c r="J1061" s="35" t="s">
        <v>118</v>
      </c>
      <c r="K1061" s="36">
        <v>46072</v>
      </c>
      <c r="L1061" s="36">
        <v>45657</v>
      </c>
      <c r="M1061" s="36">
        <v>46086</v>
      </c>
      <c r="N1061" s="36"/>
      <c r="O1061" s="36"/>
      <c r="P1061" s="36"/>
      <c r="Q1061" s="36"/>
      <c r="R1061" s="35" t="s">
        <v>142</v>
      </c>
      <c r="S1061" s="35" t="s">
        <v>743</v>
      </c>
      <c r="T1061" s="35" t="s">
        <v>744</v>
      </c>
      <c r="U1061" s="35" t="s">
        <v>88</v>
      </c>
      <c r="V1061" s="35" t="s">
        <v>509</v>
      </c>
      <c r="W1061" s="35" t="s">
        <v>123</v>
      </c>
      <c r="X1061" s="35">
        <v>460</v>
      </c>
      <c r="Y1061" s="35">
        <v>92</v>
      </c>
      <c r="Z1061" s="35">
        <v>92</v>
      </c>
      <c r="AA1061" s="35">
        <v>0</v>
      </c>
      <c r="AB1061" s="35"/>
      <c r="AC1061" s="35">
        <v>0</v>
      </c>
      <c r="AD1061" s="35"/>
      <c r="AE1061" s="35">
        <v>0</v>
      </c>
      <c r="AF1061" s="35"/>
      <c r="AG1061" s="35">
        <v>0</v>
      </c>
      <c r="AH1061" s="35"/>
      <c r="AI1061" s="37">
        <v>0</v>
      </c>
    </row>
    <row r="1062" spans="1:35" x14ac:dyDescent="0.25">
      <c r="A1062" s="38" t="s">
        <v>110</v>
      </c>
      <c r="B1062" s="39" t="s">
        <v>1516</v>
      </c>
      <c r="C1062" s="39" t="s">
        <v>1517</v>
      </c>
      <c r="D1062" s="39">
        <v>10056</v>
      </c>
      <c r="E1062" s="39" t="s">
        <v>3899</v>
      </c>
      <c r="F1062" s="39" t="s">
        <v>3900</v>
      </c>
      <c r="G1062" s="39" t="s">
        <v>192</v>
      </c>
      <c r="H1062" s="39" t="s">
        <v>160</v>
      </c>
      <c r="I1062" s="39" t="s">
        <v>117</v>
      </c>
      <c r="J1062" s="39" t="s">
        <v>118</v>
      </c>
      <c r="K1062" s="40">
        <v>46072</v>
      </c>
      <c r="L1062" s="40">
        <v>46068</v>
      </c>
      <c r="M1062" s="40">
        <v>46086</v>
      </c>
      <c r="N1062" s="40"/>
      <c r="O1062" s="40"/>
      <c r="P1062" s="40"/>
      <c r="Q1062" s="40"/>
      <c r="R1062" s="39" t="s">
        <v>175</v>
      </c>
      <c r="S1062" s="39" t="s">
        <v>743</v>
      </c>
      <c r="T1062" s="39" t="s">
        <v>744</v>
      </c>
      <c r="U1062" s="35" t="s">
        <v>88</v>
      </c>
      <c r="V1062" s="39" t="s">
        <v>509</v>
      </c>
      <c r="W1062" s="39" t="s">
        <v>123</v>
      </c>
      <c r="X1062" s="39">
        <v>78.510000000000005</v>
      </c>
      <c r="Y1062" s="39">
        <v>15.71</v>
      </c>
      <c r="Z1062" s="39">
        <v>15.71</v>
      </c>
      <c r="AA1062" s="39">
        <v>0</v>
      </c>
      <c r="AB1062" s="39"/>
      <c r="AC1062" s="39">
        <v>0</v>
      </c>
      <c r="AD1062" s="39"/>
      <c r="AE1062" s="39">
        <v>0</v>
      </c>
      <c r="AF1062" s="39"/>
      <c r="AG1062" s="39">
        <v>0</v>
      </c>
      <c r="AH1062" s="39"/>
      <c r="AI1062" s="41">
        <v>0</v>
      </c>
    </row>
    <row r="1063" spans="1:35" x14ac:dyDescent="0.25">
      <c r="A1063" s="34" t="s">
        <v>110</v>
      </c>
      <c r="B1063" s="35" t="s">
        <v>2458</v>
      </c>
      <c r="C1063" s="35" t="s">
        <v>3901</v>
      </c>
      <c r="D1063" s="35">
        <v>32701</v>
      </c>
      <c r="E1063" s="35" t="s">
        <v>3902</v>
      </c>
      <c r="F1063" s="35" t="s">
        <v>3903</v>
      </c>
      <c r="G1063" s="35" t="s">
        <v>174</v>
      </c>
      <c r="H1063" s="35" t="s">
        <v>160</v>
      </c>
      <c r="I1063" s="35" t="s">
        <v>217</v>
      </c>
      <c r="J1063" s="35" t="s">
        <v>118</v>
      </c>
      <c r="K1063" s="36">
        <v>46072</v>
      </c>
      <c r="L1063" s="36">
        <v>46071</v>
      </c>
      <c r="M1063" s="36">
        <v>46072</v>
      </c>
      <c r="N1063" s="36"/>
      <c r="O1063" s="36"/>
      <c r="P1063" s="36">
        <v>46082</v>
      </c>
      <c r="Q1063" s="36"/>
      <c r="R1063" s="35" t="s">
        <v>218</v>
      </c>
      <c r="S1063" s="35" t="s">
        <v>1018</v>
      </c>
      <c r="T1063" s="35" t="s">
        <v>1018</v>
      </c>
      <c r="U1063" s="35" t="s">
        <v>82</v>
      </c>
      <c r="V1063" s="35" t="s">
        <v>226</v>
      </c>
      <c r="W1063" s="35" t="s">
        <v>123</v>
      </c>
      <c r="X1063" s="35">
        <v>2635.23</v>
      </c>
      <c r="Y1063" s="35">
        <v>479.14</v>
      </c>
      <c r="Z1063" s="35">
        <v>479.14</v>
      </c>
      <c r="AA1063" s="35">
        <v>0</v>
      </c>
      <c r="AB1063" s="35"/>
      <c r="AC1063" s="35">
        <v>0</v>
      </c>
      <c r="AD1063" s="35" t="s">
        <v>387</v>
      </c>
      <c r="AE1063" s="35">
        <v>263.52</v>
      </c>
      <c r="AF1063" s="35"/>
      <c r="AG1063" s="35">
        <v>0</v>
      </c>
      <c r="AH1063" s="35"/>
      <c r="AI1063" s="37">
        <v>0</v>
      </c>
    </row>
    <row r="1064" spans="1:35" x14ac:dyDescent="0.25">
      <c r="A1064" s="38" t="s">
        <v>110</v>
      </c>
      <c r="B1064" s="39" t="s">
        <v>1323</v>
      </c>
      <c r="C1064" s="39" t="s">
        <v>3904</v>
      </c>
      <c r="D1064" s="39">
        <v>32702</v>
      </c>
      <c r="E1064" s="39" t="s">
        <v>3905</v>
      </c>
      <c r="F1064" s="39" t="s">
        <v>3906</v>
      </c>
      <c r="G1064" s="39" t="s">
        <v>174</v>
      </c>
      <c r="H1064" s="39" t="s">
        <v>160</v>
      </c>
      <c r="I1064" s="39" t="s">
        <v>217</v>
      </c>
      <c r="J1064" s="39" t="s">
        <v>118</v>
      </c>
      <c r="K1064" s="40">
        <v>46072</v>
      </c>
      <c r="L1064" s="40">
        <v>46071</v>
      </c>
      <c r="M1064" s="40">
        <v>46087</v>
      </c>
      <c r="N1064" s="40"/>
      <c r="O1064" s="40"/>
      <c r="P1064" s="40"/>
      <c r="Q1064" s="40"/>
      <c r="R1064" s="39" t="s">
        <v>218</v>
      </c>
      <c r="S1064" s="39" t="s">
        <v>1018</v>
      </c>
      <c r="T1064" s="39" t="s">
        <v>1018</v>
      </c>
      <c r="U1064" s="35" t="s">
        <v>82</v>
      </c>
      <c r="V1064" s="39" t="s">
        <v>226</v>
      </c>
      <c r="W1064" s="39" t="s">
        <v>123</v>
      </c>
      <c r="X1064" s="39">
        <v>1582.8</v>
      </c>
      <c r="Y1064" s="39">
        <v>287.77999999999997</v>
      </c>
      <c r="Z1064" s="39">
        <v>287.77999999999997</v>
      </c>
      <c r="AA1064" s="39">
        <v>0</v>
      </c>
      <c r="AB1064" s="39"/>
      <c r="AC1064" s="39">
        <v>0</v>
      </c>
      <c r="AD1064" s="39"/>
      <c r="AE1064" s="39">
        <v>0</v>
      </c>
      <c r="AF1064" s="39"/>
      <c r="AG1064" s="39">
        <v>0</v>
      </c>
      <c r="AH1064" s="39"/>
      <c r="AI1064" s="41">
        <v>0</v>
      </c>
    </row>
    <row r="1065" spans="1:35" x14ac:dyDescent="0.25">
      <c r="A1065" s="34" t="s">
        <v>110</v>
      </c>
      <c r="B1065" s="35" t="s">
        <v>1323</v>
      </c>
      <c r="C1065" s="35" t="s">
        <v>3907</v>
      </c>
      <c r="D1065" s="35">
        <v>32703</v>
      </c>
      <c r="E1065" s="35" t="s">
        <v>3908</v>
      </c>
      <c r="F1065" s="35" t="s">
        <v>3909</v>
      </c>
      <c r="G1065" s="35" t="s">
        <v>174</v>
      </c>
      <c r="H1065" s="35" t="s">
        <v>160</v>
      </c>
      <c r="I1065" s="35" t="s">
        <v>217</v>
      </c>
      <c r="J1065" s="35" t="s">
        <v>141</v>
      </c>
      <c r="K1065" s="36">
        <v>46072</v>
      </c>
      <c r="L1065" s="36">
        <v>46071</v>
      </c>
      <c r="M1065" s="36"/>
      <c r="N1065" s="36"/>
      <c r="O1065" s="36"/>
      <c r="P1065" s="36"/>
      <c r="Q1065" s="36"/>
      <c r="R1065" s="35" t="s">
        <v>218</v>
      </c>
      <c r="S1065" s="35" t="s">
        <v>1018</v>
      </c>
      <c r="T1065" s="35" t="s">
        <v>1018</v>
      </c>
      <c r="U1065" s="35" t="s">
        <v>82</v>
      </c>
      <c r="V1065" s="35" t="s">
        <v>226</v>
      </c>
      <c r="W1065" s="35" t="s">
        <v>123</v>
      </c>
      <c r="X1065" s="35">
        <v>5662.96</v>
      </c>
      <c r="Y1065" s="35">
        <v>1029.6199999999999</v>
      </c>
      <c r="Z1065" s="35">
        <v>1029.6199999999999</v>
      </c>
      <c r="AA1065" s="35">
        <v>0</v>
      </c>
      <c r="AB1065" s="35"/>
      <c r="AC1065" s="35">
        <v>0</v>
      </c>
      <c r="AD1065" s="35"/>
      <c r="AE1065" s="35">
        <v>0</v>
      </c>
      <c r="AF1065" s="35"/>
      <c r="AG1065" s="35">
        <v>0</v>
      </c>
      <c r="AH1065" s="35"/>
      <c r="AI1065" s="37">
        <v>0</v>
      </c>
    </row>
    <row r="1066" spans="1:35" x14ac:dyDescent="0.25">
      <c r="A1066" s="38" t="s">
        <v>110</v>
      </c>
      <c r="B1066" s="39" t="s">
        <v>3910</v>
      </c>
      <c r="C1066" s="39" t="s">
        <v>3911</v>
      </c>
      <c r="D1066" s="39">
        <v>32694</v>
      </c>
      <c r="E1066" s="39" t="s">
        <v>3912</v>
      </c>
      <c r="F1066" s="39" t="s">
        <v>3913</v>
      </c>
      <c r="G1066" s="39" t="s">
        <v>174</v>
      </c>
      <c r="H1066" s="39" t="s">
        <v>160</v>
      </c>
      <c r="I1066" s="39" t="s">
        <v>217</v>
      </c>
      <c r="J1066" s="39" t="s">
        <v>141</v>
      </c>
      <c r="K1066" s="40">
        <v>46072</v>
      </c>
      <c r="L1066" s="40">
        <v>46070</v>
      </c>
      <c r="M1066" s="40"/>
      <c r="N1066" s="40"/>
      <c r="O1066" s="40"/>
      <c r="P1066" s="40"/>
      <c r="Q1066" s="40"/>
      <c r="R1066" s="39" t="s">
        <v>218</v>
      </c>
      <c r="S1066" s="39" t="s">
        <v>1018</v>
      </c>
      <c r="T1066" s="39" t="s">
        <v>1018</v>
      </c>
      <c r="U1066" s="35" t="s">
        <v>82</v>
      </c>
      <c r="V1066" s="39" t="s">
        <v>226</v>
      </c>
      <c r="W1066" s="39" t="s">
        <v>123</v>
      </c>
      <c r="X1066" s="39">
        <v>4530.9799999999996</v>
      </c>
      <c r="Y1066" s="39">
        <v>823.82</v>
      </c>
      <c r="Z1066" s="39">
        <v>823.82</v>
      </c>
      <c r="AA1066" s="39">
        <v>0</v>
      </c>
      <c r="AB1066" s="39"/>
      <c r="AC1066" s="39">
        <v>0</v>
      </c>
      <c r="AD1066" s="39"/>
      <c r="AE1066" s="39">
        <v>0</v>
      </c>
      <c r="AF1066" s="39"/>
      <c r="AG1066" s="39">
        <v>0</v>
      </c>
      <c r="AH1066" s="39"/>
      <c r="AI1066" s="41">
        <v>0</v>
      </c>
    </row>
    <row r="1067" spans="1:35" x14ac:dyDescent="0.25">
      <c r="A1067" s="34" t="s">
        <v>110</v>
      </c>
      <c r="B1067" s="35" t="s">
        <v>3910</v>
      </c>
      <c r="C1067" s="35" t="s">
        <v>3911</v>
      </c>
      <c r="D1067" s="35">
        <v>32694</v>
      </c>
      <c r="E1067" s="35" t="s">
        <v>3914</v>
      </c>
      <c r="F1067" s="35" t="s">
        <v>3915</v>
      </c>
      <c r="G1067" s="35" t="s">
        <v>174</v>
      </c>
      <c r="H1067" s="35" t="s">
        <v>160</v>
      </c>
      <c r="I1067" s="35" t="s">
        <v>217</v>
      </c>
      <c r="J1067" s="35" t="s">
        <v>141</v>
      </c>
      <c r="K1067" s="36">
        <v>46072</v>
      </c>
      <c r="L1067" s="36">
        <v>46070</v>
      </c>
      <c r="M1067" s="36"/>
      <c r="N1067" s="36"/>
      <c r="O1067" s="36"/>
      <c r="P1067" s="36"/>
      <c r="Q1067" s="36"/>
      <c r="R1067" s="35" t="s">
        <v>218</v>
      </c>
      <c r="S1067" s="35" t="s">
        <v>1018</v>
      </c>
      <c r="T1067" s="35" t="s">
        <v>1018</v>
      </c>
      <c r="U1067" s="35" t="s">
        <v>82</v>
      </c>
      <c r="V1067" s="35" t="s">
        <v>226</v>
      </c>
      <c r="W1067" s="35" t="s">
        <v>123</v>
      </c>
      <c r="X1067" s="35">
        <v>4530.9799999999996</v>
      </c>
      <c r="Y1067" s="35">
        <v>823.82</v>
      </c>
      <c r="Z1067" s="35">
        <v>823.82</v>
      </c>
      <c r="AA1067" s="35">
        <v>0</v>
      </c>
      <c r="AB1067" s="35"/>
      <c r="AC1067" s="35">
        <v>0</v>
      </c>
      <c r="AD1067" s="35"/>
      <c r="AE1067" s="35">
        <v>0</v>
      </c>
      <c r="AF1067" s="35"/>
      <c r="AG1067" s="35">
        <v>0</v>
      </c>
      <c r="AH1067" s="35"/>
      <c r="AI1067" s="37">
        <v>0</v>
      </c>
    </row>
    <row r="1068" spans="1:35" x14ac:dyDescent="0.25">
      <c r="A1068" s="38" t="s">
        <v>110</v>
      </c>
      <c r="B1068" s="39" t="s">
        <v>1323</v>
      </c>
      <c r="C1068" s="39" t="s">
        <v>3916</v>
      </c>
      <c r="D1068" s="39">
        <v>32704</v>
      </c>
      <c r="E1068" s="39" t="s">
        <v>3917</v>
      </c>
      <c r="F1068" s="39" t="s">
        <v>3918</v>
      </c>
      <c r="G1068" s="39" t="s">
        <v>174</v>
      </c>
      <c r="H1068" s="39" t="s">
        <v>160</v>
      </c>
      <c r="I1068" s="39" t="s">
        <v>217</v>
      </c>
      <c r="J1068" s="39" t="s">
        <v>118</v>
      </c>
      <c r="K1068" s="40">
        <v>46072</v>
      </c>
      <c r="L1068" s="40">
        <v>46071</v>
      </c>
      <c r="M1068" s="40">
        <v>46076</v>
      </c>
      <c r="N1068" s="40"/>
      <c r="O1068" s="40"/>
      <c r="P1068" s="40"/>
      <c r="Q1068" s="40"/>
      <c r="R1068" s="39" t="s">
        <v>218</v>
      </c>
      <c r="S1068" s="39" t="s">
        <v>1018</v>
      </c>
      <c r="T1068" s="39" t="s">
        <v>1018</v>
      </c>
      <c r="U1068" s="35" t="s">
        <v>82</v>
      </c>
      <c r="V1068" s="39" t="s">
        <v>226</v>
      </c>
      <c r="W1068" s="39" t="s">
        <v>123</v>
      </c>
      <c r="X1068" s="39">
        <v>3195.56</v>
      </c>
      <c r="Y1068" s="39">
        <v>581.01</v>
      </c>
      <c r="Z1068" s="39">
        <v>581.01</v>
      </c>
      <c r="AA1068" s="39">
        <v>0</v>
      </c>
      <c r="AB1068" s="39"/>
      <c r="AC1068" s="39">
        <v>0</v>
      </c>
      <c r="AD1068" s="39"/>
      <c r="AE1068" s="39">
        <v>0</v>
      </c>
      <c r="AF1068" s="39"/>
      <c r="AG1068" s="39">
        <v>0</v>
      </c>
      <c r="AH1068" s="39"/>
      <c r="AI1068" s="41">
        <v>0</v>
      </c>
    </row>
    <row r="1069" spans="1:35" x14ac:dyDescent="0.25">
      <c r="A1069" s="34" t="s">
        <v>110</v>
      </c>
      <c r="B1069" s="35" t="s">
        <v>3919</v>
      </c>
      <c r="C1069" s="35" t="s">
        <v>3920</v>
      </c>
      <c r="D1069" s="35">
        <v>32705</v>
      </c>
      <c r="E1069" s="35" t="s">
        <v>3921</v>
      </c>
      <c r="F1069" s="35" t="s">
        <v>3922</v>
      </c>
      <c r="G1069" s="35" t="s">
        <v>174</v>
      </c>
      <c r="H1069" s="35" t="s">
        <v>160</v>
      </c>
      <c r="I1069" s="35" t="s">
        <v>217</v>
      </c>
      <c r="J1069" s="35" t="s">
        <v>118</v>
      </c>
      <c r="K1069" s="36">
        <v>46072</v>
      </c>
      <c r="L1069" s="36">
        <v>46072</v>
      </c>
      <c r="M1069" s="36">
        <v>46085</v>
      </c>
      <c r="N1069" s="36"/>
      <c r="O1069" s="36"/>
      <c r="P1069" s="36"/>
      <c r="Q1069" s="36"/>
      <c r="R1069" s="35" t="s">
        <v>218</v>
      </c>
      <c r="S1069" s="35" t="s">
        <v>225</v>
      </c>
      <c r="T1069" s="35" t="s">
        <v>225</v>
      </c>
      <c r="U1069" s="35" t="s">
        <v>88</v>
      </c>
      <c r="V1069" s="35" t="s">
        <v>226</v>
      </c>
      <c r="W1069" s="35" t="s">
        <v>123</v>
      </c>
      <c r="X1069" s="35">
        <v>508.55</v>
      </c>
      <c r="Y1069" s="35">
        <v>92.46</v>
      </c>
      <c r="Z1069" s="35">
        <v>92.46</v>
      </c>
      <c r="AA1069" s="35">
        <v>0</v>
      </c>
      <c r="AB1069" s="35"/>
      <c r="AC1069" s="35">
        <v>0</v>
      </c>
      <c r="AD1069" s="35"/>
      <c r="AE1069" s="35">
        <v>0</v>
      </c>
      <c r="AF1069" s="35"/>
      <c r="AG1069" s="35">
        <v>0</v>
      </c>
      <c r="AH1069" s="35"/>
      <c r="AI1069" s="37">
        <v>0</v>
      </c>
    </row>
    <row r="1070" spans="1:35" x14ac:dyDescent="0.25">
      <c r="A1070" s="38" t="s">
        <v>110</v>
      </c>
      <c r="B1070" s="39" t="s">
        <v>3129</v>
      </c>
      <c r="C1070" s="39" t="s">
        <v>3923</v>
      </c>
      <c r="D1070" s="39">
        <v>32706</v>
      </c>
      <c r="E1070" s="39"/>
      <c r="F1070" s="39" t="s">
        <v>3924</v>
      </c>
      <c r="G1070" s="39" t="s">
        <v>174</v>
      </c>
      <c r="H1070" s="39" t="s">
        <v>160</v>
      </c>
      <c r="I1070" s="39" t="s">
        <v>117</v>
      </c>
      <c r="J1070" s="39" t="s">
        <v>118</v>
      </c>
      <c r="K1070" s="40">
        <v>46072</v>
      </c>
      <c r="L1070" s="40">
        <v>46072</v>
      </c>
      <c r="M1070" s="40">
        <v>46086</v>
      </c>
      <c r="N1070" s="40"/>
      <c r="O1070" s="40"/>
      <c r="P1070" s="40"/>
      <c r="Q1070" s="40"/>
      <c r="R1070" s="39" t="s">
        <v>142</v>
      </c>
      <c r="S1070" s="39" t="s">
        <v>1343</v>
      </c>
      <c r="T1070" s="39" t="s">
        <v>1339</v>
      </c>
      <c r="U1070" s="35" t="s">
        <v>84</v>
      </c>
      <c r="V1070" s="39" t="s">
        <v>699</v>
      </c>
      <c r="W1070" s="39" t="s">
        <v>123</v>
      </c>
      <c r="X1070" s="39">
        <v>1296</v>
      </c>
      <c r="Y1070" s="39">
        <v>259.2</v>
      </c>
      <c r="Z1070" s="39">
        <v>259.2</v>
      </c>
      <c r="AA1070" s="39">
        <v>0</v>
      </c>
      <c r="AB1070" s="39"/>
      <c r="AC1070" s="39">
        <v>0</v>
      </c>
      <c r="AD1070" s="39"/>
      <c r="AE1070" s="39">
        <v>0</v>
      </c>
      <c r="AF1070" s="39"/>
      <c r="AG1070" s="39">
        <v>0</v>
      </c>
      <c r="AH1070" s="39"/>
      <c r="AI1070" s="41">
        <v>0</v>
      </c>
    </row>
    <row r="1071" spans="1:35" x14ac:dyDescent="0.25">
      <c r="A1071" s="34" t="s">
        <v>110</v>
      </c>
      <c r="B1071" s="35" t="s">
        <v>2432</v>
      </c>
      <c r="C1071" s="35" t="s">
        <v>2433</v>
      </c>
      <c r="D1071" s="35">
        <v>27650</v>
      </c>
      <c r="E1071" s="35" t="s">
        <v>3925</v>
      </c>
      <c r="F1071" s="35" t="s">
        <v>3926</v>
      </c>
      <c r="G1071" s="35" t="s">
        <v>192</v>
      </c>
      <c r="H1071" s="35" t="s">
        <v>160</v>
      </c>
      <c r="I1071" s="35" t="s">
        <v>117</v>
      </c>
      <c r="J1071" s="35" t="s">
        <v>118</v>
      </c>
      <c r="K1071" s="36">
        <v>46075</v>
      </c>
      <c r="L1071" s="36">
        <v>46082</v>
      </c>
      <c r="M1071" s="36">
        <v>46083</v>
      </c>
      <c r="N1071" s="36"/>
      <c r="O1071" s="36"/>
      <c r="P1071" s="36"/>
      <c r="Q1071" s="36"/>
      <c r="R1071" s="35" t="s">
        <v>142</v>
      </c>
      <c r="S1071" s="35" t="s">
        <v>697</v>
      </c>
      <c r="T1071" s="35" t="s">
        <v>698</v>
      </c>
      <c r="U1071" s="35" t="s">
        <v>88</v>
      </c>
      <c r="V1071" s="35" t="s">
        <v>699</v>
      </c>
      <c r="W1071" s="35" t="s">
        <v>123</v>
      </c>
      <c r="X1071" s="35">
        <v>436.22</v>
      </c>
      <c r="Y1071" s="35">
        <v>109.06</v>
      </c>
      <c r="Z1071" s="35">
        <v>109.06</v>
      </c>
      <c r="AA1071" s="35">
        <v>0</v>
      </c>
      <c r="AB1071" s="35"/>
      <c r="AC1071" s="35">
        <v>0</v>
      </c>
      <c r="AD1071" s="35"/>
      <c r="AE1071" s="35">
        <v>0</v>
      </c>
      <c r="AF1071" s="35"/>
      <c r="AG1071" s="35">
        <v>0</v>
      </c>
      <c r="AH1071" s="35"/>
      <c r="AI1071" s="37">
        <v>0</v>
      </c>
    </row>
    <row r="1072" spans="1:35" x14ac:dyDescent="0.25">
      <c r="A1072" s="38" t="s">
        <v>110</v>
      </c>
      <c r="B1072" s="39" t="s">
        <v>521</v>
      </c>
      <c r="C1072" s="39" t="s">
        <v>2422</v>
      </c>
      <c r="D1072" s="39">
        <v>16821</v>
      </c>
      <c r="E1072" s="39" t="s">
        <v>3927</v>
      </c>
      <c r="F1072" s="39" t="s">
        <v>3928</v>
      </c>
      <c r="G1072" s="39" t="s">
        <v>174</v>
      </c>
      <c r="H1072" s="39" t="s">
        <v>160</v>
      </c>
      <c r="I1072" s="39" t="s">
        <v>217</v>
      </c>
      <c r="J1072" s="39" t="s">
        <v>118</v>
      </c>
      <c r="K1072" s="40">
        <v>46075</v>
      </c>
      <c r="L1072" s="40">
        <v>45658</v>
      </c>
      <c r="M1072" s="40">
        <v>46087</v>
      </c>
      <c r="N1072" s="40"/>
      <c r="O1072" s="40"/>
      <c r="P1072" s="40"/>
      <c r="Q1072" s="40"/>
      <c r="R1072" s="39" t="s">
        <v>218</v>
      </c>
      <c r="S1072" s="39" t="s">
        <v>225</v>
      </c>
      <c r="T1072" s="39" t="s">
        <v>225</v>
      </c>
      <c r="U1072" s="35" t="s">
        <v>88</v>
      </c>
      <c r="V1072" s="39" t="s">
        <v>226</v>
      </c>
      <c r="W1072" s="39" t="s">
        <v>123</v>
      </c>
      <c r="X1072" s="39">
        <v>-6361.03</v>
      </c>
      <c r="Y1072" s="39">
        <v>-1156.55</v>
      </c>
      <c r="Z1072" s="39">
        <v>-1156.55</v>
      </c>
      <c r="AA1072" s="39">
        <v>0</v>
      </c>
      <c r="AB1072" s="39"/>
      <c r="AC1072" s="39">
        <v>0</v>
      </c>
      <c r="AD1072" s="39"/>
      <c r="AE1072" s="39">
        <v>0</v>
      </c>
      <c r="AF1072" s="39"/>
      <c r="AG1072" s="39">
        <v>0</v>
      </c>
      <c r="AH1072" s="39"/>
      <c r="AI1072" s="41">
        <v>0</v>
      </c>
    </row>
    <row r="1073" spans="1:35" x14ac:dyDescent="0.25">
      <c r="A1073" s="34" t="s">
        <v>110</v>
      </c>
      <c r="B1073" s="35" t="s">
        <v>2710</v>
      </c>
      <c r="C1073" s="35" t="s">
        <v>2711</v>
      </c>
      <c r="D1073" s="35">
        <v>26175</v>
      </c>
      <c r="E1073" s="35" t="s">
        <v>3929</v>
      </c>
      <c r="F1073" s="35" t="s">
        <v>3930</v>
      </c>
      <c r="G1073" s="35" t="s">
        <v>174</v>
      </c>
      <c r="H1073" s="35" t="s">
        <v>160</v>
      </c>
      <c r="I1073" s="35" t="s">
        <v>217</v>
      </c>
      <c r="J1073" s="35" t="s">
        <v>141</v>
      </c>
      <c r="K1073" s="36">
        <v>46075</v>
      </c>
      <c r="L1073" s="36">
        <v>46105</v>
      </c>
      <c r="M1073" s="36"/>
      <c r="N1073" s="36"/>
      <c r="O1073" s="36"/>
      <c r="P1073" s="36"/>
      <c r="Q1073" s="36"/>
      <c r="R1073" s="35" t="s">
        <v>218</v>
      </c>
      <c r="S1073" s="35" t="s">
        <v>225</v>
      </c>
      <c r="T1073" s="35" t="s">
        <v>225</v>
      </c>
      <c r="U1073" s="35" t="s">
        <v>88</v>
      </c>
      <c r="V1073" s="35" t="s">
        <v>226</v>
      </c>
      <c r="W1073" s="35" t="s">
        <v>123</v>
      </c>
      <c r="X1073" s="35">
        <v>508.55</v>
      </c>
      <c r="Y1073" s="35">
        <v>457.54</v>
      </c>
      <c r="Z1073" s="35">
        <v>457.54</v>
      </c>
      <c r="AA1073" s="35">
        <v>0</v>
      </c>
      <c r="AB1073" s="35"/>
      <c r="AC1073" s="35">
        <v>0</v>
      </c>
      <c r="AD1073" s="35"/>
      <c r="AE1073" s="35">
        <v>0</v>
      </c>
      <c r="AF1073" s="35"/>
      <c r="AG1073" s="35">
        <v>0</v>
      </c>
      <c r="AH1073" s="35"/>
      <c r="AI1073" s="37">
        <v>0</v>
      </c>
    </row>
    <row r="1074" spans="1:35" x14ac:dyDescent="0.25">
      <c r="A1074" s="38" t="s">
        <v>110</v>
      </c>
      <c r="B1074" s="39" t="s">
        <v>2880</v>
      </c>
      <c r="C1074" s="39" t="s">
        <v>2881</v>
      </c>
      <c r="D1074" s="39">
        <v>30519</v>
      </c>
      <c r="E1074" s="39" t="s">
        <v>3931</v>
      </c>
      <c r="F1074" s="39" t="s">
        <v>3932</v>
      </c>
      <c r="G1074" s="39" t="s">
        <v>174</v>
      </c>
      <c r="H1074" s="39" t="s">
        <v>160</v>
      </c>
      <c r="I1074" s="39" t="s">
        <v>217</v>
      </c>
      <c r="J1074" s="39" t="s">
        <v>118</v>
      </c>
      <c r="K1074" s="40">
        <v>46075</v>
      </c>
      <c r="L1074" s="40">
        <v>45681</v>
      </c>
      <c r="M1074" s="40">
        <v>46087</v>
      </c>
      <c r="N1074" s="40"/>
      <c r="O1074" s="40"/>
      <c r="P1074" s="40"/>
      <c r="Q1074" s="40"/>
      <c r="R1074" s="39" t="s">
        <v>218</v>
      </c>
      <c r="S1074" s="39" t="s">
        <v>1018</v>
      </c>
      <c r="T1074" s="39" t="s">
        <v>1018</v>
      </c>
      <c r="U1074" s="35" t="s">
        <v>82</v>
      </c>
      <c r="V1074" s="39" t="s">
        <v>226</v>
      </c>
      <c r="W1074" s="39" t="s">
        <v>123</v>
      </c>
      <c r="X1074" s="39">
        <v>576.97</v>
      </c>
      <c r="Y1074" s="39">
        <v>104.9</v>
      </c>
      <c r="Z1074" s="39">
        <v>104.9</v>
      </c>
      <c r="AA1074" s="39">
        <v>0</v>
      </c>
      <c r="AB1074" s="39"/>
      <c r="AC1074" s="39">
        <v>0</v>
      </c>
      <c r="AD1074" s="39"/>
      <c r="AE1074" s="39">
        <v>0</v>
      </c>
      <c r="AF1074" s="39"/>
      <c r="AG1074" s="39">
        <v>0</v>
      </c>
      <c r="AH1074" s="39"/>
      <c r="AI1074" s="41">
        <v>0</v>
      </c>
    </row>
    <row r="1075" spans="1:35" x14ac:dyDescent="0.25">
      <c r="A1075" s="34" t="s">
        <v>110</v>
      </c>
      <c r="B1075" s="35" t="s">
        <v>1014</v>
      </c>
      <c r="C1075" s="35" t="s">
        <v>2876</v>
      </c>
      <c r="D1075" s="35">
        <v>30401</v>
      </c>
      <c r="E1075" s="35" t="s">
        <v>3933</v>
      </c>
      <c r="F1075" s="35" t="s">
        <v>3934</v>
      </c>
      <c r="G1075" s="35" t="s">
        <v>174</v>
      </c>
      <c r="H1075" s="35" t="s">
        <v>160</v>
      </c>
      <c r="I1075" s="35" t="s">
        <v>217</v>
      </c>
      <c r="J1075" s="35" t="s">
        <v>118</v>
      </c>
      <c r="K1075" s="36">
        <v>46075</v>
      </c>
      <c r="L1075" s="36">
        <v>45665</v>
      </c>
      <c r="M1075" s="36">
        <v>46087</v>
      </c>
      <c r="N1075" s="36"/>
      <c r="O1075" s="36"/>
      <c r="P1075" s="36"/>
      <c r="Q1075" s="36"/>
      <c r="R1075" s="35" t="s">
        <v>218</v>
      </c>
      <c r="S1075" s="35" t="s">
        <v>1018</v>
      </c>
      <c r="T1075" s="35" t="s">
        <v>1018</v>
      </c>
      <c r="U1075" s="35" t="s">
        <v>82</v>
      </c>
      <c r="V1075" s="35" t="s">
        <v>226</v>
      </c>
      <c r="W1075" s="35" t="s">
        <v>123</v>
      </c>
      <c r="X1075" s="35">
        <v>-8333.3700000000008</v>
      </c>
      <c r="Y1075" s="35">
        <v>-1515.16</v>
      </c>
      <c r="Z1075" s="35">
        <v>-1515.16</v>
      </c>
      <c r="AA1075" s="35">
        <v>0</v>
      </c>
      <c r="AB1075" s="35"/>
      <c r="AC1075" s="35">
        <v>0</v>
      </c>
      <c r="AD1075" s="35"/>
      <c r="AE1075" s="35">
        <v>0</v>
      </c>
      <c r="AF1075" s="35"/>
      <c r="AG1075" s="35">
        <v>0</v>
      </c>
      <c r="AH1075" s="35"/>
      <c r="AI1075" s="37">
        <v>0</v>
      </c>
    </row>
    <row r="1076" spans="1:35" x14ac:dyDescent="0.25">
      <c r="A1076" s="38" t="s">
        <v>110</v>
      </c>
      <c r="B1076" s="39" t="s">
        <v>2890</v>
      </c>
      <c r="C1076" s="39" t="s">
        <v>2891</v>
      </c>
      <c r="D1076" s="39">
        <v>30642</v>
      </c>
      <c r="E1076" s="39" t="s">
        <v>3935</v>
      </c>
      <c r="F1076" s="39" t="s">
        <v>3936</v>
      </c>
      <c r="G1076" s="39" t="s">
        <v>174</v>
      </c>
      <c r="H1076" s="39" t="s">
        <v>160</v>
      </c>
      <c r="I1076" s="39" t="s">
        <v>217</v>
      </c>
      <c r="J1076" s="39" t="s">
        <v>118</v>
      </c>
      <c r="K1076" s="40">
        <v>46075</v>
      </c>
      <c r="L1076" s="40">
        <v>46082</v>
      </c>
      <c r="M1076" s="40">
        <v>46083</v>
      </c>
      <c r="N1076" s="40"/>
      <c r="O1076" s="40"/>
      <c r="P1076" s="40"/>
      <c r="Q1076" s="40"/>
      <c r="R1076" s="39" t="s">
        <v>218</v>
      </c>
      <c r="S1076" s="39" t="s">
        <v>225</v>
      </c>
      <c r="T1076" s="39" t="s">
        <v>225</v>
      </c>
      <c r="U1076" s="35" t="s">
        <v>88</v>
      </c>
      <c r="V1076" s="39" t="s">
        <v>226</v>
      </c>
      <c r="W1076" s="39" t="s">
        <v>123</v>
      </c>
      <c r="X1076" s="39">
        <v>739.71</v>
      </c>
      <c r="Y1076" s="39">
        <v>134.5</v>
      </c>
      <c r="Z1076" s="39">
        <v>134.5</v>
      </c>
      <c r="AA1076" s="39">
        <v>0</v>
      </c>
      <c r="AB1076" s="39"/>
      <c r="AC1076" s="39">
        <v>0</v>
      </c>
      <c r="AD1076" s="39" t="s">
        <v>308</v>
      </c>
      <c r="AE1076" s="39">
        <v>73.97</v>
      </c>
      <c r="AF1076" s="39"/>
      <c r="AG1076" s="39">
        <v>0</v>
      </c>
      <c r="AH1076" s="39"/>
      <c r="AI1076" s="41">
        <v>0</v>
      </c>
    </row>
    <row r="1077" spans="1:35" x14ac:dyDescent="0.25">
      <c r="A1077" s="34" t="s">
        <v>110</v>
      </c>
      <c r="B1077" s="35" t="s">
        <v>304</v>
      </c>
      <c r="C1077" s="35" t="s">
        <v>305</v>
      </c>
      <c r="D1077" s="35">
        <v>30941</v>
      </c>
      <c r="E1077" s="35" t="s">
        <v>3937</v>
      </c>
      <c r="F1077" s="35" t="s">
        <v>3938</v>
      </c>
      <c r="G1077" s="35" t="s">
        <v>174</v>
      </c>
      <c r="H1077" s="35" t="s">
        <v>160</v>
      </c>
      <c r="I1077" s="35" t="s">
        <v>217</v>
      </c>
      <c r="J1077" s="35" t="s">
        <v>141</v>
      </c>
      <c r="K1077" s="36">
        <v>46075</v>
      </c>
      <c r="L1077" s="36">
        <v>46120</v>
      </c>
      <c r="M1077" s="36"/>
      <c r="N1077" s="36"/>
      <c r="O1077" s="36"/>
      <c r="P1077" s="36"/>
      <c r="Q1077" s="36"/>
      <c r="R1077" s="35" t="s">
        <v>218</v>
      </c>
      <c r="S1077" s="35" t="s">
        <v>225</v>
      </c>
      <c r="T1077" s="35" t="s">
        <v>225</v>
      </c>
      <c r="U1077" s="35" t="s">
        <v>88</v>
      </c>
      <c r="V1077" s="35" t="s">
        <v>226</v>
      </c>
      <c r="W1077" s="35" t="s">
        <v>123</v>
      </c>
      <c r="X1077" s="35">
        <v>1085</v>
      </c>
      <c r="Y1077" s="35">
        <v>197.28</v>
      </c>
      <c r="Z1077" s="35">
        <v>197.28</v>
      </c>
      <c r="AA1077" s="35">
        <v>0</v>
      </c>
      <c r="AB1077" s="35"/>
      <c r="AC1077" s="35">
        <v>0</v>
      </c>
      <c r="AD1077" s="35" t="s">
        <v>308</v>
      </c>
      <c r="AE1077" s="35">
        <v>108.5</v>
      </c>
      <c r="AF1077" s="35"/>
      <c r="AG1077" s="35">
        <v>0</v>
      </c>
      <c r="AH1077" s="35"/>
      <c r="AI1077" s="37">
        <v>0</v>
      </c>
    </row>
    <row r="1078" spans="1:35" x14ac:dyDescent="0.25">
      <c r="A1078" s="38" t="s">
        <v>110</v>
      </c>
      <c r="B1078" s="39" t="s">
        <v>304</v>
      </c>
      <c r="C1078" s="39" t="s">
        <v>305</v>
      </c>
      <c r="D1078" s="39">
        <v>30941</v>
      </c>
      <c r="E1078" s="39" t="s">
        <v>3939</v>
      </c>
      <c r="F1078" s="39" t="s">
        <v>3940</v>
      </c>
      <c r="G1078" s="39" t="s">
        <v>174</v>
      </c>
      <c r="H1078" s="39" t="s">
        <v>160</v>
      </c>
      <c r="I1078" s="39" t="s">
        <v>217</v>
      </c>
      <c r="J1078" s="39" t="s">
        <v>141</v>
      </c>
      <c r="K1078" s="40">
        <v>46075</v>
      </c>
      <c r="L1078" s="40">
        <v>46120</v>
      </c>
      <c r="M1078" s="40"/>
      <c r="N1078" s="40"/>
      <c r="O1078" s="40"/>
      <c r="P1078" s="40"/>
      <c r="Q1078" s="40"/>
      <c r="R1078" s="39" t="s">
        <v>218</v>
      </c>
      <c r="S1078" s="39" t="s">
        <v>225</v>
      </c>
      <c r="T1078" s="39" t="s">
        <v>225</v>
      </c>
      <c r="U1078" s="35" t="s">
        <v>88</v>
      </c>
      <c r="V1078" s="39" t="s">
        <v>226</v>
      </c>
      <c r="W1078" s="39" t="s">
        <v>123</v>
      </c>
      <c r="X1078" s="39">
        <v>1085</v>
      </c>
      <c r="Y1078" s="39">
        <v>197.28</v>
      </c>
      <c r="Z1078" s="39">
        <v>197.28</v>
      </c>
      <c r="AA1078" s="39">
        <v>0</v>
      </c>
      <c r="AB1078" s="39"/>
      <c r="AC1078" s="39">
        <v>0</v>
      </c>
      <c r="AD1078" s="39" t="s">
        <v>308</v>
      </c>
      <c r="AE1078" s="39">
        <v>108.5</v>
      </c>
      <c r="AF1078" s="39"/>
      <c r="AG1078" s="39">
        <v>0</v>
      </c>
      <c r="AH1078" s="39"/>
      <c r="AI1078" s="41">
        <v>0</v>
      </c>
    </row>
    <row r="1079" spans="1:35" x14ac:dyDescent="0.25">
      <c r="A1079" s="34" t="s">
        <v>110</v>
      </c>
      <c r="B1079" s="35" t="s">
        <v>2700</v>
      </c>
      <c r="C1079" s="35" t="s">
        <v>2911</v>
      </c>
      <c r="D1079" s="35">
        <v>31342</v>
      </c>
      <c r="E1079" s="35" t="s">
        <v>3941</v>
      </c>
      <c r="F1079" s="35" t="s">
        <v>3942</v>
      </c>
      <c r="G1079" s="35" t="s">
        <v>174</v>
      </c>
      <c r="H1079" s="35" t="s">
        <v>160</v>
      </c>
      <c r="I1079" s="35" t="s">
        <v>217</v>
      </c>
      <c r="J1079" s="35" t="s">
        <v>141</v>
      </c>
      <c r="K1079" s="36">
        <v>46075</v>
      </c>
      <c r="L1079" s="36">
        <v>45814</v>
      </c>
      <c r="M1079" s="36"/>
      <c r="N1079" s="36"/>
      <c r="O1079" s="36"/>
      <c r="P1079" s="36"/>
      <c r="Q1079" s="36"/>
      <c r="R1079" s="35" t="s">
        <v>218</v>
      </c>
      <c r="S1079" s="35" t="s">
        <v>1018</v>
      </c>
      <c r="T1079" s="35" t="s">
        <v>1018</v>
      </c>
      <c r="U1079" s="35" t="s">
        <v>82</v>
      </c>
      <c r="V1079" s="35" t="s">
        <v>226</v>
      </c>
      <c r="W1079" s="35" t="s">
        <v>123</v>
      </c>
      <c r="X1079" s="35">
        <v>21332.18</v>
      </c>
      <c r="Y1079" s="35">
        <v>2133.2199999999998</v>
      </c>
      <c r="Z1079" s="35">
        <v>2133.2199999999998</v>
      </c>
      <c r="AA1079" s="35">
        <v>0</v>
      </c>
      <c r="AB1079" s="35"/>
      <c r="AC1079" s="35">
        <v>0</v>
      </c>
      <c r="AD1079" s="35"/>
      <c r="AE1079" s="35">
        <v>0</v>
      </c>
      <c r="AF1079" s="35"/>
      <c r="AG1079" s="35">
        <v>0</v>
      </c>
      <c r="AH1079" s="35"/>
      <c r="AI1079" s="37">
        <v>0</v>
      </c>
    </row>
    <row r="1080" spans="1:35" x14ac:dyDescent="0.25">
      <c r="A1080" s="38" t="s">
        <v>110</v>
      </c>
      <c r="B1080" s="39" t="s">
        <v>2661</v>
      </c>
      <c r="C1080" s="39" t="s">
        <v>3123</v>
      </c>
      <c r="D1080" s="39">
        <v>32660</v>
      </c>
      <c r="E1080" s="39" t="s">
        <v>3943</v>
      </c>
      <c r="F1080" s="39" t="s">
        <v>3944</v>
      </c>
      <c r="G1080" s="39" t="s">
        <v>174</v>
      </c>
      <c r="H1080" s="39" t="s">
        <v>160</v>
      </c>
      <c r="I1080" s="39" t="s">
        <v>217</v>
      </c>
      <c r="J1080" s="39" t="s">
        <v>141</v>
      </c>
      <c r="K1080" s="40">
        <v>46075</v>
      </c>
      <c r="L1080" s="40">
        <v>46063</v>
      </c>
      <c r="M1080" s="40"/>
      <c r="N1080" s="40"/>
      <c r="O1080" s="40"/>
      <c r="P1080" s="40"/>
      <c r="Q1080" s="40"/>
      <c r="R1080" s="39" t="s">
        <v>218</v>
      </c>
      <c r="S1080" s="39" t="s">
        <v>1018</v>
      </c>
      <c r="T1080" s="39" t="s">
        <v>1018</v>
      </c>
      <c r="U1080" s="35" t="s">
        <v>82</v>
      </c>
      <c r="V1080" s="39" t="s">
        <v>226</v>
      </c>
      <c r="W1080" s="39" t="s">
        <v>123</v>
      </c>
      <c r="X1080" s="39">
        <v>4241.41</v>
      </c>
      <c r="Y1080" s="39">
        <v>771.16</v>
      </c>
      <c r="Z1080" s="39">
        <v>771.16</v>
      </c>
      <c r="AA1080" s="39">
        <v>0</v>
      </c>
      <c r="AB1080" s="39"/>
      <c r="AC1080" s="39">
        <v>0</v>
      </c>
      <c r="AD1080" s="39"/>
      <c r="AE1080" s="39">
        <v>0</v>
      </c>
      <c r="AF1080" s="39"/>
      <c r="AG1080" s="39">
        <v>0</v>
      </c>
      <c r="AH1080" s="39"/>
      <c r="AI1080" s="41">
        <v>0</v>
      </c>
    </row>
    <row r="1081" spans="1:35" x14ac:dyDescent="0.25">
      <c r="A1081" s="34" t="s">
        <v>110</v>
      </c>
      <c r="B1081" s="35" t="s">
        <v>1174</v>
      </c>
      <c r="C1081" s="35" t="s">
        <v>2925</v>
      </c>
      <c r="D1081" s="35">
        <v>32174</v>
      </c>
      <c r="E1081" s="35" t="s">
        <v>3945</v>
      </c>
      <c r="F1081" s="35" t="s">
        <v>3946</v>
      </c>
      <c r="G1081" s="35" t="s">
        <v>174</v>
      </c>
      <c r="H1081" s="35" t="s">
        <v>160</v>
      </c>
      <c r="I1081" s="35" t="s">
        <v>217</v>
      </c>
      <c r="J1081" s="35" t="s">
        <v>141</v>
      </c>
      <c r="K1081" s="36">
        <v>46075</v>
      </c>
      <c r="L1081" s="36">
        <v>45964</v>
      </c>
      <c r="M1081" s="36"/>
      <c r="N1081" s="36"/>
      <c r="O1081" s="36"/>
      <c r="P1081" s="36"/>
      <c r="Q1081" s="36"/>
      <c r="R1081" s="35" t="s">
        <v>218</v>
      </c>
      <c r="S1081" s="35" t="s">
        <v>1018</v>
      </c>
      <c r="T1081" s="35" t="s">
        <v>1018</v>
      </c>
      <c r="U1081" s="35" t="s">
        <v>82</v>
      </c>
      <c r="V1081" s="35" t="s">
        <v>226</v>
      </c>
      <c r="W1081" s="35" t="s">
        <v>123</v>
      </c>
      <c r="X1081" s="35">
        <v>844.49</v>
      </c>
      <c r="Y1081" s="35">
        <v>153.54</v>
      </c>
      <c r="Z1081" s="35">
        <v>153.54</v>
      </c>
      <c r="AA1081" s="35">
        <v>0</v>
      </c>
      <c r="AB1081" s="35"/>
      <c r="AC1081" s="35">
        <v>0</v>
      </c>
      <c r="AD1081" s="35"/>
      <c r="AE1081" s="35">
        <v>0</v>
      </c>
      <c r="AF1081" s="35"/>
      <c r="AG1081" s="35">
        <v>0</v>
      </c>
      <c r="AH1081" s="35"/>
      <c r="AI1081" s="37">
        <v>0</v>
      </c>
    </row>
    <row r="1082" spans="1:35" x14ac:dyDescent="0.25">
      <c r="A1082" s="38" t="s">
        <v>110</v>
      </c>
      <c r="B1082" s="39" t="s">
        <v>3947</v>
      </c>
      <c r="C1082" s="39" t="s">
        <v>3948</v>
      </c>
      <c r="D1082" s="39">
        <v>32707</v>
      </c>
      <c r="E1082" s="39" t="s">
        <v>3949</v>
      </c>
      <c r="F1082" s="39" t="s">
        <v>3950</v>
      </c>
      <c r="G1082" s="39" t="s">
        <v>174</v>
      </c>
      <c r="H1082" s="39" t="s">
        <v>160</v>
      </c>
      <c r="I1082" s="39" t="s">
        <v>217</v>
      </c>
      <c r="J1082" s="39" t="s">
        <v>141</v>
      </c>
      <c r="K1082" s="40">
        <v>46075</v>
      </c>
      <c r="L1082" s="40">
        <v>46113</v>
      </c>
      <c r="M1082" s="40"/>
      <c r="N1082" s="40"/>
      <c r="O1082" s="40"/>
      <c r="P1082" s="40"/>
      <c r="Q1082" s="40"/>
      <c r="R1082" s="39" t="s">
        <v>218</v>
      </c>
      <c r="S1082" s="39" t="s">
        <v>225</v>
      </c>
      <c r="T1082" s="39" t="s">
        <v>225</v>
      </c>
      <c r="U1082" s="35" t="s">
        <v>88</v>
      </c>
      <c r="V1082" s="39" t="s">
        <v>226</v>
      </c>
      <c r="W1082" s="39" t="s">
        <v>123</v>
      </c>
      <c r="X1082" s="39">
        <v>19665</v>
      </c>
      <c r="Y1082" s="39">
        <v>3575.46</v>
      </c>
      <c r="Z1082" s="39">
        <v>3575.46</v>
      </c>
      <c r="AA1082" s="39">
        <v>0</v>
      </c>
      <c r="AB1082" s="39"/>
      <c r="AC1082" s="39">
        <v>0</v>
      </c>
      <c r="AD1082" s="39"/>
      <c r="AE1082" s="39">
        <v>0</v>
      </c>
      <c r="AF1082" s="39"/>
      <c r="AG1082" s="39">
        <v>0</v>
      </c>
      <c r="AH1082" s="39"/>
      <c r="AI1082" s="41">
        <v>0</v>
      </c>
    </row>
    <row r="1083" spans="1:35" x14ac:dyDescent="0.25">
      <c r="A1083" s="34" t="s">
        <v>110</v>
      </c>
      <c r="B1083" s="35" t="s">
        <v>3947</v>
      </c>
      <c r="C1083" s="35" t="s">
        <v>3948</v>
      </c>
      <c r="D1083" s="35">
        <v>32707</v>
      </c>
      <c r="E1083" s="35" t="s">
        <v>3951</v>
      </c>
      <c r="F1083" s="35" t="s">
        <v>3952</v>
      </c>
      <c r="G1083" s="35" t="s">
        <v>174</v>
      </c>
      <c r="H1083" s="35" t="s">
        <v>160</v>
      </c>
      <c r="I1083" s="35" t="s">
        <v>217</v>
      </c>
      <c r="J1083" s="35" t="s">
        <v>141</v>
      </c>
      <c r="K1083" s="36">
        <v>46075</v>
      </c>
      <c r="L1083" s="36">
        <v>46113</v>
      </c>
      <c r="M1083" s="36"/>
      <c r="N1083" s="36"/>
      <c r="O1083" s="36"/>
      <c r="P1083" s="36"/>
      <c r="Q1083" s="36"/>
      <c r="R1083" s="35" t="s">
        <v>218</v>
      </c>
      <c r="S1083" s="35" t="s">
        <v>225</v>
      </c>
      <c r="T1083" s="35" t="s">
        <v>225</v>
      </c>
      <c r="U1083" s="35" t="s">
        <v>88</v>
      </c>
      <c r="V1083" s="35" t="s">
        <v>226</v>
      </c>
      <c r="W1083" s="35" t="s">
        <v>123</v>
      </c>
      <c r="X1083" s="35">
        <v>29497.49</v>
      </c>
      <c r="Y1083" s="35">
        <v>5363.18</v>
      </c>
      <c r="Z1083" s="35">
        <v>5363.18</v>
      </c>
      <c r="AA1083" s="35">
        <v>0</v>
      </c>
      <c r="AB1083" s="35"/>
      <c r="AC1083" s="35">
        <v>0</v>
      </c>
      <c r="AD1083" s="35"/>
      <c r="AE1083" s="35">
        <v>0</v>
      </c>
      <c r="AF1083" s="35"/>
      <c r="AG1083" s="35">
        <v>0</v>
      </c>
      <c r="AH1083" s="35"/>
      <c r="AI1083" s="37">
        <v>0</v>
      </c>
    </row>
    <row r="1084" spans="1:35" x14ac:dyDescent="0.25">
      <c r="A1084" s="38" t="s">
        <v>110</v>
      </c>
      <c r="B1084" s="39" t="s">
        <v>3947</v>
      </c>
      <c r="C1084" s="39" t="s">
        <v>3948</v>
      </c>
      <c r="D1084" s="39">
        <v>32707</v>
      </c>
      <c r="E1084" s="39" t="s">
        <v>3953</v>
      </c>
      <c r="F1084" s="39" t="s">
        <v>3954</v>
      </c>
      <c r="G1084" s="39" t="s">
        <v>174</v>
      </c>
      <c r="H1084" s="39" t="s">
        <v>160</v>
      </c>
      <c r="I1084" s="39" t="s">
        <v>217</v>
      </c>
      <c r="J1084" s="39" t="s">
        <v>141</v>
      </c>
      <c r="K1084" s="40">
        <v>46075</v>
      </c>
      <c r="L1084" s="40">
        <v>46113</v>
      </c>
      <c r="M1084" s="40"/>
      <c r="N1084" s="40"/>
      <c r="O1084" s="40"/>
      <c r="P1084" s="40"/>
      <c r="Q1084" s="40"/>
      <c r="R1084" s="39" t="s">
        <v>218</v>
      </c>
      <c r="S1084" s="39" t="s">
        <v>225</v>
      </c>
      <c r="T1084" s="39" t="s">
        <v>225</v>
      </c>
      <c r="U1084" s="35" t="s">
        <v>88</v>
      </c>
      <c r="V1084" s="39" t="s">
        <v>226</v>
      </c>
      <c r="W1084" s="39" t="s">
        <v>123</v>
      </c>
      <c r="X1084" s="39">
        <v>49162.5</v>
      </c>
      <c r="Y1084" s="39">
        <v>8938.64</v>
      </c>
      <c r="Z1084" s="39">
        <v>8938.64</v>
      </c>
      <c r="AA1084" s="39">
        <v>0</v>
      </c>
      <c r="AB1084" s="39"/>
      <c r="AC1084" s="39">
        <v>0</v>
      </c>
      <c r="AD1084" s="39"/>
      <c r="AE1084" s="39">
        <v>0</v>
      </c>
      <c r="AF1084" s="39"/>
      <c r="AG1084" s="39">
        <v>0</v>
      </c>
      <c r="AH1084" s="39"/>
      <c r="AI1084" s="41">
        <v>0</v>
      </c>
    </row>
    <row r="1085" spans="1:35" x14ac:dyDescent="0.25">
      <c r="A1085" s="34" t="s">
        <v>110</v>
      </c>
      <c r="B1085" s="35" t="s">
        <v>1360</v>
      </c>
      <c r="C1085" s="35" t="s">
        <v>3955</v>
      </c>
      <c r="D1085" s="35">
        <v>32708</v>
      </c>
      <c r="E1085" s="35" t="s">
        <v>3956</v>
      </c>
      <c r="F1085" s="35" t="s">
        <v>3957</v>
      </c>
      <c r="G1085" s="35" t="s">
        <v>174</v>
      </c>
      <c r="H1085" s="35" t="s">
        <v>160</v>
      </c>
      <c r="I1085" s="35" t="s">
        <v>217</v>
      </c>
      <c r="J1085" s="35" t="s">
        <v>118</v>
      </c>
      <c r="K1085" s="36">
        <v>46075</v>
      </c>
      <c r="L1085" s="36">
        <v>46072</v>
      </c>
      <c r="M1085" s="36">
        <v>46076</v>
      </c>
      <c r="N1085" s="36"/>
      <c r="O1085" s="36"/>
      <c r="P1085" s="36"/>
      <c r="Q1085" s="36"/>
      <c r="R1085" s="35" t="s">
        <v>218</v>
      </c>
      <c r="S1085" s="35" t="s">
        <v>1018</v>
      </c>
      <c r="T1085" s="35" t="s">
        <v>1018</v>
      </c>
      <c r="U1085" s="35" t="s">
        <v>82</v>
      </c>
      <c r="V1085" s="35" t="s">
        <v>226</v>
      </c>
      <c r="W1085" s="35" t="s">
        <v>123</v>
      </c>
      <c r="X1085" s="35">
        <v>2831.72</v>
      </c>
      <c r="Y1085" s="35">
        <v>514.86</v>
      </c>
      <c r="Z1085" s="35">
        <v>514.86</v>
      </c>
      <c r="AA1085" s="35">
        <v>0</v>
      </c>
      <c r="AB1085" s="35"/>
      <c r="AC1085" s="35">
        <v>0</v>
      </c>
      <c r="AD1085" s="35"/>
      <c r="AE1085" s="35">
        <v>0</v>
      </c>
      <c r="AF1085" s="35"/>
      <c r="AG1085" s="35">
        <v>0</v>
      </c>
      <c r="AH1085" s="35"/>
      <c r="AI1085" s="37">
        <v>0</v>
      </c>
    </row>
    <row r="1086" spans="1:35" x14ac:dyDescent="0.25">
      <c r="A1086" s="38" t="s">
        <v>110</v>
      </c>
      <c r="B1086" s="39" t="s">
        <v>3958</v>
      </c>
      <c r="C1086" s="39" t="s">
        <v>3959</v>
      </c>
      <c r="D1086" s="39">
        <v>32709</v>
      </c>
      <c r="E1086" s="39" t="s">
        <v>3960</v>
      </c>
      <c r="F1086" s="39" t="s">
        <v>3961</v>
      </c>
      <c r="G1086" s="39" t="s">
        <v>174</v>
      </c>
      <c r="H1086" s="39" t="s">
        <v>160</v>
      </c>
      <c r="I1086" s="39" t="s">
        <v>217</v>
      </c>
      <c r="J1086" s="39" t="s">
        <v>118</v>
      </c>
      <c r="K1086" s="40">
        <v>46075</v>
      </c>
      <c r="L1086" s="40">
        <v>46071</v>
      </c>
      <c r="M1086" s="40">
        <v>46073</v>
      </c>
      <c r="N1086" s="40"/>
      <c r="O1086" s="40"/>
      <c r="P1086" s="40"/>
      <c r="Q1086" s="40"/>
      <c r="R1086" s="39" t="s">
        <v>218</v>
      </c>
      <c r="S1086" s="39" t="s">
        <v>1018</v>
      </c>
      <c r="T1086" s="39" t="s">
        <v>1018</v>
      </c>
      <c r="U1086" s="35" t="s">
        <v>82</v>
      </c>
      <c r="V1086" s="39" t="s">
        <v>226</v>
      </c>
      <c r="W1086" s="39" t="s">
        <v>123</v>
      </c>
      <c r="X1086" s="39">
        <v>2831.72</v>
      </c>
      <c r="Y1086" s="39">
        <v>514.86</v>
      </c>
      <c r="Z1086" s="39">
        <v>514.86</v>
      </c>
      <c r="AA1086" s="39">
        <v>0</v>
      </c>
      <c r="AB1086" s="39"/>
      <c r="AC1086" s="39">
        <v>0</v>
      </c>
      <c r="AD1086" s="39"/>
      <c r="AE1086" s="39">
        <v>0</v>
      </c>
      <c r="AF1086" s="39"/>
      <c r="AG1086" s="39">
        <v>0</v>
      </c>
      <c r="AH1086" s="39"/>
      <c r="AI1086" s="41">
        <v>0</v>
      </c>
    </row>
    <row r="1087" spans="1:35" x14ac:dyDescent="0.25">
      <c r="A1087" s="34" t="s">
        <v>110</v>
      </c>
      <c r="B1087" s="35" t="s">
        <v>2432</v>
      </c>
      <c r="C1087" s="35" t="s">
        <v>3962</v>
      </c>
      <c r="D1087" s="35">
        <v>32710</v>
      </c>
      <c r="E1087" s="35" t="s">
        <v>3963</v>
      </c>
      <c r="F1087" s="35" t="s">
        <v>3964</v>
      </c>
      <c r="G1087" s="35" t="s">
        <v>174</v>
      </c>
      <c r="H1087" s="35" t="s">
        <v>160</v>
      </c>
      <c r="I1087" s="35" t="s">
        <v>217</v>
      </c>
      <c r="J1087" s="35" t="s">
        <v>141</v>
      </c>
      <c r="K1087" s="36">
        <v>46075</v>
      </c>
      <c r="L1087" s="36">
        <v>46072</v>
      </c>
      <c r="M1087" s="36"/>
      <c r="N1087" s="36"/>
      <c r="O1087" s="36"/>
      <c r="P1087" s="36"/>
      <c r="Q1087" s="36"/>
      <c r="R1087" s="35" t="s">
        <v>218</v>
      </c>
      <c r="S1087" s="35" t="s">
        <v>1018</v>
      </c>
      <c r="T1087" s="35" t="s">
        <v>1018</v>
      </c>
      <c r="U1087" s="35" t="s">
        <v>82</v>
      </c>
      <c r="V1087" s="35" t="s">
        <v>226</v>
      </c>
      <c r="W1087" s="35" t="s">
        <v>123</v>
      </c>
      <c r="X1087" s="35">
        <v>1154.23</v>
      </c>
      <c r="Y1087" s="35">
        <v>209.86</v>
      </c>
      <c r="Z1087" s="35">
        <v>209.86</v>
      </c>
      <c r="AA1087" s="35">
        <v>0</v>
      </c>
      <c r="AB1087" s="35"/>
      <c r="AC1087" s="35">
        <v>0</v>
      </c>
      <c r="AD1087" s="35"/>
      <c r="AE1087" s="35">
        <v>0</v>
      </c>
      <c r="AF1087" s="35"/>
      <c r="AG1087" s="35">
        <v>0</v>
      </c>
      <c r="AH1087" s="35"/>
      <c r="AI1087" s="37">
        <v>0</v>
      </c>
    </row>
    <row r="1088" spans="1:35" x14ac:dyDescent="0.25">
      <c r="A1088" s="38" t="s">
        <v>110</v>
      </c>
      <c r="B1088" s="39" t="s">
        <v>3965</v>
      </c>
      <c r="C1088" s="39" t="s">
        <v>3966</v>
      </c>
      <c r="D1088" s="39">
        <v>32711</v>
      </c>
      <c r="E1088" s="39" t="s">
        <v>3967</v>
      </c>
      <c r="F1088" s="39" t="s">
        <v>3968</v>
      </c>
      <c r="G1088" s="39" t="s">
        <v>174</v>
      </c>
      <c r="H1088" s="39" t="s">
        <v>160</v>
      </c>
      <c r="I1088" s="39" t="s">
        <v>217</v>
      </c>
      <c r="J1088" s="39" t="s">
        <v>2195</v>
      </c>
      <c r="K1088" s="40">
        <v>46075</v>
      </c>
      <c r="L1088" s="40">
        <v>46073</v>
      </c>
      <c r="M1088" s="40"/>
      <c r="N1088" s="40"/>
      <c r="O1088" s="40">
        <v>46078</v>
      </c>
      <c r="P1088" s="40"/>
      <c r="Q1088" s="40"/>
      <c r="R1088" s="39" t="s">
        <v>218</v>
      </c>
      <c r="S1088" s="39" t="s">
        <v>225</v>
      </c>
      <c r="T1088" s="39" t="s">
        <v>225</v>
      </c>
      <c r="U1088" s="35" t="s">
        <v>88</v>
      </c>
      <c r="V1088" s="39" t="s">
        <v>226</v>
      </c>
      <c r="W1088" s="39" t="s">
        <v>123</v>
      </c>
      <c r="X1088" s="39">
        <v>693.48</v>
      </c>
      <c r="Y1088" s="39">
        <v>126.08</v>
      </c>
      <c r="Z1088" s="39">
        <v>126.08</v>
      </c>
      <c r="AA1088" s="39">
        <v>0</v>
      </c>
      <c r="AB1088" s="39"/>
      <c r="AC1088" s="39">
        <v>0</v>
      </c>
      <c r="AD1088" s="39"/>
      <c r="AE1088" s="39">
        <v>0</v>
      </c>
      <c r="AF1088" s="39"/>
      <c r="AG1088" s="39">
        <v>0</v>
      </c>
      <c r="AH1088" s="39"/>
      <c r="AI1088" s="41">
        <v>0</v>
      </c>
    </row>
    <row r="1089" spans="1:35" x14ac:dyDescent="0.25">
      <c r="A1089" s="34" t="s">
        <v>110</v>
      </c>
      <c r="B1089" s="35" t="s">
        <v>2814</v>
      </c>
      <c r="C1089" s="35" t="s">
        <v>3969</v>
      </c>
      <c r="D1089" s="35">
        <v>32712</v>
      </c>
      <c r="E1089" s="35" t="s">
        <v>3970</v>
      </c>
      <c r="F1089" s="35" t="s">
        <v>3971</v>
      </c>
      <c r="G1089" s="35" t="s">
        <v>174</v>
      </c>
      <c r="H1089" s="35" t="s">
        <v>160</v>
      </c>
      <c r="I1089" s="35" t="s">
        <v>217</v>
      </c>
      <c r="J1089" s="35" t="s">
        <v>118</v>
      </c>
      <c r="K1089" s="36">
        <v>46075</v>
      </c>
      <c r="L1089" s="36">
        <v>46080</v>
      </c>
      <c r="M1089" s="36">
        <v>46080</v>
      </c>
      <c r="N1089" s="36"/>
      <c r="O1089" s="36"/>
      <c r="P1089" s="36"/>
      <c r="Q1089" s="36"/>
      <c r="R1089" s="35" t="s">
        <v>218</v>
      </c>
      <c r="S1089" s="35" t="s">
        <v>225</v>
      </c>
      <c r="T1089" s="35" t="s">
        <v>225</v>
      </c>
      <c r="U1089" s="35" t="s">
        <v>88</v>
      </c>
      <c r="V1089" s="35" t="s">
        <v>226</v>
      </c>
      <c r="W1089" s="35" t="s">
        <v>123</v>
      </c>
      <c r="X1089" s="35">
        <v>1328.39</v>
      </c>
      <c r="Y1089" s="35">
        <v>241.52</v>
      </c>
      <c r="Z1089" s="35">
        <v>241.52</v>
      </c>
      <c r="AA1089" s="35">
        <v>0</v>
      </c>
      <c r="AB1089" s="35"/>
      <c r="AC1089" s="35">
        <v>0</v>
      </c>
      <c r="AD1089" s="35"/>
      <c r="AE1089" s="35">
        <v>0</v>
      </c>
      <c r="AF1089" s="35"/>
      <c r="AG1089" s="35">
        <v>0</v>
      </c>
      <c r="AH1089" s="35"/>
      <c r="AI1089" s="37">
        <v>0</v>
      </c>
    </row>
    <row r="1090" spans="1:35" x14ac:dyDescent="0.25">
      <c r="A1090" s="38" t="s">
        <v>110</v>
      </c>
      <c r="B1090" s="39" t="s">
        <v>2931</v>
      </c>
      <c r="C1090" s="39" t="s">
        <v>3972</v>
      </c>
      <c r="D1090" s="39">
        <v>32714</v>
      </c>
      <c r="E1090" s="39" t="s">
        <v>3973</v>
      </c>
      <c r="F1090" s="39" t="s">
        <v>3974</v>
      </c>
      <c r="G1090" s="39" t="s">
        <v>174</v>
      </c>
      <c r="H1090" s="39" t="s">
        <v>160</v>
      </c>
      <c r="I1090" s="39" t="s">
        <v>217</v>
      </c>
      <c r="J1090" s="39" t="s">
        <v>141</v>
      </c>
      <c r="K1090" s="40">
        <v>46075</v>
      </c>
      <c r="L1090" s="40">
        <v>46119</v>
      </c>
      <c r="M1090" s="40"/>
      <c r="N1090" s="40"/>
      <c r="O1090" s="40"/>
      <c r="P1090" s="40"/>
      <c r="Q1090" s="40"/>
      <c r="R1090" s="39" t="s">
        <v>218</v>
      </c>
      <c r="S1090" s="39" t="s">
        <v>225</v>
      </c>
      <c r="T1090" s="39" t="s">
        <v>225</v>
      </c>
      <c r="U1090" s="35" t="s">
        <v>88</v>
      </c>
      <c r="V1090" s="39" t="s">
        <v>226</v>
      </c>
      <c r="W1090" s="39" t="s">
        <v>123</v>
      </c>
      <c r="X1090" s="39">
        <v>2080.44</v>
      </c>
      <c r="Y1090" s="39">
        <v>378.27</v>
      </c>
      <c r="Z1090" s="39">
        <v>378.27</v>
      </c>
      <c r="AA1090" s="39">
        <v>0</v>
      </c>
      <c r="AB1090" s="39"/>
      <c r="AC1090" s="39">
        <v>0</v>
      </c>
      <c r="AD1090" s="39" t="s">
        <v>3975</v>
      </c>
      <c r="AE1090" s="39">
        <v>208</v>
      </c>
      <c r="AF1090" s="39"/>
      <c r="AG1090" s="39">
        <v>0</v>
      </c>
      <c r="AH1090" s="39"/>
      <c r="AI1090" s="41">
        <v>0</v>
      </c>
    </row>
    <row r="1091" spans="1:35" x14ac:dyDescent="0.25">
      <c r="A1091" s="34" t="s">
        <v>110</v>
      </c>
      <c r="B1091" s="35" t="s">
        <v>2412</v>
      </c>
      <c r="C1091" s="35" t="s">
        <v>2413</v>
      </c>
      <c r="D1091" s="35">
        <v>13533</v>
      </c>
      <c r="E1091" s="35" t="s">
        <v>3976</v>
      </c>
      <c r="F1091" s="35" t="s">
        <v>3977</v>
      </c>
      <c r="G1091" s="35" t="s">
        <v>440</v>
      </c>
      <c r="H1091" s="35" t="s">
        <v>160</v>
      </c>
      <c r="I1091" s="35" t="s">
        <v>117</v>
      </c>
      <c r="J1091" s="35" t="s">
        <v>118</v>
      </c>
      <c r="K1091" s="36">
        <v>46075</v>
      </c>
      <c r="L1091" s="36">
        <v>45658</v>
      </c>
      <c r="M1091" s="36">
        <v>46087</v>
      </c>
      <c r="N1091" s="36"/>
      <c r="O1091" s="36"/>
      <c r="P1091" s="36"/>
      <c r="Q1091" s="36"/>
      <c r="R1091" s="35" t="s">
        <v>142</v>
      </c>
      <c r="S1091" s="35" t="s">
        <v>182</v>
      </c>
      <c r="T1091" s="35" t="s">
        <v>183</v>
      </c>
      <c r="U1091" s="35" t="s">
        <v>90</v>
      </c>
      <c r="V1091" s="35" t="s">
        <v>163</v>
      </c>
      <c r="W1091" s="35" t="s">
        <v>123</v>
      </c>
      <c r="X1091" s="35">
        <v>-123.84</v>
      </c>
      <c r="Y1091" s="35">
        <v>-24.77</v>
      </c>
      <c r="Z1091" s="35">
        <v>-24.77</v>
      </c>
      <c r="AA1091" s="35">
        <v>0</v>
      </c>
      <c r="AB1091" s="35"/>
      <c r="AC1091" s="35">
        <v>0</v>
      </c>
      <c r="AD1091" s="35"/>
      <c r="AE1091" s="35">
        <v>0</v>
      </c>
      <c r="AF1091" s="35"/>
      <c r="AG1091" s="35">
        <v>0</v>
      </c>
      <c r="AH1091" s="35"/>
      <c r="AI1091" s="37">
        <v>0</v>
      </c>
    </row>
    <row r="1092" spans="1:35" x14ac:dyDescent="0.25">
      <c r="A1092" s="38" t="s">
        <v>110</v>
      </c>
      <c r="B1092" s="39" t="s">
        <v>2724</v>
      </c>
      <c r="C1092" s="39" t="s">
        <v>2725</v>
      </c>
      <c r="D1092" s="39">
        <v>24963</v>
      </c>
      <c r="E1092" s="39" t="s">
        <v>3978</v>
      </c>
      <c r="F1092" s="39" t="s">
        <v>3979</v>
      </c>
      <c r="G1092" s="39" t="s">
        <v>192</v>
      </c>
      <c r="H1092" s="39" t="s">
        <v>160</v>
      </c>
      <c r="I1092" s="39" t="s">
        <v>117</v>
      </c>
      <c r="J1092" s="39" t="s">
        <v>141</v>
      </c>
      <c r="K1092" s="40">
        <v>46075</v>
      </c>
      <c r="L1092" s="40">
        <v>46069</v>
      </c>
      <c r="M1092" s="40"/>
      <c r="N1092" s="40"/>
      <c r="O1092" s="40"/>
      <c r="P1092" s="40"/>
      <c r="Q1092" s="40"/>
      <c r="R1092" s="39" t="s">
        <v>142</v>
      </c>
      <c r="S1092" s="39" t="s">
        <v>743</v>
      </c>
      <c r="T1092" s="39" t="s">
        <v>744</v>
      </c>
      <c r="U1092" s="35" t="s">
        <v>88</v>
      </c>
      <c r="V1092" s="39" t="s">
        <v>509</v>
      </c>
      <c r="W1092" s="39" t="s">
        <v>123</v>
      </c>
      <c r="X1092" s="39">
        <v>188.68</v>
      </c>
      <c r="Y1092" s="39">
        <v>37.74</v>
      </c>
      <c r="Z1092" s="39">
        <v>37.74</v>
      </c>
      <c r="AA1092" s="39">
        <v>0</v>
      </c>
      <c r="AB1092" s="39"/>
      <c r="AC1092" s="39">
        <v>0</v>
      </c>
      <c r="AD1092" s="39"/>
      <c r="AE1092" s="39">
        <v>0</v>
      </c>
      <c r="AF1092" s="39"/>
      <c r="AG1092" s="39">
        <v>0</v>
      </c>
      <c r="AH1092" s="39"/>
      <c r="AI1092" s="41">
        <v>0</v>
      </c>
    </row>
    <row r="1093" spans="1:35" x14ac:dyDescent="0.25">
      <c r="A1093" s="34" t="s">
        <v>110</v>
      </c>
      <c r="B1093" s="35" t="s">
        <v>2724</v>
      </c>
      <c r="C1093" s="35" t="s">
        <v>2725</v>
      </c>
      <c r="D1093" s="35">
        <v>24963</v>
      </c>
      <c r="E1093" s="35" t="s">
        <v>3980</v>
      </c>
      <c r="F1093" s="35" t="s">
        <v>3981</v>
      </c>
      <c r="G1093" s="35" t="s">
        <v>192</v>
      </c>
      <c r="H1093" s="35" t="s">
        <v>160</v>
      </c>
      <c r="I1093" s="35" t="s">
        <v>117</v>
      </c>
      <c r="J1093" s="35" t="s">
        <v>141</v>
      </c>
      <c r="K1093" s="36">
        <v>46075</v>
      </c>
      <c r="L1093" s="36">
        <v>46149</v>
      </c>
      <c r="M1093" s="36"/>
      <c r="N1093" s="36"/>
      <c r="O1093" s="36"/>
      <c r="P1093" s="36"/>
      <c r="Q1093" s="36"/>
      <c r="R1093" s="35" t="s">
        <v>142</v>
      </c>
      <c r="S1093" s="35" t="s">
        <v>743</v>
      </c>
      <c r="T1093" s="35" t="s">
        <v>744</v>
      </c>
      <c r="U1093" s="35" t="s">
        <v>88</v>
      </c>
      <c r="V1093" s="35" t="s">
        <v>509</v>
      </c>
      <c r="W1093" s="35" t="s">
        <v>123</v>
      </c>
      <c r="X1093" s="35">
        <v>188.68</v>
      </c>
      <c r="Y1093" s="35">
        <v>37.74</v>
      </c>
      <c r="Z1093" s="35">
        <v>37.74</v>
      </c>
      <c r="AA1093" s="35">
        <v>0</v>
      </c>
      <c r="AB1093" s="35"/>
      <c r="AC1093" s="35">
        <v>0</v>
      </c>
      <c r="AD1093" s="35"/>
      <c r="AE1093" s="35">
        <v>0</v>
      </c>
      <c r="AF1093" s="35"/>
      <c r="AG1093" s="35">
        <v>0</v>
      </c>
      <c r="AH1093" s="35"/>
      <c r="AI1093" s="37">
        <v>0</v>
      </c>
    </row>
    <row r="1094" spans="1:35" x14ac:dyDescent="0.25">
      <c r="A1094" s="38" t="s">
        <v>110</v>
      </c>
      <c r="B1094" s="39" t="s">
        <v>2444</v>
      </c>
      <c r="C1094" s="39" t="s">
        <v>2445</v>
      </c>
      <c r="D1094" s="39">
        <v>19946</v>
      </c>
      <c r="E1094" s="39" t="s">
        <v>3982</v>
      </c>
      <c r="F1094" s="39" t="s">
        <v>3983</v>
      </c>
      <c r="G1094" s="39" t="s">
        <v>192</v>
      </c>
      <c r="H1094" s="39" t="s">
        <v>160</v>
      </c>
      <c r="I1094" s="39" t="s">
        <v>117</v>
      </c>
      <c r="J1094" s="39" t="s">
        <v>141</v>
      </c>
      <c r="K1094" s="40">
        <v>46075</v>
      </c>
      <c r="L1094" s="40">
        <v>45314</v>
      </c>
      <c r="M1094" s="40"/>
      <c r="N1094" s="40"/>
      <c r="O1094" s="40"/>
      <c r="P1094" s="40"/>
      <c r="Q1094" s="40"/>
      <c r="R1094" s="39" t="s">
        <v>142</v>
      </c>
      <c r="S1094" s="39" t="s">
        <v>978</v>
      </c>
      <c r="T1094" s="39" t="s">
        <v>220</v>
      </c>
      <c r="U1094" s="35" t="s">
        <v>91</v>
      </c>
      <c r="V1094" s="39" t="s">
        <v>509</v>
      </c>
      <c r="W1094" s="39" t="s">
        <v>123</v>
      </c>
      <c r="X1094" s="39">
        <v>1193.04</v>
      </c>
      <c r="Y1094" s="39">
        <v>238.61</v>
      </c>
      <c r="Z1094" s="39">
        <v>238.61</v>
      </c>
      <c r="AA1094" s="39">
        <v>0</v>
      </c>
      <c r="AB1094" s="39"/>
      <c r="AC1094" s="39">
        <v>0</v>
      </c>
      <c r="AD1094" s="39"/>
      <c r="AE1094" s="39">
        <v>0</v>
      </c>
      <c r="AF1094" s="39"/>
      <c r="AG1094" s="39">
        <v>0</v>
      </c>
      <c r="AH1094" s="39"/>
      <c r="AI1094" s="41">
        <v>0</v>
      </c>
    </row>
    <row r="1095" spans="1:35" x14ac:dyDescent="0.25">
      <c r="A1095" s="34" t="s">
        <v>110</v>
      </c>
      <c r="B1095" s="35" t="s">
        <v>2444</v>
      </c>
      <c r="C1095" s="35" t="s">
        <v>2445</v>
      </c>
      <c r="D1095" s="35">
        <v>19946</v>
      </c>
      <c r="E1095" s="35" t="s">
        <v>3984</v>
      </c>
      <c r="F1095" s="35" t="s">
        <v>3985</v>
      </c>
      <c r="G1095" s="35" t="s">
        <v>192</v>
      </c>
      <c r="H1095" s="35" t="s">
        <v>160</v>
      </c>
      <c r="I1095" s="35" t="s">
        <v>117</v>
      </c>
      <c r="J1095" s="35" t="s">
        <v>141</v>
      </c>
      <c r="K1095" s="36">
        <v>46075</v>
      </c>
      <c r="L1095" s="36">
        <v>45680</v>
      </c>
      <c r="M1095" s="36"/>
      <c r="N1095" s="36"/>
      <c r="O1095" s="36"/>
      <c r="P1095" s="36"/>
      <c r="Q1095" s="36"/>
      <c r="R1095" s="35" t="s">
        <v>142</v>
      </c>
      <c r="S1095" s="35" t="s">
        <v>978</v>
      </c>
      <c r="T1095" s="35" t="s">
        <v>220</v>
      </c>
      <c r="U1095" s="35" t="s">
        <v>91</v>
      </c>
      <c r="V1095" s="35" t="s">
        <v>509</v>
      </c>
      <c r="W1095" s="35" t="s">
        <v>123</v>
      </c>
      <c r="X1095" s="35">
        <v>1302.17</v>
      </c>
      <c r="Y1095" s="35">
        <v>260.43</v>
      </c>
      <c r="Z1095" s="35">
        <v>260.43</v>
      </c>
      <c r="AA1095" s="35">
        <v>0</v>
      </c>
      <c r="AB1095" s="35"/>
      <c r="AC1095" s="35">
        <v>0</v>
      </c>
      <c r="AD1095" s="35"/>
      <c r="AE1095" s="35">
        <v>0</v>
      </c>
      <c r="AF1095" s="35"/>
      <c r="AG1095" s="35">
        <v>0</v>
      </c>
      <c r="AH1095" s="35"/>
      <c r="AI1095" s="37">
        <v>0</v>
      </c>
    </row>
    <row r="1096" spans="1:35" x14ac:dyDescent="0.25">
      <c r="A1096" s="38" t="s">
        <v>110</v>
      </c>
      <c r="B1096" s="39" t="s">
        <v>2797</v>
      </c>
      <c r="C1096" s="39" t="s">
        <v>2798</v>
      </c>
      <c r="D1096" s="39">
        <v>23464</v>
      </c>
      <c r="E1096" s="39" t="s">
        <v>3986</v>
      </c>
      <c r="F1096" s="39" t="s">
        <v>3987</v>
      </c>
      <c r="G1096" s="39" t="s">
        <v>440</v>
      </c>
      <c r="H1096" s="39" t="s">
        <v>160</v>
      </c>
      <c r="I1096" s="39" t="s">
        <v>117</v>
      </c>
      <c r="J1096" s="39" t="s">
        <v>141</v>
      </c>
      <c r="K1096" s="40">
        <v>46075</v>
      </c>
      <c r="L1096" s="40">
        <v>46071</v>
      </c>
      <c r="M1096" s="40"/>
      <c r="N1096" s="40"/>
      <c r="O1096" s="40"/>
      <c r="P1096" s="40"/>
      <c r="Q1096" s="40"/>
      <c r="R1096" s="39" t="s">
        <v>142</v>
      </c>
      <c r="S1096" s="39" t="s">
        <v>795</v>
      </c>
      <c r="T1096" s="39" t="s">
        <v>83</v>
      </c>
      <c r="U1096" s="35" t="s">
        <v>83</v>
      </c>
      <c r="V1096" s="39" t="s">
        <v>509</v>
      </c>
      <c r="W1096" s="39" t="s">
        <v>123</v>
      </c>
      <c r="X1096" s="39">
        <v>-47.65</v>
      </c>
      <c r="Y1096" s="39">
        <v>-11.9</v>
      </c>
      <c r="Z1096" s="39">
        <v>-11.9</v>
      </c>
      <c r="AA1096" s="39">
        <v>0</v>
      </c>
      <c r="AB1096" s="39"/>
      <c r="AC1096" s="39">
        <v>0</v>
      </c>
      <c r="AD1096" s="39"/>
      <c r="AE1096" s="39">
        <v>0</v>
      </c>
      <c r="AF1096" s="39"/>
      <c r="AG1096" s="39">
        <v>0</v>
      </c>
      <c r="AH1096" s="39"/>
      <c r="AI1096" s="41">
        <v>0</v>
      </c>
    </row>
    <row r="1097" spans="1:35" x14ac:dyDescent="0.25">
      <c r="A1097" s="34" t="s">
        <v>110</v>
      </c>
      <c r="B1097" s="35" t="s">
        <v>164</v>
      </c>
      <c r="C1097" s="35" t="s">
        <v>1617</v>
      </c>
      <c r="D1097" s="35">
        <v>15253</v>
      </c>
      <c r="E1097" s="35" t="s">
        <v>3988</v>
      </c>
      <c r="F1097" s="35" t="s">
        <v>3989</v>
      </c>
      <c r="G1097" s="35" t="s">
        <v>115</v>
      </c>
      <c r="H1097" s="35" t="s">
        <v>116</v>
      </c>
      <c r="I1097" s="35" t="s">
        <v>117</v>
      </c>
      <c r="J1097" s="35" t="s">
        <v>141</v>
      </c>
      <c r="K1097" s="36">
        <v>46075</v>
      </c>
      <c r="L1097" s="36">
        <v>46124</v>
      </c>
      <c r="M1097" s="36"/>
      <c r="N1097" s="36"/>
      <c r="O1097" s="36"/>
      <c r="P1097" s="36"/>
      <c r="Q1097" s="36"/>
      <c r="R1097" s="35" t="s">
        <v>119</v>
      </c>
      <c r="S1097" s="35" t="s">
        <v>1620</v>
      </c>
      <c r="T1097" s="35" t="s">
        <v>135</v>
      </c>
      <c r="U1097" s="35" t="s">
        <v>90</v>
      </c>
      <c r="V1097" s="35" t="s">
        <v>845</v>
      </c>
      <c r="W1097" s="35" t="s">
        <v>123</v>
      </c>
      <c r="X1097" s="35">
        <v>650.02</v>
      </c>
      <c r="Y1097" s="35">
        <v>0</v>
      </c>
      <c r="Z1097" s="35">
        <v>0</v>
      </c>
      <c r="AA1097" s="35">
        <v>0</v>
      </c>
      <c r="AB1097" s="35"/>
      <c r="AC1097" s="35">
        <v>0</v>
      </c>
      <c r="AD1097" s="35"/>
      <c r="AE1097" s="35">
        <v>0</v>
      </c>
      <c r="AF1097" s="35"/>
      <c r="AG1097" s="35">
        <v>0</v>
      </c>
      <c r="AH1097" s="35"/>
      <c r="AI1097" s="37">
        <v>0</v>
      </c>
    </row>
    <row r="1098" spans="1:35" x14ac:dyDescent="0.25">
      <c r="A1098" s="38" t="s">
        <v>110</v>
      </c>
      <c r="B1098" s="39" t="s">
        <v>2715</v>
      </c>
      <c r="C1098" s="39" t="s">
        <v>2716</v>
      </c>
      <c r="D1098" s="39">
        <v>1565</v>
      </c>
      <c r="E1098" s="39" t="s">
        <v>3990</v>
      </c>
      <c r="F1098" s="39" t="s">
        <v>3991</v>
      </c>
      <c r="G1098" s="39" t="s">
        <v>115</v>
      </c>
      <c r="H1098" s="39" t="s">
        <v>116</v>
      </c>
      <c r="I1098" s="39" t="s">
        <v>117</v>
      </c>
      <c r="J1098" s="39" t="s">
        <v>141</v>
      </c>
      <c r="K1098" s="40">
        <v>46075</v>
      </c>
      <c r="L1098" s="40">
        <v>46139</v>
      </c>
      <c r="M1098" s="40"/>
      <c r="N1098" s="40"/>
      <c r="O1098" s="40"/>
      <c r="P1098" s="40"/>
      <c r="Q1098" s="40"/>
      <c r="R1098" s="39" t="s">
        <v>175</v>
      </c>
      <c r="S1098" s="39" t="s">
        <v>1703</v>
      </c>
      <c r="T1098" s="39" t="s">
        <v>804</v>
      </c>
      <c r="U1098" s="35" t="s">
        <v>87</v>
      </c>
      <c r="V1098" s="39" t="s">
        <v>845</v>
      </c>
      <c r="W1098" s="39" t="s">
        <v>123</v>
      </c>
      <c r="X1098" s="39">
        <v>790.82</v>
      </c>
      <c r="Y1098" s="39">
        <v>102.81</v>
      </c>
      <c r="Z1098" s="39">
        <v>102.81</v>
      </c>
      <c r="AA1098" s="39">
        <v>0</v>
      </c>
      <c r="AB1098" s="39"/>
      <c r="AC1098" s="39">
        <v>0</v>
      </c>
      <c r="AD1098" s="39"/>
      <c r="AE1098" s="39">
        <v>0</v>
      </c>
      <c r="AF1098" s="39"/>
      <c r="AG1098" s="39">
        <v>0</v>
      </c>
      <c r="AH1098" s="39"/>
      <c r="AI1098" s="41">
        <v>0</v>
      </c>
    </row>
    <row r="1099" spans="1:35" x14ac:dyDescent="0.25">
      <c r="A1099" s="34" t="s">
        <v>110</v>
      </c>
      <c r="B1099" s="35" t="s">
        <v>2690</v>
      </c>
      <c r="C1099" s="35" t="s">
        <v>2691</v>
      </c>
      <c r="D1099" s="35">
        <v>26349</v>
      </c>
      <c r="E1099" s="35" t="s">
        <v>3992</v>
      </c>
      <c r="F1099" s="35" t="s">
        <v>3993</v>
      </c>
      <c r="G1099" s="35" t="s">
        <v>115</v>
      </c>
      <c r="H1099" s="35" t="s">
        <v>160</v>
      </c>
      <c r="I1099" s="35" t="s">
        <v>117</v>
      </c>
      <c r="J1099" s="35" t="s">
        <v>141</v>
      </c>
      <c r="K1099" s="36">
        <v>46075</v>
      </c>
      <c r="L1099" s="36">
        <v>46118</v>
      </c>
      <c r="M1099" s="36"/>
      <c r="N1099" s="36"/>
      <c r="O1099" s="36"/>
      <c r="P1099" s="36"/>
      <c r="Q1099" s="36"/>
      <c r="R1099" s="35" t="s">
        <v>142</v>
      </c>
      <c r="S1099" s="35" t="s">
        <v>1630</v>
      </c>
      <c r="T1099" s="35" t="s">
        <v>1631</v>
      </c>
      <c r="U1099" s="35" t="s">
        <v>85</v>
      </c>
      <c r="V1099" s="35" t="s">
        <v>845</v>
      </c>
      <c r="W1099" s="35" t="s">
        <v>123</v>
      </c>
      <c r="X1099" s="35">
        <v>1682.1</v>
      </c>
      <c r="Y1099" s="35">
        <v>344.83</v>
      </c>
      <c r="Z1099" s="35">
        <v>344.83</v>
      </c>
      <c r="AA1099" s="35">
        <v>0</v>
      </c>
      <c r="AB1099" s="35"/>
      <c r="AC1099" s="35">
        <v>0</v>
      </c>
      <c r="AD1099" s="35"/>
      <c r="AE1099" s="35">
        <v>0</v>
      </c>
      <c r="AF1099" s="35"/>
      <c r="AG1099" s="35">
        <v>0</v>
      </c>
      <c r="AH1099" s="35"/>
      <c r="AI1099" s="37">
        <v>0</v>
      </c>
    </row>
    <row r="1100" spans="1:35" x14ac:dyDescent="0.25">
      <c r="A1100" s="38" t="s">
        <v>110</v>
      </c>
      <c r="B1100" s="39" t="s">
        <v>2757</v>
      </c>
      <c r="C1100" s="39" t="s">
        <v>2758</v>
      </c>
      <c r="D1100" s="39">
        <v>27520</v>
      </c>
      <c r="E1100" s="39" t="s">
        <v>3994</v>
      </c>
      <c r="F1100" s="39" t="s">
        <v>3995</v>
      </c>
      <c r="G1100" s="39" t="s">
        <v>115</v>
      </c>
      <c r="H1100" s="39" t="s">
        <v>160</v>
      </c>
      <c r="I1100" s="39" t="s">
        <v>117</v>
      </c>
      <c r="J1100" s="39" t="s">
        <v>141</v>
      </c>
      <c r="K1100" s="40">
        <v>46075</v>
      </c>
      <c r="L1100" s="40">
        <v>46141</v>
      </c>
      <c r="M1100" s="40"/>
      <c r="N1100" s="40"/>
      <c r="O1100" s="40"/>
      <c r="P1100" s="40"/>
      <c r="Q1100" s="40"/>
      <c r="R1100" s="39" t="s">
        <v>142</v>
      </c>
      <c r="S1100" s="39" t="s">
        <v>2434</v>
      </c>
      <c r="T1100" s="39" t="s">
        <v>151</v>
      </c>
      <c r="U1100" s="35" t="s">
        <v>90</v>
      </c>
      <c r="V1100" s="39" t="s">
        <v>845</v>
      </c>
      <c r="W1100" s="39" t="s">
        <v>123</v>
      </c>
      <c r="X1100" s="39">
        <v>274.08</v>
      </c>
      <c r="Y1100" s="39">
        <v>68.52</v>
      </c>
      <c r="Z1100" s="39">
        <v>68.52</v>
      </c>
      <c r="AA1100" s="39">
        <v>0</v>
      </c>
      <c r="AB1100" s="39"/>
      <c r="AC1100" s="39">
        <v>0</v>
      </c>
      <c r="AD1100" s="39"/>
      <c r="AE1100" s="39">
        <v>0</v>
      </c>
      <c r="AF1100" s="39"/>
      <c r="AG1100" s="39">
        <v>0</v>
      </c>
      <c r="AH1100" s="39"/>
      <c r="AI1100" s="41">
        <v>0</v>
      </c>
    </row>
    <row r="1101" spans="1:35" x14ac:dyDescent="0.25">
      <c r="A1101" s="34" t="s">
        <v>110</v>
      </c>
      <c r="B1101" s="35" t="s">
        <v>2424</v>
      </c>
      <c r="C1101" s="35" t="s">
        <v>2668</v>
      </c>
      <c r="D1101" s="35">
        <v>14617</v>
      </c>
      <c r="E1101" s="35" t="s">
        <v>3996</v>
      </c>
      <c r="F1101" s="35" t="s">
        <v>3997</v>
      </c>
      <c r="G1101" s="35" t="s">
        <v>115</v>
      </c>
      <c r="H1101" s="35" t="s">
        <v>160</v>
      </c>
      <c r="I1101" s="35" t="s">
        <v>117</v>
      </c>
      <c r="J1101" s="35" t="s">
        <v>141</v>
      </c>
      <c r="K1101" s="36">
        <v>46075</v>
      </c>
      <c r="L1101" s="36">
        <v>46116</v>
      </c>
      <c r="M1101" s="36"/>
      <c r="N1101" s="36"/>
      <c r="O1101" s="36"/>
      <c r="P1101" s="36"/>
      <c r="Q1101" s="36"/>
      <c r="R1101" s="35" t="s">
        <v>142</v>
      </c>
      <c r="S1101" s="35" t="s">
        <v>855</v>
      </c>
      <c r="T1101" s="35" t="s">
        <v>83</v>
      </c>
      <c r="U1101" s="35" t="s">
        <v>83</v>
      </c>
      <c r="V1101" s="35" t="s">
        <v>845</v>
      </c>
      <c r="W1101" s="35" t="s">
        <v>123</v>
      </c>
      <c r="X1101" s="35">
        <v>1365.66</v>
      </c>
      <c r="Y1101" s="35">
        <v>325.02999999999997</v>
      </c>
      <c r="Z1101" s="35">
        <v>325.02999999999997</v>
      </c>
      <c r="AA1101" s="35">
        <v>0</v>
      </c>
      <c r="AB1101" s="35"/>
      <c r="AC1101" s="35">
        <v>0</v>
      </c>
      <c r="AD1101" s="35"/>
      <c r="AE1101" s="35">
        <v>0</v>
      </c>
      <c r="AF1101" s="35"/>
      <c r="AG1101" s="35">
        <v>0</v>
      </c>
      <c r="AH1101" s="35"/>
      <c r="AI1101" s="37">
        <v>0</v>
      </c>
    </row>
    <row r="1102" spans="1:35" x14ac:dyDescent="0.25">
      <c r="A1102" s="38" t="s">
        <v>110</v>
      </c>
      <c r="B1102" s="39" t="s">
        <v>2504</v>
      </c>
      <c r="C1102" s="39" t="s">
        <v>2669</v>
      </c>
      <c r="D1102" s="39">
        <v>194</v>
      </c>
      <c r="E1102" s="39" t="s">
        <v>3998</v>
      </c>
      <c r="F1102" s="39" t="s">
        <v>3999</v>
      </c>
      <c r="G1102" s="39" t="s">
        <v>115</v>
      </c>
      <c r="H1102" s="39" t="s">
        <v>160</v>
      </c>
      <c r="I1102" s="39" t="s">
        <v>117</v>
      </c>
      <c r="J1102" s="39" t="s">
        <v>141</v>
      </c>
      <c r="K1102" s="40">
        <v>46075</v>
      </c>
      <c r="L1102" s="40">
        <v>46138</v>
      </c>
      <c r="M1102" s="40"/>
      <c r="N1102" s="40"/>
      <c r="O1102" s="40"/>
      <c r="P1102" s="40"/>
      <c r="Q1102" s="40"/>
      <c r="R1102" s="39" t="s">
        <v>142</v>
      </c>
      <c r="S1102" s="39" t="s">
        <v>855</v>
      </c>
      <c r="T1102" s="39" t="s">
        <v>83</v>
      </c>
      <c r="U1102" s="35" t="s">
        <v>83</v>
      </c>
      <c r="V1102" s="39" t="s">
        <v>845</v>
      </c>
      <c r="W1102" s="39" t="s">
        <v>123</v>
      </c>
      <c r="X1102" s="39">
        <v>814.86</v>
      </c>
      <c r="Y1102" s="39">
        <v>193.94</v>
      </c>
      <c r="Z1102" s="39">
        <v>193.94</v>
      </c>
      <c r="AA1102" s="39">
        <v>0</v>
      </c>
      <c r="AB1102" s="39"/>
      <c r="AC1102" s="39">
        <v>0</v>
      </c>
      <c r="AD1102" s="39"/>
      <c r="AE1102" s="39">
        <v>0</v>
      </c>
      <c r="AF1102" s="39"/>
      <c r="AG1102" s="39">
        <v>0</v>
      </c>
      <c r="AH1102" s="39"/>
      <c r="AI1102" s="41">
        <v>0</v>
      </c>
    </row>
    <row r="1103" spans="1:35" x14ac:dyDescent="0.25">
      <c r="A1103" s="34" t="s">
        <v>110</v>
      </c>
      <c r="B1103" s="35" t="s">
        <v>2670</v>
      </c>
      <c r="C1103" s="35" t="s">
        <v>2671</v>
      </c>
      <c r="D1103" s="35">
        <v>19185</v>
      </c>
      <c r="E1103" s="35" t="s">
        <v>4000</v>
      </c>
      <c r="F1103" s="35" t="s">
        <v>4001</v>
      </c>
      <c r="G1103" s="35" t="s">
        <v>115</v>
      </c>
      <c r="H1103" s="35" t="s">
        <v>160</v>
      </c>
      <c r="I1103" s="35" t="s">
        <v>117</v>
      </c>
      <c r="J1103" s="35" t="s">
        <v>141</v>
      </c>
      <c r="K1103" s="36">
        <v>46075</v>
      </c>
      <c r="L1103" s="36">
        <v>46117</v>
      </c>
      <c r="M1103" s="36"/>
      <c r="N1103" s="36"/>
      <c r="O1103" s="36"/>
      <c r="P1103" s="36"/>
      <c r="Q1103" s="36"/>
      <c r="R1103" s="35" t="s">
        <v>142</v>
      </c>
      <c r="S1103" s="35" t="s">
        <v>855</v>
      </c>
      <c r="T1103" s="35" t="s">
        <v>83</v>
      </c>
      <c r="U1103" s="35" t="s">
        <v>83</v>
      </c>
      <c r="V1103" s="35" t="s">
        <v>845</v>
      </c>
      <c r="W1103" s="35" t="s">
        <v>123</v>
      </c>
      <c r="X1103" s="35">
        <v>223.2</v>
      </c>
      <c r="Y1103" s="35">
        <v>53.12</v>
      </c>
      <c r="Z1103" s="35">
        <v>53.12</v>
      </c>
      <c r="AA1103" s="35">
        <v>0</v>
      </c>
      <c r="AB1103" s="35"/>
      <c r="AC1103" s="35">
        <v>0</v>
      </c>
      <c r="AD1103" s="35"/>
      <c r="AE1103" s="35">
        <v>0</v>
      </c>
      <c r="AF1103" s="35"/>
      <c r="AG1103" s="35">
        <v>0</v>
      </c>
      <c r="AH1103" s="35"/>
      <c r="AI1103" s="37">
        <v>0</v>
      </c>
    </row>
    <row r="1104" spans="1:35" x14ac:dyDescent="0.25">
      <c r="A1104" s="38" t="s">
        <v>110</v>
      </c>
      <c r="B1104" s="39" t="s">
        <v>2670</v>
      </c>
      <c r="C1104" s="39" t="s">
        <v>2672</v>
      </c>
      <c r="D1104" s="39">
        <v>19186</v>
      </c>
      <c r="E1104" s="39" t="s">
        <v>4002</v>
      </c>
      <c r="F1104" s="39" t="s">
        <v>4003</v>
      </c>
      <c r="G1104" s="39" t="s">
        <v>115</v>
      </c>
      <c r="H1104" s="39" t="s">
        <v>160</v>
      </c>
      <c r="I1104" s="39" t="s">
        <v>117</v>
      </c>
      <c r="J1104" s="39" t="s">
        <v>141</v>
      </c>
      <c r="K1104" s="40">
        <v>46075</v>
      </c>
      <c r="L1104" s="40">
        <v>46117</v>
      </c>
      <c r="M1104" s="40"/>
      <c r="N1104" s="40"/>
      <c r="O1104" s="40"/>
      <c r="P1104" s="40"/>
      <c r="Q1104" s="40"/>
      <c r="R1104" s="39" t="s">
        <v>142</v>
      </c>
      <c r="S1104" s="39" t="s">
        <v>855</v>
      </c>
      <c r="T1104" s="39" t="s">
        <v>83</v>
      </c>
      <c r="U1104" s="35" t="s">
        <v>83</v>
      </c>
      <c r="V1104" s="39" t="s">
        <v>845</v>
      </c>
      <c r="W1104" s="39" t="s">
        <v>123</v>
      </c>
      <c r="X1104" s="39">
        <v>214.16</v>
      </c>
      <c r="Y1104" s="39">
        <v>50.97</v>
      </c>
      <c r="Z1104" s="39">
        <v>50.97</v>
      </c>
      <c r="AA1104" s="39">
        <v>0</v>
      </c>
      <c r="AB1104" s="39"/>
      <c r="AC1104" s="39">
        <v>0</v>
      </c>
      <c r="AD1104" s="39"/>
      <c r="AE1104" s="39">
        <v>0</v>
      </c>
      <c r="AF1104" s="39"/>
      <c r="AG1104" s="39">
        <v>0</v>
      </c>
      <c r="AH1104" s="39"/>
      <c r="AI1104" s="41">
        <v>0</v>
      </c>
    </row>
    <row r="1105" spans="1:35" x14ac:dyDescent="0.25">
      <c r="A1105" s="34" t="s">
        <v>110</v>
      </c>
      <c r="B1105" s="35" t="s">
        <v>805</v>
      </c>
      <c r="C1105" s="35" t="s">
        <v>2673</v>
      </c>
      <c r="D1105" s="35">
        <v>20038</v>
      </c>
      <c r="E1105" s="35" t="s">
        <v>4004</v>
      </c>
      <c r="F1105" s="35" t="s">
        <v>4005</v>
      </c>
      <c r="G1105" s="35" t="s">
        <v>115</v>
      </c>
      <c r="H1105" s="35" t="s">
        <v>160</v>
      </c>
      <c r="I1105" s="35" t="s">
        <v>117</v>
      </c>
      <c r="J1105" s="35" t="s">
        <v>141</v>
      </c>
      <c r="K1105" s="36">
        <v>46075</v>
      </c>
      <c r="L1105" s="36">
        <v>46134</v>
      </c>
      <c r="M1105" s="36"/>
      <c r="N1105" s="36"/>
      <c r="O1105" s="36"/>
      <c r="P1105" s="36"/>
      <c r="Q1105" s="36"/>
      <c r="R1105" s="35" t="s">
        <v>142</v>
      </c>
      <c r="S1105" s="35" t="s">
        <v>855</v>
      </c>
      <c r="T1105" s="35" t="s">
        <v>83</v>
      </c>
      <c r="U1105" s="35" t="s">
        <v>83</v>
      </c>
      <c r="V1105" s="35" t="s">
        <v>845</v>
      </c>
      <c r="W1105" s="35" t="s">
        <v>123</v>
      </c>
      <c r="X1105" s="35">
        <v>264.10000000000002</v>
      </c>
      <c r="Y1105" s="35">
        <v>62.86</v>
      </c>
      <c r="Z1105" s="35">
        <v>62.86</v>
      </c>
      <c r="AA1105" s="35">
        <v>0</v>
      </c>
      <c r="AB1105" s="35"/>
      <c r="AC1105" s="35">
        <v>0</v>
      </c>
      <c r="AD1105" s="35"/>
      <c r="AE1105" s="35">
        <v>0</v>
      </c>
      <c r="AF1105" s="35"/>
      <c r="AG1105" s="35">
        <v>0</v>
      </c>
      <c r="AH1105" s="35"/>
      <c r="AI1105" s="37">
        <v>0</v>
      </c>
    </row>
    <row r="1106" spans="1:35" x14ac:dyDescent="0.25">
      <c r="A1106" s="38" t="s">
        <v>110</v>
      </c>
      <c r="B1106" s="39" t="s">
        <v>2674</v>
      </c>
      <c r="C1106" s="39" t="s">
        <v>2675</v>
      </c>
      <c r="D1106" s="39">
        <v>20107</v>
      </c>
      <c r="E1106" s="39" t="s">
        <v>4006</v>
      </c>
      <c r="F1106" s="39" t="s">
        <v>4007</v>
      </c>
      <c r="G1106" s="39" t="s">
        <v>115</v>
      </c>
      <c r="H1106" s="39" t="s">
        <v>160</v>
      </c>
      <c r="I1106" s="39" t="s">
        <v>117</v>
      </c>
      <c r="J1106" s="39" t="s">
        <v>141</v>
      </c>
      <c r="K1106" s="40">
        <v>46075</v>
      </c>
      <c r="L1106" s="40">
        <v>46125</v>
      </c>
      <c r="M1106" s="40"/>
      <c r="N1106" s="40"/>
      <c r="O1106" s="40"/>
      <c r="P1106" s="40"/>
      <c r="Q1106" s="40"/>
      <c r="R1106" s="39" t="s">
        <v>142</v>
      </c>
      <c r="S1106" s="39" t="s">
        <v>855</v>
      </c>
      <c r="T1106" s="39" t="s">
        <v>83</v>
      </c>
      <c r="U1106" s="35" t="s">
        <v>83</v>
      </c>
      <c r="V1106" s="39" t="s">
        <v>845</v>
      </c>
      <c r="W1106" s="39" t="s">
        <v>123</v>
      </c>
      <c r="X1106" s="39">
        <v>312.72000000000003</v>
      </c>
      <c r="Y1106" s="39">
        <v>74.430000000000007</v>
      </c>
      <c r="Z1106" s="39">
        <v>74.430000000000007</v>
      </c>
      <c r="AA1106" s="39">
        <v>0</v>
      </c>
      <c r="AB1106" s="39"/>
      <c r="AC1106" s="39">
        <v>0</v>
      </c>
      <c r="AD1106" s="39" t="s">
        <v>130</v>
      </c>
      <c r="AE1106" s="39">
        <v>0</v>
      </c>
      <c r="AF1106" s="39"/>
      <c r="AG1106" s="39">
        <v>0</v>
      </c>
      <c r="AH1106" s="39"/>
      <c r="AI1106" s="41">
        <v>0</v>
      </c>
    </row>
    <row r="1107" spans="1:35" x14ac:dyDescent="0.25">
      <c r="A1107" s="34" t="s">
        <v>110</v>
      </c>
      <c r="B1107" s="35" t="s">
        <v>2676</v>
      </c>
      <c r="C1107" s="35" t="s">
        <v>2677</v>
      </c>
      <c r="D1107" s="35">
        <v>20126</v>
      </c>
      <c r="E1107" s="35" t="s">
        <v>4008</v>
      </c>
      <c r="F1107" s="35" t="s">
        <v>4009</v>
      </c>
      <c r="G1107" s="35" t="s">
        <v>115</v>
      </c>
      <c r="H1107" s="35" t="s">
        <v>116</v>
      </c>
      <c r="I1107" s="35" t="s">
        <v>117</v>
      </c>
      <c r="J1107" s="35" t="s">
        <v>141</v>
      </c>
      <c r="K1107" s="36">
        <v>46075</v>
      </c>
      <c r="L1107" s="36">
        <v>46127</v>
      </c>
      <c r="M1107" s="36"/>
      <c r="N1107" s="36"/>
      <c r="O1107" s="36"/>
      <c r="P1107" s="36"/>
      <c r="Q1107" s="36"/>
      <c r="R1107" s="35" t="s">
        <v>175</v>
      </c>
      <c r="S1107" s="35" t="s">
        <v>855</v>
      </c>
      <c r="T1107" s="35" t="s">
        <v>83</v>
      </c>
      <c r="U1107" s="35" t="s">
        <v>83</v>
      </c>
      <c r="V1107" s="35" t="s">
        <v>845</v>
      </c>
      <c r="W1107" s="35" t="s">
        <v>123</v>
      </c>
      <c r="X1107" s="35">
        <v>202.99</v>
      </c>
      <c r="Y1107" s="35">
        <v>48.31</v>
      </c>
      <c r="Z1107" s="35">
        <v>48.31</v>
      </c>
      <c r="AA1107" s="35">
        <v>0</v>
      </c>
      <c r="AB1107" s="35"/>
      <c r="AC1107" s="35">
        <v>0</v>
      </c>
      <c r="AD1107" s="35"/>
      <c r="AE1107" s="35">
        <v>0</v>
      </c>
      <c r="AF1107" s="35"/>
      <c r="AG1107" s="35">
        <v>0</v>
      </c>
      <c r="AH1107" s="35"/>
      <c r="AI1107" s="37">
        <v>0</v>
      </c>
    </row>
    <row r="1108" spans="1:35" x14ac:dyDescent="0.25">
      <c r="A1108" s="38" t="s">
        <v>110</v>
      </c>
      <c r="B1108" s="39" t="s">
        <v>2678</v>
      </c>
      <c r="C1108" s="39" t="s">
        <v>2679</v>
      </c>
      <c r="D1108" s="39">
        <v>20208</v>
      </c>
      <c r="E1108" s="39" t="s">
        <v>4010</v>
      </c>
      <c r="F1108" s="39" t="s">
        <v>4011</v>
      </c>
      <c r="G1108" s="39" t="s">
        <v>115</v>
      </c>
      <c r="H1108" s="39" t="s">
        <v>160</v>
      </c>
      <c r="I1108" s="39" t="s">
        <v>117</v>
      </c>
      <c r="J1108" s="39" t="s">
        <v>141</v>
      </c>
      <c r="K1108" s="40">
        <v>46075</v>
      </c>
      <c r="L1108" s="40">
        <v>46122</v>
      </c>
      <c r="M1108" s="40"/>
      <c r="N1108" s="40"/>
      <c r="O1108" s="40"/>
      <c r="P1108" s="40"/>
      <c r="Q1108" s="40"/>
      <c r="R1108" s="39" t="s">
        <v>142</v>
      </c>
      <c r="S1108" s="39" t="s">
        <v>855</v>
      </c>
      <c r="T1108" s="39" t="s">
        <v>83</v>
      </c>
      <c r="U1108" s="35" t="s">
        <v>83</v>
      </c>
      <c r="V1108" s="39" t="s">
        <v>845</v>
      </c>
      <c r="W1108" s="39" t="s">
        <v>123</v>
      </c>
      <c r="X1108" s="39">
        <v>530.64</v>
      </c>
      <c r="Y1108" s="39">
        <v>126.29</v>
      </c>
      <c r="Z1108" s="39">
        <v>126.29</v>
      </c>
      <c r="AA1108" s="39">
        <v>0</v>
      </c>
      <c r="AB1108" s="39"/>
      <c r="AC1108" s="39">
        <v>0</v>
      </c>
      <c r="AD1108" s="39"/>
      <c r="AE1108" s="39">
        <v>0</v>
      </c>
      <c r="AF1108" s="39"/>
      <c r="AG1108" s="39">
        <v>0</v>
      </c>
      <c r="AH1108" s="39"/>
      <c r="AI1108" s="41">
        <v>0</v>
      </c>
    </row>
    <row r="1109" spans="1:35" x14ac:dyDescent="0.25">
      <c r="A1109" s="34" t="s">
        <v>110</v>
      </c>
      <c r="B1109" s="35" t="s">
        <v>2680</v>
      </c>
      <c r="C1109" s="35" t="s">
        <v>2681</v>
      </c>
      <c r="D1109" s="35">
        <v>22648</v>
      </c>
      <c r="E1109" s="35" t="s">
        <v>4012</v>
      </c>
      <c r="F1109" s="35" t="s">
        <v>4013</v>
      </c>
      <c r="G1109" s="35" t="s">
        <v>115</v>
      </c>
      <c r="H1109" s="35" t="s">
        <v>160</v>
      </c>
      <c r="I1109" s="35" t="s">
        <v>117</v>
      </c>
      <c r="J1109" s="35" t="s">
        <v>141</v>
      </c>
      <c r="K1109" s="36">
        <v>46075</v>
      </c>
      <c r="L1109" s="36">
        <v>46120</v>
      </c>
      <c r="M1109" s="36"/>
      <c r="N1109" s="36"/>
      <c r="O1109" s="36"/>
      <c r="P1109" s="36"/>
      <c r="Q1109" s="36"/>
      <c r="R1109" s="35" t="s">
        <v>142</v>
      </c>
      <c r="S1109" s="35" t="s">
        <v>855</v>
      </c>
      <c r="T1109" s="35" t="s">
        <v>83</v>
      </c>
      <c r="U1109" s="35" t="s">
        <v>83</v>
      </c>
      <c r="V1109" s="35" t="s">
        <v>845</v>
      </c>
      <c r="W1109" s="35" t="s">
        <v>123</v>
      </c>
      <c r="X1109" s="35">
        <v>196.26</v>
      </c>
      <c r="Y1109" s="35">
        <v>46.7</v>
      </c>
      <c r="Z1109" s="35">
        <v>46.7</v>
      </c>
      <c r="AA1109" s="35">
        <v>0</v>
      </c>
      <c r="AB1109" s="35"/>
      <c r="AC1109" s="35">
        <v>0</v>
      </c>
      <c r="AD1109" s="35"/>
      <c r="AE1109" s="35">
        <v>0</v>
      </c>
      <c r="AF1109" s="35"/>
      <c r="AG1109" s="35">
        <v>0</v>
      </c>
      <c r="AH1109" s="35"/>
      <c r="AI1109" s="37">
        <v>0</v>
      </c>
    </row>
    <row r="1110" spans="1:35" x14ac:dyDescent="0.25">
      <c r="A1110" s="38" t="s">
        <v>110</v>
      </c>
      <c r="B1110" s="39" t="s">
        <v>2682</v>
      </c>
      <c r="C1110" s="39" t="s">
        <v>2683</v>
      </c>
      <c r="D1110" s="39">
        <v>22791</v>
      </c>
      <c r="E1110" s="39" t="s">
        <v>4014</v>
      </c>
      <c r="F1110" s="39" t="s">
        <v>4015</v>
      </c>
      <c r="G1110" s="39" t="s">
        <v>115</v>
      </c>
      <c r="H1110" s="39" t="s">
        <v>160</v>
      </c>
      <c r="I1110" s="39" t="s">
        <v>117</v>
      </c>
      <c r="J1110" s="39" t="s">
        <v>141</v>
      </c>
      <c r="K1110" s="40">
        <v>46075</v>
      </c>
      <c r="L1110" s="40">
        <v>46135</v>
      </c>
      <c r="M1110" s="40"/>
      <c r="N1110" s="40"/>
      <c r="O1110" s="40"/>
      <c r="P1110" s="40"/>
      <c r="Q1110" s="40"/>
      <c r="R1110" s="39" t="s">
        <v>142</v>
      </c>
      <c r="S1110" s="39" t="s">
        <v>855</v>
      </c>
      <c r="T1110" s="39" t="s">
        <v>83</v>
      </c>
      <c r="U1110" s="35" t="s">
        <v>83</v>
      </c>
      <c r="V1110" s="39" t="s">
        <v>845</v>
      </c>
      <c r="W1110" s="39" t="s">
        <v>123</v>
      </c>
      <c r="X1110" s="39">
        <v>255.45</v>
      </c>
      <c r="Y1110" s="39">
        <v>60.8</v>
      </c>
      <c r="Z1110" s="39">
        <v>60.8</v>
      </c>
      <c r="AA1110" s="39">
        <v>0</v>
      </c>
      <c r="AB1110" s="39"/>
      <c r="AC1110" s="39">
        <v>0</v>
      </c>
      <c r="AD1110" s="39"/>
      <c r="AE1110" s="39">
        <v>0</v>
      </c>
      <c r="AF1110" s="39"/>
      <c r="AG1110" s="39">
        <v>0</v>
      </c>
      <c r="AH1110" s="39"/>
      <c r="AI1110" s="41">
        <v>0</v>
      </c>
    </row>
    <row r="1111" spans="1:35" x14ac:dyDescent="0.25">
      <c r="A1111" s="34" t="s">
        <v>110</v>
      </c>
      <c r="B1111" s="35" t="s">
        <v>2684</v>
      </c>
      <c r="C1111" s="35" t="s">
        <v>2685</v>
      </c>
      <c r="D1111" s="35">
        <v>26386</v>
      </c>
      <c r="E1111" s="35" t="s">
        <v>4016</v>
      </c>
      <c r="F1111" s="35" t="s">
        <v>4017</v>
      </c>
      <c r="G1111" s="35" t="s">
        <v>115</v>
      </c>
      <c r="H1111" s="35" t="s">
        <v>160</v>
      </c>
      <c r="I1111" s="35" t="s">
        <v>117</v>
      </c>
      <c r="J1111" s="35" t="s">
        <v>141</v>
      </c>
      <c r="K1111" s="36">
        <v>46075</v>
      </c>
      <c r="L1111" s="36">
        <v>46132</v>
      </c>
      <c r="M1111" s="36"/>
      <c r="N1111" s="36"/>
      <c r="O1111" s="36"/>
      <c r="P1111" s="36"/>
      <c r="Q1111" s="36"/>
      <c r="R1111" s="35" t="s">
        <v>142</v>
      </c>
      <c r="S1111" s="35" t="s">
        <v>855</v>
      </c>
      <c r="T1111" s="35" t="s">
        <v>83</v>
      </c>
      <c r="U1111" s="35" t="s">
        <v>83</v>
      </c>
      <c r="V1111" s="35" t="s">
        <v>845</v>
      </c>
      <c r="W1111" s="35" t="s">
        <v>123</v>
      </c>
      <c r="X1111" s="35">
        <v>240.55</v>
      </c>
      <c r="Y1111" s="35">
        <v>57.25</v>
      </c>
      <c r="Z1111" s="35">
        <v>57.25</v>
      </c>
      <c r="AA1111" s="35">
        <v>0</v>
      </c>
      <c r="AB1111" s="35"/>
      <c r="AC1111" s="35">
        <v>0</v>
      </c>
      <c r="AD1111" s="35"/>
      <c r="AE1111" s="35">
        <v>0</v>
      </c>
      <c r="AF1111" s="35"/>
      <c r="AG1111" s="35">
        <v>0</v>
      </c>
      <c r="AH1111" s="35"/>
      <c r="AI1111" s="37">
        <v>0</v>
      </c>
    </row>
    <row r="1112" spans="1:35" x14ac:dyDescent="0.25">
      <c r="A1112" s="38" t="s">
        <v>110</v>
      </c>
      <c r="B1112" s="39" t="s">
        <v>2782</v>
      </c>
      <c r="C1112" s="39" t="s">
        <v>2783</v>
      </c>
      <c r="D1112" s="39">
        <v>28042</v>
      </c>
      <c r="E1112" s="39" t="s">
        <v>4018</v>
      </c>
      <c r="F1112" s="39" t="s">
        <v>4019</v>
      </c>
      <c r="G1112" s="39" t="s">
        <v>115</v>
      </c>
      <c r="H1112" s="39" t="s">
        <v>160</v>
      </c>
      <c r="I1112" s="39" t="s">
        <v>117</v>
      </c>
      <c r="J1112" s="39" t="s">
        <v>141</v>
      </c>
      <c r="K1112" s="40">
        <v>46075</v>
      </c>
      <c r="L1112" s="40">
        <v>46120</v>
      </c>
      <c r="M1112" s="40"/>
      <c r="N1112" s="40"/>
      <c r="O1112" s="40"/>
      <c r="P1112" s="40"/>
      <c r="Q1112" s="40"/>
      <c r="R1112" s="39" t="s">
        <v>142</v>
      </c>
      <c r="S1112" s="39" t="s">
        <v>855</v>
      </c>
      <c r="T1112" s="39" t="s">
        <v>83</v>
      </c>
      <c r="U1112" s="35" t="s">
        <v>83</v>
      </c>
      <c r="V1112" s="39" t="s">
        <v>845</v>
      </c>
      <c r="W1112" s="39" t="s">
        <v>123</v>
      </c>
      <c r="X1112" s="39">
        <v>193.63</v>
      </c>
      <c r="Y1112" s="39">
        <v>48.41</v>
      </c>
      <c r="Z1112" s="39">
        <v>48.41</v>
      </c>
      <c r="AA1112" s="39">
        <v>0</v>
      </c>
      <c r="AB1112" s="39"/>
      <c r="AC1112" s="39">
        <v>0</v>
      </c>
      <c r="AD1112" s="39"/>
      <c r="AE1112" s="39">
        <v>0</v>
      </c>
      <c r="AF1112" s="39"/>
      <c r="AG1112" s="39">
        <v>0</v>
      </c>
      <c r="AH1112" s="39"/>
      <c r="AI1112" s="41">
        <v>0</v>
      </c>
    </row>
    <row r="1113" spans="1:35" x14ac:dyDescent="0.25">
      <c r="A1113" s="34" t="s">
        <v>110</v>
      </c>
      <c r="B1113" s="35" t="s">
        <v>2784</v>
      </c>
      <c r="C1113" s="35" t="s">
        <v>2785</v>
      </c>
      <c r="D1113" s="35">
        <v>28043</v>
      </c>
      <c r="E1113" s="35" t="s">
        <v>4020</v>
      </c>
      <c r="F1113" s="35" t="s">
        <v>4021</v>
      </c>
      <c r="G1113" s="35" t="s">
        <v>115</v>
      </c>
      <c r="H1113" s="35" t="s">
        <v>160</v>
      </c>
      <c r="I1113" s="35" t="s">
        <v>117</v>
      </c>
      <c r="J1113" s="35" t="s">
        <v>141</v>
      </c>
      <c r="K1113" s="36">
        <v>46075</v>
      </c>
      <c r="L1113" s="36">
        <v>46120</v>
      </c>
      <c r="M1113" s="36"/>
      <c r="N1113" s="36"/>
      <c r="O1113" s="36"/>
      <c r="P1113" s="36"/>
      <c r="Q1113" s="36"/>
      <c r="R1113" s="35" t="s">
        <v>142</v>
      </c>
      <c r="S1113" s="35" t="s">
        <v>855</v>
      </c>
      <c r="T1113" s="35" t="s">
        <v>83</v>
      </c>
      <c r="U1113" s="35" t="s">
        <v>83</v>
      </c>
      <c r="V1113" s="35" t="s">
        <v>845</v>
      </c>
      <c r="W1113" s="35" t="s">
        <v>123</v>
      </c>
      <c r="X1113" s="35">
        <v>124.18</v>
      </c>
      <c r="Y1113" s="35">
        <v>31.04</v>
      </c>
      <c r="Z1113" s="35">
        <v>31.04</v>
      </c>
      <c r="AA1113" s="35">
        <v>0</v>
      </c>
      <c r="AB1113" s="35"/>
      <c r="AC1113" s="35">
        <v>0</v>
      </c>
      <c r="AD1113" s="35"/>
      <c r="AE1113" s="35">
        <v>0</v>
      </c>
      <c r="AF1113" s="35"/>
      <c r="AG1113" s="35">
        <v>0</v>
      </c>
      <c r="AH1113" s="35"/>
      <c r="AI1113" s="37">
        <v>0</v>
      </c>
    </row>
    <row r="1114" spans="1:35" x14ac:dyDescent="0.25">
      <c r="A1114" s="38" t="s">
        <v>110</v>
      </c>
      <c r="B1114" s="39" t="s">
        <v>2787</v>
      </c>
      <c r="C1114" s="39" t="s">
        <v>2788</v>
      </c>
      <c r="D1114" s="39">
        <v>28067</v>
      </c>
      <c r="E1114" s="39" t="s">
        <v>4022</v>
      </c>
      <c r="F1114" s="39" t="s">
        <v>4023</v>
      </c>
      <c r="G1114" s="39" t="s">
        <v>115</v>
      </c>
      <c r="H1114" s="39" t="s">
        <v>160</v>
      </c>
      <c r="I1114" s="39" t="s">
        <v>117</v>
      </c>
      <c r="J1114" s="39" t="s">
        <v>141</v>
      </c>
      <c r="K1114" s="40">
        <v>46075</v>
      </c>
      <c r="L1114" s="40">
        <v>46122</v>
      </c>
      <c r="M1114" s="40"/>
      <c r="N1114" s="40"/>
      <c r="O1114" s="40"/>
      <c r="P1114" s="40"/>
      <c r="Q1114" s="40"/>
      <c r="R1114" s="39" t="s">
        <v>142</v>
      </c>
      <c r="S1114" s="39" t="s">
        <v>855</v>
      </c>
      <c r="T1114" s="39" t="s">
        <v>83</v>
      </c>
      <c r="U1114" s="35" t="s">
        <v>83</v>
      </c>
      <c r="V1114" s="39" t="s">
        <v>845</v>
      </c>
      <c r="W1114" s="39" t="s">
        <v>123</v>
      </c>
      <c r="X1114" s="39">
        <v>285.62</v>
      </c>
      <c r="Y1114" s="39">
        <v>71.41</v>
      </c>
      <c r="Z1114" s="39">
        <v>71.41</v>
      </c>
      <c r="AA1114" s="39">
        <v>0</v>
      </c>
      <c r="AB1114" s="39"/>
      <c r="AC1114" s="39">
        <v>0</v>
      </c>
      <c r="AD1114" s="39"/>
      <c r="AE1114" s="39">
        <v>0</v>
      </c>
      <c r="AF1114" s="39"/>
      <c r="AG1114" s="39">
        <v>0</v>
      </c>
      <c r="AH1114" s="39"/>
      <c r="AI1114" s="41">
        <v>0</v>
      </c>
    </row>
    <row r="1115" spans="1:35" x14ac:dyDescent="0.25">
      <c r="A1115" s="34" t="s">
        <v>110</v>
      </c>
      <c r="B1115" s="35" t="s">
        <v>2802</v>
      </c>
      <c r="C1115" s="35" t="s">
        <v>2803</v>
      </c>
      <c r="D1115" s="35">
        <v>28152</v>
      </c>
      <c r="E1115" s="35" t="s">
        <v>4024</v>
      </c>
      <c r="F1115" s="35" t="s">
        <v>4025</v>
      </c>
      <c r="G1115" s="35" t="s">
        <v>115</v>
      </c>
      <c r="H1115" s="35" t="s">
        <v>160</v>
      </c>
      <c r="I1115" s="35" t="s">
        <v>117</v>
      </c>
      <c r="J1115" s="35" t="s">
        <v>141</v>
      </c>
      <c r="K1115" s="36">
        <v>46075</v>
      </c>
      <c r="L1115" s="36">
        <v>46142</v>
      </c>
      <c r="M1115" s="36"/>
      <c r="N1115" s="36"/>
      <c r="O1115" s="36"/>
      <c r="P1115" s="36"/>
      <c r="Q1115" s="36"/>
      <c r="R1115" s="35" t="s">
        <v>142</v>
      </c>
      <c r="S1115" s="35" t="s">
        <v>855</v>
      </c>
      <c r="T1115" s="35" t="s">
        <v>83</v>
      </c>
      <c r="U1115" s="35" t="s">
        <v>83</v>
      </c>
      <c r="V1115" s="35" t="s">
        <v>845</v>
      </c>
      <c r="W1115" s="35" t="s">
        <v>123</v>
      </c>
      <c r="X1115" s="35">
        <v>385.85</v>
      </c>
      <c r="Y1115" s="35">
        <v>96.46</v>
      </c>
      <c r="Z1115" s="35">
        <v>96.46</v>
      </c>
      <c r="AA1115" s="35">
        <v>0</v>
      </c>
      <c r="AB1115" s="35"/>
      <c r="AC1115" s="35">
        <v>0</v>
      </c>
      <c r="AD1115" s="35"/>
      <c r="AE1115" s="35">
        <v>0</v>
      </c>
      <c r="AF1115" s="35"/>
      <c r="AG1115" s="35">
        <v>0</v>
      </c>
      <c r="AH1115" s="35"/>
      <c r="AI1115" s="37">
        <v>0</v>
      </c>
    </row>
    <row r="1116" spans="1:35" x14ac:dyDescent="0.25">
      <c r="A1116" s="38" t="s">
        <v>110</v>
      </c>
      <c r="B1116" s="39" t="s">
        <v>2686</v>
      </c>
      <c r="C1116" s="39" t="s">
        <v>2687</v>
      </c>
      <c r="D1116" s="39">
        <v>19181</v>
      </c>
      <c r="E1116" s="39" t="s">
        <v>4026</v>
      </c>
      <c r="F1116" s="39" t="s">
        <v>4027</v>
      </c>
      <c r="G1116" s="39" t="s">
        <v>115</v>
      </c>
      <c r="H1116" s="39" t="s">
        <v>160</v>
      </c>
      <c r="I1116" s="39" t="s">
        <v>117</v>
      </c>
      <c r="J1116" s="39" t="s">
        <v>141</v>
      </c>
      <c r="K1116" s="40">
        <v>46075</v>
      </c>
      <c r="L1116" s="40">
        <v>46116</v>
      </c>
      <c r="M1116" s="40"/>
      <c r="N1116" s="40"/>
      <c r="O1116" s="40"/>
      <c r="P1116" s="40"/>
      <c r="Q1116" s="40"/>
      <c r="R1116" s="39" t="s">
        <v>142</v>
      </c>
      <c r="S1116" s="39" t="s">
        <v>1735</v>
      </c>
      <c r="T1116" s="39" t="s">
        <v>1736</v>
      </c>
      <c r="U1116" s="35" t="s">
        <v>87</v>
      </c>
      <c r="V1116" s="39" t="s">
        <v>845</v>
      </c>
      <c r="W1116" s="39" t="s">
        <v>123</v>
      </c>
      <c r="X1116" s="39">
        <v>304.06</v>
      </c>
      <c r="Y1116" s="39">
        <v>62.33</v>
      </c>
      <c r="Z1116" s="39">
        <v>62.33</v>
      </c>
      <c r="AA1116" s="39">
        <v>0</v>
      </c>
      <c r="AB1116" s="39"/>
      <c r="AC1116" s="39">
        <v>0</v>
      </c>
      <c r="AD1116" s="39"/>
      <c r="AE1116" s="39">
        <v>0</v>
      </c>
      <c r="AF1116" s="39"/>
      <c r="AG1116" s="39">
        <v>0</v>
      </c>
      <c r="AH1116" s="39"/>
      <c r="AI1116" s="41">
        <v>0</v>
      </c>
    </row>
    <row r="1117" spans="1:35" x14ac:dyDescent="0.25">
      <c r="A1117" s="34" t="s">
        <v>110</v>
      </c>
      <c r="B1117" s="35" t="s">
        <v>1828</v>
      </c>
      <c r="C1117" s="35" t="s">
        <v>1829</v>
      </c>
      <c r="D1117" s="35">
        <v>30397</v>
      </c>
      <c r="E1117" s="35" t="s">
        <v>4028</v>
      </c>
      <c r="F1117" s="35" t="s">
        <v>4029</v>
      </c>
      <c r="G1117" s="35" t="s">
        <v>174</v>
      </c>
      <c r="H1117" s="35" t="s">
        <v>160</v>
      </c>
      <c r="I1117" s="35" t="s">
        <v>217</v>
      </c>
      <c r="J1117" s="35" t="s">
        <v>118</v>
      </c>
      <c r="K1117" s="36">
        <v>46076</v>
      </c>
      <c r="L1117" s="36">
        <v>45665</v>
      </c>
      <c r="M1117" s="36">
        <v>46087</v>
      </c>
      <c r="N1117" s="36"/>
      <c r="O1117" s="36"/>
      <c r="P1117" s="36"/>
      <c r="Q1117" s="36"/>
      <c r="R1117" s="35" t="s">
        <v>218</v>
      </c>
      <c r="S1117" s="35" t="s">
        <v>1018</v>
      </c>
      <c r="T1117" s="35" t="s">
        <v>1018</v>
      </c>
      <c r="U1117" s="35" t="s">
        <v>82</v>
      </c>
      <c r="V1117" s="35" t="s">
        <v>226</v>
      </c>
      <c r="W1117" s="35" t="s">
        <v>123</v>
      </c>
      <c r="X1117" s="35">
        <v>-565.52</v>
      </c>
      <c r="Y1117" s="35">
        <v>-102.82</v>
      </c>
      <c r="Z1117" s="35">
        <v>-102.82</v>
      </c>
      <c r="AA1117" s="35">
        <v>0</v>
      </c>
      <c r="AB1117" s="35"/>
      <c r="AC1117" s="35">
        <v>0</v>
      </c>
      <c r="AD1117" s="35"/>
      <c r="AE1117" s="35">
        <v>0</v>
      </c>
      <c r="AF1117" s="35"/>
      <c r="AG1117" s="35">
        <v>0</v>
      </c>
      <c r="AH1117" s="35"/>
      <c r="AI1117" s="37">
        <v>0</v>
      </c>
    </row>
    <row r="1118" spans="1:35" x14ac:dyDescent="0.25">
      <c r="A1118" s="38" t="s">
        <v>110</v>
      </c>
      <c r="B1118" s="39" t="s">
        <v>2748</v>
      </c>
      <c r="C1118" s="39" t="s">
        <v>2875</v>
      </c>
      <c r="D1118" s="39">
        <v>30398</v>
      </c>
      <c r="E1118" s="39" t="s">
        <v>4030</v>
      </c>
      <c r="F1118" s="39" t="s">
        <v>4031</v>
      </c>
      <c r="G1118" s="39" t="s">
        <v>174</v>
      </c>
      <c r="H1118" s="39" t="s">
        <v>160</v>
      </c>
      <c r="I1118" s="39" t="s">
        <v>217</v>
      </c>
      <c r="J1118" s="39" t="s">
        <v>141</v>
      </c>
      <c r="K1118" s="40">
        <v>46076</v>
      </c>
      <c r="L1118" s="40">
        <v>45665</v>
      </c>
      <c r="M1118" s="40"/>
      <c r="N1118" s="40"/>
      <c r="O1118" s="40"/>
      <c r="P1118" s="40"/>
      <c r="Q1118" s="40"/>
      <c r="R1118" s="39" t="s">
        <v>218</v>
      </c>
      <c r="S1118" s="39" t="s">
        <v>1018</v>
      </c>
      <c r="T1118" s="39" t="s">
        <v>1018</v>
      </c>
      <c r="U1118" s="35" t="s">
        <v>82</v>
      </c>
      <c r="V1118" s="39" t="s">
        <v>226</v>
      </c>
      <c r="W1118" s="39" t="s">
        <v>123</v>
      </c>
      <c r="X1118" s="39">
        <v>5963.91</v>
      </c>
      <c r="Y1118" s="39">
        <v>1084.3399999999999</v>
      </c>
      <c r="Z1118" s="39">
        <v>1084.3399999999999</v>
      </c>
      <c r="AA1118" s="39">
        <v>0</v>
      </c>
      <c r="AB1118" s="39"/>
      <c r="AC1118" s="39">
        <v>0</v>
      </c>
      <c r="AD1118" s="39"/>
      <c r="AE1118" s="39">
        <v>0</v>
      </c>
      <c r="AF1118" s="39"/>
      <c r="AG1118" s="39">
        <v>0</v>
      </c>
      <c r="AH1118" s="39"/>
      <c r="AI1118" s="41">
        <v>0</v>
      </c>
    </row>
    <row r="1119" spans="1:35" x14ac:dyDescent="0.25">
      <c r="A1119" s="34" t="s">
        <v>110</v>
      </c>
      <c r="B1119" s="35" t="s">
        <v>2882</v>
      </c>
      <c r="C1119" s="35" t="s">
        <v>2883</v>
      </c>
      <c r="D1119" s="35">
        <v>30553</v>
      </c>
      <c r="E1119" s="35" t="s">
        <v>4032</v>
      </c>
      <c r="F1119" s="35" t="s">
        <v>4033</v>
      </c>
      <c r="G1119" s="35" t="s">
        <v>174</v>
      </c>
      <c r="H1119" s="35" t="s">
        <v>160</v>
      </c>
      <c r="I1119" s="35" t="s">
        <v>217</v>
      </c>
      <c r="J1119" s="35" t="s">
        <v>141</v>
      </c>
      <c r="K1119" s="36">
        <v>46076</v>
      </c>
      <c r="L1119" s="36">
        <v>45688</v>
      </c>
      <c r="M1119" s="36"/>
      <c r="N1119" s="36"/>
      <c r="O1119" s="36"/>
      <c r="P1119" s="36"/>
      <c r="Q1119" s="36"/>
      <c r="R1119" s="35" t="s">
        <v>218</v>
      </c>
      <c r="S1119" s="35" t="s">
        <v>1018</v>
      </c>
      <c r="T1119" s="35" t="s">
        <v>1018</v>
      </c>
      <c r="U1119" s="35" t="s">
        <v>82</v>
      </c>
      <c r="V1119" s="35" t="s">
        <v>226</v>
      </c>
      <c r="W1119" s="35" t="s">
        <v>123</v>
      </c>
      <c r="X1119" s="35">
        <v>4004.61</v>
      </c>
      <c r="Y1119" s="35">
        <v>728.12</v>
      </c>
      <c r="Z1119" s="35">
        <v>728.12</v>
      </c>
      <c r="AA1119" s="35">
        <v>0</v>
      </c>
      <c r="AB1119" s="35"/>
      <c r="AC1119" s="35">
        <v>0</v>
      </c>
      <c r="AD1119" s="35"/>
      <c r="AE1119" s="35">
        <v>0</v>
      </c>
      <c r="AF1119" s="35"/>
      <c r="AG1119" s="35">
        <v>0</v>
      </c>
      <c r="AH1119" s="35"/>
      <c r="AI1119" s="37">
        <v>0</v>
      </c>
    </row>
    <row r="1120" spans="1:35" x14ac:dyDescent="0.25">
      <c r="A1120" s="38" t="s">
        <v>110</v>
      </c>
      <c r="B1120" s="39" t="s">
        <v>1174</v>
      </c>
      <c r="C1120" s="39" t="s">
        <v>2916</v>
      </c>
      <c r="D1120" s="39">
        <v>31769</v>
      </c>
      <c r="E1120" s="39" t="s">
        <v>4034</v>
      </c>
      <c r="F1120" s="39" t="s">
        <v>4035</v>
      </c>
      <c r="G1120" s="39" t="s">
        <v>174</v>
      </c>
      <c r="H1120" s="39" t="s">
        <v>160</v>
      </c>
      <c r="I1120" s="39" t="s">
        <v>217</v>
      </c>
      <c r="J1120" s="39" t="s">
        <v>141</v>
      </c>
      <c r="K1120" s="40">
        <v>46076</v>
      </c>
      <c r="L1120" s="40">
        <v>45880</v>
      </c>
      <c r="M1120" s="40"/>
      <c r="N1120" s="40"/>
      <c r="O1120" s="40"/>
      <c r="P1120" s="40"/>
      <c r="Q1120" s="40"/>
      <c r="R1120" s="39" t="s">
        <v>218</v>
      </c>
      <c r="S1120" s="39" t="s">
        <v>1018</v>
      </c>
      <c r="T1120" s="39" t="s">
        <v>1018</v>
      </c>
      <c r="U1120" s="35" t="s">
        <v>82</v>
      </c>
      <c r="V1120" s="39" t="s">
        <v>226</v>
      </c>
      <c r="W1120" s="39" t="s">
        <v>123</v>
      </c>
      <c r="X1120" s="39">
        <v>13697.28</v>
      </c>
      <c r="Y1120" s="39">
        <v>2490.42</v>
      </c>
      <c r="Z1120" s="39">
        <v>2490.42</v>
      </c>
      <c r="AA1120" s="39">
        <v>0</v>
      </c>
      <c r="AB1120" s="39"/>
      <c r="AC1120" s="39">
        <v>0</v>
      </c>
      <c r="AD1120" s="39"/>
      <c r="AE1120" s="39">
        <v>0</v>
      </c>
      <c r="AF1120" s="39"/>
      <c r="AG1120" s="39">
        <v>0</v>
      </c>
      <c r="AH1120" s="39"/>
      <c r="AI1120" s="41">
        <v>0</v>
      </c>
    </row>
    <row r="1121" spans="1:35" x14ac:dyDescent="0.25">
      <c r="A1121" s="34" t="s">
        <v>110</v>
      </c>
      <c r="B1121" s="35" t="s">
        <v>1065</v>
      </c>
      <c r="C1121" s="35" t="s">
        <v>1066</v>
      </c>
      <c r="D1121" s="35">
        <v>32186</v>
      </c>
      <c r="E1121" s="35" t="s">
        <v>4036</v>
      </c>
      <c r="F1121" s="35" t="s">
        <v>4037</v>
      </c>
      <c r="G1121" s="35" t="s">
        <v>174</v>
      </c>
      <c r="H1121" s="35" t="s">
        <v>160</v>
      </c>
      <c r="I1121" s="35" t="s">
        <v>217</v>
      </c>
      <c r="J1121" s="35" t="s">
        <v>141</v>
      </c>
      <c r="K1121" s="36">
        <v>46076</v>
      </c>
      <c r="L1121" s="36">
        <v>45967</v>
      </c>
      <c r="M1121" s="36"/>
      <c r="N1121" s="36"/>
      <c r="O1121" s="36"/>
      <c r="P1121" s="36"/>
      <c r="Q1121" s="36"/>
      <c r="R1121" s="35" t="s">
        <v>218</v>
      </c>
      <c r="S1121" s="35" t="s">
        <v>1018</v>
      </c>
      <c r="T1121" s="35" t="s">
        <v>1018</v>
      </c>
      <c r="U1121" s="35" t="s">
        <v>82</v>
      </c>
      <c r="V1121" s="35" t="s">
        <v>226</v>
      </c>
      <c r="W1121" s="35" t="s">
        <v>123</v>
      </c>
      <c r="X1121" s="35">
        <v>3079.05</v>
      </c>
      <c r="Y1121" s="35">
        <v>559.83000000000004</v>
      </c>
      <c r="Z1121" s="35">
        <v>559.83000000000004</v>
      </c>
      <c r="AA1121" s="35">
        <v>0</v>
      </c>
      <c r="AB1121" s="35"/>
      <c r="AC1121" s="35">
        <v>0</v>
      </c>
      <c r="AD1121" s="35"/>
      <c r="AE1121" s="35">
        <v>0</v>
      </c>
      <c r="AF1121" s="35"/>
      <c r="AG1121" s="35">
        <v>0</v>
      </c>
      <c r="AH1121" s="35"/>
      <c r="AI1121" s="37">
        <v>0</v>
      </c>
    </row>
    <row r="1122" spans="1:35" x14ac:dyDescent="0.25">
      <c r="A1122" s="38" t="s">
        <v>110</v>
      </c>
      <c r="B1122" s="39" t="s">
        <v>1174</v>
      </c>
      <c r="C1122" s="39" t="s">
        <v>2928</v>
      </c>
      <c r="D1122" s="39">
        <v>32271</v>
      </c>
      <c r="E1122" s="39" t="s">
        <v>4038</v>
      </c>
      <c r="F1122" s="39" t="s">
        <v>4039</v>
      </c>
      <c r="G1122" s="39" t="s">
        <v>174</v>
      </c>
      <c r="H1122" s="39" t="s">
        <v>160</v>
      </c>
      <c r="I1122" s="39" t="s">
        <v>217</v>
      </c>
      <c r="J1122" s="39" t="s">
        <v>141</v>
      </c>
      <c r="K1122" s="40">
        <v>46076</v>
      </c>
      <c r="L1122" s="40">
        <v>46114</v>
      </c>
      <c r="M1122" s="40"/>
      <c r="N1122" s="40"/>
      <c r="O1122" s="40"/>
      <c r="P1122" s="40"/>
      <c r="Q1122" s="40"/>
      <c r="R1122" s="39" t="s">
        <v>218</v>
      </c>
      <c r="S1122" s="39" t="s">
        <v>225</v>
      </c>
      <c r="T1122" s="39" t="s">
        <v>225</v>
      </c>
      <c r="U1122" s="35" t="s">
        <v>88</v>
      </c>
      <c r="V1122" s="39" t="s">
        <v>226</v>
      </c>
      <c r="W1122" s="39" t="s">
        <v>123</v>
      </c>
      <c r="X1122" s="39">
        <v>78015</v>
      </c>
      <c r="Y1122" s="39">
        <v>14184.54</v>
      </c>
      <c r="Z1122" s="39">
        <v>14184.54</v>
      </c>
      <c r="AA1122" s="39">
        <v>0</v>
      </c>
      <c r="AB1122" s="39"/>
      <c r="AC1122" s="39">
        <v>0</v>
      </c>
      <c r="AD1122" s="39"/>
      <c r="AE1122" s="39">
        <v>0</v>
      </c>
      <c r="AF1122" s="39"/>
      <c r="AG1122" s="39">
        <v>0</v>
      </c>
      <c r="AH1122" s="39"/>
      <c r="AI1122" s="41">
        <v>0</v>
      </c>
    </row>
    <row r="1123" spans="1:35" x14ac:dyDescent="0.25">
      <c r="A1123" s="34" t="s">
        <v>110</v>
      </c>
      <c r="B1123" s="35" t="s">
        <v>4040</v>
      </c>
      <c r="C1123" s="35" t="s">
        <v>4041</v>
      </c>
      <c r="D1123" s="35">
        <v>32716</v>
      </c>
      <c r="E1123" s="35" t="s">
        <v>4042</v>
      </c>
      <c r="F1123" s="35" t="s">
        <v>4043</v>
      </c>
      <c r="G1123" s="35" t="s">
        <v>174</v>
      </c>
      <c r="H1123" s="35" t="s">
        <v>160</v>
      </c>
      <c r="I1123" s="35" t="s">
        <v>217</v>
      </c>
      <c r="J1123" s="35" t="s">
        <v>118</v>
      </c>
      <c r="K1123" s="36">
        <v>46076</v>
      </c>
      <c r="L1123" s="36">
        <v>46073</v>
      </c>
      <c r="M1123" s="36">
        <v>46078</v>
      </c>
      <c r="N1123" s="36"/>
      <c r="O1123" s="36"/>
      <c r="P1123" s="36"/>
      <c r="Q1123" s="36"/>
      <c r="R1123" s="35" t="s">
        <v>218</v>
      </c>
      <c r="S1123" s="35" t="s">
        <v>1018</v>
      </c>
      <c r="T1123" s="35" t="s">
        <v>1018</v>
      </c>
      <c r="U1123" s="35" t="s">
        <v>82</v>
      </c>
      <c r="V1123" s="35" t="s">
        <v>226</v>
      </c>
      <c r="W1123" s="35" t="s">
        <v>123</v>
      </c>
      <c r="X1123" s="35">
        <v>2477.6999999999998</v>
      </c>
      <c r="Y1123" s="35">
        <v>450.49</v>
      </c>
      <c r="Z1123" s="35">
        <v>450.49</v>
      </c>
      <c r="AA1123" s="35">
        <v>0</v>
      </c>
      <c r="AB1123" s="35"/>
      <c r="AC1123" s="35">
        <v>0</v>
      </c>
      <c r="AD1123" s="35"/>
      <c r="AE1123" s="35">
        <v>0</v>
      </c>
      <c r="AF1123" s="35"/>
      <c r="AG1123" s="35">
        <v>0</v>
      </c>
      <c r="AH1123" s="35"/>
      <c r="AI1123" s="37">
        <v>0</v>
      </c>
    </row>
    <row r="1124" spans="1:35" x14ac:dyDescent="0.25">
      <c r="A1124" s="38" t="s">
        <v>110</v>
      </c>
      <c r="B1124" s="39" t="s">
        <v>2410</v>
      </c>
      <c r="C1124" s="39" t="s">
        <v>4044</v>
      </c>
      <c r="D1124" s="39">
        <v>32717</v>
      </c>
      <c r="E1124" s="39" t="s">
        <v>4045</v>
      </c>
      <c r="F1124" s="39" t="s">
        <v>4046</v>
      </c>
      <c r="G1124" s="39" t="s">
        <v>174</v>
      </c>
      <c r="H1124" s="39" t="s">
        <v>160</v>
      </c>
      <c r="I1124" s="39" t="s">
        <v>217</v>
      </c>
      <c r="J1124" s="39" t="s">
        <v>118</v>
      </c>
      <c r="K1124" s="40">
        <v>46076</v>
      </c>
      <c r="L1124" s="40">
        <v>46072</v>
      </c>
      <c r="M1124" s="40">
        <v>46087</v>
      </c>
      <c r="N1124" s="40"/>
      <c r="O1124" s="40"/>
      <c r="P1124" s="40"/>
      <c r="Q1124" s="40"/>
      <c r="R1124" s="39" t="s">
        <v>218</v>
      </c>
      <c r="S1124" s="39" t="s">
        <v>1018</v>
      </c>
      <c r="T1124" s="39" t="s">
        <v>1018</v>
      </c>
      <c r="U1124" s="35" t="s">
        <v>82</v>
      </c>
      <c r="V1124" s="39" t="s">
        <v>226</v>
      </c>
      <c r="W1124" s="39" t="s">
        <v>123</v>
      </c>
      <c r="X1124" s="39">
        <v>8374.94</v>
      </c>
      <c r="Y1124" s="39">
        <v>1522.72</v>
      </c>
      <c r="Z1124" s="39">
        <v>1522.72</v>
      </c>
      <c r="AA1124" s="39">
        <v>0</v>
      </c>
      <c r="AB1124" s="39"/>
      <c r="AC1124" s="39">
        <v>0</v>
      </c>
      <c r="AD1124" s="39"/>
      <c r="AE1124" s="39">
        <v>0</v>
      </c>
      <c r="AF1124" s="39"/>
      <c r="AG1124" s="39">
        <v>0</v>
      </c>
      <c r="AH1124" s="39"/>
      <c r="AI1124" s="41">
        <v>0</v>
      </c>
    </row>
    <row r="1125" spans="1:35" x14ac:dyDescent="0.25">
      <c r="A1125" s="34" t="s">
        <v>110</v>
      </c>
      <c r="B1125" s="35" t="s">
        <v>2410</v>
      </c>
      <c r="C1125" s="35" t="s">
        <v>4044</v>
      </c>
      <c r="D1125" s="35">
        <v>32717</v>
      </c>
      <c r="E1125" s="35" t="s">
        <v>4047</v>
      </c>
      <c r="F1125" s="35" t="s">
        <v>4048</v>
      </c>
      <c r="G1125" s="35" t="s">
        <v>174</v>
      </c>
      <c r="H1125" s="35" t="s">
        <v>160</v>
      </c>
      <c r="I1125" s="35" t="s">
        <v>217</v>
      </c>
      <c r="J1125" s="35" t="s">
        <v>141</v>
      </c>
      <c r="K1125" s="36">
        <v>46076</v>
      </c>
      <c r="L1125" s="36">
        <v>46072</v>
      </c>
      <c r="M1125" s="36"/>
      <c r="N1125" s="36"/>
      <c r="O1125" s="36"/>
      <c r="P1125" s="36"/>
      <c r="Q1125" s="36"/>
      <c r="R1125" s="35" t="s">
        <v>218</v>
      </c>
      <c r="S1125" s="35" t="s">
        <v>1018</v>
      </c>
      <c r="T1125" s="35" t="s">
        <v>1018</v>
      </c>
      <c r="U1125" s="35" t="s">
        <v>82</v>
      </c>
      <c r="V1125" s="35" t="s">
        <v>226</v>
      </c>
      <c r="W1125" s="35" t="s">
        <v>123</v>
      </c>
      <c r="X1125" s="35">
        <v>8374.94</v>
      </c>
      <c r="Y1125" s="35">
        <v>1522.72</v>
      </c>
      <c r="Z1125" s="35">
        <v>1522.72</v>
      </c>
      <c r="AA1125" s="35">
        <v>0</v>
      </c>
      <c r="AB1125" s="35"/>
      <c r="AC1125" s="35">
        <v>0</v>
      </c>
      <c r="AD1125" s="35"/>
      <c r="AE1125" s="35">
        <v>0</v>
      </c>
      <c r="AF1125" s="35"/>
      <c r="AG1125" s="35">
        <v>0</v>
      </c>
      <c r="AH1125" s="35"/>
      <c r="AI1125" s="37">
        <v>0</v>
      </c>
    </row>
    <row r="1126" spans="1:35" x14ac:dyDescent="0.25">
      <c r="A1126" s="38" t="s">
        <v>110</v>
      </c>
      <c r="B1126" s="39" t="s">
        <v>2688</v>
      </c>
      <c r="C1126" s="39" t="s">
        <v>2689</v>
      </c>
      <c r="D1126" s="39">
        <v>26333</v>
      </c>
      <c r="E1126" s="39" t="s">
        <v>4049</v>
      </c>
      <c r="F1126" s="39" t="s">
        <v>4050</v>
      </c>
      <c r="G1126" s="39" t="s">
        <v>115</v>
      </c>
      <c r="H1126" s="39" t="s">
        <v>160</v>
      </c>
      <c r="I1126" s="39" t="s">
        <v>117</v>
      </c>
      <c r="J1126" s="39" t="s">
        <v>141</v>
      </c>
      <c r="K1126" s="40">
        <v>46076</v>
      </c>
      <c r="L1126" s="40">
        <v>46119</v>
      </c>
      <c r="M1126" s="40"/>
      <c r="N1126" s="40"/>
      <c r="O1126" s="40"/>
      <c r="P1126" s="40"/>
      <c r="Q1126" s="40"/>
      <c r="R1126" s="39" t="s">
        <v>142</v>
      </c>
      <c r="S1126" s="39" t="s">
        <v>1703</v>
      </c>
      <c r="T1126" s="39" t="s">
        <v>804</v>
      </c>
      <c r="U1126" s="35" t="s">
        <v>87</v>
      </c>
      <c r="V1126" s="39" t="s">
        <v>845</v>
      </c>
      <c r="W1126" s="39" t="s">
        <v>123</v>
      </c>
      <c r="X1126" s="39">
        <v>461.31</v>
      </c>
      <c r="Y1126" s="39">
        <v>109.79</v>
      </c>
      <c r="Z1126" s="39">
        <v>109.79</v>
      </c>
      <c r="AA1126" s="39">
        <v>0</v>
      </c>
      <c r="AB1126" s="39"/>
      <c r="AC1126" s="39">
        <v>0</v>
      </c>
      <c r="AD1126" s="39" t="s">
        <v>1455</v>
      </c>
      <c r="AE1126" s="39">
        <v>65.87</v>
      </c>
      <c r="AF1126" s="39"/>
      <c r="AG1126" s="39">
        <v>0</v>
      </c>
      <c r="AH1126" s="39"/>
      <c r="AI1126" s="41">
        <v>0</v>
      </c>
    </row>
    <row r="1127" spans="1:35" x14ac:dyDescent="0.25">
      <c r="A1127" s="34" t="s">
        <v>110</v>
      </c>
      <c r="B1127" s="35" t="s">
        <v>4051</v>
      </c>
      <c r="C1127" s="35" t="s">
        <v>4052</v>
      </c>
      <c r="D1127" s="35">
        <v>32718</v>
      </c>
      <c r="E1127" s="35" t="s">
        <v>4053</v>
      </c>
      <c r="F1127" s="35" t="s">
        <v>4054</v>
      </c>
      <c r="G1127" s="35" t="s">
        <v>174</v>
      </c>
      <c r="H1127" s="35" t="s">
        <v>160</v>
      </c>
      <c r="I1127" s="35" t="s">
        <v>217</v>
      </c>
      <c r="J1127" s="35" t="s">
        <v>141</v>
      </c>
      <c r="K1127" s="36">
        <v>46077</v>
      </c>
      <c r="L1127" s="36">
        <v>46105</v>
      </c>
      <c r="M1127" s="36"/>
      <c r="N1127" s="36"/>
      <c r="O1127" s="36"/>
      <c r="P1127" s="36"/>
      <c r="Q1127" s="36"/>
      <c r="R1127" s="35" t="s">
        <v>218</v>
      </c>
      <c r="S1127" s="35" t="s">
        <v>225</v>
      </c>
      <c r="T1127" s="35" t="s">
        <v>225</v>
      </c>
      <c r="U1127" s="35" t="s">
        <v>88</v>
      </c>
      <c r="V1127" s="35" t="s">
        <v>226</v>
      </c>
      <c r="W1127" s="35" t="s">
        <v>123</v>
      </c>
      <c r="X1127" s="35">
        <v>508.55</v>
      </c>
      <c r="Y1127" s="35">
        <v>92.46</v>
      </c>
      <c r="Z1127" s="35">
        <v>92.46</v>
      </c>
      <c r="AA1127" s="35">
        <v>0</v>
      </c>
      <c r="AB1127" s="35"/>
      <c r="AC1127" s="35">
        <v>0</v>
      </c>
      <c r="AD1127" s="35" t="s">
        <v>387</v>
      </c>
      <c r="AE1127" s="35">
        <v>50.86</v>
      </c>
      <c r="AF1127" s="35"/>
      <c r="AG1127" s="35">
        <v>0</v>
      </c>
      <c r="AH1127" s="35"/>
      <c r="AI1127" s="37">
        <v>0</v>
      </c>
    </row>
    <row r="1128" spans="1:35" x14ac:dyDescent="0.25">
      <c r="A1128" s="38" t="s">
        <v>110</v>
      </c>
      <c r="B1128" s="39" t="s">
        <v>2827</v>
      </c>
      <c r="C1128" s="39" t="s">
        <v>4055</v>
      </c>
      <c r="D1128" s="39">
        <v>32719</v>
      </c>
      <c r="E1128" s="39" t="s">
        <v>4056</v>
      </c>
      <c r="F1128" s="39" t="s">
        <v>4057</v>
      </c>
      <c r="G1128" s="39" t="s">
        <v>174</v>
      </c>
      <c r="H1128" s="39" t="s">
        <v>160</v>
      </c>
      <c r="I1128" s="39" t="s">
        <v>217</v>
      </c>
      <c r="J1128" s="39" t="s">
        <v>118</v>
      </c>
      <c r="K1128" s="40">
        <v>46077</v>
      </c>
      <c r="L1128" s="40">
        <v>46076</v>
      </c>
      <c r="M1128" s="40">
        <v>46083</v>
      </c>
      <c r="N1128" s="40"/>
      <c r="O1128" s="40"/>
      <c r="P1128" s="40"/>
      <c r="Q1128" s="40"/>
      <c r="R1128" s="39" t="s">
        <v>218</v>
      </c>
      <c r="S1128" s="39" t="s">
        <v>1018</v>
      </c>
      <c r="T1128" s="39" t="s">
        <v>1018</v>
      </c>
      <c r="U1128" s="35" t="s">
        <v>82</v>
      </c>
      <c r="V1128" s="39" t="s">
        <v>226</v>
      </c>
      <c r="W1128" s="39" t="s">
        <v>123</v>
      </c>
      <c r="X1128" s="39">
        <v>661.12</v>
      </c>
      <c r="Y1128" s="39">
        <v>120.2</v>
      </c>
      <c r="Z1128" s="39">
        <v>120.2</v>
      </c>
      <c r="AA1128" s="39">
        <v>0</v>
      </c>
      <c r="AB1128" s="39"/>
      <c r="AC1128" s="39">
        <v>0</v>
      </c>
      <c r="AD1128" s="39"/>
      <c r="AE1128" s="39">
        <v>0</v>
      </c>
      <c r="AF1128" s="39"/>
      <c r="AG1128" s="39">
        <v>0</v>
      </c>
      <c r="AH1128" s="39"/>
      <c r="AI1128" s="41">
        <v>0</v>
      </c>
    </row>
    <row r="1129" spans="1:35" x14ac:dyDescent="0.25">
      <c r="A1129" s="34" t="s">
        <v>110</v>
      </c>
      <c r="B1129" s="35" t="s">
        <v>4058</v>
      </c>
      <c r="C1129" s="35" t="s">
        <v>4059</v>
      </c>
      <c r="D1129" s="35">
        <v>32720</v>
      </c>
      <c r="E1129" s="35" t="s">
        <v>4060</v>
      </c>
      <c r="F1129" s="35" t="s">
        <v>4061</v>
      </c>
      <c r="G1129" s="35" t="s">
        <v>174</v>
      </c>
      <c r="H1129" s="35" t="s">
        <v>160</v>
      </c>
      <c r="I1129" s="35" t="s">
        <v>217</v>
      </c>
      <c r="J1129" s="35" t="s">
        <v>118</v>
      </c>
      <c r="K1129" s="36">
        <v>46077</v>
      </c>
      <c r="L1129" s="36">
        <v>46076</v>
      </c>
      <c r="M1129" s="36">
        <v>46079</v>
      </c>
      <c r="N1129" s="36"/>
      <c r="O1129" s="36"/>
      <c r="P1129" s="36"/>
      <c r="Q1129" s="36"/>
      <c r="R1129" s="35" t="s">
        <v>218</v>
      </c>
      <c r="S1129" s="35" t="s">
        <v>225</v>
      </c>
      <c r="T1129" s="35" t="s">
        <v>225</v>
      </c>
      <c r="U1129" s="35" t="s">
        <v>88</v>
      </c>
      <c r="V1129" s="35" t="s">
        <v>226</v>
      </c>
      <c r="W1129" s="35" t="s">
        <v>123</v>
      </c>
      <c r="X1129" s="35">
        <v>1448.01</v>
      </c>
      <c r="Y1129" s="35">
        <v>263.27999999999997</v>
      </c>
      <c r="Z1129" s="35">
        <v>263.27999999999997</v>
      </c>
      <c r="AA1129" s="35">
        <v>0</v>
      </c>
      <c r="AB1129" s="35"/>
      <c r="AC1129" s="35">
        <v>0</v>
      </c>
      <c r="AD1129" s="35"/>
      <c r="AE1129" s="35">
        <v>0</v>
      </c>
      <c r="AF1129" s="35"/>
      <c r="AG1129" s="35">
        <v>0</v>
      </c>
      <c r="AH1129" s="35"/>
      <c r="AI1129" s="37">
        <v>0</v>
      </c>
    </row>
    <row r="1130" spans="1:35" x14ac:dyDescent="0.25">
      <c r="A1130" s="38" t="s">
        <v>110</v>
      </c>
      <c r="B1130" s="39" t="s">
        <v>317</v>
      </c>
      <c r="C1130" s="39" t="s">
        <v>2796</v>
      </c>
      <c r="D1130" s="39">
        <v>15632</v>
      </c>
      <c r="E1130" s="39"/>
      <c r="F1130" s="39" t="s">
        <v>4062</v>
      </c>
      <c r="G1130" s="39" t="s">
        <v>115</v>
      </c>
      <c r="H1130" s="39" t="s">
        <v>160</v>
      </c>
      <c r="I1130" s="39" t="s">
        <v>117</v>
      </c>
      <c r="J1130" s="39" t="s">
        <v>141</v>
      </c>
      <c r="K1130" s="40">
        <v>46077</v>
      </c>
      <c r="L1130" s="40">
        <v>46104</v>
      </c>
      <c r="M1130" s="40"/>
      <c r="N1130" s="40"/>
      <c r="O1130" s="40"/>
      <c r="P1130" s="40"/>
      <c r="Q1130" s="40"/>
      <c r="R1130" s="39" t="s">
        <v>142</v>
      </c>
      <c r="S1130" s="39" t="s">
        <v>1338</v>
      </c>
      <c r="T1130" s="39" t="s">
        <v>1339</v>
      </c>
      <c r="U1130" s="35" t="s">
        <v>84</v>
      </c>
      <c r="V1130" s="39" t="s">
        <v>1330</v>
      </c>
      <c r="W1130" s="39" t="s">
        <v>123</v>
      </c>
      <c r="X1130" s="39">
        <v>767.58</v>
      </c>
      <c r="Y1130" s="39">
        <v>153.52000000000001</v>
      </c>
      <c r="Z1130" s="39">
        <v>153.52000000000001</v>
      </c>
      <c r="AA1130" s="39">
        <v>0</v>
      </c>
      <c r="AB1130" s="39"/>
      <c r="AC1130" s="39">
        <v>0</v>
      </c>
      <c r="AD1130" s="39"/>
      <c r="AE1130" s="39">
        <v>0</v>
      </c>
      <c r="AF1130" s="39"/>
      <c r="AG1130" s="39">
        <v>0</v>
      </c>
      <c r="AH1130" s="39"/>
      <c r="AI1130" s="41">
        <v>0</v>
      </c>
    </row>
    <row r="1131" spans="1:35" x14ac:dyDescent="0.25">
      <c r="A1131" s="34" t="s">
        <v>110</v>
      </c>
      <c r="B1131" s="35" t="s">
        <v>2408</v>
      </c>
      <c r="C1131" s="35" t="s">
        <v>2879</v>
      </c>
      <c r="D1131" s="35">
        <v>741</v>
      </c>
      <c r="E1131" s="35" t="s">
        <v>4063</v>
      </c>
      <c r="F1131" s="35" t="s">
        <v>4064</v>
      </c>
      <c r="G1131" s="35" t="s">
        <v>115</v>
      </c>
      <c r="H1131" s="35" t="s">
        <v>160</v>
      </c>
      <c r="I1131" s="35" t="s">
        <v>117</v>
      </c>
      <c r="J1131" s="35" t="s">
        <v>141</v>
      </c>
      <c r="K1131" s="36">
        <v>46077</v>
      </c>
      <c r="L1131" s="36">
        <v>44562</v>
      </c>
      <c r="M1131" s="36"/>
      <c r="N1131" s="36"/>
      <c r="O1131" s="36"/>
      <c r="P1131" s="36"/>
      <c r="Q1131" s="36"/>
      <c r="R1131" s="35" t="s">
        <v>142</v>
      </c>
      <c r="S1131" s="35" t="s">
        <v>1352</v>
      </c>
      <c r="T1131" s="35" t="s">
        <v>183</v>
      </c>
      <c r="U1131" s="35" t="s">
        <v>90</v>
      </c>
      <c r="V1131" s="35" t="s">
        <v>443</v>
      </c>
      <c r="W1131" s="35" t="s">
        <v>123</v>
      </c>
      <c r="X1131" s="35">
        <v>5.88</v>
      </c>
      <c r="Y1131" s="35">
        <v>1.33</v>
      </c>
      <c r="Z1131" s="35">
        <v>1.18</v>
      </c>
      <c r="AA1131" s="35">
        <v>0</v>
      </c>
      <c r="AB1131" s="35"/>
      <c r="AC1131" s="35">
        <v>0</v>
      </c>
      <c r="AD1131" s="35"/>
      <c r="AE1131" s="35">
        <v>0</v>
      </c>
      <c r="AF1131" s="35"/>
      <c r="AG1131" s="35">
        <v>0</v>
      </c>
      <c r="AH1131" s="35"/>
      <c r="AI1131" s="37">
        <v>0</v>
      </c>
    </row>
    <row r="1132" spans="1:35" x14ac:dyDescent="0.25">
      <c r="A1132" s="38" t="s">
        <v>110</v>
      </c>
      <c r="B1132" s="39" t="s">
        <v>2408</v>
      </c>
      <c r="C1132" s="39" t="s">
        <v>2879</v>
      </c>
      <c r="D1132" s="39">
        <v>741</v>
      </c>
      <c r="E1132" s="39" t="s">
        <v>4065</v>
      </c>
      <c r="F1132" s="39" t="s">
        <v>4066</v>
      </c>
      <c r="G1132" s="39" t="s">
        <v>115</v>
      </c>
      <c r="H1132" s="39" t="s">
        <v>160</v>
      </c>
      <c r="I1132" s="39" t="s">
        <v>117</v>
      </c>
      <c r="J1132" s="39" t="s">
        <v>141</v>
      </c>
      <c r="K1132" s="40">
        <v>46077</v>
      </c>
      <c r="L1132" s="40">
        <v>44927</v>
      </c>
      <c r="M1132" s="40"/>
      <c r="N1132" s="40"/>
      <c r="O1132" s="40"/>
      <c r="P1132" s="40"/>
      <c r="Q1132" s="40"/>
      <c r="R1132" s="39" t="s">
        <v>142</v>
      </c>
      <c r="S1132" s="39" t="s">
        <v>1352</v>
      </c>
      <c r="T1132" s="39" t="s">
        <v>183</v>
      </c>
      <c r="U1132" s="35" t="s">
        <v>90</v>
      </c>
      <c r="V1132" s="39" t="s">
        <v>443</v>
      </c>
      <c r="W1132" s="39" t="s">
        <v>123</v>
      </c>
      <c r="X1132" s="39">
        <v>2243.71</v>
      </c>
      <c r="Y1132" s="39">
        <v>504.83</v>
      </c>
      <c r="Z1132" s="39">
        <v>448.74</v>
      </c>
      <c r="AA1132" s="39">
        <v>0</v>
      </c>
      <c r="AB1132" s="39"/>
      <c r="AC1132" s="39">
        <v>0</v>
      </c>
      <c r="AD1132" s="39"/>
      <c r="AE1132" s="39">
        <v>0</v>
      </c>
      <c r="AF1132" s="39"/>
      <c r="AG1132" s="39">
        <v>0</v>
      </c>
      <c r="AH1132" s="39"/>
      <c r="AI1132" s="41">
        <v>0</v>
      </c>
    </row>
    <row r="1133" spans="1:35" x14ac:dyDescent="0.25">
      <c r="A1133" s="34" t="s">
        <v>110</v>
      </c>
      <c r="B1133" s="35" t="s">
        <v>2408</v>
      </c>
      <c r="C1133" s="35" t="s">
        <v>2879</v>
      </c>
      <c r="D1133" s="35">
        <v>741</v>
      </c>
      <c r="E1133" s="35" t="s">
        <v>4067</v>
      </c>
      <c r="F1133" s="35" t="s">
        <v>4068</v>
      </c>
      <c r="G1133" s="35" t="s">
        <v>115</v>
      </c>
      <c r="H1133" s="35" t="s">
        <v>160</v>
      </c>
      <c r="I1133" s="35" t="s">
        <v>117</v>
      </c>
      <c r="J1133" s="35" t="s">
        <v>141</v>
      </c>
      <c r="K1133" s="36">
        <v>46077</v>
      </c>
      <c r="L1133" s="36">
        <v>45292</v>
      </c>
      <c r="M1133" s="36"/>
      <c r="N1133" s="36"/>
      <c r="O1133" s="36"/>
      <c r="P1133" s="36"/>
      <c r="Q1133" s="36"/>
      <c r="R1133" s="35" t="s">
        <v>142</v>
      </c>
      <c r="S1133" s="35" t="s">
        <v>1352</v>
      </c>
      <c r="T1133" s="35" t="s">
        <v>183</v>
      </c>
      <c r="U1133" s="35" t="s">
        <v>90</v>
      </c>
      <c r="V1133" s="35" t="s">
        <v>443</v>
      </c>
      <c r="W1133" s="35" t="s">
        <v>123</v>
      </c>
      <c r="X1133" s="35">
        <v>1226.8499999999999</v>
      </c>
      <c r="Y1133" s="35">
        <v>276.04000000000002</v>
      </c>
      <c r="Z1133" s="35">
        <v>245.37</v>
      </c>
      <c r="AA1133" s="35">
        <v>0</v>
      </c>
      <c r="AB1133" s="35"/>
      <c r="AC1133" s="35">
        <v>0</v>
      </c>
      <c r="AD1133" s="35"/>
      <c r="AE1133" s="35">
        <v>0</v>
      </c>
      <c r="AF1133" s="35"/>
      <c r="AG1133" s="35">
        <v>0</v>
      </c>
      <c r="AH1133" s="35"/>
      <c r="AI1133" s="37">
        <v>0</v>
      </c>
    </row>
    <row r="1134" spans="1:35" x14ac:dyDescent="0.25">
      <c r="A1134" s="38" t="s">
        <v>110</v>
      </c>
      <c r="B1134" s="39" t="s">
        <v>2408</v>
      </c>
      <c r="C1134" s="39" t="s">
        <v>2879</v>
      </c>
      <c r="D1134" s="39">
        <v>741</v>
      </c>
      <c r="E1134" s="39" t="s">
        <v>4069</v>
      </c>
      <c r="F1134" s="39" t="s">
        <v>4070</v>
      </c>
      <c r="G1134" s="39" t="s">
        <v>115</v>
      </c>
      <c r="H1134" s="39" t="s">
        <v>160</v>
      </c>
      <c r="I1134" s="39" t="s">
        <v>117</v>
      </c>
      <c r="J1134" s="39" t="s">
        <v>141</v>
      </c>
      <c r="K1134" s="40">
        <v>46077</v>
      </c>
      <c r="L1134" s="40">
        <v>45658</v>
      </c>
      <c r="M1134" s="40"/>
      <c r="N1134" s="40"/>
      <c r="O1134" s="40"/>
      <c r="P1134" s="40"/>
      <c r="Q1134" s="40"/>
      <c r="R1134" s="39" t="s">
        <v>142</v>
      </c>
      <c r="S1134" s="39" t="s">
        <v>1352</v>
      </c>
      <c r="T1134" s="39" t="s">
        <v>183</v>
      </c>
      <c r="U1134" s="35" t="s">
        <v>90</v>
      </c>
      <c r="V1134" s="39" t="s">
        <v>443</v>
      </c>
      <c r="W1134" s="39" t="s">
        <v>123</v>
      </c>
      <c r="X1134" s="39">
        <v>125.77</v>
      </c>
      <c r="Y1134" s="39">
        <v>28.29</v>
      </c>
      <c r="Z1134" s="39">
        <v>25.15</v>
      </c>
      <c r="AA1134" s="39">
        <v>0</v>
      </c>
      <c r="AB1134" s="39"/>
      <c r="AC1134" s="39">
        <v>0</v>
      </c>
      <c r="AD1134" s="39"/>
      <c r="AE1134" s="39">
        <v>0</v>
      </c>
      <c r="AF1134" s="39"/>
      <c r="AG1134" s="39">
        <v>0</v>
      </c>
      <c r="AH1134" s="39"/>
      <c r="AI1134" s="41">
        <v>0</v>
      </c>
    </row>
    <row r="1135" spans="1:35" x14ac:dyDescent="0.25">
      <c r="A1135" s="34" t="s">
        <v>110</v>
      </c>
      <c r="B1135" s="35" t="s">
        <v>2406</v>
      </c>
      <c r="C1135" s="35" t="s">
        <v>2791</v>
      </c>
      <c r="D1135" s="35">
        <v>8224</v>
      </c>
      <c r="E1135" s="35" t="s">
        <v>4071</v>
      </c>
      <c r="F1135" s="35" t="s">
        <v>4072</v>
      </c>
      <c r="G1135" s="35" t="s">
        <v>115</v>
      </c>
      <c r="H1135" s="35" t="s">
        <v>160</v>
      </c>
      <c r="I1135" s="35" t="s">
        <v>117</v>
      </c>
      <c r="J1135" s="35" t="s">
        <v>141</v>
      </c>
      <c r="K1135" s="36">
        <v>46077</v>
      </c>
      <c r="L1135" s="36">
        <v>46093</v>
      </c>
      <c r="M1135" s="36"/>
      <c r="N1135" s="36"/>
      <c r="O1135" s="36"/>
      <c r="P1135" s="36"/>
      <c r="Q1135" s="36"/>
      <c r="R1135" s="35" t="s">
        <v>142</v>
      </c>
      <c r="S1135" s="35" t="s">
        <v>1352</v>
      </c>
      <c r="T1135" s="35" t="s">
        <v>183</v>
      </c>
      <c r="U1135" s="35" t="s">
        <v>90</v>
      </c>
      <c r="V1135" s="35" t="s">
        <v>443</v>
      </c>
      <c r="W1135" s="35" t="s">
        <v>123</v>
      </c>
      <c r="X1135" s="35">
        <v>182.15</v>
      </c>
      <c r="Y1135" s="35">
        <v>40.98</v>
      </c>
      <c r="Z1135" s="35">
        <v>36.43</v>
      </c>
      <c r="AA1135" s="35">
        <v>0</v>
      </c>
      <c r="AB1135" s="35"/>
      <c r="AC1135" s="35">
        <v>0</v>
      </c>
      <c r="AD1135" s="35"/>
      <c r="AE1135" s="35">
        <v>0</v>
      </c>
      <c r="AF1135" s="35"/>
      <c r="AG1135" s="35">
        <v>0</v>
      </c>
      <c r="AH1135" s="35"/>
      <c r="AI1135" s="37">
        <v>0</v>
      </c>
    </row>
    <row r="1136" spans="1:35" x14ac:dyDescent="0.25">
      <c r="A1136" s="38" t="s">
        <v>110</v>
      </c>
      <c r="B1136" s="39" t="s">
        <v>1640</v>
      </c>
      <c r="C1136" s="39" t="s">
        <v>2790</v>
      </c>
      <c r="D1136" s="39">
        <v>8279</v>
      </c>
      <c r="E1136" s="39" t="s">
        <v>4073</v>
      </c>
      <c r="F1136" s="39" t="s">
        <v>4074</v>
      </c>
      <c r="G1136" s="39" t="s">
        <v>115</v>
      </c>
      <c r="H1136" s="39" t="s">
        <v>160</v>
      </c>
      <c r="I1136" s="39" t="s">
        <v>117</v>
      </c>
      <c r="J1136" s="39" t="s">
        <v>141</v>
      </c>
      <c r="K1136" s="40">
        <v>46077</v>
      </c>
      <c r="L1136" s="40">
        <v>46100</v>
      </c>
      <c r="M1136" s="40"/>
      <c r="N1136" s="40"/>
      <c r="O1136" s="40"/>
      <c r="P1136" s="40"/>
      <c r="Q1136" s="40"/>
      <c r="R1136" s="39" t="s">
        <v>142</v>
      </c>
      <c r="S1136" s="39" t="s">
        <v>1352</v>
      </c>
      <c r="T1136" s="39" t="s">
        <v>183</v>
      </c>
      <c r="U1136" s="35" t="s">
        <v>90</v>
      </c>
      <c r="V1136" s="39" t="s">
        <v>443</v>
      </c>
      <c r="W1136" s="39" t="s">
        <v>123</v>
      </c>
      <c r="X1136" s="39">
        <v>654.70000000000005</v>
      </c>
      <c r="Y1136" s="39">
        <v>147.31</v>
      </c>
      <c r="Z1136" s="39">
        <v>130.94</v>
      </c>
      <c r="AA1136" s="39">
        <v>0</v>
      </c>
      <c r="AB1136" s="39"/>
      <c r="AC1136" s="39">
        <v>0</v>
      </c>
      <c r="AD1136" s="39"/>
      <c r="AE1136" s="39">
        <v>0</v>
      </c>
      <c r="AF1136" s="39"/>
      <c r="AG1136" s="39">
        <v>0</v>
      </c>
      <c r="AH1136" s="39"/>
      <c r="AI1136" s="41">
        <v>0</v>
      </c>
    </row>
    <row r="1137" spans="1:35" x14ac:dyDescent="0.25">
      <c r="A1137" s="34" t="s">
        <v>110</v>
      </c>
      <c r="B1137" s="35" t="s">
        <v>447</v>
      </c>
      <c r="C1137" s="35" t="s">
        <v>4075</v>
      </c>
      <c r="D1137" s="35">
        <v>32721</v>
      </c>
      <c r="E1137" s="35" t="s">
        <v>4076</v>
      </c>
      <c r="F1137" s="35" t="s">
        <v>4077</v>
      </c>
      <c r="G1137" s="35" t="s">
        <v>174</v>
      </c>
      <c r="H1137" s="35" t="s">
        <v>116</v>
      </c>
      <c r="I1137" s="35" t="s">
        <v>117</v>
      </c>
      <c r="J1137" s="35" t="s">
        <v>118</v>
      </c>
      <c r="K1137" s="36">
        <v>46077</v>
      </c>
      <c r="L1137" s="36">
        <v>46073</v>
      </c>
      <c r="M1137" s="36">
        <v>46076</v>
      </c>
      <c r="N1137" s="36"/>
      <c r="O1137" s="36"/>
      <c r="P1137" s="36"/>
      <c r="Q1137" s="36"/>
      <c r="R1137" s="35" t="s">
        <v>142</v>
      </c>
      <c r="S1137" s="35" t="s">
        <v>176</v>
      </c>
      <c r="T1137" s="35" t="s">
        <v>177</v>
      </c>
      <c r="U1137" s="35" t="s">
        <v>81</v>
      </c>
      <c r="V1137" s="35" t="s">
        <v>163</v>
      </c>
      <c r="W1137" s="35" t="s">
        <v>123</v>
      </c>
      <c r="X1137" s="35">
        <v>255.74</v>
      </c>
      <c r="Y1137" s="35">
        <v>20.46</v>
      </c>
      <c r="Z1137" s="35">
        <v>20.46</v>
      </c>
      <c r="AA1137" s="35">
        <v>0</v>
      </c>
      <c r="AB1137" s="35"/>
      <c r="AC1137" s="35">
        <v>0</v>
      </c>
      <c r="AD1137" s="35"/>
      <c r="AE1137" s="35">
        <v>0</v>
      </c>
      <c r="AF1137" s="35"/>
      <c r="AG1137" s="35">
        <v>0</v>
      </c>
      <c r="AH1137" s="35"/>
      <c r="AI1137" s="37">
        <v>0</v>
      </c>
    </row>
    <row r="1138" spans="1:35" x14ac:dyDescent="0.25">
      <c r="A1138" s="38" t="s">
        <v>110</v>
      </c>
      <c r="B1138" s="39" t="s">
        <v>510</v>
      </c>
      <c r="C1138" s="39" t="s">
        <v>2838</v>
      </c>
      <c r="D1138" s="39">
        <v>14346</v>
      </c>
      <c r="E1138" s="39" t="s">
        <v>4078</v>
      </c>
      <c r="F1138" s="39" t="s">
        <v>4079</v>
      </c>
      <c r="G1138" s="39" t="s">
        <v>192</v>
      </c>
      <c r="H1138" s="39" t="s">
        <v>160</v>
      </c>
      <c r="I1138" s="39" t="s">
        <v>117</v>
      </c>
      <c r="J1138" s="39" t="s">
        <v>141</v>
      </c>
      <c r="K1138" s="40">
        <v>46077</v>
      </c>
      <c r="L1138" s="40">
        <v>45658</v>
      </c>
      <c r="M1138" s="40"/>
      <c r="N1138" s="40"/>
      <c r="O1138" s="40"/>
      <c r="P1138" s="40"/>
      <c r="Q1138" s="40"/>
      <c r="R1138" s="39" t="s">
        <v>142</v>
      </c>
      <c r="S1138" s="39" t="s">
        <v>182</v>
      </c>
      <c r="T1138" s="39" t="s">
        <v>183</v>
      </c>
      <c r="U1138" s="35" t="s">
        <v>90</v>
      </c>
      <c r="V1138" s="39" t="s">
        <v>163</v>
      </c>
      <c r="W1138" s="39" t="s">
        <v>123</v>
      </c>
      <c r="X1138" s="39">
        <v>257.76</v>
      </c>
      <c r="Y1138" s="39">
        <v>51.55</v>
      </c>
      <c r="Z1138" s="39">
        <v>51.55</v>
      </c>
      <c r="AA1138" s="39">
        <v>0</v>
      </c>
      <c r="AB1138" s="39"/>
      <c r="AC1138" s="39">
        <v>0</v>
      </c>
      <c r="AD1138" s="39"/>
      <c r="AE1138" s="39">
        <v>0</v>
      </c>
      <c r="AF1138" s="39"/>
      <c r="AG1138" s="39">
        <v>0</v>
      </c>
      <c r="AH1138" s="39"/>
      <c r="AI1138" s="41">
        <v>0</v>
      </c>
    </row>
    <row r="1139" spans="1:35" x14ac:dyDescent="0.25">
      <c r="A1139" s="34" t="s">
        <v>110</v>
      </c>
      <c r="B1139" s="35" t="s">
        <v>178</v>
      </c>
      <c r="C1139" s="35" t="s">
        <v>179</v>
      </c>
      <c r="D1139" s="35">
        <v>12015</v>
      </c>
      <c r="E1139" s="35" t="s">
        <v>4080</v>
      </c>
      <c r="F1139" s="35" t="s">
        <v>4081</v>
      </c>
      <c r="G1139" s="35" t="s">
        <v>192</v>
      </c>
      <c r="H1139" s="35" t="s">
        <v>160</v>
      </c>
      <c r="I1139" s="35" t="s">
        <v>117</v>
      </c>
      <c r="J1139" s="35" t="s">
        <v>141</v>
      </c>
      <c r="K1139" s="36">
        <v>46077</v>
      </c>
      <c r="L1139" s="36">
        <v>45657</v>
      </c>
      <c r="M1139" s="36"/>
      <c r="N1139" s="36"/>
      <c r="O1139" s="36"/>
      <c r="P1139" s="36"/>
      <c r="Q1139" s="36"/>
      <c r="R1139" s="35" t="s">
        <v>142</v>
      </c>
      <c r="S1139" s="35" t="s">
        <v>182</v>
      </c>
      <c r="T1139" s="35" t="s">
        <v>183</v>
      </c>
      <c r="U1139" s="35" t="s">
        <v>90</v>
      </c>
      <c r="V1139" s="35" t="s">
        <v>163</v>
      </c>
      <c r="W1139" s="35" t="s">
        <v>123</v>
      </c>
      <c r="X1139" s="35">
        <v>105.79</v>
      </c>
      <c r="Y1139" s="35">
        <v>21.16</v>
      </c>
      <c r="Z1139" s="35">
        <v>21.16</v>
      </c>
      <c r="AA1139" s="35">
        <v>0</v>
      </c>
      <c r="AB1139" s="35"/>
      <c r="AC1139" s="35">
        <v>0</v>
      </c>
      <c r="AD1139" s="35"/>
      <c r="AE1139" s="35">
        <v>0</v>
      </c>
      <c r="AF1139" s="35"/>
      <c r="AG1139" s="35">
        <v>0</v>
      </c>
      <c r="AH1139" s="35"/>
      <c r="AI1139" s="37">
        <v>0</v>
      </c>
    </row>
    <row r="1140" spans="1:35" x14ac:dyDescent="0.25">
      <c r="A1140" s="38" t="s">
        <v>110</v>
      </c>
      <c r="B1140" s="39" t="s">
        <v>188</v>
      </c>
      <c r="C1140" s="39" t="s">
        <v>189</v>
      </c>
      <c r="D1140" s="39">
        <v>15778</v>
      </c>
      <c r="E1140" s="39" t="s">
        <v>4082</v>
      </c>
      <c r="F1140" s="39" t="s">
        <v>4083</v>
      </c>
      <c r="G1140" s="39" t="s">
        <v>192</v>
      </c>
      <c r="H1140" s="39" t="s">
        <v>160</v>
      </c>
      <c r="I1140" s="39" t="s">
        <v>117</v>
      </c>
      <c r="J1140" s="39" t="s">
        <v>141</v>
      </c>
      <c r="K1140" s="40">
        <v>46077</v>
      </c>
      <c r="L1140" s="40">
        <v>44927</v>
      </c>
      <c r="M1140" s="40"/>
      <c r="N1140" s="40"/>
      <c r="O1140" s="40"/>
      <c r="P1140" s="40"/>
      <c r="Q1140" s="40"/>
      <c r="R1140" s="39" t="s">
        <v>142</v>
      </c>
      <c r="S1140" s="39" t="s">
        <v>182</v>
      </c>
      <c r="T1140" s="39" t="s">
        <v>183</v>
      </c>
      <c r="U1140" s="35" t="s">
        <v>90</v>
      </c>
      <c r="V1140" s="39" t="s">
        <v>163</v>
      </c>
      <c r="W1140" s="39" t="s">
        <v>123</v>
      </c>
      <c r="X1140" s="39">
        <v>505.56</v>
      </c>
      <c r="Y1140" s="39">
        <v>101.11</v>
      </c>
      <c r="Z1140" s="39">
        <v>101.11</v>
      </c>
      <c r="AA1140" s="39">
        <v>0</v>
      </c>
      <c r="AB1140" s="39"/>
      <c r="AC1140" s="39">
        <v>0</v>
      </c>
      <c r="AD1140" s="39"/>
      <c r="AE1140" s="39">
        <v>0</v>
      </c>
      <c r="AF1140" s="39"/>
      <c r="AG1140" s="39">
        <v>0</v>
      </c>
      <c r="AH1140" s="39"/>
      <c r="AI1140" s="41">
        <v>0</v>
      </c>
    </row>
    <row r="1141" spans="1:35" x14ac:dyDescent="0.25">
      <c r="A1141" s="34" t="s">
        <v>110</v>
      </c>
      <c r="B1141" s="35" t="s">
        <v>188</v>
      </c>
      <c r="C1141" s="35" t="s">
        <v>189</v>
      </c>
      <c r="D1141" s="35">
        <v>15778</v>
      </c>
      <c r="E1141" s="35" t="s">
        <v>4084</v>
      </c>
      <c r="F1141" s="35" t="s">
        <v>4085</v>
      </c>
      <c r="G1141" s="35" t="s">
        <v>192</v>
      </c>
      <c r="H1141" s="35" t="s">
        <v>160</v>
      </c>
      <c r="I1141" s="35" t="s">
        <v>117</v>
      </c>
      <c r="J1141" s="35" t="s">
        <v>141</v>
      </c>
      <c r="K1141" s="36">
        <v>46077</v>
      </c>
      <c r="L1141" s="36">
        <v>45292</v>
      </c>
      <c r="M1141" s="36"/>
      <c r="N1141" s="36"/>
      <c r="O1141" s="36"/>
      <c r="P1141" s="36"/>
      <c r="Q1141" s="36"/>
      <c r="R1141" s="35" t="s">
        <v>142</v>
      </c>
      <c r="S1141" s="35" t="s">
        <v>182</v>
      </c>
      <c r="T1141" s="35" t="s">
        <v>183</v>
      </c>
      <c r="U1141" s="35" t="s">
        <v>90</v>
      </c>
      <c r="V1141" s="35" t="s">
        <v>163</v>
      </c>
      <c r="W1141" s="35" t="s">
        <v>123</v>
      </c>
      <c r="X1141" s="35">
        <v>555.84</v>
      </c>
      <c r="Y1141" s="35">
        <v>111.17</v>
      </c>
      <c r="Z1141" s="35">
        <v>111.17</v>
      </c>
      <c r="AA1141" s="35">
        <v>0</v>
      </c>
      <c r="AB1141" s="35"/>
      <c r="AC1141" s="35">
        <v>0</v>
      </c>
      <c r="AD1141" s="35"/>
      <c r="AE1141" s="35">
        <v>0</v>
      </c>
      <c r="AF1141" s="35"/>
      <c r="AG1141" s="35">
        <v>0</v>
      </c>
      <c r="AH1141" s="35"/>
      <c r="AI1141" s="37">
        <v>0</v>
      </c>
    </row>
    <row r="1142" spans="1:35" x14ac:dyDescent="0.25">
      <c r="A1142" s="38" t="s">
        <v>110</v>
      </c>
      <c r="B1142" s="39" t="s">
        <v>188</v>
      </c>
      <c r="C1142" s="39" t="s">
        <v>189</v>
      </c>
      <c r="D1142" s="39">
        <v>15778</v>
      </c>
      <c r="E1142" s="39" t="s">
        <v>4086</v>
      </c>
      <c r="F1142" s="39" t="s">
        <v>4087</v>
      </c>
      <c r="G1142" s="39" t="s">
        <v>192</v>
      </c>
      <c r="H1142" s="39" t="s">
        <v>160</v>
      </c>
      <c r="I1142" s="39" t="s">
        <v>117</v>
      </c>
      <c r="J1142" s="39" t="s">
        <v>141</v>
      </c>
      <c r="K1142" s="40">
        <v>46077</v>
      </c>
      <c r="L1142" s="40">
        <v>45658</v>
      </c>
      <c r="M1142" s="40"/>
      <c r="N1142" s="40"/>
      <c r="O1142" s="40"/>
      <c r="P1142" s="40"/>
      <c r="Q1142" s="40"/>
      <c r="R1142" s="39" t="s">
        <v>142</v>
      </c>
      <c r="S1142" s="39" t="s">
        <v>182</v>
      </c>
      <c r="T1142" s="39" t="s">
        <v>183</v>
      </c>
      <c r="U1142" s="35" t="s">
        <v>90</v>
      </c>
      <c r="V1142" s="39" t="s">
        <v>163</v>
      </c>
      <c r="W1142" s="39" t="s">
        <v>123</v>
      </c>
      <c r="X1142" s="39">
        <v>676.5</v>
      </c>
      <c r="Y1142" s="39">
        <v>135.30000000000001</v>
      </c>
      <c r="Z1142" s="39">
        <v>135.30000000000001</v>
      </c>
      <c r="AA1142" s="39">
        <v>0</v>
      </c>
      <c r="AB1142" s="39"/>
      <c r="AC1142" s="39">
        <v>0</v>
      </c>
      <c r="AD1142" s="39"/>
      <c r="AE1142" s="39">
        <v>0</v>
      </c>
      <c r="AF1142" s="39"/>
      <c r="AG1142" s="39">
        <v>0</v>
      </c>
      <c r="AH1142" s="39"/>
      <c r="AI1142" s="41">
        <v>0</v>
      </c>
    </row>
    <row r="1143" spans="1:35" x14ac:dyDescent="0.25">
      <c r="A1143" s="34" t="s">
        <v>110</v>
      </c>
      <c r="B1143" s="35" t="s">
        <v>447</v>
      </c>
      <c r="C1143" s="35" t="s">
        <v>2919</v>
      </c>
      <c r="D1143" s="35">
        <v>31924</v>
      </c>
      <c r="E1143" s="35" t="s">
        <v>4088</v>
      </c>
      <c r="F1143" s="35" t="s">
        <v>4089</v>
      </c>
      <c r="G1143" s="35" t="s">
        <v>440</v>
      </c>
      <c r="H1143" s="35" t="s">
        <v>160</v>
      </c>
      <c r="I1143" s="35" t="s">
        <v>117</v>
      </c>
      <c r="J1143" s="35" t="s">
        <v>118</v>
      </c>
      <c r="K1143" s="36">
        <v>46077</v>
      </c>
      <c r="L1143" s="36">
        <v>46069</v>
      </c>
      <c r="M1143" s="36">
        <v>46078</v>
      </c>
      <c r="N1143" s="36"/>
      <c r="O1143" s="36"/>
      <c r="P1143" s="36"/>
      <c r="Q1143" s="36">
        <v>46113</v>
      </c>
      <c r="R1143" s="35" t="s">
        <v>142</v>
      </c>
      <c r="S1143" s="35" t="s">
        <v>176</v>
      </c>
      <c r="T1143" s="35" t="s">
        <v>177</v>
      </c>
      <c r="U1143" s="35" t="s">
        <v>81</v>
      </c>
      <c r="V1143" s="35" t="s">
        <v>163</v>
      </c>
      <c r="W1143" s="35" t="s">
        <v>123</v>
      </c>
      <c r="X1143" s="35">
        <v>-471.55</v>
      </c>
      <c r="Y1143" s="35">
        <v>-37.72</v>
      </c>
      <c r="Z1143" s="35">
        <v>-37.72</v>
      </c>
      <c r="AA1143" s="35">
        <v>0</v>
      </c>
      <c r="AB1143" s="35"/>
      <c r="AC1143" s="35">
        <v>0</v>
      </c>
      <c r="AD1143" s="35"/>
      <c r="AE1143" s="35">
        <v>0</v>
      </c>
      <c r="AF1143" s="35"/>
      <c r="AG1143" s="35">
        <v>0</v>
      </c>
      <c r="AH1143" s="35"/>
      <c r="AI1143" s="37">
        <v>0</v>
      </c>
    </row>
    <row r="1144" spans="1:35" x14ac:dyDescent="0.25">
      <c r="A1144" s="38" t="s">
        <v>110</v>
      </c>
      <c r="B1144" s="39" t="s">
        <v>1649</v>
      </c>
      <c r="C1144" s="39" t="s">
        <v>1650</v>
      </c>
      <c r="D1144" s="39">
        <v>27798</v>
      </c>
      <c r="E1144" s="39" t="s">
        <v>4090</v>
      </c>
      <c r="F1144" s="39" t="s">
        <v>4091</v>
      </c>
      <c r="G1144" s="39" t="s">
        <v>192</v>
      </c>
      <c r="H1144" s="39" t="s">
        <v>160</v>
      </c>
      <c r="I1144" s="39" t="s">
        <v>117</v>
      </c>
      <c r="J1144" s="39" t="s">
        <v>141</v>
      </c>
      <c r="K1144" s="40">
        <v>46077</v>
      </c>
      <c r="L1144" s="40">
        <v>45706</v>
      </c>
      <c r="M1144" s="40"/>
      <c r="N1144" s="40"/>
      <c r="O1144" s="40"/>
      <c r="P1144" s="40"/>
      <c r="Q1144" s="40"/>
      <c r="R1144" s="39" t="s">
        <v>142</v>
      </c>
      <c r="S1144" s="39" t="s">
        <v>844</v>
      </c>
      <c r="T1144" s="39" t="s">
        <v>744</v>
      </c>
      <c r="U1144" s="35" t="s">
        <v>88</v>
      </c>
      <c r="V1144" s="39" t="s">
        <v>845</v>
      </c>
      <c r="W1144" s="39" t="s">
        <v>123</v>
      </c>
      <c r="X1144" s="39">
        <v>755.97</v>
      </c>
      <c r="Y1144" s="39">
        <v>113.4</v>
      </c>
      <c r="Z1144" s="39">
        <v>113.4</v>
      </c>
      <c r="AA1144" s="39">
        <v>0</v>
      </c>
      <c r="AB1144" s="39"/>
      <c r="AC1144" s="39">
        <v>0</v>
      </c>
      <c r="AD1144" s="39"/>
      <c r="AE1144" s="39">
        <v>0</v>
      </c>
      <c r="AF1144" s="39"/>
      <c r="AG1144" s="39">
        <v>0</v>
      </c>
      <c r="AH1144" s="39"/>
      <c r="AI1144" s="41">
        <v>0</v>
      </c>
    </row>
    <row r="1145" spans="1:35" x14ac:dyDescent="0.25">
      <c r="A1145" s="34" t="s">
        <v>110</v>
      </c>
      <c r="B1145" s="35" t="s">
        <v>2844</v>
      </c>
      <c r="C1145" s="35" t="s">
        <v>2845</v>
      </c>
      <c r="D1145" s="35">
        <v>29239</v>
      </c>
      <c r="E1145" s="35" t="s">
        <v>4092</v>
      </c>
      <c r="F1145" s="35" t="s">
        <v>4093</v>
      </c>
      <c r="G1145" s="35" t="s">
        <v>174</v>
      </c>
      <c r="H1145" s="35" t="s">
        <v>160</v>
      </c>
      <c r="I1145" s="35" t="s">
        <v>217</v>
      </c>
      <c r="J1145" s="35" t="s">
        <v>118</v>
      </c>
      <c r="K1145" s="36">
        <v>46078</v>
      </c>
      <c r="L1145" s="36">
        <v>45984</v>
      </c>
      <c r="M1145" s="36">
        <v>46086</v>
      </c>
      <c r="N1145" s="36"/>
      <c r="O1145" s="36"/>
      <c r="P1145" s="36"/>
      <c r="Q1145" s="36"/>
      <c r="R1145" s="35" t="s">
        <v>218</v>
      </c>
      <c r="S1145" s="35" t="s">
        <v>225</v>
      </c>
      <c r="T1145" s="35" t="s">
        <v>225</v>
      </c>
      <c r="U1145" s="35" t="s">
        <v>88</v>
      </c>
      <c r="V1145" s="35" t="s">
        <v>226</v>
      </c>
      <c r="W1145" s="35" t="s">
        <v>123</v>
      </c>
      <c r="X1145" s="35">
        <v>300</v>
      </c>
      <c r="Y1145" s="35">
        <v>54.55</v>
      </c>
      <c r="Z1145" s="35">
        <v>54.55</v>
      </c>
      <c r="AA1145" s="35">
        <v>0</v>
      </c>
      <c r="AB1145" s="35"/>
      <c r="AC1145" s="35">
        <v>0</v>
      </c>
      <c r="AD1145" s="35"/>
      <c r="AE1145" s="35">
        <v>0</v>
      </c>
      <c r="AF1145" s="35"/>
      <c r="AG1145" s="35">
        <v>0</v>
      </c>
      <c r="AH1145" s="35"/>
      <c r="AI1145" s="37">
        <v>0</v>
      </c>
    </row>
    <row r="1146" spans="1:35" x14ac:dyDescent="0.25">
      <c r="A1146" s="38" t="s">
        <v>110</v>
      </c>
      <c r="B1146" s="39" t="s">
        <v>3844</v>
      </c>
      <c r="C1146" s="39" t="s">
        <v>4094</v>
      </c>
      <c r="D1146" s="39">
        <v>32722</v>
      </c>
      <c r="E1146" s="39" t="s">
        <v>4095</v>
      </c>
      <c r="F1146" s="39" t="s">
        <v>4096</v>
      </c>
      <c r="G1146" s="39" t="s">
        <v>174</v>
      </c>
      <c r="H1146" s="39" t="s">
        <v>160</v>
      </c>
      <c r="I1146" s="39" t="s">
        <v>217</v>
      </c>
      <c r="J1146" s="39" t="s">
        <v>141</v>
      </c>
      <c r="K1146" s="40">
        <v>46078</v>
      </c>
      <c r="L1146" s="40">
        <v>46069</v>
      </c>
      <c r="M1146" s="40"/>
      <c r="N1146" s="40"/>
      <c r="O1146" s="40"/>
      <c r="P1146" s="40"/>
      <c r="Q1146" s="40"/>
      <c r="R1146" s="39" t="s">
        <v>218</v>
      </c>
      <c r="S1146" s="39" t="s">
        <v>2828</v>
      </c>
      <c r="T1146" s="39" t="s">
        <v>2816</v>
      </c>
      <c r="U1146" s="35" t="s">
        <v>108</v>
      </c>
      <c r="V1146" s="39" t="s">
        <v>226</v>
      </c>
      <c r="W1146" s="39" t="s">
        <v>123</v>
      </c>
      <c r="X1146" s="39">
        <v>4034.56</v>
      </c>
      <c r="Y1146" s="39">
        <v>733.56</v>
      </c>
      <c r="Z1146" s="39">
        <v>733.56</v>
      </c>
      <c r="AA1146" s="39">
        <v>0</v>
      </c>
      <c r="AB1146" s="39"/>
      <c r="AC1146" s="39">
        <v>0</v>
      </c>
      <c r="AD1146" s="39"/>
      <c r="AE1146" s="39">
        <v>0</v>
      </c>
      <c r="AF1146" s="39"/>
      <c r="AG1146" s="39">
        <v>0</v>
      </c>
      <c r="AH1146" s="39"/>
      <c r="AI1146" s="41">
        <v>0</v>
      </c>
    </row>
    <row r="1147" spans="1:35" x14ac:dyDescent="0.25">
      <c r="A1147" s="34" t="s">
        <v>110</v>
      </c>
      <c r="B1147" s="35" t="s">
        <v>2926</v>
      </c>
      <c r="C1147" s="35" t="s">
        <v>4097</v>
      </c>
      <c r="D1147" s="35">
        <v>32723</v>
      </c>
      <c r="E1147" s="35" t="s">
        <v>4098</v>
      </c>
      <c r="F1147" s="35" t="s">
        <v>4099</v>
      </c>
      <c r="G1147" s="35" t="s">
        <v>174</v>
      </c>
      <c r="H1147" s="35" t="s">
        <v>160</v>
      </c>
      <c r="I1147" s="35" t="s">
        <v>217</v>
      </c>
      <c r="J1147" s="35" t="s">
        <v>141</v>
      </c>
      <c r="K1147" s="36">
        <v>46078</v>
      </c>
      <c r="L1147" s="36">
        <v>46078</v>
      </c>
      <c r="M1147" s="36"/>
      <c r="N1147" s="36"/>
      <c r="O1147" s="36"/>
      <c r="P1147" s="36"/>
      <c r="Q1147" s="36"/>
      <c r="R1147" s="35" t="s">
        <v>218</v>
      </c>
      <c r="S1147" s="35" t="s">
        <v>225</v>
      </c>
      <c r="T1147" s="35" t="s">
        <v>225</v>
      </c>
      <c r="U1147" s="35" t="s">
        <v>88</v>
      </c>
      <c r="V1147" s="35" t="s">
        <v>226</v>
      </c>
      <c r="W1147" s="35" t="s">
        <v>123</v>
      </c>
      <c r="X1147" s="35">
        <v>2300</v>
      </c>
      <c r="Y1147" s="35">
        <v>418.18</v>
      </c>
      <c r="Z1147" s="35">
        <v>418.18</v>
      </c>
      <c r="AA1147" s="35">
        <v>0</v>
      </c>
      <c r="AB1147" s="35"/>
      <c r="AC1147" s="35">
        <v>0</v>
      </c>
      <c r="AD1147" s="35"/>
      <c r="AE1147" s="35">
        <v>0</v>
      </c>
      <c r="AF1147" s="35"/>
      <c r="AG1147" s="35">
        <v>0</v>
      </c>
      <c r="AH1147" s="35"/>
      <c r="AI1147" s="37">
        <v>0</v>
      </c>
    </row>
    <row r="1148" spans="1:35" x14ac:dyDescent="0.25">
      <c r="A1148" s="38" t="s">
        <v>110</v>
      </c>
      <c r="B1148" s="39" t="s">
        <v>720</v>
      </c>
      <c r="C1148" s="39" t="s">
        <v>2707</v>
      </c>
      <c r="D1148" s="39">
        <v>5623</v>
      </c>
      <c r="E1148" s="39" t="s">
        <v>4100</v>
      </c>
      <c r="F1148" s="39" t="s">
        <v>4101</v>
      </c>
      <c r="G1148" s="39" t="s">
        <v>115</v>
      </c>
      <c r="H1148" s="39" t="s">
        <v>160</v>
      </c>
      <c r="I1148" s="39" t="s">
        <v>117</v>
      </c>
      <c r="J1148" s="39" t="s">
        <v>141</v>
      </c>
      <c r="K1148" s="40">
        <v>46078</v>
      </c>
      <c r="L1148" s="40">
        <v>46126</v>
      </c>
      <c r="M1148" s="40"/>
      <c r="N1148" s="40"/>
      <c r="O1148" s="40"/>
      <c r="P1148" s="40"/>
      <c r="Q1148" s="40"/>
      <c r="R1148" s="39" t="s">
        <v>142</v>
      </c>
      <c r="S1148" s="39" t="s">
        <v>2708</v>
      </c>
      <c r="T1148" s="39" t="s">
        <v>2709</v>
      </c>
      <c r="U1148" s="35" t="s">
        <v>86</v>
      </c>
      <c r="V1148" s="39" t="s">
        <v>1454</v>
      </c>
      <c r="W1148" s="39" t="s">
        <v>123</v>
      </c>
      <c r="X1148" s="39">
        <v>600.63</v>
      </c>
      <c r="Y1148" s="39">
        <v>120.13</v>
      </c>
      <c r="Z1148" s="39">
        <v>120.13</v>
      </c>
      <c r="AA1148" s="39">
        <v>0</v>
      </c>
      <c r="AB1148" s="39"/>
      <c r="AC1148" s="39">
        <v>0</v>
      </c>
      <c r="AD1148" s="39"/>
      <c r="AE1148" s="39">
        <v>0</v>
      </c>
      <c r="AF1148" s="39"/>
      <c r="AG1148" s="39">
        <v>0</v>
      </c>
      <c r="AH1148" s="39"/>
      <c r="AI1148" s="41">
        <v>0</v>
      </c>
    </row>
    <row r="1149" spans="1:35" x14ac:dyDescent="0.25">
      <c r="A1149" s="34" t="s">
        <v>110</v>
      </c>
      <c r="B1149" s="35" t="s">
        <v>3965</v>
      </c>
      <c r="C1149" s="35" t="s">
        <v>3966</v>
      </c>
      <c r="D1149" s="35">
        <v>32711</v>
      </c>
      <c r="E1149" s="35" t="s">
        <v>4102</v>
      </c>
      <c r="F1149" s="35" t="s">
        <v>4103</v>
      </c>
      <c r="G1149" s="35" t="s">
        <v>174</v>
      </c>
      <c r="H1149" s="35" t="s">
        <v>160</v>
      </c>
      <c r="I1149" s="35" t="s">
        <v>217</v>
      </c>
      <c r="J1149" s="35" t="s">
        <v>118</v>
      </c>
      <c r="K1149" s="36">
        <v>46078</v>
      </c>
      <c r="L1149" s="36">
        <v>46073</v>
      </c>
      <c r="M1149" s="36">
        <v>46083</v>
      </c>
      <c r="N1149" s="36"/>
      <c r="O1149" s="36"/>
      <c r="P1149" s="36"/>
      <c r="Q1149" s="36"/>
      <c r="R1149" s="35" t="s">
        <v>218</v>
      </c>
      <c r="S1149" s="35" t="s">
        <v>225</v>
      </c>
      <c r="T1149" s="35" t="s">
        <v>225</v>
      </c>
      <c r="U1149" s="35" t="s">
        <v>88</v>
      </c>
      <c r="V1149" s="35" t="s">
        <v>226</v>
      </c>
      <c r="W1149" s="35" t="s">
        <v>123</v>
      </c>
      <c r="X1149" s="35">
        <v>508.55</v>
      </c>
      <c r="Y1149" s="35">
        <v>92.46</v>
      </c>
      <c r="Z1149" s="35">
        <v>92.46</v>
      </c>
      <c r="AA1149" s="35">
        <v>0</v>
      </c>
      <c r="AB1149" s="35"/>
      <c r="AC1149" s="35">
        <v>0</v>
      </c>
      <c r="AD1149" s="35"/>
      <c r="AE1149" s="35">
        <v>0</v>
      </c>
      <c r="AF1149" s="35"/>
      <c r="AG1149" s="35">
        <v>0</v>
      </c>
      <c r="AH1149" s="35"/>
      <c r="AI1149" s="37">
        <v>0</v>
      </c>
    </row>
    <row r="1150" spans="1:35" x14ac:dyDescent="0.25">
      <c r="A1150" s="38" t="s">
        <v>110</v>
      </c>
      <c r="B1150" s="39" t="s">
        <v>2826</v>
      </c>
      <c r="C1150" s="39" t="s">
        <v>2829</v>
      </c>
      <c r="D1150" s="39">
        <v>6841</v>
      </c>
      <c r="E1150" s="39" t="s">
        <v>4104</v>
      </c>
      <c r="F1150" s="39" t="s">
        <v>4105</v>
      </c>
      <c r="G1150" s="39" t="s">
        <v>192</v>
      </c>
      <c r="H1150" s="39" t="s">
        <v>160</v>
      </c>
      <c r="I1150" s="39" t="s">
        <v>117</v>
      </c>
      <c r="J1150" s="39" t="s">
        <v>141</v>
      </c>
      <c r="K1150" s="40">
        <v>46079</v>
      </c>
      <c r="L1150" s="40">
        <v>45572</v>
      </c>
      <c r="M1150" s="40"/>
      <c r="N1150" s="40"/>
      <c r="O1150" s="40"/>
      <c r="P1150" s="40"/>
      <c r="Q1150" s="40"/>
      <c r="R1150" s="39" t="s">
        <v>218</v>
      </c>
      <c r="S1150" s="39" t="s">
        <v>183</v>
      </c>
      <c r="T1150" s="39" t="s">
        <v>205</v>
      </c>
      <c r="U1150" s="35" t="s">
        <v>89</v>
      </c>
      <c r="V1150" s="39" t="s">
        <v>509</v>
      </c>
      <c r="W1150" s="39" t="s">
        <v>123</v>
      </c>
      <c r="X1150" s="39">
        <v>200.05</v>
      </c>
      <c r="Y1150" s="39">
        <v>40.01</v>
      </c>
      <c r="Z1150" s="39">
        <v>40.01</v>
      </c>
      <c r="AA1150" s="39">
        <v>0</v>
      </c>
      <c r="AB1150" s="39"/>
      <c r="AC1150" s="39">
        <v>0</v>
      </c>
      <c r="AD1150" s="39"/>
      <c r="AE1150" s="39">
        <v>0</v>
      </c>
      <c r="AF1150" s="39"/>
      <c r="AG1150" s="39">
        <v>0</v>
      </c>
      <c r="AH1150" s="39"/>
      <c r="AI1150" s="41">
        <v>0</v>
      </c>
    </row>
    <row r="1151" spans="1:35" x14ac:dyDescent="0.25">
      <c r="A1151" s="34" t="s">
        <v>110</v>
      </c>
      <c r="B1151" s="35" t="s">
        <v>2792</v>
      </c>
      <c r="C1151" s="35" t="s">
        <v>2793</v>
      </c>
      <c r="D1151" s="35">
        <v>28079</v>
      </c>
      <c r="E1151" s="35" t="s">
        <v>4106</v>
      </c>
      <c r="F1151" s="35" t="s">
        <v>4107</v>
      </c>
      <c r="G1151" s="35" t="s">
        <v>192</v>
      </c>
      <c r="H1151" s="35" t="s">
        <v>160</v>
      </c>
      <c r="I1151" s="35" t="s">
        <v>117</v>
      </c>
      <c r="J1151" s="35" t="s">
        <v>141</v>
      </c>
      <c r="K1151" s="36">
        <v>46079</v>
      </c>
      <c r="L1151" s="36">
        <v>46141</v>
      </c>
      <c r="M1151" s="36"/>
      <c r="N1151" s="36"/>
      <c r="O1151" s="36"/>
      <c r="P1151" s="36"/>
      <c r="Q1151" s="36"/>
      <c r="R1151" s="35" t="s">
        <v>142</v>
      </c>
      <c r="S1151" s="35" t="s">
        <v>697</v>
      </c>
      <c r="T1151" s="35" t="s">
        <v>698</v>
      </c>
      <c r="U1151" s="35" t="s">
        <v>88</v>
      </c>
      <c r="V1151" s="35" t="s">
        <v>699</v>
      </c>
      <c r="W1151" s="35" t="s">
        <v>123</v>
      </c>
      <c r="X1151" s="35">
        <v>472.34</v>
      </c>
      <c r="Y1151" s="35">
        <v>118.09</v>
      </c>
      <c r="Z1151" s="35">
        <v>118.09</v>
      </c>
      <c r="AA1151" s="35">
        <v>0</v>
      </c>
      <c r="AB1151" s="35"/>
      <c r="AC1151" s="35">
        <v>0</v>
      </c>
      <c r="AD1151" s="35"/>
      <c r="AE1151" s="35">
        <v>0</v>
      </c>
      <c r="AF1151" s="35"/>
      <c r="AG1151" s="35">
        <v>0</v>
      </c>
      <c r="AH1151" s="35"/>
      <c r="AI1151" s="37">
        <v>0</v>
      </c>
    </row>
    <row r="1152" spans="1:35" x14ac:dyDescent="0.25">
      <c r="A1152" s="38" t="s">
        <v>110</v>
      </c>
      <c r="B1152" s="39" t="s">
        <v>2749</v>
      </c>
      <c r="C1152" s="39" t="s">
        <v>2750</v>
      </c>
      <c r="D1152" s="39">
        <v>20222</v>
      </c>
      <c r="E1152" s="39" t="s">
        <v>4108</v>
      </c>
      <c r="F1152" s="39" t="s">
        <v>4109</v>
      </c>
      <c r="G1152" s="39" t="s">
        <v>174</v>
      </c>
      <c r="H1152" s="39" t="s">
        <v>160</v>
      </c>
      <c r="I1152" s="39" t="s">
        <v>217</v>
      </c>
      <c r="J1152" s="39" t="s">
        <v>141</v>
      </c>
      <c r="K1152" s="40">
        <v>46079</v>
      </c>
      <c r="L1152" s="40">
        <v>46123</v>
      </c>
      <c r="M1152" s="40"/>
      <c r="N1152" s="40"/>
      <c r="O1152" s="40"/>
      <c r="P1152" s="40"/>
      <c r="Q1152" s="40"/>
      <c r="R1152" s="39" t="s">
        <v>218</v>
      </c>
      <c r="S1152" s="39" t="s">
        <v>225</v>
      </c>
      <c r="T1152" s="39" t="s">
        <v>225</v>
      </c>
      <c r="U1152" s="35" t="s">
        <v>88</v>
      </c>
      <c r="V1152" s="39" t="s">
        <v>226</v>
      </c>
      <c r="W1152" s="39" t="s">
        <v>123</v>
      </c>
      <c r="X1152" s="39">
        <v>1035</v>
      </c>
      <c r="Y1152" s="39">
        <v>188.18</v>
      </c>
      <c r="Z1152" s="39">
        <v>188.18</v>
      </c>
      <c r="AA1152" s="39">
        <v>0</v>
      </c>
      <c r="AB1152" s="39"/>
      <c r="AC1152" s="39">
        <v>0</v>
      </c>
      <c r="AD1152" s="39"/>
      <c r="AE1152" s="39">
        <v>0</v>
      </c>
      <c r="AF1152" s="39"/>
      <c r="AG1152" s="39">
        <v>0</v>
      </c>
      <c r="AH1152" s="39"/>
      <c r="AI1152" s="41">
        <v>0</v>
      </c>
    </row>
    <row r="1153" spans="1:35" x14ac:dyDescent="0.25">
      <c r="A1153" s="34" t="s">
        <v>110</v>
      </c>
      <c r="B1153" s="35" t="s">
        <v>2849</v>
      </c>
      <c r="C1153" s="35" t="s">
        <v>2927</v>
      </c>
      <c r="D1153" s="35">
        <v>32243</v>
      </c>
      <c r="E1153" s="35" t="s">
        <v>4110</v>
      </c>
      <c r="F1153" s="35" t="s">
        <v>4111</v>
      </c>
      <c r="G1153" s="35" t="s">
        <v>174</v>
      </c>
      <c r="H1153" s="35" t="s">
        <v>160</v>
      </c>
      <c r="I1153" s="35" t="s">
        <v>217</v>
      </c>
      <c r="J1153" s="35" t="s">
        <v>118</v>
      </c>
      <c r="K1153" s="36">
        <v>46079</v>
      </c>
      <c r="L1153" s="36">
        <v>45981</v>
      </c>
      <c r="M1153" s="36">
        <v>46087</v>
      </c>
      <c r="N1153" s="36"/>
      <c r="O1153" s="36"/>
      <c r="P1153" s="36"/>
      <c r="Q1153" s="36"/>
      <c r="R1153" s="35" t="s">
        <v>218</v>
      </c>
      <c r="S1153" s="35" t="s">
        <v>1018</v>
      </c>
      <c r="T1153" s="35" t="s">
        <v>1018</v>
      </c>
      <c r="U1153" s="35" t="s">
        <v>82</v>
      </c>
      <c r="V1153" s="35" t="s">
        <v>226</v>
      </c>
      <c r="W1153" s="35" t="s">
        <v>123</v>
      </c>
      <c r="X1153" s="35">
        <v>345.41</v>
      </c>
      <c r="Y1153" s="35">
        <v>62.8</v>
      </c>
      <c r="Z1153" s="35">
        <v>62.8</v>
      </c>
      <c r="AA1153" s="35">
        <v>0</v>
      </c>
      <c r="AB1153" s="35"/>
      <c r="AC1153" s="35">
        <v>0</v>
      </c>
      <c r="AD1153" s="35"/>
      <c r="AE1153" s="35">
        <v>0</v>
      </c>
      <c r="AF1153" s="35"/>
      <c r="AG1153" s="35">
        <v>0</v>
      </c>
      <c r="AH1153" s="35"/>
      <c r="AI1153" s="37">
        <v>0</v>
      </c>
    </row>
    <row r="1154" spans="1:35" x14ac:dyDescent="0.25">
      <c r="A1154" s="38" t="s">
        <v>110</v>
      </c>
      <c r="B1154" s="39" t="s">
        <v>1081</v>
      </c>
      <c r="C1154" s="39" t="s">
        <v>1082</v>
      </c>
      <c r="D1154" s="39">
        <v>32244</v>
      </c>
      <c r="E1154" s="39" t="s">
        <v>4112</v>
      </c>
      <c r="F1154" s="39" t="s">
        <v>4113</v>
      </c>
      <c r="G1154" s="39" t="s">
        <v>174</v>
      </c>
      <c r="H1154" s="39" t="s">
        <v>160</v>
      </c>
      <c r="I1154" s="39" t="s">
        <v>217</v>
      </c>
      <c r="J1154" s="39" t="s">
        <v>118</v>
      </c>
      <c r="K1154" s="40">
        <v>46079</v>
      </c>
      <c r="L1154" s="40">
        <v>45981</v>
      </c>
      <c r="M1154" s="40">
        <v>46087</v>
      </c>
      <c r="N1154" s="40"/>
      <c r="O1154" s="40"/>
      <c r="P1154" s="40"/>
      <c r="Q1154" s="40"/>
      <c r="R1154" s="39" t="s">
        <v>218</v>
      </c>
      <c r="S1154" s="39" t="s">
        <v>1018</v>
      </c>
      <c r="T1154" s="39" t="s">
        <v>1018</v>
      </c>
      <c r="U1154" s="35" t="s">
        <v>82</v>
      </c>
      <c r="V1154" s="39" t="s">
        <v>226</v>
      </c>
      <c r="W1154" s="39" t="s">
        <v>123</v>
      </c>
      <c r="X1154" s="39">
        <v>5359.22</v>
      </c>
      <c r="Y1154" s="39">
        <v>974.4</v>
      </c>
      <c r="Z1154" s="39">
        <v>974.4</v>
      </c>
      <c r="AA1154" s="39">
        <v>0</v>
      </c>
      <c r="AB1154" s="39"/>
      <c r="AC1154" s="39">
        <v>0</v>
      </c>
      <c r="AD1154" s="39"/>
      <c r="AE1154" s="39">
        <v>0</v>
      </c>
      <c r="AF1154" s="39"/>
      <c r="AG1154" s="39">
        <v>0</v>
      </c>
      <c r="AH1154" s="39"/>
      <c r="AI1154" s="41">
        <v>0</v>
      </c>
    </row>
    <row r="1155" spans="1:35" x14ac:dyDescent="0.25">
      <c r="A1155" s="34" t="s">
        <v>110</v>
      </c>
      <c r="B1155" s="35" t="s">
        <v>1509</v>
      </c>
      <c r="C1155" s="35" t="s">
        <v>1305</v>
      </c>
      <c r="D1155" s="35">
        <v>32601</v>
      </c>
      <c r="E1155" s="35" t="s">
        <v>4114</v>
      </c>
      <c r="F1155" s="35" t="s">
        <v>4115</v>
      </c>
      <c r="G1155" s="35" t="s">
        <v>174</v>
      </c>
      <c r="H1155" s="35" t="s">
        <v>160</v>
      </c>
      <c r="I1155" s="35" t="s">
        <v>217</v>
      </c>
      <c r="J1155" s="35" t="s">
        <v>118</v>
      </c>
      <c r="K1155" s="36">
        <v>46079</v>
      </c>
      <c r="L1155" s="36">
        <v>46050</v>
      </c>
      <c r="M1155" s="36">
        <v>46087</v>
      </c>
      <c r="N1155" s="36"/>
      <c r="O1155" s="36"/>
      <c r="P1155" s="36"/>
      <c r="Q1155" s="36"/>
      <c r="R1155" s="35" t="s">
        <v>218</v>
      </c>
      <c r="S1155" s="35" t="s">
        <v>1018</v>
      </c>
      <c r="T1155" s="35" t="s">
        <v>1018</v>
      </c>
      <c r="U1155" s="35" t="s">
        <v>82</v>
      </c>
      <c r="V1155" s="35" t="s">
        <v>226</v>
      </c>
      <c r="W1155" s="35" t="s">
        <v>123</v>
      </c>
      <c r="X1155" s="35">
        <v>-41.58</v>
      </c>
      <c r="Y1155" s="35">
        <v>-7.56</v>
      </c>
      <c r="Z1155" s="35">
        <v>-7.56</v>
      </c>
      <c r="AA1155" s="35">
        <v>0</v>
      </c>
      <c r="AB1155" s="35"/>
      <c r="AC1155" s="35">
        <v>0</v>
      </c>
      <c r="AD1155" s="35"/>
      <c r="AE1155" s="35">
        <v>0</v>
      </c>
      <c r="AF1155" s="35"/>
      <c r="AG1155" s="35">
        <v>0</v>
      </c>
      <c r="AH1155" s="35"/>
      <c r="AI1155" s="37">
        <v>0</v>
      </c>
    </row>
    <row r="1156" spans="1:35" x14ac:dyDescent="0.25">
      <c r="A1156" s="38" t="s">
        <v>110</v>
      </c>
      <c r="B1156" s="39" t="s">
        <v>1509</v>
      </c>
      <c r="C1156" s="39" t="s">
        <v>1305</v>
      </c>
      <c r="D1156" s="39">
        <v>32601</v>
      </c>
      <c r="E1156" s="39" t="s">
        <v>4116</v>
      </c>
      <c r="F1156" s="39" t="s">
        <v>4117</v>
      </c>
      <c r="G1156" s="39" t="s">
        <v>174</v>
      </c>
      <c r="H1156" s="39" t="s">
        <v>160</v>
      </c>
      <c r="I1156" s="39" t="s">
        <v>217</v>
      </c>
      <c r="J1156" s="39" t="s">
        <v>118</v>
      </c>
      <c r="K1156" s="40">
        <v>46079</v>
      </c>
      <c r="L1156" s="40">
        <v>46050</v>
      </c>
      <c r="M1156" s="40">
        <v>46084</v>
      </c>
      <c r="N1156" s="40"/>
      <c r="O1156" s="40"/>
      <c r="P1156" s="40"/>
      <c r="Q1156" s="40"/>
      <c r="R1156" s="39" t="s">
        <v>218</v>
      </c>
      <c r="S1156" s="39" t="s">
        <v>1018</v>
      </c>
      <c r="T1156" s="39" t="s">
        <v>1018</v>
      </c>
      <c r="U1156" s="35" t="s">
        <v>82</v>
      </c>
      <c r="V1156" s="39" t="s">
        <v>226</v>
      </c>
      <c r="W1156" s="39" t="s">
        <v>123</v>
      </c>
      <c r="X1156" s="39">
        <v>196.51</v>
      </c>
      <c r="Y1156" s="39">
        <v>35.729999999999997</v>
      </c>
      <c r="Z1156" s="39">
        <v>35.729999999999997</v>
      </c>
      <c r="AA1156" s="39">
        <v>0</v>
      </c>
      <c r="AB1156" s="39"/>
      <c r="AC1156" s="39">
        <v>0</v>
      </c>
      <c r="AD1156" s="39"/>
      <c r="AE1156" s="39">
        <v>0</v>
      </c>
      <c r="AF1156" s="39"/>
      <c r="AG1156" s="39">
        <v>0</v>
      </c>
      <c r="AH1156" s="39"/>
      <c r="AI1156" s="41">
        <v>0</v>
      </c>
    </row>
    <row r="1157" spans="1:35" x14ac:dyDescent="0.25">
      <c r="A1157" s="34" t="s">
        <v>110</v>
      </c>
      <c r="B1157" s="35" t="s">
        <v>2884</v>
      </c>
      <c r="C1157" s="35" t="s">
        <v>4118</v>
      </c>
      <c r="D1157" s="35">
        <v>32724</v>
      </c>
      <c r="E1157" s="35" t="s">
        <v>4119</v>
      </c>
      <c r="F1157" s="35" t="s">
        <v>4120</v>
      </c>
      <c r="G1157" s="35" t="s">
        <v>174</v>
      </c>
      <c r="H1157" s="35" t="s">
        <v>160</v>
      </c>
      <c r="I1157" s="35" t="s">
        <v>217</v>
      </c>
      <c r="J1157" s="35" t="s">
        <v>118</v>
      </c>
      <c r="K1157" s="36">
        <v>46079</v>
      </c>
      <c r="L1157" s="36">
        <v>46076</v>
      </c>
      <c r="M1157" s="36">
        <v>46083</v>
      </c>
      <c r="N1157" s="36"/>
      <c r="O1157" s="36"/>
      <c r="P1157" s="36"/>
      <c r="Q1157" s="36"/>
      <c r="R1157" s="35" t="s">
        <v>218</v>
      </c>
      <c r="S1157" s="35" t="s">
        <v>1018</v>
      </c>
      <c r="T1157" s="35" t="s">
        <v>1018</v>
      </c>
      <c r="U1157" s="35" t="s">
        <v>82</v>
      </c>
      <c r="V1157" s="35" t="s">
        <v>226</v>
      </c>
      <c r="W1157" s="35" t="s">
        <v>123</v>
      </c>
      <c r="X1157" s="35">
        <v>4051.03</v>
      </c>
      <c r="Y1157" s="35">
        <v>736.56</v>
      </c>
      <c r="Z1157" s="35">
        <v>736.56</v>
      </c>
      <c r="AA1157" s="35">
        <v>0</v>
      </c>
      <c r="AB1157" s="35"/>
      <c r="AC1157" s="35">
        <v>0</v>
      </c>
      <c r="AD1157" s="35"/>
      <c r="AE1157" s="35">
        <v>0</v>
      </c>
      <c r="AF1157" s="35"/>
      <c r="AG1157" s="35">
        <v>0</v>
      </c>
      <c r="AH1157" s="35"/>
      <c r="AI1157" s="37">
        <v>0</v>
      </c>
    </row>
    <row r="1158" spans="1:35" x14ac:dyDescent="0.25">
      <c r="A1158" s="38" t="s">
        <v>110</v>
      </c>
      <c r="B1158" s="39" t="s">
        <v>420</v>
      </c>
      <c r="C1158" s="39" t="s">
        <v>1314</v>
      </c>
      <c r="D1158" s="39">
        <v>32614</v>
      </c>
      <c r="E1158" s="39" t="s">
        <v>4121</v>
      </c>
      <c r="F1158" s="39" t="s">
        <v>4122</v>
      </c>
      <c r="G1158" s="39" t="s">
        <v>174</v>
      </c>
      <c r="H1158" s="39" t="s">
        <v>160</v>
      </c>
      <c r="I1158" s="39" t="s">
        <v>217</v>
      </c>
      <c r="J1158" s="39" t="s">
        <v>141</v>
      </c>
      <c r="K1158" s="40">
        <v>46079</v>
      </c>
      <c r="L1158" s="40">
        <v>46052</v>
      </c>
      <c r="M1158" s="40"/>
      <c r="N1158" s="40"/>
      <c r="O1158" s="40"/>
      <c r="P1158" s="40"/>
      <c r="Q1158" s="40"/>
      <c r="R1158" s="39" t="s">
        <v>218</v>
      </c>
      <c r="S1158" s="39" t="s">
        <v>1018</v>
      </c>
      <c r="T1158" s="39" t="s">
        <v>1018</v>
      </c>
      <c r="U1158" s="35" t="s">
        <v>82</v>
      </c>
      <c r="V1158" s="39" t="s">
        <v>226</v>
      </c>
      <c r="W1158" s="39" t="s">
        <v>123</v>
      </c>
      <c r="X1158" s="39">
        <v>-256.83</v>
      </c>
      <c r="Y1158" s="39">
        <v>-46.7</v>
      </c>
      <c r="Z1158" s="39">
        <v>-46.7</v>
      </c>
      <c r="AA1158" s="39">
        <v>0</v>
      </c>
      <c r="AB1158" s="39"/>
      <c r="AC1158" s="39">
        <v>0</v>
      </c>
      <c r="AD1158" s="39"/>
      <c r="AE1158" s="39">
        <v>0</v>
      </c>
      <c r="AF1158" s="39"/>
      <c r="AG1158" s="39">
        <v>0</v>
      </c>
      <c r="AH1158" s="39"/>
      <c r="AI1158" s="41">
        <v>0</v>
      </c>
    </row>
    <row r="1159" spans="1:35" x14ac:dyDescent="0.25">
      <c r="A1159" s="34" t="s">
        <v>110</v>
      </c>
      <c r="B1159" s="35" t="s">
        <v>1146</v>
      </c>
      <c r="C1159" s="35" t="s">
        <v>4123</v>
      </c>
      <c r="D1159" s="35">
        <v>32725</v>
      </c>
      <c r="E1159" s="35" t="s">
        <v>4124</v>
      </c>
      <c r="F1159" s="35" t="s">
        <v>4125</v>
      </c>
      <c r="G1159" s="35" t="s">
        <v>174</v>
      </c>
      <c r="H1159" s="35" t="s">
        <v>160</v>
      </c>
      <c r="I1159" s="35" t="s">
        <v>217</v>
      </c>
      <c r="J1159" s="35" t="s">
        <v>141</v>
      </c>
      <c r="K1159" s="36">
        <v>46079</v>
      </c>
      <c r="L1159" s="36">
        <v>46077</v>
      </c>
      <c r="M1159" s="36"/>
      <c r="N1159" s="36"/>
      <c r="O1159" s="36"/>
      <c r="P1159" s="36"/>
      <c r="Q1159" s="36"/>
      <c r="R1159" s="35" t="s">
        <v>218</v>
      </c>
      <c r="S1159" s="35" t="s">
        <v>1018</v>
      </c>
      <c r="T1159" s="35" t="s">
        <v>1018</v>
      </c>
      <c r="U1159" s="35" t="s">
        <v>82</v>
      </c>
      <c r="V1159" s="35" t="s">
        <v>226</v>
      </c>
      <c r="W1159" s="35" t="s">
        <v>123</v>
      </c>
      <c r="X1159" s="35">
        <v>12883.23</v>
      </c>
      <c r="Y1159" s="35">
        <v>2342.41</v>
      </c>
      <c r="Z1159" s="35">
        <v>2342.41</v>
      </c>
      <c r="AA1159" s="35">
        <v>0</v>
      </c>
      <c r="AB1159" s="35"/>
      <c r="AC1159" s="35">
        <v>0</v>
      </c>
      <c r="AD1159" s="35"/>
      <c r="AE1159" s="35">
        <v>0</v>
      </c>
      <c r="AF1159" s="35"/>
      <c r="AG1159" s="35">
        <v>0</v>
      </c>
      <c r="AH1159" s="35"/>
      <c r="AI1159" s="37">
        <v>0</v>
      </c>
    </row>
    <row r="1160" spans="1:35" x14ac:dyDescent="0.25">
      <c r="A1160" s="38" t="s">
        <v>110</v>
      </c>
      <c r="B1160" s="39" t="s">
        <v>1146</v>
      </c>
      <c r="C1160" s="39" t="s">
        <v>4123</v>
      </c>
      <c r="D1160" s="39">
        <v>32725</v>
      </c>
      <c r="E1160" s="39" t="s">
        <v>4126</v>
      </c>
      <c r="F1160" s="39" t="s">
        <v>4127</v>
      </c>
      <c r="G1160" s="39" t="s">
        <v>174</v>
      </c>
      <c r="H1160" s="39" t="s">
        <v>160</v>
      </c>
      <c r="I1160" s="39" t="s">
        <v>217</v>
      </c>
      <c r="J1160" s="39" t="s">
        <v>141</v>
      </c>
      <c r="K1160" s="40">
        <v>46079</v>
      </c>
      <c r="L1160" s="40">
        <v>46077</v>
      </c>
      <c r="M1160" s="40"/>
      <c r="N1160" s="40"/>
      <c r="O1160" s="40"/>
      <c r="P1160" s="40"/>
      <c r="Q1160" s="40"/>
      <c r="R1160" s="39" t="s">
        <v>218</v>
      </c>
      <c r="S1160" s="39" t="s">
        <v>1018</v>
      </c>
      <c r="T1160" s="39" t="s">
        <v>1018</v>
      </c>
      <c r="U1160" s="35" t="s">
        <v>82</v>
      </c>
      <c r="V1160" s="39" t="s">
        <v>226</v>
      </c>
      <c r="W1160" s="39" t="s">
        <v>123</v>
      </c>
      <c r="X1160" s="39">
        <v>12883.23</v>
      </c>
      <c r="Y1160" s="39">
        <v>2342.41</v>
      </c>
      <c r="Z1160" s="39">
        <v>2342.41</v>
      </c>
      <c r="AA1160" s="39">
        <v>0</v>
      </c>
      <c r="AB1160" s="39"/>
      <c r="AC1160" s="39">
        <v>0</v>
      </c>
      <c r="AD1160" s="39"/>
      <c r="AE1160" s="39">
        <v>0</v>
      </c>
      <c r="AF1160" s="39"/>
      <c r="AG1160" s="39">
        <v>0</v>
      </c>
      <c r="AH1160" s="39"/>
      <c r="AI1160" s="41">
        <v>0</v>
      </c>
    </row>
    <row r="1161" spans="1:35" x14ac:dyDescent="0.25">
      <c r="A1161" s="34" t="s">
        <v>110</v>
      </c>
      <c r="B1161" s="35" t="s">
        <v>2908</v>
      </c>
      <c r="C1161" s="35" t="s">
        <v>4128</v>
      </c>
      <c r="D1161" s="35">
        <v>32726</v>
      </c>
      <c r="E1161" s="35" t="s">
        <v>4129</v>
      </c>
      <c r="F1161" s="35" t="s">
        <v>4130</v>
      </c>
      <c r="G1161" s="35" t="s">
        <v>174</v>
      </c>
      <c r="H1161" s="35" t="s">
        <v>160</v>
      </c>
      <c r="I1161" s="35" t="s">
        <v>217</v>
      </c>
      <c r="J1161" s="35" t="s">
        <v>141</v>
      </c>
      <c r="K1161" s="36">
        <v>46079</v>
      </c>
      <c r="L1161" s="36">
        <v>46078</v>
      </c>
      <c r="M1161" s="36"/>
      <c r="N1161" s="36"/>
      <c r="O1161" s="36"/>
      <c r="P1161" s="36"/>
      <c r="Q1161" s="36"/>
      <c r="R1161" s="35" t="s">
        <v>218</v>
      </c>
      <c r="S1161" s="35" t="s">
        <v>1018</v>
      </c>
      <c r="T1161" s="35" t="s">
        <v>1018</v>
      </c>
      <c r="U1161" s="35" t="s">
        <v>82</v>
      </c>
      <c r="V1161" s="35" t="s">
        <v>226</v>
      </c>
      <c r="W1161" s="35" t="s">
        <v>123</v>
      </c>
      <c r="X1161" s="35">
        <v>6830.82</v>
      </c>
      <c r="Y1161" s="35">
        <v>1241.96</v>
      </c>
      <c r="Z1161" s="35">
        <v>1241.96</v>
      </c>
      <c r="AA1161" s="35">
        <v>0</v>
      </c>
      <c r="AB1161" s="35"/>
      <c r="AC1161" s="35">
        <v>0</v>
      </c>
      <c r="AD1161" s="35" t="s">
        <v>1359</v>
      </c>
      <c r="AE1161" s="35">
        <v>993.57</v>
      </c>
      <c r="AF1161" s="35"/>
      <c r="AG1161" s="35">
        <v>0</v>
      </c>
      <c r="AH1161" s="35"/>
      <c r="AI1161" s="37">
        <v>0</v>
      </c>
    </row>
    <row r="1162" spans="1:35" x14ac:dyDescent="0.25">
      <c r="A1162" s="38" t="s">
        <v>110</v>
      </c>
      <c r="B1162" s="39" t="s">
        <v>1220</v>
      </c>
      <c r="C1162" s="39" t="s">
        <v>4131</v>
      </c>
      <c r="D1162" s="39">
        <v>32727</v>
      </c>
      <c r="E1162" s="39" t="s">
        <v>4132</v>
      </c>
      <c r="F1162" s="39" t="s">
        <v>4133</v>
      </c>
      <c r="G1162" s="39" t="s">
        <v>174</v>
      </c>
      <c r="H1162" s="39" t="s">
        <v>160</v>
      </c>
      <c r="I1162" s="39" t="s">
        <v>217</v>
      </c>
      <c r="J1162" s="39" t="s">
        <v>118</v>
      </c>
      <c r="K1162" s="40">
        <v>46079</v>
      </c>
      <c r="L1162" s="40">
        <v>46078</v>
      </c>
      <c r="M1162" s="40">
        <v>46087</v>
      </c>
      <c r="N1162" s="40"/>
      <c r="O1162" s="40"/>
      <c r="P1162" s="40"/>
      <c r="Q1162" s="40"/>
      <c r="R1162" s="39" t="s">
        <v>218</v>
      </c>
      <c r="S1162" s="39" t="s">
        <v>1018</v>
      </c>
      <c r="T1162" s="39" t="s">
        <v>1018</v>
      </c>
      <c r="U1162" s="35" t="s">
        <v>82</v>
      </c>
      <c r="V1162" s="39" t="s">
        <v>226</v>
      </c>
      <c r="W1162" s="39" t="s">
        <v>123</v>
      </c>
      <c r="X1162" s="39">
        <v>11927.83</v>
      </c>
      <c r="Y1162" s="39">
        <v>2168.6999999999998</v>
      </c>
      <c r="Z1162" s="39">
        <v>2168.6999999999998</v>
      </c>
      <c r="AA1162" s="39">
        <v>0</v>
      </c>
      <c r="AB1162" s="39"/>
      <c r="AC1162" s="39">
        <v>0</v>
      </c>
      <c r="AD1162" s="39"/>
      <c r="AE1162" s="39">
        <v>0</v>
      </c>
      <c r="AF1162" s="39"/>
      <c r="AG1162" s="39">
        <v>0</v>
      </c>
      <c r="AH1162" s="39"/>
      <c r="AI1162" s="41">
        <v>0</v>
      </c>
    </row>
    <row r="1163" spans="1:35" x14ac:dyDescent="0.25">
      <c r="A1163" s="34" t="s">
        <v>110</v>
      </c>
      <c r="B1163" s="35" t="s">
        <v>1220</v>
      </c>
      <c r="C1163" s="35" t="s">
        <v>4131</v>
      </c>
      <c r="D1163" s="35">
        <v>32727</v>
      </c>
      <c r="E1163" s="35" t="s">
        <v>4134</v>
      </c>
      <c r="F1163" s="35" t="s">
        <v>4135</v>
      </c>
      <c r="G1163" s="35" t="s">
        <v>174</v>
      </c>
      <c r="H1163" s="35" t="s">
        <v>160</v>
      </c>
      <c r="I1163" s="35" t="s">
        <v>217</v>
      </c>
      <c r="J1163" s="35" t="s">
        <v>141</v>
      </c>
      <c r="K1163" s="36">
        <v>46079</v>
      </c>
      <c r="L1163" s="36">
        <v>46078</v>
      </c>
      <c r="M1163" s="36"/>
      <c r="N1163" s="36"/>
      <c r="O1163" s="36"/>
      <c r="P1163" s="36"/>
      <c r="Q1163" s="36"/>
      <c r="R1163" s="35" t="s">
        <v>218</v>
      </c>
      <c r="S1163" s="35" t="s">
        <v>1018</v>
      </c>
      <c r="T1163" s="35" t="s">
        <v>1018</v>
      </c>
      <c r="U1163" s="35" t="s">
        <v>82</v>
      </c>
      <c r="V1163" s="35" t="s">
        <v>226</v>
      </c>
      <c r="W1163" s="35" t="s">
        <v>123</v>
      </c>
      <c r="X1163" s="35">
        <v>11927.83</v>
      </c>
      <c r="Y1163" s="35">
        <v>2168.6999999999998</v>
      </c>
      <c r="Z1163" s="35">
        <v>2168.6999999999998</v>
      </c>
      <c r="AA1163" s="35">
        <v>0</v>
      </c>
      <c r="AB1163" s="35"/>
      <c r="AC1163" s="35">
        <v>0</v>
      </c>
      <c r="AD1163" s="35"/>
      <c r="AE1163" s="35">
        <v>0</v>
      </c>
      <c r="AF1163" s="35"/>
      <c r="AG1163" s="35">
        <v>0</v>
      </c>
      <c r="AH1163" s="35"/>
      <c r="AI1163" s="37">
        <v>0</v>
      </c>
    </row>
    <row r="1164" spans="1:35" x14ac:dyDescent="0.25">
      <c r="A1164" s="38" t="s">
        <v>110</v>
      </c>
      <c r="B1164" s="39" t="s">
        <v>1220</v>
      </c>
      <c r="C1164" s="39" t="s">
        <v>4131</v>
      </c>
      <c r="D1164" s="39">
        <v>32727</v>
      </c>
      <c r="E1164" s="39" t="s">
        <v>4136</v>
      </c>
      <c r="F1164" s="39" t="s">
        <v>4137</v>
      </c>
      <c r="G1164" s="39" t="s">
        <v>174</v>
      </c>
      <c r="H1164" s="39" t="s">
        <v>160</v>
      </c>
      <c r="I1164" s="39" t="s">
        <v>217</v>
      </c>
      <c r="J1164" s="39" t="s">
        <v>141</v>
      </c>
      <c r="K1164" s="40">
        <v>46079</v>
      </c>
      <c r="L1164" s="40">
        <v>46078</v>
      </c>
      <c r="M1164" s="40"/>
      <c r="N1164" s="40"/>
      <c r="O1164" s="40"/>
      <c r="P1164" s="40"/>
      <c r="Q1164" s="40"/>
      <c r="R1164" s="39" t="s">
        <v>218</v>
      </c>
      <c r="S1164" s="39" t="s">
        <v>1018</v>
      </c>
      <c r="T1164" s="39" t="s">
        <v>1018</v>
      </c>
      <c r="U1164" s="35" t="s">
        <v>82</v>
      </c>
      <c r="V1164" s="39" t="s">
        <v>226</v>
      </c>
      <c r="W1164" s="39" t="s">
        <v>123</v>
      </c>
      <c r="X1164" s="39">
        <v>11927.83</v>
      </c>
      <c r="Y1164" s="39">
        <v>2168.6999999999998</v>
      </c>
      <c r="Z1164" s="39">
        <v>2168.6999999999998</v>
      </c>
      <c r="AA1164" s="39">
        <v>0</v>
      </c>
      <c r="AB1164" s="39"/>
      <c r="AC1164" s="39">
        <v>0</v>
      </c>
      <c r="AD1164" s="39"/>
      <c r="AE1164" s="39">
        <v>0</v>
      </c>
      <c r="AF1164" s="39"/>
      <c r="AG1164" s="39">
        <v>0</v>
      </c>
      <c r="AH1164" s="39"/>
      <c r="AI1164" s="41">
        <v>0</v>
      </c>
    </row>
    <row r="1165" spans="1:35" x14ac:dyDescent="0.25">
      <c r="A1165" s="34" t="s">
        <v>110</v>
      </c>
      <c r="B1165" s="35" t="s">
        <v>4138</v>
      </c>
      <c r="C1165" s="35" t="s">
        <v>4139</v>
      </c>
      <c r="D1165" s="35">
        <v>32728</v>
      </c>
      <c r="E1165" s="35" t="s">
        <v>4140</v>
      </c>
      <c r="F1165" s="35" t="s">
        <v>4141</v>
      </c>
      <c r="G1165" s="35" t="s">
        <v>174</v>
      </c>
      <c r="H1165" s="35" t="s">
        <v>160</v>
      </c>
      <c r="I1165" s="35" t="s">
        <v>217</v>
      </c>
      <c r="J1165" s="35" t="s">
        <v>118</v>
      </c>
      <c r="K1165" s="36">
        <v>46079</v>
      </c>
      <c r="L1165" s="36">
        <v>46077</v>
      </c>
      <c r="M1165" s="36">
        <v>46083</v>
      </c>
      <c r="N1165" s="36"/>
      <c r="O1165" s="36"/>
      <c r="P1165" s="36"/>
      <c r="Q1165" s="36"/>
      <c r="R1165" s="35" t="s">
        <v>218</v>
      </c>
      <c r="S1165" s="35" t="s">
        <v>1018</v>
      </c>
      <c r="T1165" s="35" t="s">
        <v>1018</v>
      </c>
      <c r="U1165" s="35" t="s">
        <v>82</v>
      </c>
      <c r="V1165" s="35" t="s">
        <v>226</v>
      </c>
      <c r="W1165" s="35" t="s">
        <v>123</v>
      </c>
      <c r="X1165" s="35">
        <v>8107.26</v>
      </c>
      <c r="Y1165" s="35">
        <v>1474.04</v>
      </c>
      <c r="Z1165" s="35">
        <v>1474.04</v>
      </c>
      <c r="AA1165" s="35">
        <v>0</v>
      </c>
      <c r="AB1165" s="35"/>
      <c r="AC1165" s="35">
        <v>0</v>
      </c>
      <c r="AD1165" s="35" t="s">
        <v>333</v>
      </c>
      <c r="AE1165" s="35">
        <v>810.73</v>
      </c>
      <c r="AF1165" s="35"/>
      <c r="AG1165" s="35">
        <v>0</v>
      </c>
      <c r="AH1165" s="35"/>
      <c r="AI1165" s="37">
        <v>0</v>
      </c>
    </row>
    <row r="1166" spans="1:35" x14ac:dyDescent="0.25">
      <c r="A1166" s="38" t="s">
        <v>110</v>
      </c>
      <c r="B1166" s="39" t="s">
        <v>4142</v>
      </c>
      <c r="C1166" s="39" t="s">
        <v>4143</v>
      </c>
      <c r="D1166" s="39">
        <v>32729</v>
      </c>
      <c r="E1166" s="39" t="s">
        <v>4144</v>
      </c>
      <c r="F1166" s="39" t="s">
        <v>4145</v>
      </c>
      <c r="G1166" s="39" t="s">
        <v>174</v>
      </c>
      <c r="H1166" s="39" t="s">
        <v>160</v>
      </c>
      <c r="I1166" s="39" t="s">
        <v>217</v>
      </c>
      <c r="J1166" s="39" t="s">
        <v>141</v>
      </c>
      <c r="K1166" s="40">
        <v>46079</v>
      </c>
      <c r="L1166" s="40">
        <v>46076</v>
      </c>
      <c r="M1166" s="40"/>
      <c r="N1166" s="40"/>
      <c r="O1166" s="40"/>
      <c r="P1166" s="40"/>
      <c r="Q1166" s="40"/>
      <c r="R1166" s="39" t="s">
        <v>218</v>
      </c>
      <c r="S1166" s="39" t="s">
        <v>1018</v>
      </c>
      <c r="T1166" s="39" t="s">
        <v>1018</v>
      </c>
      <c r="U1166" s="35" t="s">
        <v>82</v>
      </c>
      <c r="V1166" s="39" t="s">
        <v>226</v>
      </c>
      <c r="W1166" s="39" t="s">
        <v>123</v>
      </c>
      <c r="X1166" s="39">
        <v>7018.03</v>
      </c>
      <c r="Y1166" s="39">
        <v>1276</v>
      </c>
      <c r="Z1166" s="39">
        <v>1276</v>
      </c>
      <c r="AA1166" s="39">
        <v>0</v>
      </c>
      <c r="AB1166" s="39"/>
      <c r="AC1166" s="39">
        <v>0</v>
      </c>
      <c r="AD1166" s="39"/>
      <c r="AE1166" s="39">
        <v>0</v>
      </c>
      <c r="AF1166" s="39"/>
      <c r="AG1166" s="39">
        <v>0</v>
      </c>
      <c r="AH1166" s="39"/>
      <c r="AI1166" s="41">
        <v>0</v>
      </c>
    </row>
    <row r="1167" spans="1:35" x14ac:dyDescent="0.25">
      <c r="A1167" s="34" t="s">
        <v>110</v>
      </c>
      <c r="B1167" s="35" t="s">
        <v>1081</v>
      </c>
      <c r="C1167" s="35" t="s">
        <v>4146</v>
      </c>
      <c r="D1167" s="35">
        <v>32730</v>
      </c>
      <c r="E1167" s="35" t="s">
        <v>4147</v>
      </c>
      <c r="F1167" s="35" t="s">
        <v>4148</v>
      </c>
      <c r="G1167" s="35" t="s">
        <v>174</v>
      </c>
      <c r="H1167" s="35" t="s">
        <v>160</v>
      </c>
      <c r="I1167" s="35" t="s">
        <v>217</v>
      </c>
      <c r="J1167" s="35" t="s">
        <v>141</v>
      </c>
      <c r="K1167" s="36">
        <v>46079</v>
      </c>
      <c r="L1167" s="36">
        <v>46077</v>
      </c>
      <c r="M1167" s="36"/>
      <c r="N1167" s="36"/>
      <c r="O1167" s="36"/>
      <c r="P1167" s="36"/>
      <c r="Q1167" s="36"/>
      <c r="R1167" s="35" t="s">
        <v>218</v>
      </c>
      <c r="S1167" s="35" t="s">
        <v>1018</v>
      </c>
      <c r="T1167" s="35" t="s">
        <v>1018</v>
      </c>
      <c r="U1167" s="35" t="s">
        <v>82</v>
      </c>
      <c r="V1167" s="35" t="s">
        <v>226</v>
      </c>
      <c r="W1167" s="35" t="s">
        <v>123</v>
      </c>
      <c r="X1167" s="35">
        <v>2700.88</v>
      </c>
      <c r="Y1167" s="35">
        <v>491.07</v>
      </c>
      <c r="Z1167" s="35">
        <v>491.07</v>
      </c>
      <c r="AA1167" s="35">
        <v>0</v>
      </c>
      <c r="AB1167" s="35"/>
      <c r="AC1167" s="35">
        <v>0</v>
      </c>
      <c r="AD1167" s="35"/>
      <c r="AE1167" s="35">
        <v>0</v>
      </c>
      <c r="AF1167" s="35"/>
      <c r="AG1167" s="35">
        <v>0</v>
      </c>
      <c r="AH1167" s="35"/>
      <c r="AI1167" s="37">
        <v>0</v>
      </c>
    </row>
    <row r="1168" spans="1:35" x14ac:dyDescent="0.25">
      <c r="A1168" s="38" t="s">
        <v>110</v>
      </c>
      <c r="B1168" s="39" t="s">
        <v>131</v>
      </c>
      <c r="C1168" s="39" t="s">
        <v>132</v>
      </c>
      <c r="D1168" s="39">
        <v>15454</v>
      </c>
      <c r="E1168" s="39"/>
      <c r="F1168" s="39" t="s">
        <v>4149</v>
      </c>
      <c r="G1168" s="39" t="s">
        <v>115</v>
      </c>
      <c r="H1168" s="39" t="s">
        <v>116</v>
      </c>
      <c r="I1168" s="39" t="s">
        <v>117</v>
      </c>
      <c r="J1168" s="39" t="s">
        <v>118</v>
      </c>
      <c r="K1168" s="40">
        <v>46079</v>
      </c>
      <c r="L1168" s="40">
        <v>46054</v>
      </c>
      <c r="M1168" s="40">
        <v>46079</v>
      </c>
      <c r="N1168" s="40"/>
      <c r="O1168" s="40"/>
      <c r="P1168" s="40"/>
      <c r="Q1168" s="40">
        <v>46079</v>
      </c>
      <c r="R1168" s="39" t="s">
        <v>119</v>
      </c>
      <c r="S1168" s="39" t="s">
        <v>134</v>
      </c>
      <c r="T1168" s="39" t="s">
        <v>135</v>
      </c>
      <c r="U1168" s="35" t="s">
        <v>90</v>
      </c>
      <c r="V1168" s="39" t="s">
        <v>136</v>
      </c>
      <c r="W1168" s="39" t="s">
        <v>123</v>
      </c>
      <c r="X1168" s="39">
        <v>548</v>
      </c>
      <c r="Y1168" s="39">
        <v>82.19</v>
      </c>
      <c r="Z1168" s="39">
        <v>82.19</v>
      </c>
      <c r="AA1168" s="39">
        <v>0</v>
      </c>
      <c r="AB1168" s="39"/>
      <c r="AC1168" s="39">
        <v>0</v>
      </c>
      <c r="AD1168" s="39"/>
      <c r="AE1168" s="39">
        <v>0</v>
      </c>
      <c r="AF1168" s="39"/>
      <c r="AG1168" s="39">
        <v>0</v>
      </c>
      <c r="AH1168" s="39"/>
      <c r="AI1168" s="41">
        <v>0</v>
      </c>
    </row>
    <row r="1169" spans="1:35" x14ac:dyDescent="0.25">
      <c r="A1169" s="34" t="s">
        <v>110</v>
      </c>
      <c r="B1169" s="35" t="s">
        <v>2917</v>
      </c>
      <c r="C1169" s="35" t="s">
        <v>2533</v>
      </c>
      <c r="D1169" s="35">
        <v>15623</v>
      </c>
      <c r="E1169" s="35" t="s">
        <v>4150</v>
      </c>
      <c r="F1169" s="35" t="s">
        <v>4151</v>
      </c>
      <c r="G1169" s="35" t="s">
        <v>115</v>
      </c>
      <c r="H1169" s="35" t="s">
        <v>116</v>
      </c>
      <c r="I1169" s="35" t="s">
        <v>117</v>
      </c>
      <c r="J1169" s="35" t="s">
        <v>141</v>
      </c>
      <c r="K1169" s="36">
        <v>46079</v>
      </c>
      <c r="L1169" s="36">
        <v>46098</v>
      </c>
      <c r="M1169" s="36"/>
      <c r="N1169" s="36"/>
      <c r="O1169" s="36"/>
      <c r="P1169" s="36"/>
      <c r="Q1169" s="36"/>
      <c r="R1169" s="35" t="s">
        <v>142</v>
      </c>
      <c r="S1169" s="35" t="s">
        <v>785</v>
      </c>
      <c r="T1169" s="35" t="s">
        <v>83</v>
      </c>
      <c r="U1169" s="35" t="s">
        <v>83</v>
      </c>
      <c r="V1169" s="35" t="s">
        <v>509</v>
      </c>
      <c r="W1169" s="35" t="s">
        <v>123</v>
      </c>
      <c r="X1169" s="35">
        <v>1538.66</v>
      </c>
      <c r="Y1169" s="35">
        <v>384.66</v>
      </c>
      <c r="Z1169" s="35">
        <v>384.66</v>
      </c>
      <c r="AA1169" s="35">
        <v>0</v>
      </c>
      <c r="AB1169" s="35"/>
      <c r="AC1169" s="35">
        <v>0</v>
      </c>
      <c r="AD1169" s="35"/>
      <c r="AE1169" s="35">
        <v>0</v>
      </c>
      <c r="AF1169" s="35"/>
      <c r="AG1169" s="35">
        <v>0</v>
      </c>
      <c r="AH1169" s="35"/>
      <c r="AI1169" s="37">
        <v>0</v>
      </c>
    </row>
    <row r="1170" spans="1:35" x14ac:dyDescent="0.25">
      <c r="A1170" s="38" t="s">
        <v>110</v>
      </c>
      <c r="B1170" s="39" t="s">
        <v>2794</v>
      </c>
      <c r="C1170" s="39" t="s">
        <v>2795</v>
      </c>
      <c r="D1170" s="39">
        <v>18259</v>
      </c>
      <c r="E1170" s="39" t="s">
        <v>4152</v>
      </c>
      <c r="F1170" s="39" t="s">
        <v>4153</v>
      </c>
      <c r="G1170" s="39" t="s">
        <v>115</v>
      </c>
      <c r="H1170" s="39" t="s">
        <v>116</v>
      </c>
      <c r="I1170" s="39" t="s">
        <v>117</v>
      </c>
      <c r="J1170" s="39" t="s">
        <v>141</v>
      </c>
      <c r="K1170" s="40">
        <v>46079</v>
      </c>
      <c r="L1170" s="40">
        <v>46143</v>
      </c>
      <c r="M1170" s="40"/>
      <c r="N1170" s="40"/>
      <c r="O1170" s="40"/>
      <c r="P1170" s="40"/>
      <c r="Q1170" s="40"/>
      <c r="R1170" s="39" t="s">
        <v>142</v>
      </c>
      <c r="S1170" s="39" t="s">
        <v>492</v>
      </c>
      <c r="T1170" s="39" t="s">
        <v>177</v>
      </c>
      <c r="U1170" s="35" t="s">
        <v>81</v>
      </c>
      <c r="V1170" s="39" t="s">
        <v>163</v>
      </c>
      <c r="W1170" s="39" t="s">
        <v>123</v>
      </c>
      <c r="X1170" s="39">
        <v>794.36</v>
      </c>
      <c r="Y1170" s="39">
        <v>111.21</v>
      </c>
      <c r="Z1170" s="39">
        <v>111.21</v>
      </c>
      <c r="AA1170" s="39">
        <v>0</v>
      </c>
      <c r="AB1170" s="39"/>
      <c r="AC1170" s="39">
        <v>0</v>
      </c>
      <c r="AD1170" s="39" t="s">
        <v>1478</v>
      </c>
      <c r="AE1170" s="39">
        <v>55.61</v>
      </c>
      <c r="AF1170" s="39"/>
      <c r="AG1170" s="39">
        <v>0</v>
      </c>
      <c r="AH1170" s="39"/>
      <c r="AI1170" s="41">
        <v>0</v>
      </c>
    </row>
    <row r="1171" spans="1:35" x14ac:dyDescent="0.25">
      <c r="A1171" s="34" t="s">
        <v>110</v>
      </c>
      <c r="B1171" s="35" t="s">
        <v>2762</v>
      </c>
      <c r="C1171" s="35" t="s">
        <v>2763</v>
      </c>
      <c r="D1171" s="35">
        <v>19289</v>
      </c>
      <c r="E1171" s="35" t="s">
        <v>4154</v>
      </c>
      <c r="F1171" s="35" t="s">
        <v>4155</v>
      </c>
      <c r="G1171" s="35" t="s">
        <v>115</v>
      </c>
      <c r="H1171" s="35" t="s">
        <v>116</v>
      </c>
      <c r="I1171" s="35" t="s">
        <v>117</v>
      </c>
      <c r="J1171" s="35" t="s">
        <v>141</v>
      </c>
      <c r="K1171" s="36">
        <v>46079</v>
      </c>
      <c r="L1171" s="36">
        <v>46143</v>
      </c>
      <c r="M1171" s="36"/>
      <c r="N1171" s="36"/>
      <c r="O1171" s="36"/>
      <c r="P1171" s="36"/>
      <c r="Q1171" s="36"/>
      <c r="R1171" s="35" t="s">
        <v>142</v>
      </c>
      <c r="S1171" s="35" t="s">
        <v>2414</v>
      </c>
      <c r="T1171" s="35" t="s">
        <v>923</v>
      </c>
      <c r="U1171" s="35" t="s">
        <v>81</v>
      </c>
      <c r="V1171" s="35" t="s">
        <v>163</v>
      </c>
      <c r="W1171" s="35" t="s">
        <v>123</v>
      </c>
      <c r="X1171" s="35">
        <v>449.99</v>
      </c>
      <c r="Y1171" s="35">
        <v>63</v>
      </c>
      <c r="Z1171" s="35">
        <v>63</v>
      </c>
      <c r="AA1171" s="35">
        <v>0</v>
      </c>
      <c r="AB1171" s="35"/>
      <c r="AC1171" s="35">
        <v>0</v>
      </c>
      <c r="AD1171" s="35"/>
      <c r="AE1171" s="35">
        <v>0</v>
      </c>
      <c r="AF1171" s="35"/>
      <c r="AG1171" s="35">
        <v>0</v>
      </c>
      <c r="AH1171" s="35"/>
      <c r="AI1171" s="37">
        <v>0</v>
      </c>
    </row>
    <row r="1172" spans="1:35" x14ac:dyDescent="0.25">
      <c r="A1172" s="38" t="s">
        <v>110</v>
      </c>
      <c r="B1172" s="39" t="s">
        <v>2125</v>
      </c>
      <c r="C1172" s="39" t="s">
        <v>2764</v>
      </c>
      <c r="D1172" s="39">
        <v>26494</v>
      </c>
      <c r="E1172" s="39" t="s">
        <v>4156</v>
      </c>
      <c r="F1172" s="39" t="s">
        <v>4157</v>
      </c>
      <c r="G1172" s="39" t="s">
        <v>115</v>
      </c>
      <c r="H1172" s="39" t="s">
        <v>116</v>
      </c>
      <c r="I1172" s="39" t="s">
        <v>117</v>
      </c>
      <c r="J1172" s="39" t="s">
        <v>141</v>
      </c>
      <c r="K1172" s="40">
        <v>46079</v>
      </c>
      <c r="L1172" s="40">
        <v>46143</v>
      </c>
      <c r="M1172" s="40"/>
      <c r="N1172" s="40"/>
      <c r="O1172" s="40"/>
      <c r="P1172" s="40"/>
      <c r="Q1172" s="40"/>
      <c r="R1172" s="39" t="s">
        <v>142</v>
      </c>
      <c r="S1172" s="39" t="s">
        <v>492</v>
      </c>
      <c r="T1172" s="39" t="s">
        <v>177</v>
      </c>
      <c r="U1172" s="35" t="s">
        <v>81</v>
      </c>
      <c r="V1172" s="39" t="s">
        <v>163</v>
      </c>
      <c r="W1172" s="39" t="s">
        <v>123</v>
      </c>
      <c r="X1172" s="39">
        <v>2006.17</v>
      </c>
      <c r="Y1172" s="39">
        <v>180.56</v>
      </c>
      <c r="Z1172" s="39">
        <v>180.56</v>
      </c>
      <c r="AA1172" s="39">
        <v>0</v>
      </c>
      <c r="AB1172" s="39"/>
      <c r="AC1172" s="39">
        <v>0</v>
      </c>
      <c r="AD1172" s="39"/>
      <c r="AE1172" s="39">
        <v>0</v>
      </c>
      <c r="AF1172" s="39"/>
      <c r="AG1172" s="39">
        <v>0</v>
      </c>
      <c r="AH1172" s="39"/>
      <c r="AI1172" s="41">
        <v>0</v>
      </c>
    </row>
    <row r="1173" spans="1:35" x14ac:dyDescent="0.25">
      <c r="A1173" s="34" t="s">
        <v>110</v>
      </c>
      <c r="B1173" s="35" t="s">
        <v>2125</v>
      </c>
      <c r="C1173" s="35" t="s">
        <v>2765</v>
      </c>
      <c r="D1173" s="35">
        <v>26520</v>
      </c>
      <c r="E1173" s="35" t="s">
        <v>4158</v>
      </c>
      <c r="F1173" s="35" t="s">
        <v>4159</v>
      </c>
      <c r="G1173" s="35" t="s">
        <v>115</v>
      </c>
      <c r="H1173" s="35" t="s">
        <v>116</v>
      </c>
      <c r="I1173" s="35" t="s">
        <v>117</v>
      </c>
      <c r="J1173" s="35" t="s">
        <v>141</v>
      </c>
      <c r="K1173" s="36">
        <v>46079</v>
      </c>
      <c r="L1173" s="36">
        <v>46143</v>
      </c>
      <c r="M1173" s="36"/>
      <c r="N1173" s="36"/>
      <c r="O1173" s="36"/>
      <c r="P1173" s="36"/>
      <c r="Q1173" s="36"/>
      <c r="R1173" s="35" t="s">
        <v>142</v>
      </c>
      <c r="S1173" s="35" t="s">
        <v>177</v>
      </c>
      <c r="T1173" s="35" t="s">
        <v>177</v>
      </c>
      <c r="U1173" s="35" t="s">
        <v>81</v>
      </c>
      <c r="V1173" s="35" t="s">
        <v>163</v>
      </c>
      <c r="W1173" s="35" t="s">
        <v>123</v>
      </c>
      <c r="X1173" s="35">
        <v>2137.48</v>
      </c>
      <c r="Y1173" s="35">
        <v>192.37</v>
      </c>
      <c r="Z1173" s="35">
        <v>192.37</v>
      </c>
      <c r="AA1173" s="35">
        <v>0</v>
      </c>
      <c r="AB1173" s="35"/>
      <c r="AC1173" s="35">
        <v>0</v>
      </c>
      <c r="AD1173" s="35"/>
      <c r="AE1173" s="35">
        <v>0</v>
      </c>
      <c r="AF1173" s="35"/>
      <c r="AG1173" s="35">
        <v>0</v>
      </c>
      <c r="AH1173" s="35"/>
      <c r="AI1173" s="37">
        <v>0</v>
      </c>
    </row>
    <row r="1174" spans="1:35" x14ac:dyDescent="0.25">
      <c r="A1174" s="38" t="s">
        <v>110</v>
      </c>
      <c r="B1174" s="39" t="s">
        <v>2425</v>
      </c>
      <c r="C1174" s="39" t="s">
        <v>2804</v>
      </c>
      <c r="D1174" s="39">
        <v>28170</v>
      </c>
      <c r="E1174" s="39" t="s">
        <v>4160</v>
      </c>
      <c r="F1174" s="39" t="s">
        <v>4161</v>
      </c>
      <c r="G1174" s="39" t="s">
        <v>115</v>
      </c>
      <c r="H1174" s="39" t="s">
        <v>116</v>
      </c>
      <c r="I1174" s="39" t="s">
        <v>117</v>
      </c>
      <c r="J1174" s="39" t="s">
        <v>141</v>
      </c>
      <c r="K1174" s="40">
        <v>46079</v>
      </c>
      <c r="L1174" s="40">
        <v>46143</v>
      </c>
      <c r="M1174" s="40"/>
      <c r="N1174" s="40"/>
      <c r="O1174" s="40"/>
      <c r="P1174" s="40"/>
      <c r="Q1174" s="40"/>
      <c r="R1174" s="39" t="s">
        <v>142</v>
      </c>
      <c r="S1174" s="39" t="s">
        <v>492</v>
      </c>
      <c r="T1174" s="39" t="s">
        <v>177</v>
      </c>
      <c r="U1174" s="35" t="s">
        <v>81</v>
      </c>
      <c r="V1174" s="39" t="s">
        <v>163</v>
      </c>
      <c r="W1174" s="39" t="s">
        <v>123</v>
      </c>
      <c r="X1174" s="39">
        <v>938.9</v>
      </c>
      <c r="Y1174" s="39">
        <v>84.5</v>
      </c>
      <c r="Z1174" s="39">
        <v>84.5</v>
      </c>
      <c r="AA1174" s="39">
        <v>0</v>
      </c>
      <c r="AB1174" s="39"/>
      <c r="AC1174" s="39">
        <v>0</v>
      </c>
      <c r="AD1174" s="39"/>
      <c r="AE1174" s="39">
        <v>0</v>
      </c>
      <c r="AF1174" s="39"/>
      <c r="AG1174" s="39">
        <v>0</v>
      </c>
      <c r="AH1174" s="39"/>
      <c r="AI1174" s="41">
        <v>0</v>
      </c>
    </row>
    <row r="1175" spans="1:35" x14ac:dyDescent="0.25">
      <c r="A1175" s="34" t="s">
        <v>110</v>
      </c>
      <c r="B1175" s="35" t="s">
        <v>2808</v>
      </c>
      <c r="C1175" s="35" t="s">
        <v>2809</v>
      </c>
      <c r="D1175" s="35">
        <v>28245</v>
      </c>
      <c r="E1175" s="35" t="s">
        <v>4162</v>
      </c>
      <c r="F1175" s="35" t="s">
        <v>4163</v>
      </c>
      <c r="G1175" s="35" t="s">
        <v>115</v>
      </c>
      <c r="H1175" s="35" t="s">
        <v>116</v>
      </c>
      <c r="I1175" s="35" t="s">
        <v>117</v>
      </c>
      <c r="J1175" s="35" t="s">
        <v>141</v>
      </c>
      <c r="K1175" s="36">
        <v>46079</v>
      </c>
      <c r="L1175" s="36">
        <v>46143</v>
      </c>
      <c r="M1175" s="36"/>
      <c r="N1175" s="36"/>
      <c r="O1175" s="36"/>
      <c r="P1175" s="36"/>
      <c r="Q1175" s="36"/>
      <c r="R1175" s="35" t="s">
        <v>142</v>
      </c>
      <c r="S1175" s="35" t="s">
        <v>1436</v>
      </c>
      <c r="T1175" s="35" t="s">
        <v>177</v>
      </c>
      <c r="U1175" s="35" t="s">
        <v>81</v>
      </c>
      <c r="V1175" s="35" t="s">
        <v>163</v>
      </c>
      <c r="W1175" s="35" t="s">
        <v>123</v>
      </c>
      <c r="X1175" s="35">
        <v>281.23</v>
      </c>
      <c r="Y1175" s="35">
        <v>39.369999999999997</v>
      </c>
      <c r="Z1175" s="35">
        <v>39.369999999999997</v>
      </c>
      <c r="AA1175" s="35">
        <v>0</v>
      </c>
      <c r="AB1175" s="35"/>
      <c r="AC1175" s="35">
        <v>0</v>
      </c>
      <c r="AD1175" s="35"/>
      <c r="AE1175" s="35">
        <v>0</v>
      </c>
      <c r="AF1175" s="35"/>
      <c r="AG1175" s="35">
        <v>0</v>
      </c>
      <c r="AH1175" s="35"/>
      <c r="AI1175" s="37">
        <v>0</v>
      </c>
    </row>
    <row r="1176" spans="1:35" x14ac:dyDescent="0.25">
      <c r="A1176" s="38" t="s">
        <v>110</v>
      </c>
      <c r="B1176" s="39" t="s">
        <v>1580</v>
      </c>
      <c r="C1176" s="39" t="s">
        <v>2810</v>
      </c>
      <c r="D1176" s="39">
        <v>28246</v>
      </c>
      <c r="E1176" s="39" t="s">
        <v>4164</v>
      </c>
      <c r="F1176" s="39" t="s">
        <v>4165</v>
      </c>
      <c r="G1176" s="39" t="s">
        <v>115</v>
      </c>
      <c r="H1176" s="39" t="s">
        <v>116</v>
      </c>
      <c r="I1176" s="39" t="s">
        <v>117</v>
      </c>
      <c r="J1176" s="39" t="s">
        <v>141</v>
      </c>
      <c r="K1176" s="40">
        <v>46079</v>
      </c>
      <c r="L1176" s="40">
        <v>46143</v>
      </c>
      <c r="M1176" s="40"/>
      <c r="N1176" s="40"/>
      <c r="O1176" s="40"/>
      <c r="P1176" s="40"/>
      <c r="Q1176" s="40"/>
      <c r="R1176" s="39" t="s">
        <v>142</v>
      </c>
      <c r="S1176" s="39" t="s">
        <v>492</v>
      </c>
      <c r="T1176" s="39" t="s">
        <v>177</v>
      </c>
      <c r="U1176" s="35" t="s">
        <v>81</v>
      </c>
      <c r="V1176" s="39" t="s">
        <v>163</v>
      </c>
      <c r="W1176" s="39" t="s">
        <v>123</v>
      </c>
      <c r="X1176" s="39">
        <v>1299.8499999999999</v>
      </c>
      <c r="Y1176" s="39">
        <v>116.99</v>
      </c>
      <c r="Z1176" s="39">
        <v>116.99</v>
      </c>
      <c r="AA1176" s="39">
        <v>0</v>
      </c>
      <c r="AB1176" s="39"/>
      <c r="AC1176" s="39">
        <v>0</v>
      </c>
      <c r="AD1176" s="39"/>
      <c r="AE1176" s="39">
        <v>0</v>
      </c>
      <c r="AF1176" s="39"/>
      <c r="AG1176" s="39">
        <v>0</v>
      </c>
      <c r="AH1176" s="39"/>
      <c r="AI1176" s="41">
        <v>0</v>
      </c>
    </row>
    <row r="1177" spans="1:35" x14ac:dyDescent="0.25">
      <c r="A1177" s="34" t="s">
        <v>110</v>
      </c>
      <c r="B1177" s="35" t="s">
        <v>2766</v>
      </c>
      <c r="C1177" s="35" t="s">
        <v>2767</v>
      </c>
      <c r="D1177" s="35">
        <v>2655</v>
      </c>
      <c r="E1177" s="35" t="s">
        <v>4166</v>
      </c>
      <c r="F1177" s="35" t="s">
        <v>4167</v>
      </c>
      <c r="G1177" s="35" t="s">
        <v>115</v>
      </c>
      <c r="H1177" s="35" t="s">
        <v>160</v>
      </c>
      <c r="I1177" s="35" t="s">
        <v>117</v>
      </c>
      <c r="J1177" s="35" t="s">
        <v>141</v>
      </c>
      <c r="K1177" s="36">
        <v>46079</v>
      </c>
      <c r="L1177" s="36">
        <v>46143</v>
      </c>
      <c r="M1177" s="36"/>
      <c r="N1177" s="36"/>
      <c r="O1177" s="36"/>
      <c r="P1177" s="36"/>
      <c r="Q1177" s="36"/>
      <c r="R1177" s="35" t="s">
        <v>142</v>
      </c>
      <c r="S1177" s="35" t="s">
        <v>168</v>
      </c>
      <c r="T1177" s="35" t="s">
        <v>169</v>
      </c>
      <c r="U1177" s="35" t="s">
        <v>81</v>
      </c>
      <c r="V1177" s="35" t="s">
        <v>163</v>
      </c>
      <c r="W1177" s="35" t="s">
        <v>123</v>
      </c>
      <c r="X1177" s="35">
        <v>475.56</v>
      </c>
      <c r="Y1177" s="35">
        <v>61.82</v>
      </c>
      <c r="Z1177" s="35">
        <v>61.82</v>
      </c>
      <c r="AA1177" s="35">
        <v>0</v>
      </c>
      <c r="AB1177" s="35"/>
      <c r="AC1177" s="35">
        <v>0</v>
      </c>
      <c r="AD1177" s="35"/>
      <c r="AE1177" s="35">
        <v>0</v>
      </c>
      <c r="AF1177" s="35"/>
      <c r="AG1177" s="35">
        <v>0</v>
      </c>
      <c r="AH1177" s="35"/>
      <c r="AI1177" s="37">
        <v>0</v>
      </c>
    </row>
    <row r="1178" spans="1:35" x14ac:dyDescent="0.25">
      <c r="A1178" s="38" t="s">
        <v>110</v>
      </c>
      <c r="B1178" s="39" t="s">
        <v>2768</v>
      </c>
      <c r="C1178" s="39" t="s">
        <v>2769</v>
      </c>
      <c r="D1178" s="39">
        <v>15356</v>
      </c>
      <c r="E1178" s="39" t="s">
        <v>4168</v>
      </c>
      <c r="F1178" s="39" t="s">
        <v>4169</v>
      </c>
      <c r="G1178" s="39" t="s">
        <v>115</v>
      </c>
      <c r="H1178" s="39" t="s">
        <v>116</v>
      </c>
      <c r="I1178" s="39" t="s">
        <v>117</v>
      </c>
      <c r="J1178" s="39" t="s">
        <v>141</v>
      </c>
      <c r="K1178" s="40">
        <v>46079</v>
      </c>
      <c r="L1178" s="40">
        <v>46143</v>
      </c>
      <c r="M1178" s="40"/>
      <c r="N1178" s="40"/>
      <c r="O1178" s="40"/>
      <c r="P1178" s="40"/>
      <c r="Q1178" s="40"/>
      <c r="R1178" s="39" t="s">
        <v>175</v>
      </c>
      <c r="S1178" s="39" t="s">
        <v>2414</v>
      </c>
      <c r="T1178" s="39" t="s">
        <v>923</v>
      </c>
      <c r="U1178" s="35" t="s">
        <v>81</v>
      </c>
      <c r="V1178" s="39" t="s">
        <v>163</v>
      </c>
      <c r="W1178" s="39" t="s">
        <v>123</v>
      </c>
      <c r="X1178" s="39">
        <v>411.13</v>
      </c>
      <c r="Y1178" s="39">
        <v>69.89</v>
      </c>
      <c r="Z1178" s="39">
        <v>69.89</v>
      </c>
      <c r="AA1178" s="39">
        <v>0</v>
      </c>
      <c r="AB1178" s="39"/>
      <c r="AC1178" s="39">
        <v>0</v>
      </c>
      <c r="AD1178" s="39"/>
      <c r="AE1178" s="39">
        <v>0</v>
      </c>
      <c r="AF1178" s="39"/>
      <c r="AG1178" s="39">
        <v>0</v>
      </c>
      <c r="AH1178" s="39"/>
      <c r="AI1178" s="41">
        <v>0</v>
      </c>
    </row>
    <row r="1179" spans="1:35" x14ac:dyDescent="0.25">
      <c r="A1179" s="34" t="s">
        <v>110</v>
      </c>
      <c r="B1179" s="35" t="s">
        <v>2770</v>
      </c>
      <c r="C1179" s="35" t="s">
        <v>2771</v>
      </c>
      <c r="D1179" s="35">
        <v>20191</v>
      </c>
      <c r="E1179" s="35" t="s">
        <v>4170</v>
      </c>
      <c r="F1179" s="35" t="s">
        <v>4171</v>
      </c>
      <c r="G1179" s="35" t="s">
        <v>115</v>
      </c>
      <c r="H1179" s="35" t="s">
        <v>160</v>
      </c>
      <c r="I1179" s="35" t="s">
        <v>117</v>
      </c>
      <c r="J1179" s="35" t="s">
        <v>141</v>
      </c>
      <c r="K1179" s="36">
        <v>46079</v>
      </c>
      <c r="L1179" s="36">
        <v>46143</v>
      </c>
      <c r="M1179" s="36"/>
      <c r="N1179" s="36"/>
      <c r="O1179" s="36"/>
      <c r="P1179" s="36"/>
      <c r="Q1179" s="36"/>
      <c r="R1179" s="35" t="s">
        <v>142</v>
      </c>
      <c r="S1179" s="35" t="s">
        <v>2222</v>
      </c>
      <c r="T1179" s="35" t="s">
        <v>169</v>
      </c>
      <c r="U1179" s="35" t="s">
        <v>81</v>
      </c>
      <c r="V1179" s="35" t="s">
        <v>163</v>
      </c>
      <c r="W1179" s="35" t="s">
        <v>123</v>
      </c>
      <c r="X1179" s="35">
        <v>188.51</v>
      </c>
      <c r="Y1179" s="35">
        <v>24.51</v>
      </c>
      <c r="Z1179" s="35">
        <v>24.51</v>
      </c>
      <c r="AA1179" s="35">
        <v>0</v>
      </c>
      <c r="AB1179" s="35"/>
      <c r="AC1179" s="35">
        <v>0</v>
      </c>
      <c r="AD1179" s="35"/>
      <c r="AE1179" s="35">
        <v>0</v>
      </c>
      <c r="AF1179" s="35"/>
      <c r="AG1179" s="35">
        <v>0</v>
      </c>
      <c r="AH1179" s="35"/>
      <c r="AI1179" s="37">
        <v>0</v>
      </c>
    </row>
    <row r="1180" spans="1:35" x14ac:dyDescent="0.25">
      <c r="A1180" s="38" t="s">
        <v>110</v>
      </c>
      <c r="B1180" s="39" t="s">
        <v>2772</v>
      </c>
      <c r="C1180" s="39" t="s">
        <v>2773</v>
      </c>
      <c r="D1180" s="39">
        <v>20328</v>
      </c>
      <c r="E1180" s="39" t="s">
        <v>4172</v>
      </c>
      <c r="F1180" s="39" t="s">
        <v>4173</v>
      </c>
      <c r="G1180" s="39" t="s">
        <v>115</v>
      </c>
      <c r="H1180" s="39" t="s">
        <v>116</v>
      </c>
      <c r="I1180" s="39" t="s">
        <v>117</v>
      </c>
      <c r="J1180" s="39" t="s">
        <v>141</v>
      </c>
      <c r="K1180" s="40">
        <v>46079</v>
      </c>
      <c r="L1180" s="40">
        <v>46143</v>
      </c>
      <c r="M1180" s="40"/>
      <c r="N1180" s="40"/>
      <c r="O1180" s="40"/>
      <c r="P1180" s="40"/>
      <c r="Q1180" s="40"/>
      <c r="R1180" s="39" t="s">
        <v>142</v>
      </c>
      <c r="S1180" s="39" t="s">
        <v>2222</v>
      </c>
      <c r="T1180" s="39" t="s">
        <v>169</v>
      </c>
      <c r="U1180" s="35" t="s">
        <v>81</v>
      </c>
      <c r="V1180" s="39" t="s">
        <v>163</v>
      </c>
      <c r="W1180" s="39" t="s">
        <v>123</v>
      </c>
      <c r="X1180" s="39">
        <v>159.69</v>
      </c>
      <c r="Y1180" s="39">
        <v>20.76</v>
      </c>
      <c r="Z1180" s="39">
        <v>20.76</v>
      </c>
      <c r="AA1180" s="39">
        <v>0</v>
      </c>
      <c r="AB1180" s="39"/>
      <c r="AC1180" s="39">
        <v>0</v>
      </c>
      <c r="AD1180" s="39"/>
      <c r="AE1180" s="39">
        <v>0</v>
      </c>
      <c r="AF1180" s="39"/>
      <c r="AG1180" s="39">
        <v>0</v>
      </c>
      <c r="AH1180" s="39"/>
      <c r="AI1180" s="41">
        <v>0</v>
      </c>
    </row>
    <row r="1181" spans="1:35" x14ac:dyDescent="0.25">
      <c r="A1181" s="34" t="s">
        <v>110</v>
      </c>
      <c r="B1181" s="35" t="s">
        <v>2774</v>
      </c>
      <c r="C1181" s="35" t="s">
        <v>2775</v>
      </c>
      <c r="D1181" s="35">
        <v>22792</v>
      </c>
      <c r="E1181" s="35" t="s">
        <v>4174</v>
      </c>
      <c r="F1181" s="35" t="s">
        <v>4175</v>
      </c>
      <c r="G1181" s="35" t="s">
        <v>115</v>
      </c>
      <c r="H1181" s="35" t="s">
        <v>116</v>
      </c>
      <c r="I1181" s="35" t="s">
        <v>117</v>
      </c>
      <c r="J1181" s="35" t="s">
        <v>141</v>
      </c>
      <c r="K1181" s="36">
        <v>46079</v>
      </c>
      <c r="L1181" s="36">
        <v>46143</v>
      </c>
      <c r="M1181" s="36"/>
      <c r="N1181" s="36"/>
      <c r="O1181" s="36"/>
      <c r="P1181" s="36"/>
      <c r="Q1181" s="36"/>
      <c r="R1181" s="35" t="s">
        <v>142</v>
      </c>
      <c r="S1181" s="35" t="s">
        <v>482</v>
      </c>
      <c r="T1181" s="35" t="s">
        <v>177</v>
      </c>
      <c r="U1181" s="35" t="s">
        <v>81</v>
      </c>
      <c r="V1181" s="35" t="s">
        <v>163</v>
      </c>
      <c r="W1181" s="35" t="s">
        <v>123</v>
      </c>
      <c r="X1181" s="35">
        <v>196.49</v>
      </c>
      <c r="Y1181" s="35">
        <v>25.54</v>
      </c>
      <c r="Z1181" s="35">
        <v>25.54</v>
      </c>
      <c r="AA1181" s="35">
        <v>0</v>
      </c>
      <c r="AB1181" s="35"/>
      <c r="AC1181" s="35">
        <v>0</v>
      </c>
      <c r="AD1181" s="35"/>
      <c r="AE1181" s="35">
        <v>0</v>
      </c>
      <c r="AF1181" s="35"/>
      <c r="AG1181" s="35">
        <v>0</v>
      </c>
      <c r="AH1181" s="35"/>
      <c r="AI1181" s="37">
        <v>0</v>
      </c>
    </row>
    <row r="1182" spans="1:35" x14ac:dyDescent="0.25">
      <c r="A1182" s="38" t="s">
        <v>110</v>
      </c>
      <c r="B1182" s="39" t="s">
        <v>2694</v>
      </c>
      <c r="C1182" s="39" t="s">
        <v>2777</v>
      </c>
      <c r="D1182" s="39">
        <v>26409</v>
      </c>
      <c r="E1182" s="39" t="s">
        <v>4176</v>
      </c>
      <c r="F1182" s="39" t="s">
        <v>4177</v>
      </c>
      <c r="G1182" s="39" t="s">
        <v>115</v>
      </c>
      <c r="H1182" s="39" t="s">
        <v>160</v>
      </c>
      <c r="I1182" s="39" t="s">
        <v>117</v>
      </c>
      <c r="J1182" s="39" t="s">
        <v>141</v>
      </c>
      <c r="K1182" s="40">
        <v>46079</v>
      </c>
      <c r="L1182" s="40">
        <v>46143</v>
      </c>
      <c r="M1182" s="40"/>
      <c r="N1182" s="40"/>
      <c r="O1182" s="40"/>
      <c r="P1182" s="40"/>
      <c r="Q1182" s="40"/>
      <c r="R1182" s="39" t="s">
        <v>142</v>
      </c>
      <c r="S1182" s="39" t="s">
        <v>487</v>
      </c>
      <c r="T1182" s="39" t="s">
        <v>177</v>
      </c>
      <c r="U1182" s="35" t="s">
        <v>81</v>
      </c>
      <c r="V1182" s="39" t="s">
        <v>163</v>
      </c>
      <c r="W1182" s="39" t="s">
        <v>123</v>
      </c>
      <c r="X1182" s="39">
        <v>1003.98</v>
      </c>
      <c r="Y1182" s="39">
        <v>80.319999999999993</v>
      </c>
      <c r="Z1182" s="39">
        <v>80.319999999999993</v>
      </c>
      <c r="AA1182" s="39">
        <v>0</v>
      </c>
      <c r="AB1182" s="39"/>
      <c r="AC1182" s="39">
        <v>0</v>
      </c>
      <c r="AD1182" s="39"/>
      <c r="AE1182" s="39">
        <v>0</v>
      </c>
      <c r="AF1182" s="39"/>
      <c r="AG1182" s="39">
        <v>0</v>
      </c>
      <c r="AH1182" s="39"/>
      <c r="AI1182" s="41">
        <v>0</v>
      </c>
    </row>
    <row r="1183" spans="1:35" x14ac:dyDescent="0.25">
      <c r="A1183" s="34" t="s">
        <v>110</v>
      </c>
      <c r="B1183" s="35" t="s">
        <v>2778</v>
      </c>
      <c r="C1183" s="35" t="s">
        <v>2779</v>
      </c>
      <c r="D1183" s="35">
        <v>27210</v>
      </c>
      <c r="E1183" s="35" t="s">
        <v>4178</v>
      </c>
      <c r="F1183" s="35" t="s">
        <v>4179</v>
      </c>
      <c r="G1183" s="35" t="s">
        <v>115</v>
      </c>
      <c r="H1183" s="35" t="s">
        <v>116</v>
      </c>
      <c r="I1183" s="35" t="s">
        <v>117</v>
      </c>
      <c r="J1183" s="35" t="s">
        <v>141</v>
      </c>
      <c r="K1183" s="36">
        <v>46079</v>
      </c>
      <c r="L1183" s="36">
        <v>46143</v>
      </c>
      <c r="M1183" s="36"/>
      <c r="N1183" s="36"/>
      <c r="O1183" s="36"/>
      <c r="P1183" s="36"/>
      <c r="Q1183" s="36"/>
      <c r="R1183" s="35" t="s">
        <v>187</v>
      </c>
      <c r="S1183" s="35" t="s">
        <v>487</v>
      </c>
      <c r="T1183" s="35" t="s">
        <v>177</v>
      </c>
      <c r="U1183" s="35" t="s">
        <v>81</v>
      </c>
      <c r="V1183" s="35" t="s">
        <v>163</v>
      </c>
      <c r="W1183" s="35" t="s">
        <v>123</v>
      </c>
      <c r="X1183" s="35">
        <v>388.82</v>
      </c>
      <c r="Y1183" s="35">
        <v>31.11</v>
      </c>
      <c r="Z1183" s="35">
        <v>31.11</v>
      </c>
      <c r="AA1183" s="35">
        <v>0</v>
      </c>
      <c r="AB1183" s="35"/>
      <c r="AC1183" s="35">
        <v>0</v>
      </c>
      <c r="AD1183" s="35"/>
      <c r="AE1183" s="35">
        <v>0</v>
      </c>
      <c r="AF1183" s="35"/>
      <c r="AG1183" s="35">
        <v>0</v>
      </c>
      <c r="AH1183" s="35"/>
      <c r="AI1183" s="37">
        <v>0</v>
      </c>
    </row>
    <row r="1184" spans="1:35" x14ac:dyDescent="0.25">
      <c r="A1184" s="38" t="s">
        <v>110</v>
      </c>
      <c r="B1184" s="39" t="s">
        <v>2776</v>
      </c>
      <c r="C1184" s="39" t="s">
        <v>2909</v>
      </c>
      <c r="D1184" s="39">
        <v>31024</v>
      </c>
      <c r="E1184" s="39" t="s">
        <v>4180</v>
      </c>
      <c r="F1184" s="39" t="s">
        <v>4181</v>
      </c>
      <c r="G1184" s="39" t="s">
        <v>115</v>
      </c>
      <c r="H1184" s="39" t="s">
        <v>160</v>
      </c>
      <c r="I1184" s="39" t="s">
        <v>117</v>
      </c>
      <c r="J1184" s="39" t="s">
        <v>141</v>
      </c>
      <c r="K1184" s="40">
        <v>46079</v>
      </c>
      <c r="L1184" s="40">
        <v>46143</v>
      </c>
      <c r="M1184" s="40"/>
      <c r="N1184" s="40"/>
      <c r="O1184" s="40"/>
      <c r="P1184" s="40"/>
      <c r="Q1184" s="40"/>
      <c r="R1184" s="39" t="s">
        <v>142</v>
      </c>
      <c r="S1184" s="39" t="s">
        <v>482</v>
      </c>
      <c r="T1184" s="39" t="s">
        <v>177</v>
      </c>
      <c r="U1184" s="35" t="s">
        <v>81</v>
      </c>
      <c r="V1184" s="39" t="s">
        <v>163</v>
      </c>
      <c r="W1184" s="39" t="s">
        <v>123</v>
      </c>
      <c r="X1184" s="39">
        <v>128.11000000000001</v>
      </c>
      <c r="Y1184" s="39">
        <v>14.09</v>
      </c>
      <c r="Z1184" s="39">
        <v>14.09</v>
      </c>
      <c r="AA1184" s="39">
        <v>0</v>
      </c>
      <c r="AB1184" s="39"/>
      <c r="AC1184" s="39">
        <v>0</v>
      </c>
      <c r="AD1184" s="39"/>
      <c r="AE1184" s="39">
        <v>0</v>
      </c>
      <c r="AF1184" s="39"/>
      <c r="AG1184" s="39">
        <v>0</v>
      </c>
      <c r="AH1184" s="39"/>
      <c r="AI1184" s="41">
        <v>0</v>
      </c>
    </row>
    <row r="1185" spans="1:35" x14ac:dyDescent="0.25">
      <c r="A1185" s="34" t="s">
        <v>110</v>
      </c>
      <c r="B1185" s="35" t="s">
        <v>2666</v>
      </c>
      <c r="C1185" s="35" t="s">
        <v>2667</v>
      </c>
      <c r="D1185" s="35">
        <v>23338</v>
      </c>
      <c r="E1185" s="35" t="s">
        <v>4182</v>
      </c>
      <c r="F1185" s="35" t="s">
        <v>4183</v>
      </c>
      <c r="G1185" s="35" t="s">
        <v>115</v>
      </c>
      <c r="H1185" s="35" t="s">
        <v>160</v>
      </c>
      <c r="I1185" s="35" t="s">
        <v>117</v>
      </c>
      <c r="J1185" s="35" t="s">
        <v>141</v>
      </c>
      <c r="K1185" s="36">
        <v>46079</v>
      </c>
      <c r="L1185" s="36">
        <v>46128</v>
      </c>
      <c r="M1185" s="36"/>
      <c r="N1185" s="36"/>
      <c r="O1185" s="36"/>
      <c r="P1185" s="36"/>
      <c r="Q1185" s="36"/>
      <c r="R1185" s="35" t="s">
        <v>142</v>
      </c>
      <c r="S1185" s="35" t="s">
        <v>2401</v>
      </c>
      <c r="T1185" s="35" t="s">
        <v>177</v>
      </c>
      <c r="U1185" s="35" t="s">
        <v>81</v>
      </c>
      <c r="V1185" s="35" t="s">
        <v>845</v>
      </c>
      <c r="W1185" s="35" t="s">
        <v>123</v>
      </c>
      <c r="X1185" s="35">
        <v>274.74</v>
      </c>
      <c r="Y1185" s="35">
        <v>32.97</v>
      </c>
      <c r="Z1185" s="35">
        <v>32.97</v>
      </c>
      <c r="AA1185" s="35">
        <v>0</v>
      </c>
      <c r="AB1185" s="35"/>
      <c r="AC1185" s="35">
        <v>0</v>
      </c>
      <c r="AD1185" s="35"/>
      <c r="AE1185" s="35">
        <v>0</v>
      </c>
      <c r="AF1185" s="35"/>
      <c r="AG1185" s="35">
        <v>0</v>
      </c>
      <c r="AH1185" s="35"/>
      <c r="AI1185" s="37">
        <v>0</v>
      </c>
    </row>
    <row r="1186" spans="1:35" x14ac:dyDescent="0.25">
      <c r="A1186" s="38" t="s">
        <v>110</v>
      </c>
      <c r="B1186" s="39" t="s">
        <v>2446</v>
      </c>
      <c r="C1186" s="39" t="s">
        <v>2447</v>
      </c>
      <c r="D1186" s="39">
        <v>27741</v>
      </c>
      <c r="E1186" s="39" t="s">
        <v>4184</v>
      </c>
      <c r="F1186" s="39" t="s">
        <v>4185</v>
      </c>
      <c r="G1186" s="39" t="s">
        <v>115</v>
      </c>
      <c r="H1186" s="39" t="s">
        <v>160</v>
      </c>
      <c r="I1186" s="39" t="s">
        <v>117</v>
      </c>
      <c r="J1186" s="39" t="s">
        <v>141</v>
      </c>
      <c r="K1186" s="40">
        <v>46079</v>
      </c>
      <c r="L1186" s="40">
        <v>46117</v>
      </c>
      <c r="M1186" s="40"/>
      <c r="N1186" s="40"/>
      <c r="O1186" s="40"/>
      <c r="P1186" s="40"/>
      <c r="Q1186" s="40"/>
      <c r="R1186" s="39" t="s">
        <v>142</v>
      </c>
      <c r="S1186" s="39" t="s">
        <v>2401</v>
      </c>
      <c r="T1186" s="39" t="s">
        <v>177</v>
      </c>
      <c r="U1186" s="35" t="s">
        <v>81</v>
      </c>
      <c r="V1186" s="39" t="s">
        <v>845</v>
      </c>
      <c r="W1186" s="39" t="s">
        <v>123</v>
      </c>
      <c r="X1186" s="39">
        <v>229.62</v>
      </c>
      <c r="Y1186" s="39">
        <v>17.22</v>
      </c>
      <c r="Z1186" s="39">
        <v>17.22</v>
      </c>
      <c r="AA1186" s="39">
        <v>0</v>
      </c>
      <c r="AB1186" s="39"/>
      <c r="AC1186" s="39">
        <v>0</v>
      </c>
      <c r="AD1186" s="39"/>
      <c r="AE1186" s="39">
        <v>0</v>
      </c>
      <c r="AF1186" s="39"/>
      <c r="AG1186" s="39">
        <v>0</v>
      </c>
      <c r="AH1186" s="39"/>
      <c r="AI1186" s="41">
        <v>0</v>
      </c>
    </row>
    <row r="1187" spans="1:35" x14ac:dyDescent="0.25">
      <c r="A1187" s="34" t="s">
        <v>110</v>
      </c>
      <c r="B1187" s="35" t="s">
        <v>2204</v>
      </c>
      <c r="C1187" s="35" t="s">
        <v>2800</v>
      </c>
      <c r="D1187" s="35">
        <v>28134</v>
      </c>
      <c r="E1187" s="35" t="s">
        <v>4186</v>
      </c>
      <c r="F1187" s="35" t="s">
        <v>4187</v>
      </c>
      <c r="G1187" s="35" t="s">
        <v>115</v>
      </c>
      <c r="H1187" s="35" t="s">
        <v>116</v>
      </c>
      <c r="I1187" s="35" t="s">
        <v>117</v>
      </c>
      <c r="J1187" s="35" t="s">
        <v>141</v>
      </c>
      <c r="K1187" s="36">
        <v>46079</v>
      </c>
      <c r="L1187" s="36">
        <v>46136</v>
      </c>
      <c r="M1187" s="36"/>
      <c r="N1187" s="36"/>
      <c r="O1187" s="36"/>
      <c r="P1187" s="36"/>
      <c r="Q1187" s="36"/>
      <c r="R1187" s="35" t="s">
        <v>142</v>
      </c>
      <c r="S1187" s="35" t="s">
        <v>1686</v>
      </c>
      <c r="T1187" s="35" t="s">
        <v>177</v>
      </c>
      <c r="U1187" s="35" t="s">
        <v>81</v>
      </c>
      <c r="V1187" s="35" t="s">
        <v>845</v>
      </c>
      <c r="W1187" s="35" t="s">
        <v>123</v>
      </c>
      <c r="X1187" s="35">
        <v>191.46</v>
      </c>
      <c r="Y1187" s="35">
        <v>19.14</v>
      </c>
      <c r="Z1187" s="35">
        <v>19.14</v>
      </c>
      <c r="AA1187" s="35">
        <v>0</v>
      </c>
      <c r="AB1187" s="35"/>
      <c r="AC1187" s="35">
        <v>0</v>
      </c>
      <c r="AD1187" s="35"/>
      <c r="AE1187" s="35">
        <v>0</v>
      </c>
      <c r="AF1187" s="35"/>
      <c r="AG1187" s="35">
        <v>0</v>
      </c>
      <c r="AH1187" s="35"/>
      <c r="AI1187" s="37">
        <v>0</v>
      </c>
    </row>
    <row r="1188" spans="1:35" x14ac:dyDescent="0.25">
      <c r="A1188" s="38" t="s">
        <v>110</v>
      </c>
      <c r="B1188" s="39" t="s">
        <v>2664</v>
      </c>
      <c r="C1188" s="39" t="s">
        <v>2665</v>
      </c>
      <c r="D1188" s="39">
        <v>23294</v>
      </c>
      <c r="E1188" s="39" t="s">
        <v>4188</v>
      </c>
      <c r="F1188" s="39" t="s">
        <v>4189</v>
      </c>
      <c r="G1188" s="39" t="s">
        <v>115</v>
      </c>
      <c r="H1188" s="39" t="s">
        <v>116</v>
      </c>
      <c r="I1188" s="39" t="s">
        <v>117</v>
      </c>
      <c r="J1188" s="39" t="s">
        <v>141</v>
      </c>
      <c r="K1188" s="40">
        <v>46079</v>
      </c>
      <c r="L1188" s="40">
        <v>46113</v>
      </c>
      <c r="M1188" s="40"/>
      <c r="N1188" s="40"/>
      <c r="O1188" s="40"/>
      <c r="P1188" s="40"/>
      <c r="Q1188" s="40"/>
      <c r="R1188" s="39" t="s">
        <v>142</v>
      </c>
      <c r="S1188" s="39" t="s">
        <v>922</v>
      </c>
      <c r="T1188" s="39" t="s">
        <v>923</v>
      </c>
      <c r="U1188" s="35" t="s">
        <v>81</v>
      </c>
      <c r="V1188" s="39" t="s">
        <v>845</v>
      </c>
      <c r="W1188" s="39" t="s">
        <v>123</v>
      </c>
      <c r="X1188" s="39">
        <v>183.87</v>
      </c>
      <c r="Y1188" s="39">
        <v>22.07</v>
      </c>
      <c r="Z1188" s="39">
        <v>22.07</v>
      </c>
      <c r="AA1188" s="39">
        <v>0</v>
      </c>
      <c r="AB1188" s="39"/>
      <c r="AC1188" s="39">
        <v>0</v>
      </c>
      <c r="AD1188" s="39"/>
      <c r="AE1188" s="39">
        <v>0</v>
      </c>
      <c r="AF1188" s="39"/>
      <c r="AG1188" s="39">
        <v>0</v>
      </c>
      <c r="AH1188" s="39"/>
      <c r="AI1188" s="41">
        <v>0</v>
      </c>
    </row>
    <row r="1189" spans="1:35" x14ac:dyDescent="0.25">
      <c r="A1189" s="38" t="s">
        <v>110</v>
      </c>
      <c r="B1189" s="39" t="s">
        <v>2429</v>
      </c>
      <c r="C1189" s="39" t="s">
        <v>2753</v>
      </c>
      <c r="D1189" s="39">
        <v>20137</v>
      </c>
      <c r="E1189" s="39" t="s">
        <v>4190</v>
      </c>
      <c r="F1189" s="39" t="s">
        <v>4191</v>
      </c>
      <c r="G1189" s="39" t="s">
        <v>115</v>
      </c>
      <c r="H1189" s="39" t="s">
        <v>160</v>
      </c>
      <c r="I1189" s="39" t="s">
        <v>117</v>
      </c>
      <c r="J1189" s="39" t="s">
        <v>141</v>
      </c>
      <c r="K1189" s="40">
        <v>46080</v>
      </c>
      <c r="L1189" s="40">
        <v>46105</v>
      </c>
      <c r="M1189" s="40"/>
      <c r="N1189" s="40"/>
      <c r="O1189" s="40"/>
      <c r="P1189" s="40"/>
      <c r="Q1189" s="40"/>
      <c r="R1189" s="39" t="s">
        <v>142</v>
      </c>
      <c r="S1189" s="39" t="s">
        <v>519</v>
      </c>
      <c r="T1189" s="39" t="s">
        <v>519</v>
      </c>
      <c r="U1189" s="35" t="s">
        <v>86</v>
      </c>
      <c r="V1189" s="39" t="s">
        <v>509</v>
      </c>
      <c r="W1189" s="39" t="s">
        <v>123</v>
      </c>
      <c r="X1189" s="39">
        <v>899.67</v>
      </c>
      <c r="Y1189" s="39">
        <v>134.94999999999999</v>
      </c>
      <c r="Z1189" s="39">
        <v>134.94999999999999</v>
      </c>
      <c r="AA1189" s="39">
        <v>0</v>
      </c>
      <c r="AB1189" s="39"/>
      <c r="AC1189" s="39">
        <v>0</v>
      </c>
      <c r="AD1189" s="39"/>
      <c r="AE1189" s="39">
        <v>0</v>
      </c>
      <c r="AF1189" s="39"/>
      <c r="AG1189" s="39">
        <v>0</v>
      </c>
      <c r="AH1189" s="39"/>
      <c r="AI1189" s="41">
        <v>0</v>
      </c>
    </row>
    <row r="1190" spans="1:35" x14ac:dyDescent="0.25">
      <c r="A1190" s="34" t="s">
        <v>110</v>
      </c>
      <c r="B1190" s="35" t="s">
        <v>1479</v>
      </c>
      <c r="C1190" s="35" t="s">
        <v>2478</v>
      </c>
      <c r="D1190" s="35">
        <v>22732</v>
      </c>
      <c r="E1190" s="35" t="s">
        <v>4192</v>
      </c>
      <c r="F1190" s="35" t="s">
        <v>4193</v>
      </c>
      <c r="G1190" s="35" t="s">
        <v>192</v>
      </c>
      <c r="H1190" s="35" t="s">
        <v>160</v>
      </c>
      <c r="I1190" s="35" t="s">
        <v>117</v>
      </c>
      <c r="J1190" s="35" t="s">
        <v>141</v>
      </c>
      <c r="K1190" s="36">
        <v>46080</v>
      </c>
      <c r="L1190" s="36">
        <v>46076</v>
      </c>
      <c r="M1190" s="36"/>
      <c r="N1190" s="36"/>
      <c r="O1190" s="36"/>
      <c r="P1190" s="36"/>
      <c r="Q1190" s="36"/>
      <c r="R1190" s="35" t="s">
        <v>142</v>
      </c>
      <c r="S1190" s="35" t="s">
        <v>933</v>
      </c>
      <c r="T1190" s="35" t="s">
        <v>162</v>
      </c>
      <c r="U1190" s="35" t="s">
        <v>87</v>
      </c>
      <c r="V1190" s="35" t="s">
        <v>509</v>
      </c>
      <c r="W1190" s="35" t="s">
        <v>123</v>
      </c>
      <c r="X1190" s="35">
        <v>28.32</v>
      </c>
      <c r="Y1190" s="35">
        <v>5.66</v>
      </c>
      <c r="Z1190" s="35">
        <v>5.66</v>
      </c>
      <c r="AA1190" s="35">
        <v>0</v>
      </c>
      <c r="AB1190" s="35"/>
      <c r="AC1190" s="35">
        <v>0</v>
      </c>
      <c r="AD1190" s="35"/>
      <c r="AE1190" s="35">
        <v>0</v>
      </c>
      <c r="AF1190" s="35"/>
      <c r="AG1190" s="35">
        <v>0</v>
      </c>
      <c r="AH1190" s="35"/>
      <c r="AI1190" s="37">
        <v>0</v>
      </c>
    </row>
    <row r="1191" spans="1:35" x14ac:dyDescent="0.25">
      <c r="A1191" s="34" t="s">
        <v>110</v>
      </c>
      <c r="B1191" s="35" t="s">
        <v>2780</v>
      </c>
      <c r="C1191" s="35" t="s">
        <v>2781</v>
      </c>
      <c r="D1191" s="35">
        <v>23606</v>
      </c>
      <c r="E1191" s="35" t="s">
        <v>4194</v>
      </c>
      <c r="F1191" s="35" t="s">
        <v>4195</v>
      </c>
      <c r="G1191" s="35" t="s">
        <v>174</v>
      </c>
      <c r="H1191" s="35" t="s">
        <v>160</v>
      </c>
      <c r="I1191" s="35" t="s">
        <v>217</v>
      </c>
      <c r="J1191" s="35" t="s">
        <v>141</v>
      </c>
      <c r="K1191" s="36">
        <v>46080</v>
      </c>
      <c r="L1191" s="36">
        <v>45840</v>
      </c>
      <c r="M1191" s="36"/>
      <c r="N1191" s="36"/>
      <c r="O1191" s="36"/>
      <c r="P1191" s="36"/>
      <c r="Q1191" s="36"/>
      <c r="R1191" s="35" t="s">
        <v>218</v>
      </c>
      <c r="S1191" s="35" t="s">
        <v>225</v>
      </c>
      <c r="T1191" s="35" t="s">
        <v>225</v>
      </c>
      <c r="U1191" s="35" t="s">
        <v>88</v>
      </c>
      <c r="V1191" s="35" t="s">
        <v>226</v>
      </c>
      <c r="W1191" s="35" t="s">
        <v>123</v>
      </c>
      <c r="X1191" s="35">
        <v>48</v>
      </c>
      <c r="Y1191" s="35">
        <v>8.7200000000000006</v>
      </c>
      <c r="Z1191" s="35">
        <v>8.7200000000000006</v>
      </c>
      <c r="AA1191" s="35">
        <v>0</v>
      </c>
      <c r="AB1191" s="35"/>
      <c r="AC1191" s="35">
        <v>0</v>
      </c>
      <c r="AD1191" s="35" t="s">
        <v>308</v>
      </c>
      <c r="AE1191" s="35">
        <v>4.8</v>
      </c>
      <c r="AF1191" s="35"/>
      <c r="AG1191" s="35">
        <v>0</v>
      </c>
      <c r="AH1191" s="35"/>
      <c r="AI1191" s="37">
        <v>0</v>
      </c>
    </row>
    <row r="1192" spans="1:35" x14ac:dyDescent="0.25">
      <c r="A1192" s="38" t="s">
        <v>110</v>
      </c>
      <c r="B1192" s="39" t="s">
        <v>2717</v>
      </c>
      <c r="C1192" s="39" t="s">
        <v>2718</v>
      </c>
      <c r="D1192" s="39">
        <v>24930</v>
      </c>
      <c r="E1192" s="39" t="s">
        <v>4196</v>
      </c>
      <c r="F1192" s="39" t="s">
        <v>4197</v>
      </c>
      <c r="G1192" s="39" t="s">
        <v>174</v>
      </c>
      <c r="H1192" s="39" t="s">
        <v>160</v>
      </c>
      <c r="I1192" s="39" t="s">
        <v>217</v>
      </c>
      <c r="J1192" s="39" t="s">
        <v>141</v>
      </c>
      <c r="K1192" s="40">
        <v>46080</v>
      </c>
      <c r="L1192" s="40">
        <v>46113</v>
      </c>
      <c r="M1192" s="40"/>
      <c r="N1192" s="40"/>
      <c r="O1192" s="40"/>
      <c r="P1192" s="40"/>
      <c r="Q1192" s="40"/>
      <c r="R1192" s="39" t="s">
        <v>218</v>
      </c>
      <c r="S1192" s="39" t="s">
        <v>225</v>
      </c>
      <c r="T1192" s="39" t="s">
        <v>225</v>
      </c>
      <c r="U1192" s="35" t="s">
        <v>88</v>
      </c>
      <c r="V1192" s="39" t="s">
        <v>226</v>
      </c>
      <c r="W1192" s="39" t="s">
        <v>123</v>
      </c>
      <c r="X1192" s="39">
        <v>508.55</v>
      </c>
      <c r="Y1192" s="39">
        <v>92.46</v>
      </c>
      <c r="Z1192" s="39">
        <v>92.46</v>
      </c>
      <c r="AA1192" s="39">
        <v>0</v>
      </c>
      <c r="AB1192" s="39"/>
      <c r="AC1192" s="39">
        <v>0</v>
      </c>
      <c r="AD1192" s="39"/>
      <c r="AE1192" s="39">
        <v>0</v>
      </c>
      <c r="AF1192" s="39"/>
      <c r="AG1192" s="39">
        <v>0</v>
      </c>
      <c r="AH1192" s="39"/>
      <c r="AI1192" s="41">
        <v>0</v>
      </c>
    </row>
    <row r="1193" spans="1:35" x14ac:dyDescent="0.25">
      <c r="A1193" s="34" t="s">
        <v>110</v>
      </c>
      <c r="B1193" s="35" t="s">
        <v>2720</v>
      </c>
      <c r="C1193" s="35" t="s">
        <v>2721</v>
      </c>
      <c r="D1193" s="35">
        <v>26252</v>
      </c>
      <c r="E1193" s="35" t="s">
        <v>4198</v>
      </c>
      <c r="F1193" s="35" t="s">
        <v>4199</v>
      </c>
      <c r="G1193" s="35" t="s">
        <v>174</v>
      </c>
      <c r="H1193" s="35" t="s">
        <v>160</v>
      </c>
      <c r="I1193" s="35" t="s">
        <v>217</v>
      </c>
      <c r="J1193" s="35" t="s">
        <v>141</v>
      </c>
      <c r="K1193" s="36">
        <v>46080</v>
      </c>
      <c r="L1193" s="36">
        <v>46105</v>
      </c>
      <c r="M1193" s="36"/>
      <c r="N1193" s="36"/>
      <c r="O1193" s="36"/>
      <c r="P1193" s="36"/>
      <c r="Q1193" s="36"/>
      <c r="R1193" s="35" t="s">
        <v>218</v>
      </c>
      <c r="S1193" s="35" t="s">
        <v>2701</v>
      </c>
      <c r="T1193" s="35" t="s">
        <v>1018</v>
      </c>
      <c r="U1193" s="35" t="s">
        <v>82</v>
      </c>
      <c r="V1193" s="35" t="s">
        <v>226</v>
      </c>
      <c r="W1193" s="35" t="s">
        <v>123</v>
      </c>
      <c r="X1193" s="35">
        <v>346.74</v>
      </c>
      <c r="Y1193" s="35">
        <v>76.28</v>
      </c>
      <c r="Z1193" s="35">
        <v>76.28</v>
      </c>
      <c r="AA1193" s="35">
        <v>0</v>
      </c>
      <c r="AB1193" s="35"/>
      <c r="AC1193" s="35">
        <v>0</v>
      </c>
      <c r="AD1193" s="35"/>
      <c r="AE1193" s="35">
        <v>0</v>
      </c>
      <c r="AF1193" s="35"/>
      <c r="AG1193" s="35">
        <v>0</v>
      </c>
      <c r="AH1193" s="35"/>
      <c r="AI1193" s="37">
        <v>0</v>
      </c>
    </row>
    <row r="1194" spans="1:35" x14ac:dyDescent="0.25">
      <c r="A1194" s="38" t="s">
        <v>110</v>
      </c>
      <c r="B1194" s="39" t="s">
        <v>420</v>
      </c>
      <c r="C1194" s="39" t="s">
        <v>1062</v>
      </c>
      <c r="D1194" s="39">
        <v>32153</v>
      </c>
      <c r="E1194" s="39" t="s">
        <v>4200</v>
      </c>
      <c r="F1194" s="39" t="s">
        <v>4201</v>
      </c>
      <c r="G1194" s="39" t="s">
        <v>174</v>
      </c>
      <c r="H1194" s="39" t="s">
        <v>160</v>
      </c>
      <c r="I1194" s="39" t="s">
        <v>217</v>
      </c>
      <c r="J1194" s="39" t="s">
        <v>141</v>
      </c>
      <c r="K1194" s="40">
        <v>46080</v>
      </c>
      <c r="L1194" s="40">
        <v>45958</v>
      </c>
      <c r="M1194" s="40"/>
      <c r="N1194" s="40"/>
      <c r="O1194" s="40"/>
      <c r="P1194" s="40"/>
      <c r="Q1194" s="40"/>
      <c r="R1194" s="39" t="s">
        <v>218</v>
      </c>
      <c r="S1194" s="39" t="s">
        <v>1018</v>
      </c>
      <c r="T1194" s="39" t="s">
        <v>1018</v>
      </c>
      <c r="U1194" s="35" t="s">
        <v>82</v>
      </c>
      <c r="V1194" s="39" t="s">
        <v>226</v>
      </c>
      <c r="W1194" s="39" t="s">
        <v>123</v>
      </c>
      <c r="X1194" s="39">
        <v>5972.25</v>
      </c>
      <c r="Y1194" s="39">
        <v>1085.8599999999999</v>
      </c>
      <c r="Z1194" s="39">
        <v>1085.8599999999999</v>
      </c>
      <c r="AA1194" s="39">
        <v>0</v>
      </c>
      <c r="AB1194" s="39"/>
      <c r="AC1194" s="39">
        <v>0</v>
      </c>
      <c r="AD1194" s="39"/>
      <c r="AE1194" s="39">
        <v>0</v>
      </c>
      <c r="AF1194" s="39"/>
      <c r="AG1194" s="39">
        <v>0</v>
      </c>
      <c r="AH1194" s="39"/>
      <c r="AI1194" s="41">
        <v>0</v>
      </c>
    </row>
    <row r="1195" spans="1:35" x14ac:dyDescent="0.25">
      <c r="A1195" s="34" t="s">
        <v>110</v>
      </c>
      <c r="B1195" s="35" t="s">
        <v>4202</v>
      </c>
      <c r="C1195" s="35" t="s">
        <v>4203</v>
      </c>
      <c r="D1195" s="35">
        <v>32731</v>
      </c>
      <c r="E1195" s="35" t="s">
        <v>4204</v>
      </c>
      <c r="F1195" s="35" t="s">
        <v>4205</v>
      </c>
      <c r="G1195" s="35" t="s">
        <v>174</v>
      </c>
      <c r="H1195" s="35" t="s">
        <v>160</v>
      </c>
      <c r="I1195" s="35" t="s">
        <v>217</v>
      </c>
      <c r="J1195" s="35" t="s">
        <v>141</v>
      </c>
      <c r="K1195" s="36">
        <v>46080</v>
      </c>
      <c r="L1195" s="36">
        <v>46078</v>
      </c>
      <c r="M1195" s="36"/>
      <c r="N1195" s="36"/>
      <c r="O1195" s="36"/>
      <c r="P1195" s="36"/>
      <c r="Q1195" s="36"/>
      <c r="R1195" s="35" t="s">
        <v>218</v>
      </c>
      <c r="S1195" s="35" t="s">
        <v>1018</v>
      </c>
      <c r="T1195" s="35" t="s">
        <v>1018</v>
      </c>
      <c r="U1195" s="35" t="s">
        <v>82</v>
      </c>
      <c r="V1195" s="35" t="s">
        <v>226</v>
      </c>
      <c r="W1195" s="35" t="s">
        <v>123</v>
      </c>
      <c r="X1195" s="35">
        <v>64114.07</v>
      </c>
      <c r="Y1195" s="35">
        <v>11657.1</v>
      </c>
      <c r="Z1195" s="35">
        <v>11657.1</v>
      </c>
      <c r="AA1195" s="35">
        <v>0</v>
      </c>
      <c r="AB1195" s="35"/>
      <c r="AC1195" s="35">
        <v>0</v>
      </c>
      <c r="AD1195" s="35"/>
      <c r="AE1195" s="35">
        <v>0</v>
      </c>
      <c r="AF1195" s="35"/>
      <c r="AG1195" s="35">
        <v>0</v>
      </c>
      <c r="AH1195" s="35"/>
      <c r="AI1195" s="37">
        <v>0</v>
      </c>
    </row>
    <row r="1196" spans="1:35" x14ac:dyDescent="0.25">
      <c r="A1196" s="38" t="s">
        <v>110</v>
      </c>
      <c r="B1196" s="39" t="s">
        <v>2907</v>
      </c>
      <c r="C1196" s="39" t="s">
        <v>4206</v>
      </c>
      <c r="D1196" s="39">
        <v>32732</v>
      </c>
      <c r="E1196" s="39" t="s">
        <v>4207</v>
      </c>
      <c r="F1196" s="39" t="s">
        <v>4208</v>
      </c>
      <c r="G1196" s="39" t="s">
        <v>174</v>
      </c>
      <c r="H1196" s="39" t="s">
        <v>160</v>
      </c>
      <c r="I1196" s="39" t="s">
        <v>217</v>
      </c>
      <c r="J1196" s="39" t="s">
        <v>141</v>
      </c>
      <c r="K1196" s="40">
        <v>46080</v>
      </c>
      <c r="L1196" s="40">
        <v>45979</v>
      </c>
      <c r="M1196" s="40"/>
      <c r="N1196" s="40"/>
      <c r="O1196" s="40"/>
      <c r="P1196" s="40"/>
      <c r="Q1196" s="40"/>
      <c r="R1196" s="39" t="s">
        <v>218</v>
      </c>
      <c r="S1196" s="39" t="s">
        <v>1018</v>
      </c>
      <c r="T1196" s="39" t="s">
        <v>1018</v>
      </c>
      <c r="U1196" s="35" t="s">
        <v>82</v>
      </c>
      <c r="V1196" s="39" t="s">
        <v>226</v>
      </c>
      <c r="W1196" s="39" t="s">
        <v>123</v>
      </c>
      <c r="X1196" s="39">
        <v>4099.2299999999996</v>
      </c>
      <c r="Y1196" s="39">
        <v>745.32</v>
      </c>
      <c r="Z1196" s="39">
        <v>745.32</v>
      </c>
      <c r="AA1196" s="39">
        <v>0</v>
      </c>
      <c r="AB1196" s="39"/>
      <c r="AC1196" s="39">
        <v>0</v>
      </c>
      <c r="AD1196" s="39"/>
      <c r="AE1196" s="39">
        <v>0</v>
      </c>
      <c r="AF1196" s="39"/>
      <c r="AG1196" s="39">
        <v>0</v>
      </c>
      <c r="AH1196" s="39"/>
      <c r="AI1196" s="41">
        <v>0</v>
      </c>
    </row>
    <row r="1197" spans="1:35" x14ac:dyDescent="0.25">
      <c r="A1197" s="34" t="s">
        <v>110</v>
      </c>
      <c r="B1197" s="35" t="s">
        <v>420</v>
      </c>
      <c r="C1197" s="35" t="s">
        <v>1314</v>
      </c>
      <c r="D1197" s="35">
        <v>32614</v>
      </c>
      <c r="E1197" s="35" t="s">
        <v>4209</v>
      </c>
      <c r="F1197" s="35" t="s">
        <v>4210</v>
      </c>
      <c r="G1197" s="35" t="s">
        <v>174</v>
      </c>
      <c r="H1197" s="35" t="s">
        <v>160</v>
      </c>
      <c r="I1197" s="35" t="s">
        <v>217</v>
      </c>
      <c r="J1197" s="35" t="s">
        <v>118</v>
      </c>
      <c r="K1197" s="36">
        <v>46080</v>
      </c>
      <c r="L1197" s="36">
        <v>46052</v>
      </c>
      <c r="M1197" s="36">
        <v>46080</v>
      </c>
      <c r="N1197" s="36"/>
      <c r="O1197" s="36"/>
      <c r="P1197" s="36"/>
      <c r="Q1197" s="36"/>
      <c r="R1197" s="35" t="s">
        <v>218</v>
      </c>
      <c r="S1197" s="35" t="s">
        <v>1018</v>
      </c>
      <c r="T1197" s="35" t="s">
        <v>1018</v>
      </c>
      <c r="U1197" s="35" t="s">
        <v>82</v>
      </c>
      <c r="V1197" s="35" t="s">
        <v>226</v>
      </c>
      <c r="W1197" s="35" t="s">
        <v>123</v>
      </c>
      <c r="X1197" s="35">
        <v>-2211.7600000000002</v>
      </c>
      <c r="Y1197" s="35">
        <v>-402.14</v>
      </c>
      <c r="Z1197" s="35">
        <v>-402.14</v>
      </c>
      <c r="AA1197" s="35">
        <v>0</v>
      </c>
      <c r="AB1197" s="35"/>
      <c r="AC1197" s="35">
        <v>0</v>
      </c>
      <c r="AD1197" s="35"/>
      <c r="AE1197" s="35">
        <v>0</v>
      </c>
      <c r="AF1197" s="35"/>
      <c r="AG1197" s="35">
        <v>0</v>
      </c>
      <c r="AH1197" s="35"/>
      <c r="AI1197" s="37">
        <v>0</v>
      </c>
    </row>
    <row r="1198" spans="1:35" x14ac:dyDescent="0.25">
      <c r="A1198" s="38" t="s">
        <v>110</v>
      </c>
      <c r="B1198" s="39" t="s">
        <v>2459</v>
      </c>
      <c r="C1198" s="39" t="s">
        <v>4211</v>
      </c>
      <c r="D1198" s="39">
        <v>32733</v>
      </c>
      <c r="E1198" s="39" t="s">
        <v>4212</v>
      </c>
      <c r="F1198" s="39" t="s">
        <v>4213</v>
      </c>
      <c r="G1198" s="39" t="s">
        <v>174</v>
      </c>
      <c r="H1198" s="39" t="s">
        <v>160</v>
      </c>
      <c r="I1198" s="39" t="s">
        <v>217</v>
      </c>
      <c r="J1198" s="39" t="s">
        <v>141</v>
      </c>
      <c r="K1198" s="40">
        <v>46080</v>
      </c>
      <c r="L1198" s="40">
        <v>46079</v>
      </c>
      <c r="M1198" s="40"/>
      <c r="N1198" s="40"/>
      <c r="O1198" s="40"/>
      <c r="P1198" s="40"/>
      <c r="Q1198" s="40"/>
      <c r="R1198" s="39" t="s">
        <v>218</v>
      </c>
      <c r="S1198" s="39" t="s">
        <v>1018</v>
      </c>
      <c r="T1198" s="39" t="s">
        <v>1018</v>
      </c>
      <c r="U1198" s="35" t="s">
        <v>82</v>
      </c>
      <c r="V1198" s="39" t="s">
        <v>226</v>
      </c>
      <c r="W1198" s="39" t="s">
        <v>123</v>
      </c>
      <c r="X1198" s="39">
        <v>21366.74</v>
      </c>
      <c r="Y1198" s="39">
        <v>3884.86</v>
      </c>
      <c r="Z1198" s="39">
        <v>3884.86</v>
      </c>
      <c r="AA1198" s="39">
        <v>0</v>
      </c>
      <c r="AB1198" s="39"/>
      <c r="AC1198" s="39">
        <v>0</v>
      </c>
      <c r="AD1198" s="39"/>
      <c r="AE1198" s="39">
        <v>0</v>
      </c>
      <c r="AF1198" s="39"/>
      <c r="AG1198" s="39">
        <v>0</v>
      </c>
      <c r="AH1198" s="39"/>
      <c r="AI1198" s="41">
        <v>0</v>
      </c>
    </row>
    <row r="1199" spans="1:35" x14ac:dyDescent="0.25">
      <c r="A1199" s="34" t="s">
        <v>110</v>
      </c>
      <c r="B1199" s="35" t="s">
        <v>2459</v>
      </c>
      <c r="C1199" s="35" t="s">
        <v>4211</v>
      </c>
      <c r="D1199" s="35">
        <v>32733</v>
      </c>
      <c r="E1199" s="35" t="s">
        <v>4214</v>
      </c>
      <c r="F1199" s="35" t="s">
        <v>4215</v>
      </c>
      <c r="G1199" s="35" t="s">
        <v>174</v>
      </c>
      <c r="H1199" s="35" t="s">
        <v>160</v>
      </c>
      <c r="I1199" s="35" t="s">
        <v>217</v>
      </c>
      <c r="J1199" s="35" t="s">
        <v>141</v>
      </c>
      <c r="K1199" s="36">
        <v>46080</v>
      </c>
      <c r="L1199" s="36">
        <v>46079</v>
      </c>
      <c r="M1199" s="36"/>
      <c r="N1199" s="36"/>
      <c r="O1199" s="36"/>
      <c r="P1199" s="36"/>
      <c r="Q1199" s="36"/>
      <c r="R1199" s="35" t="s">
        <v>218</v>
      </c>
      <c r="S1199" s="35" t="s">
        <v>1018</v>
      </c>
      <c r="T1199" s="35" t="s">
        <v>1018</v>
      </c>
      <c r="U1199" s="35" t="s">
        <v>82</v>
      </c>
      <c r="V1199" s="35" t="s">
        <v>226</v>
      </c>
      <c r="W1199" s="35" t="s">
        <v>123</v>
      </c>
      <c r="X1199" s="35">
        <v>21366.74</v>
      </c>
      <c r="Y1199" s="35">
        <v>3884.86</v>
      </c>
      <c r="Z1199" s="35">
        <v>3884.86</v>
      </c>
      <c r="AA1199" s="35">
        <v>0</v>
      </c>
      <c r="AB1199" s="35"/>
      <c r="AC1199" s="35">
        <v>0</v>
      </c>
      <c r="AD1199" s="35"/>
      <c r="AE1199" s="35">
        <v>0</v>
      </c>
      <c r="AF1199" s="35"/>
      <c r="AG1199" s="35">
        <v>0</v>
      </c>
      <c r="AH1199" s="35"/>
      <c r="AI1199" s="37">
        <v>0</v>
      </c>
    </row>
    <row r="1200" spans="1:35" x14ac:dyDescent="0.25">
      <c r="A1200" s="38" t="s">
        <v>110</v>
      </c>
      <c r="B1200" s="39" t="s">
        <v>2459</v>
      </c>
      <c r="C1200" s="39" t="s">
        <v>4211</v>
      </c>
      <c r="D1200" s="39">
        <v>32733</v>
      </c>
      <c r="E1200" s="39" t="s">
        <v>4216</v>
      </c>
      <c r="F1200" s="39" t="s">
        <v>4217</v>
      </c>
      <c r="G1200" s="39" t="s">
        <v>174</v>
      </c>
      <c r="H1200" s="39" t="s">
        <v>160</v>
      </c>
      <c r="I1200" s="39" t="s">
        <v>217</v>
      </c>
      <c r="J1200" s="39" t="s">
        <v>141</v>
      </c>
      <c r="K1200" s="40">
        <v>46080</v>
      </c>
      <c r="L1200" s="40">
        <v>46079</v>
      </c>
      <c r="M1200" s="40"/>
      <c r="N1200" s="40"/>
      <c r="O1200" s="40"/>
      <c r="P1200" s="40"/>
      <c r="Q1200" s="40"/>
      <c r="R1200" s="39" t="s">
        <v>218</v>
      </c>
      <c r="S1200" s="39" t="s">
        <v>1018</v>
      </c>
      <c r="T1200" s="39" t="s">
        <v>1018</v>
      </c>
      <c r="U1200" s="35" t="s">
        <v>82</v>
      </c>
      <c r="V1200" s="39" t="s">
        <v>226</v>
      </c>
      <c r="W1200" s="39" t="s">
        <v>123</v>
      </c>
      <c r="X1200" s="39">
        <v>21366.74</v>
      </c>
      <c r="Y1200" s="39">
        <v>3884.86</v>
      </c>
      <c r="Z1200" s="39">
        <v>3884.86</v>
      </c>
      <c r="AA1200" s="39">
        <v>0</v>
      </c>
      <c r="AB1200" s="39"/>
      <c r="AC1200" s="39">
        <v>0</v>
      </c>
      <c r="AD1200" s="39"/>
      <c r="AE1200" s="39">
        <v>0</v>
      </c>
      <c r="AF1200" s="39"/>
      <c r="AG1200" s="39">
        <v>0</v>
      </c>
      <c r="AH1200" s="39"/>
      <c r="AI1200" s="41">
        <v>0</v>
      </c>
    </row>
    <row r="1201" spans="1:35" x14ac:dyDescent="0.25">
      <c r="A1201" s="34" t="s">
        <v>110</v>
      </c>
      <c r="B1201" s="35" t="s">
        <v>2459</v>
      </c>
      <c r="C1201" s="35" t="s">
        <v>4218</v>
      </c>
      <c r="D1201" s="35">
        <v>32734</v>
      </c>
      <c r="E1201" s="35" t="s">
        <v>4219</v>
      </c>
      <c r="F1201" s="35" t="s">
        <v>4220</v>
      </c>
      <c r="G1201" s="35" t="s">
        <v>174</v>
      </c>
      <c r="H1201" s="35" t="s">
        <v>160</v>
      </c>
      <c r="I1201" s="35" t="s">
        <v>217</v>
      </c>
      <c r="J1201" s="35" t="s">
        <v>141</v>
      </c>
      <c r="K1201" s="36">
        <v>46080</v>
      </c>
      <c r="L1201" s="36">
        <v>46079</v>
      </c>
      <c r="M1201" s="36"/>
      <c r="N1201" s="36"/>
      <c r="O1201" s="36"/>
      <c r="P1201" s="36"/>
      <c r="Q1201" s="36"/>
      <c r="R1201" s="35" t="s">
        <v>218</v>
      </c>
      <c r="S1201" s="35" t="s">
        <v>1018</v>
      </c>
      <c r="T1201" s="35" t="s">
        <v>1018</v>
      </c>
      <c r="U1201" s="35" t="s">
        <v>82</v>
      </c>
      <c r="V1201" s="35" t="s">
        <v>226</v>
      </c>
      <c r="W1201" s="35" t="s">
        <v>123</v>
      </c>
      <c r="X1201" s="35">
        <v>962</v>
      </c>
      <c r="Y1201" s="35">
        <v>174.9</v>
      </c>
      <c r="Z1201" s="35">
        <v>174.9</v>
      </c>
      <c r="AA1201" s="35">
        <v>0</v>
      </c>
      <c r="AB1201" s="35"/>
      <c r="AC1201" s="35">
        <v>0</v>
      </c>
      <c r="AD1201" s="35"/>
      <c r="AE1201" s="35">
        <v>0</v>
      </c>
      <c r="AF1201" s="35"/>
      <c r="AG1201" s="35">
        <v>0</v>
      </c>
      <c r="AH1201" s="35"/>
      <c r="AI1201" s="37">
        <v>0</v>
      </c>
    </row>
    <row r="1202" spans="1:35" x14ac:dyDescent="0.25">
      <c r="A1202" s="38" t="s">
        <v>110</v>
      </c>
      <c r="B1202" s="39" t="s">
        <v>2895</v>
      </c>
      <c r="C1202" s="39" t="s">
        <v>4221</v>
      </c>
      <c r="D1202" s="39">
        <v>32735</v>
      </c>
      <c r="E1202" s="39" t="s">
        <v>4222</v>
      </c>
      <c r="F1202" s="39" t="s">
        <v>4223</v>
      </c>
      <c r="G1202" s="39" t="s">
        <v>174</v>
      </c>
      <c r="H1202" s="39" t="s">
        <v>160</v>
      </c>
      <c r="I1202" s="39" t="s">
        <v>217</v>
      </c>
      <c r="J1202" s="39" t="s">
        <v>141</v>
      </c>
      <c r="K1202" s="40">
        <v>46080</v>
      </c>
      <c r="L1202" s="40">
        <v>46078</v>
      </c>
      <c r="M1202" s="40"/>
      <c r="N1202" s="40"/>
      <c r="O1202" s="40"/>
      <c r="P1202" s="40"/>
      <c r="Q1202" s="40"/>
      <c r="R1202" s="39" t="s">
        <v>218</v>
      </c>
      <c r="S1202" s="39" t="s">
        <v>1018</v>
      </c>
      <c r="T1202" s="39" t="s">
        <v>1018</v>
      </c>
      <c r="U1202" s="35" t="s">
        <v>82</v>
      </c>
      <c r="V1202" s="39" t="s">
        <v>226</v>
      </c>
      <c r="W1202" s="39" t="s">
        <v>123</v>
      </c>
      <c r="X1202" s="39">
        <v>16256.01</v>
      </c>
      <c r="Y1202" s="39">
        <v>2955.64</v>
      </c>
      <c r="Z1202" s="39">
        <v>2955.64</v>
      </c>
      <c r="AA1202" s="39">
        <v>0</v>
      </c>
      <c r="AB1202" s="39"/>
      <c r="AC1202" s="39">
        <v>0</v>
      </c>
      <c r="AD1202" s="39"/>
      <c r="AE1202" s="39">
        <v>0</v>
      </c>
      <c r="AF1202" s="39"/>
      <c r="AG1202" s="39">
        <v>0</v>
      </c>
      <c r="AH1202" s="39"/>
      <c r="AI1202" s="41">
        <v>0</v>
      </c>
    </row>
    <row r="1203" spans="1:35" x14ac:dyDescent="0.25">
      <c r="A1203" s="34" t="s">
        <v>110</v>
      </c>
      <c r="B1203" s="35" t="s">
        <v>420</v>
      </c>
      <c r="C1203" s="35" t="s">
        <v>2079</v>
      </c>
      <c r="D1203" s="35">
        <v>32645</v>
      </c>
      <c r="E1203" s="35" t="s">
        <v>4224</v>
      </c>
      <c r="F1203" s="35" t="s">
        <v>4225</v>
      </c>
      <c r="G1203" s="35" t="s">
        <v>174</v>
      </c>
      <c r="H1203" s="35" t="s">
        <v>160</v>
      </c>
      <c r="I1203" s="35" t="s">
        <v>217</v>
      </c>
      <c r="J1203" s="35" t="s">
        <v>141</v>
      </c>
      <c r="K1203" s="36">
        <v>46080</v>
      </c>
      <c r="L1203" s="36">
        <v>46059</v>
      </c>
      <c r="M1203" s="36"/>
      <c r="N1203" s="36"/>
      <c r="O1203" s="36"/>
      <c r="P1203" s="36"/>
      <c r="Q1203" s="36"/>
      <c r="R1203" s="35" t="s">
        <v>218</v>
      </c>
      <c r="S1203" s="35" t="s">
        <v>1018</v>
      </c>
      <c r="T1203" s="35" t="s">
        <v>1018</v>
      </c>
      <c r="U1203" s="35" t="s">
        <v>82</v>
      </c>
      <c r="V1203" s="35" t="s">
        <v>226</v>
      </c>
      <c r="W1203" s="35" t="s">
        <v>123</v>
      </c>
      <c r="X1203" s="35">
        <v>1045.08</v>
      </c>
      <c r="Y1203" s="35">
        <v>190.02</v>
      </c>
      <c r="Z1203" s="35">
        <v>190.02</v>
      </c>
      <c r="AA1203" s="35">
        <v>0</v>
      </c>
      <c r="AB1203" s="35"/>
      <c r="AC1203" s="35">
        <v>0</v>
      </c>
      <c r="AD1203" s="35"/>
      <c r="AE1203" s="35">
        <v>0</v>
      </c>
      <c r="AF1203" s="35"/>
      <c r="AG1203" s="35">
        <v>0</v>
      </c>
      <c r="AH1203" s="35"/>
      <c r="AI1203" s="37">
        <v>0</v>
      </c>
    </row>
    <row r="1204" spans="1:35" x14ac:dyDescent="0.25">
      <c r="A1204" s="38" t="s">
        <v>110</v>
      </c>
      <c r="B1204" s="39" t="s">
        <v>1323</v>
      </c>
      <c r="C1204" s="39" t="s">
        <v>4226</v>
      </c>
      <c r="D1204" s="39">
        <v>32736</v>
      </c>
      <c r="E1204" s="39" t="s">
        <v>4227</v>
      </c>
      <c r="F1204" s="39" t="s">
        <v>4228</v>
      </c>
      <c r="G1204" s="39" t="s">
        <v>174</v>
      </c>
      <c r="H1204" s="39" t="s">
        <v>160</v>
      </c>
      <c r="I1204" s="39" t="s">
        <v>217</v>
      </c>
      <c r="J1204" s="39" t="s">
        <v>118</v>
      </c>
      <c r="K1204" s="40">
        <v>46080</v>
      </c>
      <c r="L1204" s="40">
        <v>46073</v>
      </c>
      <c r="M1204" s="40">
        <v>46086</v>
      </c>
      <c r="N1204" s="40"/>
      <c r="O1204" s="40"/>
      <c r="P1204" s="40"/>
      <c r="Q1204" s="40"/>
      <c r="R1204" s="39" t="s">
        <v>218</v>
      </c>
      <c r="S1204" s="39" t="s">
        <v>1018</v>
      </c>
      <c r="T1204" s="39" t="s">
        <v>1018</v>
      </c>
      <c r="U1204" s="35" t="s">
        <v>82</v>
      </c>
      <c r="V1204" s="39" t="s">
        <v>226</v>
      </c>
      <c r="W1204" s="39" t="s">
        <v>123</v>
      </c>
      <c r="X1204" s="39">
        <v>661.12</v>
      </c>
      <c r="Y1204" s="39">
        <v>120.2</v>
      </c>
      <c r="Z1204" s="39">
        <v>120.2</v>
      </c>
      <c r="AA1204" s="39">
        <v>0</v>
      </c>
      <c r="AB1204" s="39"/>
      <c r="AC1204" s="39">
        <v>0</v>
      </c>
      <c r="AD1204" s="39"/>
      <c r="AE1204" s="39">
        <v>0</v>
      </c>
      <c r="AF1204" s="39"/>
      <c r="AG1204" s="39">
        <v>0</v>
      </c>
      <c r="AH1204" s="39"/>
      <c r="AI1204" s="41">
        <v>0</v>
      </c>
    </row>
    <row r="1205" spans="1:35" x14ac:dyDescent="0.25">
      <c r="A1205" s="34" t="s">
        <v>110</v>
      </c>
      <c r="B1205" s="35" t="s">
        <v>4229</v>
      </c>
      <c r="C1205" s="35" t="s">
        <v>4230</v>
      </c>
      <c r="D1205" s="35">
        <v>32737</v>
      </c>
      <c r="E1205" s="35" t="s">
        <v>4231</v>
      </c>
      <c r="F1205" s="35" t="s">
        <v>4232</v>
      </c>
      <c r="G1205" s="35" t="s">
        <v>174</v>
      </c>
      <c r="H1205" s="35" t="s">
        <v>160</v>
      </c>
      <c r="I1205" s="35" t="s">
        <v>217</v>
      </c>
      <c r="J1205" s="35" t="s">
        <v>141</v>
      </c>
      <c r="K1205" s="36">
        <v>46080</v>
      </c>
      <c r="L1205" s="36">
        <v>46095</v>
      </c>
      <c r="M1205" s="36"/>
      <c r="N1205" s="36"/>
      <c r="O1205" s="36"/>
      <c r="P1205" s="36"/>
      <c r="Q1205" s="36"/>
      <c r="R1205" s="35" t="s">
        <v>218</v>
      </c>
      <c r="S1205" s="35" t="s">
        <v>225</v>
      </c>
      <c r="T1205" s="35" t="s">
        <v>225</v>
      </c>
      <c r="U1205" s="35" t="s">
        <v>88</v>
      </c>
      <c r="V1205" s="35" t="s">
        <v>226</v>
      </c>
      <c r="W1205" s="35" t="s">
        <v>123</v>
      </c>
      <c r="X1205" s="35">
        <v>554.79</v>
      </c>
      <c r="Y1205" s="35">
        <v>100.87</v>
      </c>
      <c r="Z1205" s="35">
        <v>100.87</v>
      </c>
      <c r="AA1205" s="35">
        <v>0</v>
      </c>
      <c r="AB1205" s="35"/>
      <c r="AC1205" s="35">
        <v>0</v>
      </c>
      <c r="AD1205" s="35" t="s">
        <v>297</v>
      </c>
      <c r="AE1205" s="35">
        <v>55.48</v>
      </c>
      <c r="AF1205" s="35"/>
      <c r="AG1205" s="35">
        <v>0</v>
      </c>
      <c r="AH1205" s="35"/>
      <c r="AI1205" s="37">
        <v>0</v>
      </c>
    </row>
    <row r="1206" spans="1:35" x14ac:dyDescent="0.25">
      <c r="A1206" s="38" t="s">
        <v>110</v>
      </c>
      <c r="B1206" s="39" t="s">
        <v>2894</v>
      </c>
      <c r="C1206" s="39" t="s">
        <v>4233</v>
      </c>
      <c r="D1206" s="39">
        <v>32738</v>
      </c>
      <c r="E1206" s="39" t="s">
        <v>4234</v>
      </c>
      <c r="F1206" s="39" t="s">
        <v>4235</v>
      </c>
      <c r="G1206" s="39" t="s">
        <v>174</v>
      </c>
      <c r="H1206" s="39" t="s">
        <v>160</v>
      </c>
      <c r="I1206" s="39" t="s">
        <v>217</v>
      </c>
      <c r="J1206" s="39" t="s">
        <v>118</v>
      </c>
      <c r="K1206" s="40">
        <v>46080</v>
      </c>
      <c r="L1206" s="40">
        <v>46079</v>
      </c>
      <c r="M1206" s="40">
        <v>46080</v>
      </c>
      <c r="N1206" s="40"/>
      <c r="O1206" s="40"/>
      <c r="P1206" s="40"/>
      <c r="Q1206" s="40"/>
      <c r="R1206" s="39" t="s">
        <v>218</v>
      </c>
      <c r="S1206" s="39" t="s">
        <v>1018</v>
      </c>
      <c r="T1206" s="39" t="s">
        <v>1018</v>
      </c>
      <c r="U1206" s="35" t="s">
        <v>82</v>
      </c>
      <c r="V1206" s="39" t="s">
        <v>226</v>
      </c>
      <c r="W1206" s="39" t="s">
        <v>123</v>
      </c>
      <c r="X1206" s="39">
        <v>1932.5</v>
      </c>
      <c r="Y1206" s="39">
        <v>351.36</v>
      </c>
      <c r="Z1206" s="39">
        <v>351.36</v>
      </c>
      <c r="AA1206" s="39">
        <v>0</v>
      </c>
      <c r="AB1206" s="39"/>
      <c r="AC1206" s="39">
        <v>0</v>
      </c>
      <c r="AD1206" s="39"/>
      <c r="AE1206" s="39">
        <v>0</v>
      </c>
      <c r="AF1206" s="39"/>
      <c r="AG1206" s="39">
        <v>0</v>
      </c>
      <c r="AH1206" s="39"/>
      <c r="AI1206" s="41">
        <v>0</v>
      </c>
    </row>
    <row r="1207" spans="1:35" x14ac:dyDescent="0.25">
      <c r="A1207" s="34" t="s">
        <v>110</v>
      </c>
      <c r="B1207" s="35" t="s">
        <v>2719</v>
      </c>
      <c r="C1207" s="35" t="s">
        <v>4236</v>
      </c>
      <c r="D1207" s="35">
        <v>32739</v>
      </c>
      <c r="E1207" s="35" t="s">
        <v>4237</v>
      </c>
      <c r="F1207" s="35" t="s">
        <v>4238</v>
      </c>
      <c r="G1207" s="35" t="s">
        <v>174</v>
      </c>
      <c r="H1207" s="35" t="s">
        <v>160</v>
      </c>
      <c r="I1207" s="35" t="s">
        <v>217</v>
      </c>
      <c r="J1207" s="35" t="s">
        <v>118</v>
      </c>
      <c r="K1207" s="36">
        <v>46080</v>
      </c>
      <c r="L1207" s="36">
        <v>46080</v>
      </c>
      <c r="M1207" s="36">
        <v>46085</v>
      </c>
      <c r="N1207" s="36"/>
      <c r="O1207" s="36"/>
      <c r="P1207" s="36"/>
      <c r="Q1207" s="36"/>
      <c r="R1207" s="35" t="s">
        <v>218</v>
      </c>
      <c r="S1207" s="35" t="s">
        <v>225</v>
      </c>
      <c r="T1207" s="35" t="s">
        <v>225</v>
      </c>
      <c r="U1207" s="35" t="s">
        <v>88</v>
      </c>
      <c r="V1207" s="35" t="s">
        <v>226</v>
      </c>
      <c r="W1207" s="35" t="s">
        <v>123</v>
      </c>
      <c r="X1207" s="35">
        <v>554.79</v>
      </c>
      <c r="Y1207" s="35">
        <v>100.87</v>
      </c>
      <c r="Z1207" s="35">
        <v>100.87</v>
      </c>
      <c r="AA1207" s="35">
        <v>0</v>
      </c>
      <c r="AB1207" s="35"/>
      <c r="AC1207" s="35">
        <v>0</v>
      </c>
      <c r="AD1207" s="35"/>
      <c r="AE1207" s="35">
        <v>0</v>
      </c>
      <c r="AF1207" s="35"/>
      <c r="AG1207" s="35">
        <v>0</v>
      </c>
      <c r="AH1207" s="35"/>
      <c r="AI1207" s="37">
        <v>0</v>
      </c>
    </row>
    <row r="1208" spans="1:35" x14ac:dyDescent="0.25">
      <c r="A1208" s="38" t="s">
        <v>110</v>
      </c>
      <c r="B1208" s="39" t="s">
        <v>2444</v>
      </c>
      <c r="C1208" s="39" t="s">
        <v>2445</v>
      </c>
      <c r="D1208" s="39">
        <v>19946</v>
      </c>
      <c r="E1208" s="39" t="s">
        <v>4239</v>
      </c>
      <c r="F1208" s="39" t="s">
        <v>4240</v>
      </c>
      <c r="G1208" s="39" t="s">
        <v>440</v>
      </c>
      <c r="H1208" s="39" t="s">
        <v>160</v>
      </c>
      <c r="I1208" s="39" t="s">
        <v>117</v>
      </c>
      <c r="J1208" s="39" t="s">
        <v>118</v>
      </c>
      <c r="K1208" s="40">
        <v>46081</v>
      </c>
      <c r="L1208" s="40">
        <v>45314</v>
      </c>
      <c r="M1208" s="40">
        <v>46087</v>
      </c>
      <c r="N1208" s="40"/>
      <c r="O1208" s="40"/>
      <c r="P1208" s="40"/>
      <c r="Q1208" s="40"/>
      <c r="R1208" s="39" t="s">
        <v>142</v>
      </c>
      <c r="S1208" s="39" t="s">
        <v>978</v>
      </c>
      <c r="T1208" s="39" t="s">
        <v>220</v>
      </c>
      <c r="U1208" s="35" t="s">
        <v>91</v>
      </c>
      <c r="V1208" s="39" t="s">
        <v>509</v>
      </c>
      <c r="W1208" s="39" t="s">
        <v>123</v>
      </c>
      <c r="X1208" s="39">
        <v>-529.15</v>
      </c>
      <c r="Y1208" s="39">
        <v>-105.83</v>
      </c>
      <c r="Z1208" s="39">
        <v>-105.83</v>
      </c>
      <c r="AA1208" s="39">
        <v>0</v>
      </c>
      <c r="AB1208" s="39"/>
      <c r="AC1208" s="39">
        <v>0</v>
      </c>
      <c r="AD1208" s="39"/>
      <c r="AE1208" s="39">
        <v>0</v>
      </c>
      <c r="AF1208" s="39"/>
      <c r="AG1208" s="39">
        <v>0</v>
      </c>
      <c r="AH1208" s="39"/>
      <c r="AI1208" s="41">
        <v>0</v>
      </c>
    </row>
    <row r="1209" spans="1:35" x14ac:dyDescent="0.25">
      <c r="A1209" s="34" t="s">
        <v>110</v>
      </c>
      <c r="B1209" s="35" t="s">
        <v>2444</v>
      </c>
      <c r="C1209" s="35" t="s">
        <v>2445</v>
      </c>
      <c r="D1209" s="35">
        <v>19946</v>
      </c>
      <c r="E1209" s="35" t="s">
        <v>4241</v>
      </c>
      <c r="F1209" s="35" t="s">
        <v>4242</v>
      </c>
      <c r="G1209" s="35" t="s">
        <v>440</v>
      </c>
      <c r="H1209" s="35" t="s">
        <v>160</v>
      </c>
      <c r="I1209" s="35" t="s">
        <v>117</v>
      </c>
      <c r="J1209" s="35" t="s">
        <v>118</v>
      </c>
      <c r="K1209" s="36">
        <v>46081</v>
      </c>
      <c r="L1209" s="36">
        <v>45680</v>
      </c>
      <c r="M1209" s="36">
        <v>46087</v>
      </c>
      <c r="N1209" s="36"/>
      <c r="O1209" s="36"/>
      <c r="P1209" s="36"/>
      <c r="Q1209" s="36"/>
      <c r="R1209" s="35" t="s">
        <v>142</v>
      </c>
      <c r="S1209" s="35" t="s">
        <v>978</v>
      </c>
      <c r="T1209" s="35" t="s">
        <v>220</v>
      </c>
      <c r="U1209" s="35" t="s">
        <v>91</v>
      </c>
      <c r="V1209" s="35" t="s">
        <v>509</v>
      </c>
      <c r="W1209" s="35" t="s">
        <v>123</v>
      </c>
      <c r="X1209" s="35">
        <v>-664.96</v>
      </c>
      <c r="Y1209" s="35">
        <v>-132.99</v>
      </c>
      <c r="Z1209" s="35">
        <v>-132.99</v>
      </c>
      <c r="AA1209" s="35">
        <v>0</v>
      </c>
      <c r="AB1209" s="35"/>
      <c r="AC1209" s="35">
        <v>0</v>
      </c>
      <c r="AD1209" s="35"/>
      <c r="AE1209" s="35">
        <v>0</v>
      </c>
      <c r="AF1209" s="35"/>
      <c r="AG1209" s="35">
        <v>0</v>
      </c>
      <c r="AH1209" s="35"/>
      <c r="AI1209" s="37">
        <v>0</v>
      </c>
    </row>
    <row r="1210" spans="1:35" x14ac:dyDescent="0.25">
      <c r="A1210" s="38" t="s">
        <v>110</v>
      </c>
      <c r="B1210" s="39" t="s">
        <v>4243</v>
      </c>
      <c r="C1210" s="39" t="s">
        <v>4244</v>
      </c>
      <c r="D1210" s="39">
        <v>32740</v>
      </c>
      <c r="E1210" s="39" t="s">
        <v>4245</v>
      </c>
      <c r="F1210" s="39" t="s">
        <v>4246</v>
      </c>
      <c r="G1210" s="39" t="s">
        <v>174</v>
      </c>
      <c r="H1210" s="39" t="s">
        <v>160</v>
      </c>
      <c r="I1210" s="39" t="s">
        <v>217</v>
      </c>
      <c r="J1210" s="39" t="s">
        <v>141</v>
      </c>
      <c r="K1210" s="40">
        <v>46081</v>
      </c>
      <c r="L1210" s="40">
        <v>46070</v>
      </c>
      <c r="M1210" s="40"/>
      <c r="N1210" s="40"/>
      <c r="O1210" s="40"/>
      <c r="P1210" s="40"/>
      <c r="Q1210" s="40"/>
      <c r="R1210" s="39" t="s">
        <v>218</v>
      </c>
      <c r="S1210" s="39" t="s">
        <v>1018</v>
      </c>
      <c r="T1210" s="39" t="s">
        <v>1018</v>
      </c>
      <c r="U1210" s="35" t="s">
        <v>82</v>
      </c>
      <c r="V1210" s="39" t="s">
        <v>226</v>
      </c>
      <c r="W1210" s="39" t="s">
        <v>123</v>
      </c>
      <c r="X1210" s="39">
        <v>2903.67</v>
      </c>
      <c r="Y1210" s="39">
        <v>527.94000000000005</v>
      </c>
      <c r="Z1210" s="39">
        <v>527.94000000000005</v>
      </c>
      <c r="AA1210" s="39">
        <v>0</v>
      </c>
      <c r="AB1210" s="39"/>
      <c r="AC1210" s="39">
        <v>0</v>
      </c>
      <c r="AD1210" s="39"/>
      <c r="AE1210" s="39">
        <v>0</v>
      </c>
      <c r="AF1210" s="39"/>
      <c r="AG1210" s="39">
        <v>0</v>
      </c>
      <c r="AH1210" s="39"/>
      <c r="AI1210" s="41">
        <v>0</v>
      </c>
    </row>
    <row r="1211" spans="1:35" x14ac:dyDescent="0.25">
      <c r="A1211" s="34" t="s">
        <v>110</v>
      </c>
      <c r="B1211" s="35" t="s">
        <v>4142</v>
      </c>
      <c r="C1211" s="35" t="s">
        <v>4247</v>
      </c>
      <c r="D1211" s="35">
        <v>32741</v>
      </c>
      <c r="E1211" s="35" t="s">
        <v>4248</v>
      </c>
      <c r="F1211" s="35" t="s">
        <v>4249</v>
      </c>
      <c r="G1211" s="35" t="s">
        <v>174</v>
      </c>
      <c r="H1211" s="35" t="s">
        <v>160</v>
      </c>
      <c r="I1211" s="35" t="s">
        <v>217</v>
      </c>
      <c r="J1211" s="35" t="s">
        <v>141</v>
      </c>
      <c r="K1211" s="36">
        <v>46081</v>
      </c>
      <c r="L1211" s="36">
        <v>46076</v>
      </c>
      <c r="M1211" s="36"/>
      <c r="N1211" s="36"/>
      <c r="O1211" s="36"/>
      <c r="P1211" s="36"/>
      <c r="Q1211" s="36"/>
      <c r="R1211" s="35" t="s">
        <v>218</v>
      </c>
      <c r="S1211" s="35" t="s">
        <v>1018</v>
      </c>
      <c r="T1211" s="35" t="s">
        <v>1018</v>
      </c>
      <c r="U1211" s="35" t="s">
        <v>82</v>
      </c>
      <c r="V1211" s="35" t="s">
        <v>226</v>
      </c>
      <c r="W1211" s="35" t="s">
        <v>123</v>
      </c>
      <c r="X1211" s="35">
        <v>8948.9500000000007</v>
      </c>
      <c r="Y1211" s="35">
        <v>1627.08</v>
      </c>
      <c r="Z1211" s="35">
        <v>1627.08</v>
      </c>
      <c r="AA1211" s="35">
        <v>0</v>
      </c>
      <c r="AB1211" s="35"/>
      <c r="AC1211" s="35">
        <v>0</v>
      </c>
      <c r="AD1211" s="35"/>
      <c r="AE1211" s="35">
        <v>0</v>
      </c>
      <c r="AF1211" s="35"/>
      <c r="AG1211" s="35">
        <v>0</v>
      </c>
      <c r="AH1211" s="35"/>
      <c r="AI1211" s="37">
        <v>0</v>
      </c>
    </row>
    <row r="1212" spans="1:35" x14ac:dyDescent="0.25">
      <c r="A1212" s="38" t="s">
        <v>110</v>
      </c>
      <c r="B1212" s="39" t="s">
        <v>4142</v>
      </c>
      <c r="C1212" s="39" t="s">
        <v>4247</v>
      </c>
      <c r="D1212" s="39">
        <v>32741</v>
      </c>
      <c r="E1212" s="39" t="s">
        <v>4250</v>
      </c>
      <c r="F1212" s="39" t="s">
        <v>4251</v>
      </c>
      <c r="G1212" s="39" t="s">
        <v>174</v>
      </c>
      <c r="H1212" s="39" t="s">
        <v>160</v>
      </c>
      <c r="I1212" s="39" t="s">
        <v>217</v>
      </c>
      <c r="J1212" s="39" t="s">
        <v>141</v>
      </c>
      <c r="K1212" s="40">
        <v>46081</v>
      </c>
      <c r="L1212" s="40">
        <v>46076</v>
      </c>
      <c r="M1212" s="40"/>
      <c r="N1212" s="40"/>
      <c r="O1212" s="40"/>
      <c r="P1212" s="40"/>
      <c r="Q1212" s="40"/>
      <c r="R1212" s="39" t="s">
        <v>218</v>
      </c>
      <c r="S1212" s="39" t="s">
        <v>1018</v>
      </c>
      <c r="T1212" s="39" t="s">
        <v>1018</v>
      </c>
      <c r="U1212" s="35" t="s">
        <v>82</v>
      </c>
      <c r="V1212" s="39" t="s">
        <v>226</v>
      </c>
      <c r="W1212" s="39" t="s">
        <v>123</v>
      </c>
      <c r="X1212" s="39">
        <v>8948.9500000000007</v>
      </c>
      <c r="Y1212" s="39">
        <v>1627.08</v>
      </c>
      <c r="Z1212" s="39">
        <v>1627.08</v>
      </c>
      <c r="AA1212" s="39">
        <v>0</v>
      </c>
      <c r="AB1212" s="39"/>
      <c r="AC1212" s="39">
        <v>0</v>
      </c>
      <c r="AD1212" s="39"/>
      <c r="AE1212" s="39">
        <v>0</v>
      </c>
      <c r="AF1212" s="39"/>
      <c r="AG1212" s="39">
        <v>0</v>
      </c>
      <c r="AH1212" s="39"/>
      <c r="AI1212" s="41">
        <v>0</v>
      </c>
    </row>
    <row r="1213" spans="1:35" x14ac:dyDescent="0.25">
      <c r="A1213" s="34" t="s">
        <v>110</v>
      </c>
      <c r="B1213" s="35" t="s">
        <v>4142</v>
      </c>
      <c r="C1213" s="35" t="s">
        <v>4247</v>
      </c>
      <c r="D1213" s="35">
        <v>32741</v>
      </c>
      <c r="E1213" s="35" t="s">
        <v>4252</v>
      </c>
      <c r="F1213" s="35" t="s">
        <v>4253</v>
      </c>
      <c r="G1213" s="35" t="s">
        <v>174</v>
      </c>
      <c r="H1213" s="35" t="s">
        <v>160</v>
      </c>
      <c r="I1213" s="35" t="s">
        <v>217</v>
      </c>
      <c r="J1213" s="35" t="s">
        <v>141</v>
      </c>
      <c r="K1213" s="36">
        <v>46081</v>
      </c>
      <c r="L1213" s="36">
        <v>46076</v>
      </c>
      <c r="M1213" s="36"/>
      <c r="N1213" s="36"/>
      <c r="O1213" s="36"/>
      <c r="P1213" s="36"/>
      <c r="Q1213" s="36"/>
      <c r="R1213" s="35" t="s">
        <v>218</v>
      </c>
      <c r="S1213" s="35" t="s">
        <v>1018</v>
      </c>
      <c r="T1213" s="35" t="s">
        <v>1018</v>
      </c>
      <c r="U1213" s="35" t="s">
        <v>82</v>
      </c>
      <c r="V1213" s="35" t="s">
        <v>226</v>
      </c>
      <c r="W1213" s="35" t="s">
        <v>123</v>
      </c>
      <c r="X1213" s="35">
        <v>8948.9500000000007</v>
      </c>
      <c r="Y1213" s="35">
        <v>1627.08</v>
      </c>
      <c r="Z1213" s="35">
        <v>1627.08</v>
      </c>
      <c r="AA1213" s="35">
        <v>0</v>
      </c>
      <c r="AB1213" s="35"/>
      <c r="AC1213" s="35">
        <v>0</v>
      </c>
      <c r="AD1213" s="35"/>
      <c r="AE1213" s="35">
        <v>0</v>
      </c>
      <c r="AF1213" s="35"/>
      <c r="AG1213" s="35">
        <v>0</v>
      </c>
      <c r="AH1213" s="35"/>
      <c r="AI1213" s="37">
        <v>0</v>
      </c>
    </row>
  </sheetData>
  <autoFilter ref="A1:AI1213" xr:uid="{2BE501FF-DBC1-4EC1-AEC3-FA74427A43AB}"/>
  <dataConsolidate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31FF-F9FB-4B31-A628-EE667F5360A0}">
  <dimension ref="A1:B74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24" customWidth="1"/>
    <col min="2" max="2" width="36.140625" bestFit="1" customWidth="1"/>
  </cols>
  <sheetData>
    <row r="1" spans="1:2" x14ac:dyDescent="0.25">
      <c r="A1" s="24" t="s">
        <v>2937</v>
      </c>
      <c r="B1" s="24" t="s">
        <v>2938</v>
      </c>
    </row>
    <row r="2" spans="1:2" x14ac:dyDescent="0.25">
      <c r="A2" s="23" t="s">
        <v>205</v>
      </c>
      <c r="B2" s="22" t="s">
        <v>89</v>
      </c>
    </row>
    <row r="3" spans="1:2" x14ac:dyDescent="0.25">
      <c r="A3" s="23" t="s">
        <v>183</v>
      </c>
      <c r="B3" s="22" t="s">
        <v>90</v>
      </c>
    </row>
    <row r="4" spans="1:2" x14ac:dyDescent="0.25">
      <c r="A4" s="23" t="s">
        <v>151</v>
      </c>
      <c r="B4" s="22" t="s">
        <v>90</v>
      </c>
    </row>
    <row r="5" spans="1:2" x14ac:dyDescent="0.25">
      <c r="A5" s="23" t="s">
        <v>519</v>
      </c>
      <c r="B5" s="22" t="s">
        <v>86</v>
      </c>
    </row>
    <row r="6" spans="1:2" x14ac:dyDescent="0.25">
      <c r="A6" s="23" t="s">
        <v>1616</v>
      </c>
      <c r="B6" s="22" t="s">
        <v>81</v>
      </c>
    </row>
    <row r="7" spans="1:2" x14ac:dyDescent="0.25">
      <c r="A7" s="23" t="s">
        <v>442</v>
      </c>
      <c r="B7" s="22" t="s">
        <v>81</v>
      </c>
    </row>
    <row r="8" spans="1:2" x14ac:dyDescent="0.25">
      <c r="A8" s="23" t="s">
        <v>923</v>
      </c>
      <c r="B8" s="22" t="s">
        <v>81</v>
      </c>
    </row>
    <row r="9" spans="1:2" x14ac:dyDescent="0.25">
      <c r="A9" s="23" t="s">
        <v>2939</v>
      </c>
      <c r="B9" s="22" t="s">
        <v>81</v>
      </c>
    </row>
    <row r="10" spans="1:2" x14ac:dyDescent="0.25">
      <c r="A10" s="23" t="s">
        <v>177</v>
      </c>
      <c r="B10" s="22" t="s">
        <v>81</v>
      </c>
    </row>
    <row r="11" spans="1:2" x14ac:dyDescent="0.25">
      <c r="A11" s="23" t="s">
        <v>2542</v>
      </c>
      <c r="B11" s="22" t="s">
        <v>107</v>
      </c>
    </row>
    <row r="12" spans="1:2" x14ac:dyDescent="0.25">
      <c r="A12" s="23" t="s">
        <v>2546</v>
      </c>
      <c r="B12" s="22" t="s">
        <v>107</v>
      </c>
    </row>
    <row r="13" spans="1:2" x14ac:dyDescent="0.25">
      <c r="A13" s="23" t="s">
        <v>2586</v>
      </c>
      <c r="B13" s="22" t="s">
        <v>107</v>
      </c>
    </row>
    <row r="14" spans="1:2" x14ac:dyDescent="0.25">
      <c r="A14" s="23" t="s">
        <v>2416</v>
      </c>
      <c r="B14" s="22" t="s">
        <v>107</v>
      </c>
    </row>
    <row r="15" spans="1:2" x14ac:dyDescent="0.25">
      <c r="A15" s="23" t="s">
        <v>169</v>
      </c>
      <c r="B15" s="22" t="s">
        <v>81</v>
      </c>
    </row>
    <row r="16" spans="1:2" x14ac:dyDescent="0.25">
      <c r="A16" s="23" t="s">
        <v>2418</v>
      </c>
      <c r="B16" s="22" t="s">
        <v>107</v>
      </c>
    </row>
    <row r="17" spans="1:2" x14ac:dyDescent="0.25">
      <c r="A17" s="23" t="s">
        <v>2816</v>
      </c>
      <c r="B17" s="22" t="s">
        <v>108</v>
      </c>
    </row>
    <row r="18" spans="1:2" x14ac:dyDescent="0.25">
      <c r="A18" s="23" t="s">
        <v>2940</v>
      </c>
      <c r="B18" s="22" t="s">
        <v>103</v>
      </c>
    </row>
    <row r="19" spans="1:2" x14ac:dyDescent="0.25">
      <c r="A19" s="23" t="s">
        <v>2405</v>
      </c>
      <c r="B19" s="22" t="s">
        <v>103</v>
      </c>
    </row>
    <row r="20" spans="1:2" x14ac:dyDescent="0.25">
      <c r="A20" s="23" t="s">
        <v>2419</v>
      </c>
      <c r="B20" s="22" t="s">
        <v>84</v>
      </c>
    </row>
    <row r="21" spans="1:2" x14ac:dyDescent="0.25">
      <c r="A21" s="23" t="s">
        <v>804</v>
      </c>
      <c r="B21" s="22" t="s">
        <v>87</v>
      </c>
    </row>
    <row r="22" spans="1:2" x14ac:dyDescent="0.25">
      <c r="A22" s="23" t="s">
        <v>2409</v>
      </c>
      <c r="B22" s="22" t="s">
        <v>108</v>
      </c>
    </row>
    <row r="23" spans="1:2" x14ac:dyDescent="0.25">
      <c r="A23" s="23" t="s">
        <v>2660</v>
      </c>
      <c r="B23" s="22" t="s">
        <v>90</v>
      </c>
    </row>
    <row r="24" spans="1:2" x14ac:dyDescent="0.25">
      <c r="A24" s="23" t="s">
        <v>1453</v>
      </c>
      <c r="B24" s="22" t="s">
        <v>86</v>
      </c>
    </row>
    <row r="25" spans="1:2" x14ac:dyDescent="0.25">
      <c r="A25" s="23" t="s">
        <v>2709</v>
      </c>
      <c r="B25" s="22" t="s">
        <v>86</v>
      </c>
    </row>
    <row r="26" spans="1:2" x14ac:dyDescent="0.25">
      <c r="A26" s="23" t="s">
        <v>2822</v>
      </c>
      <c r="B26" s="22" t="s">
        <v>86</v>
      </c>
    </row>
    <row r="27" spans="1:2" x14ac:dyDescent="0.25">
      <c r="A27" s="23" t="s">
        <v>2842</v>
      </c>
      <c r="B27" s="22" t="s">
        <v>86</v>
      </c>
    </row>
    <row r="28" spans="1:2" x14ac:dyDescent="0.25">
      <c r="A28" s="23" t="s">
        <v>1631</v>
      </c>
      <c r="B28" s="22" t="s">
        <v>85</v>
      </c>
    </row>
    <row r="29" spans="1:2" x14ac:dyDescent="0.25">
      <c r="A29" s="23" t="s">
        <v>2723</v>
      </c>
      <c r="B29" s="22" t="s">
        <v>108</v>
      </c>
    </row>
    <row r="30" spans="1:2" x14ac:dyDescent="0.25">
      <c r="A30" s="23" t="s">
        <v>1018</v>
      </c>
      <c r="B30" s="22" t="s">
        <v>82</v>
      </c>
    </row>
    <row r="31" spans="1:2" x14ac:dyDescent="0.25">
      <c r="A31" s="23" t="s">
        <v>83</v>
      </c>
      <c r="B31" s="22" t="s">
        <v>83</v>
      </c>
    </row>
    <row r="32" spans="1:2" x14ac:dyDescent="0.25">
      <c r="A32" s="23" t="s">
        <v>1572</v>
      </c>
      <c r="B32" s="22" t="s">
        <v>87</v>
      </c>
    </row>
    <row r="33" spans="1:2" x14ac:dyDescent="0.25">
      <c r="A33" s="23" t="s">
        <v>144</v>
      </c>
      <c r="B33" s="22" t="s">
        <v>87</v>
      </c>
    </row>
    <row r="34" spans="1:2" x14ac:dyDescent="0.25">
      <c r="A34" s="23" t="s">
        <v>162</v>
      </c>
      <c r="B34" s="22" t="s">
        <v>87</v>
      </c>
    </row>
    <row r="35" spans="1:2" x14ac:dyDescent="0.25">
      <c r="A35" s="23" t="s">
        <v>1736</v>
      </c>
      <c r="B35" s="22" t="s">
        <v>87</v>
      </c>
    </row>
    <row r="36" spans="1:2" x14ac:dyDescent="0.25">
      <c r="A36" s="23" t="s">
        <v>2839</v>
      </c>
      <c r="B36" s="22" t="s">
        <v>87</v>
      </c>
    </row>
    <row r="37" spans="1:2" x14ac:dyDescent="0.25">
      <c r="A37" s="23" t="s">
        <v>2441</v>
      </c>
      <c r="B37" s="22" t="s">
        <v>88</v>
      </c>
    </row>
    <row r="38" spans="1:2" x14ac:dyDescent="0.25">
      <c r="A38" s="23" t="s">
        <v>1339</v>
      </c>
      <c r="B38" s="22" t="s">
        <v>84</v>
      </c>
    </row>
    <row r="39" spans="1:2" x14ac:dyDescent="0.25">
      <c r="A39" s="23" t="s">
        <v>2843</v>
      </c>
      <c r="B39" s="22" t="s">
        <v>88</v>
      </c>
    </row>
    <row r="40" spans="1:2" x14ac:dyDescent="0.25">
      <c r="A40" s="23" t="s">
        <v>225</v>
      </c>
      <c r="B40" s="22" t="s">
        <v>88</v>
      </c>
    </row>
    <row r="41" spans="1:2" x14ac:dyDescent="0.25">
      <c r="A41" s="23" t="s">
        <v>744</v>
      </c>
      <c r="B41" s="22" t="s">
        <v>88</v>
      </c>
    </row>
    <row r="42" spans="1:2" x14ac:dyDescent="0.25">
      <c r="A42" s="23" t="s">
        <v>1389</v>
      </c>
      <c r="B42" s="22" t="s">
        <v>88</v>
      </c>
    </row>
    <row r="43" spans="1:2" x14ac:dyDescent="0.25">
      <c r="A43" s="23" t="s">
        <v>724</v>
      </c>
      <c r="B43" s="22" t="s">
        <v>88</v>
      </c>
    </row>
    <row r="44" spans="1:2" x14ac:dyDescent="0.25">
      <c r="A44" s="23" t="s">
        <v>698</v>
      </c>
      <c r="B44" s="22" t="s">
        <v>88</v>
      </c>
    </row>
    <row r="45" spans="1:2" x14ac:dyDescent="0.25">
      <c r="A45" s="23" t="s">
        <v>2460</v>
      </c>
      <c r="B45" s="22" t="s">
        <v>88</v>
      </c>
    </row>
    <row r="46" spans="1:2" x14ac:dyDescent="0.25">
      <c r="A46" s="23" t="s">
        <v>730</v>
      </c>
      <c r="B46" s="22" t="s">
        <v>84</v>
      </c>
    </row>
    <row r="47" spans="1:2" x14ac:dyDescent="0.25">
      <c r="A47" s="22" t="s">
        <v>2941</v>
      </c>
      <c r="B47" s="22" t="s">
        <v>89</v>
      </c>
    </row>
    <row r="48" spans="1:2" x14ac:dyDescent="0.25">
      <c r="A48" s="23" t="s">
        <v>2820</v>
      </c>
      <c r="B48" s="22" t="s">
        <v>90</v>
      </c>
    </row>
    <row r="49" spans="1:2" x14ac:dyDescent="0.25">
      <c r="A49" s="23" t="s">
        <v>129</v>
      </c>
      <c r="B49" s="22" t="s">
        <v>90</v>
      </c>
    </row>
    <row r="50" spans="1:2" x14ac:dyDescent="0.25">
      <c r="A50" s="23" t="s">
        <v>568</v>
      </c>
      <c r="B50" s="22" t="s">
        <v>90</v>
      </c>
    </row>
    <row r="51" spans="1:2" x14ac:dyDescent="0.25">
      <c r="A51" s="23" t="s">
        <v>135</v>
      </c>
      <c r="B51" s="22" t="s">
        <v>90</v>
      </c>
    </row>
    <row r="52" spans="1:2" x14ac:dyDescent="0.25">
      <c r="A52" s="23" t="s">
        <v>121</v>
      </c>
      <c r="B52" s="22" t="s">
        <v>90</v>
      </c>
    </row>
    <row r="53" spans="1:2" x14ac:dyDescent="0.25">
      <c r="A53" s="23" t="s">
        <v>749</v>
      </c>
      <c r="B53" s="22" t="s">
        <v>88</v>
      </c>
    </row>
    <row r="54" spans="1:2" x14ac:dyDescent="0.25">
      <c r="A54" s="23" t="s">
        <v>2486</v>
      </c>
      <c r="B54" s="22" t="s">
        <v>90</v>
      </c>
    </row>
    <row r="55" spans="1:2" x14ac:dyDescent="0.25">
      <c r="A55" s="23" t="s">
        <v>2402</v>
      </c>
      <c r="B55" s="22" t="s">
        <v>102</v>
      </c>
    </row>
    <row r="56" spans="1:2" x14ac:dyDescent="0.25">
      <c r="A56" s="23" t="s">
        <v>2786</v>
      </c>
      <c r="B56" s="22" t="s">
        <v>108</v>
      </c>
    </row>
    <row r="57" spans="1:2" x14ac:dyDescent="0.25">
      <c r="A57" s="23" t="s">
        <v>998</v>
      </c>
      <c r="B57" s="22" t="s">
        <v>91</v>
      </c>
    </row>
    <row r="58" spans="1:2" x14ac:dyDescent="0.25">
      <c r="A58" s="23" t="s">
        <v>220</v>
      </c>
      <c r="B58" s="22" t="s">
        <v>91</v>
      </c>
    </row>
    <row r="59" spans="1:2" x14ac:dyDescent="0.25">
      <c r="A59" s="23" t="s">
        <v>974</v>
      </c>
      <c r="B59" s="22" t="s">
        <v>91</v>
      </c>
    </row>
    <row r="60" spans="1:2" x14ac:dyDescent="0.25">
      <c r="A60" s="23" t="s">
        <v>2423</v>
      </c>
      <c r="B60" s="22" t="s">
        <v>92</v>
      </c>
    </row>
    <row r="61" spans="1:2" x14ac:dyDescent="0.25">
      <c r="A61" s="23" t="s">
        <v>2403</v>
      </c>
      <c r="B61" s="22" t="s">
        <v>93</v>
      </c>
    </row>
    <row r="62" spans="1:2" x14ac:dyDescent="0.25">
      <c r="A62" s="23" t="s">
        <v>455</v>
      </c>
      <c r="B62" s="22" t="s">
        <v>93</v>
      </c>
    </row>
    <row r="63" spans="1:2" x14ac:dyDescent="0.25">
      <c r="A63" s="23" t="s">
        <v>2799</v>
      </c>
      <c r="B63" s="22" t="s">
        <v>92</v>
      </c>
    </row>
    <row r="64" spans="1:2" x14ac:dyDescent="0.25">
      <c r="A64" s="23" t="s">
        <v>198</v>
      </c>
      <c r="B64" s="22" t="s">
        <v>94</v>
      </c>
    </row>
    <row r="65" spans="1:2" x14ac:dyDescent="0.25">
      <c r="A65" s="23" t="s">
        <v>607</v>
      </c>
      <c r="B65" s="22" t="s">
        <v>89</v>
      </c>
    </row>
    <row r="66" spans="1:2" x14ac:dyDescent="0.25">
      <c r="A66" s="23" t="s">
        <v>2942</v>
      </c>
      <c r="B66" s="22" t="s">
        <v>86</v>
      </c>
    </row>
    <row r="67" spans="1:2" x14ac:dyDescent="0.25">
      <c r="A67" s="23" t="s">
        <v>529</v>
      </c>
      <c r="B67" s="22" t="s">
        <v>92</v>
      </c>
    </row>
    <row r="68" spans="1:2" x14ac:dyDescent="0.25">
      <c r="A68" s="23"/>
    </row>
    <row r="69" spans="1:2" x14ac:dyDescent="0.25">
      <c r="A69" s="23"/>
    </row>
    <row r="70" spans="1:2" x14ac:dyDescent="0.25">
      <c r="A70" s="23"/>
    </row>
    <row r="71" spans="1:2" x14ac:dyDescent="0.25">
      <c r="A71" s="23"/>
    </row>
    <row r="72" spans="1:2" x14ac:dyDescent="0.25">
      <c r="A72" s="23"/>
    </row>
    <row r="73" spans="1:2" x14ac:dyDescent="0.25">
      <c r="A73" s="23"/>
    </row>
    <row r="74" spans="1:2" x14ac:dyDescent="0.25">
      <c r="A74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312D-A446-484A-8AB8-DD7E74E72B7D}">
  <dimension ref="A1:AM78"/>
  <sheetViews>
    <sheetView topLeftCell="Z1" zoomScaleNormal="100" workbookViewId="0">
      <selection activeCell="O11" sqref="O11:O15"/>
    </sheetView>
  </sheetViews>
  <sheetFormatPr baseColWidth="10" defaultColWidth="11.5703125" defaultRowHeight="15" x14ac:dyDescent="0.25"/>
  <cols>
    <col min="1" max="1" width="18.42578125" style="1" bestFit="1" customWidth="1"/>
    <col min="2" max="2" width="11" style="1" bestFit="1" customWidth="1"/>
    <col min="3" max="3" width="23" style="1" bestFit="1" customWidth="1"/>
    <col min="4" max="4" width="20.42578125" style="1" bestFit="1" customWidth="1"/>
    <col min="5" max="5" width="24" style="1" bestFit="1" customWidth="1"/>
    <col min="6" max="6" width="21.42578125" style="1" bestFit="1" customWidth="1"/>
    <col min="7" max="7" width="37.42578125" style="1" bestFit="1" customWidth="1"/>
    <col min="8" max="9" width="11" style="1" bestFit="1" customWidth="1"/>
    <col min="10" max="10" width="25.140625" style="1" bestFit="1" customWidth="1"/>
    <col min="11" max="11" width="16.85546875" style="3" bestFit="1" customWidth="1"/>
    <col min="12" max="12" width="12.140625" style="1" bestFit="1" customWidth="1"/>
    <col min="13" max="13" width="11.85546875" style="1" bestFit="1" customWidth="1"/>
    <col min="14" max="14" width="16.5703125" style="1" bestFit="1" customWidth="1"/>
    <col min="15" max="15" width="15.140625" style="1" bestFit="1" customWidth="1"/>
    <col min="16" max="16" width="28.42578125" style="1" bestFit="1" customWidth="1"/>
    <col min="17" max="17" width="16.85546875" style="1" bestFit="1" customWidth="1"/>
    <col min="18" max="18" width="11" style="1" bestFit="1" customWidth="1"/>
    <col min="19" max="19" width="9.140625" style="1" bestFit="1" customWidth="1"/>
    <col min="20" max="20" width="45.140625" style="1" bestFit="1" customWidth="1"/>
    <col min="21" max="21" width="37.42578125" style="1" bestFit="1" customWidth="1"/>
    <col min="22" max="22" width="10.140625" style="1" bestFit="1" customWidth="1"/>
    <col min="23" max="23" width="9.140625" style="1" bestFit="1" customWidth="1"/>
    <col min="24" max="24" width="10.42578125" style="1" bestFit="1" customWidth="1"/>
    <col min="25" max="25" width="25.140625" style="1" bestFit="1" customWidth="1"/>
    <col min="26" max="26" width="19.42578125" style="1" bestFit="1" customWidth="1"/>
    <col min="27" max="27" width="25.140625" style="1" bestFit="1" customWidth="1"/>
    <col min="28" max="28" width="10.5703125" style="1" bestFit="1" customWidth="1"/>
    <col min="29" max="29" width="19.5703125" style="1" bestFit="1" customWidth="1"/>
    <col min="30" max="30" width="13.140625" style="1" bestFit="1" customWidth="1"/>
    <col min="31" max="31" width="22.140625" style="1" bestFit="1" customWidth="1"/>
    <col min="32" max="32" width="13.140625" style="1" bestFit="1" customWidth="1"/>
    <col min="33" max="33" width="22.140625" style="1" bestFit="1" customWidth="1"/>
    <col min="34" max="34" width="13.140625" style="1" bestFit="1" customWidth="1"/>
    <col min="35" max="35" width="22.140625" style="1" bestFit="1" customWidth="1"/>
    <col min="36" max="36" width="15.42578125" style="1" bestFit="1" customWidth="1"/>
    <col min="37" max="37" width="24.42578125" style="1" bestFit="1" customWidth="1"/>
    <col min="38" max="38" width="19.5703125" style="1" bestFit="1" customWidth="1"/>
    <col min="39" max="39" width="13.42578125" style="1" bestFit="1" customWidth="1"/>
    <col min="40" max="53" width="11.5703125" style="1" bestFit="1" customWidth="1"/>
    <col min="54" max="54" width="11.5703125" style="1"/>
    <col min="55" max="85" width="11.5703125" style="1" bestFit="1" customWidth="1"/>
    <col min="86" max="86" width="11.5703125" style="1"/>
    <col min="87" max="117" width="11.5703125" style="1" bestFit="1" customWidth="1"/>
    <col min="118" max="118" width="11.5703125" style="1"/>
    <col min="119" max="149" width="11.5703125" style="1" bestFit="1" customWidth="1"/>
    <col min="150" max="150" width="11.5703125" style="1"/>
    <col min="151" max="181" width="11.5703125" style="1" bestFit="1" customWidth="1"/>
    <col min="182" max="182" width="11.5703125" style="1"/>
    <col min="183" max="213" width="11.5703125" style="1" bestFit="1" customWidth="1"/>
    <col min="214" max="214" width="11.5703125" style="1"/>
    <col min="215" max="245" width="11.5703125" style="1" bestFit="1" customWidth="1"/>
    <col min="246" max="246" width="11.5703125" style="1"/>
    <col min="247" max="277" width="11.5703125" style="1" bestFit="1" customWidth="1"/>
    <col min="278" max="278" width="11.5703125" style="1"/>
    <col min="279" max="309" width="11.5703125" style="1" bestFit="1" customWidth="1"/>
    <col min="310" max="310" width="11.5703125" style="1"/>
    <col min="311" max="341" width="11.5703125" style="1" bestFit="1" customWidth="1"/>
    <col min="342" max="342" width="11.5703125" style="1"/>
    <col min="343" max="373" width="11.5703125" style="1" bestFit="1" customWidth="1"/>
    <col min="374" max="374" width="11.5703125" style="1"/>
    <col min="375" max="405" width="11.5703125" style="1" bestFit="1" customWidth="1"/>
    <col min="406" max="406" width="11.5703125" style="1"/>
    <col min="407" max="437" width="11.5703125" style="1" bestFit="1" customWidth="1"/>
    <col min="438" max="438" width="11.5703125" style="1"/>
    <col min="439" max="469" width="11.5703125" style="1" bestFit="1" customWidth="1"/>
    <col min="470" max="470" width="11.5703125" style="1"/>
    <col min="471" max="501" width="11.5703125" style="1" bestFit="1" customWidth="1"/>
    <col min="502" max="502" width="11.5703125" style="1"/>
    <col min="503" max="533" width="11.5703125" style="1" bestFit="1" customWidth="1"/>
    <col min="534" max="534" width="11.5703125" style="1"/>
    <col min="535" max="565" width="11.5703125" style="1" bestFit="1" customWidth="1"/>
    <col min="566" max="566" width="11.5703125" style="1"/>
    <col min="567" max="597" width="11.5703125" style="1" bestFit="1" customWidth="1"/>
    <col min="598" max="598" width="11.5703125" style="1"/>
    <col min="599" max="629" width="11.5703125" style="1" bestFit="1" customWidth="1"/>
    <col min="630" max="630" width="11.5703125" style="1"/>
    <col min="631" max="661" width="11.5703125" style="1" bestFit="1" customWidth="1"/>
    <col min="662" max="662" width="11.5703125" style="1"/>
    <col min="663" max="693" width="11.5703125" style="1" bestFit="1" customWidth="1"/>
    <col min="694" max="694" width="11.5703125" style="1"/>
    <col min="695" max="725" width="11.5703125" style="1" bestFit="1" customWidth="1"/>
    <col min="726" max="726" width="11.5703125" style="1"/>
    <col min="727" max="757" width="11.5703125" style="1" bestFit="1" customWidth="1"/>
    <col min="758" max="758" width="11.5703125" style="1"/>
    <col min="759" max="789" width="11.5703125" style="1" bestFit="1" customWidth="1"/>
    <col min="790" max="790" width="11.5703125" style="1"/>
    <col min="791" max="821" width="11.5703125" style="1" bestFit="1" customWidth="1"/>
    <col min="822" max="822" width="11.5703125" style="1"/>
    <col min="823" max="853" width="11.5703125" style="1" bestFit="1" customWidth="1"/>
    <col min="854" max="854" width="11.5703125" style="1"/>
    <col min="855" max="885" width="11.5703125" style="1" bestFit="1" customWidth="1"/>
    <col min="886" max="886" width="11.5703125" style="1"/>
    <col min="887" max="917" width="11.5703125" style="1" bestFit="1" customWidth="1"/>
    <col min="918" max="918" width="11.5703125" style="1"/>
    <col min="919" max="949" width="11.5703125" style="1" bestFit="1" customWidth="1"/>
    <col min="950" max="950" width="11.5703125" style="1"/>
    <col min="951" max="981" width="11.5703125" style="1" bestFit="1" customWidth="1"/>
    <col min="982" max="982" width="11.5703125" style="1"/>
    <col min="983" max="1013" width="11.5703125" style="1" bestFit="1" customWidth="1"/>
    <col min="1014" max="1014" width="11.5703125" style="1"/>
    <col min="1015" max="1045" width="11.5703125" style="1" bestFit="1" customWidth="1"/>
    <col min="1046" max="1046" width="11.5703125" style="1"/>
    <col min="1047" max="1077" width="11.5703125" style="1" bestFit="1" customWidth="1"/>
    <col min="1078" max="1078" width="11.5703125" style="1"/>
    <col min="1079" max="1109" width="11.5703125" style="1" bestFit="1" customWidth="1"/>
    <col min="1110" max="1110" width="11.5703125" style="1"/>
    <col min="1111" max="1141" width="11.5703125" style="1" bestFit="1" customWidth="1"/>
    <col min="1142" max="1142" width="11.5703125" style="1"/>
    <col min="1143" max="1173" width="11.5703125" style="1" bestFit="1" customWidth="1"/>
    <col min="1174" max="1174" width="11.5703125" style="1"/>
    <col min="1175" max="1205" width="11.5703125" style="1" bestFit="1" customWidth="1"/>
    <col min="1206" max="1206" width="11.5703125" style="1"/>
    <col min="1207" max="1237" width="11.5703125" style="1" bestFit="1" customWidth="1"/>
    <col min="1238" max="1238" width="11.5703125" style="1"/>
    <col min="1239" max="1269" width="11.5703125" style="1" bestFit="1" customWidth="1"/>
    <col min="1270" max="1270" width="11.5703125" style="1"/>
    <col min="1271" max="1301" width="11.5703125" style="1" bestFit="1" customWidth="1"/>
    <col min="1302" max="1302" width="11.5703125" style="1"/>
    <col min="1303" max="1333" width="11.5703125" style="1" bestFit="1" customWidth="1"/>
    <col min="1334" max="1334" width="11.5703125" style="1"/>
    <col min="1335" max="1365" width="11.5703125" style="1" bestFit="1" customWidth="1"/>
    <col min="1366" max="1366" width="11.5703125" style="1"/>
    <col min="1367" max="1397" width="11.5703125" style="1" bestFit="1" customWidth="1"/>
    <col min="1398" max="1398" width="11.5703125" style="1"/>
    <col min="1399" max="1429" width="11.5703125" style="1" bestFit="1" customWidth="1"/>
    <col min="1430" max="1430" width="11.5703125" style="1"/>
    <col min="1431" max="1461" width="11.5703125" style="1" bestFit="1" customWidth="1"/>
    <col min="1462" max="1462" width="11.5703125" style="1"/>
    <col min="1463" max="1493" width="11.5703125" style="1" bestFit="1" customWidth="1"/>
    <col min="1494" max="1494" width="11.5703125" style="1"/>
    <col min="1495" max="1525" width="11.5703125" style="1" bestFit="1" customWidth="1"/>
    <col min="1526" max="1526" width="11.5703125" style="1"/>
    <col min="1527" max="1557" width="11.5703125" style="1" bestFit="1" customWidth="1"/>
    <col min="1558" max="1558" width="11.5703125" style="1"/>
    <col min="1559" max="1589" width="11.5703125" style="1" bestFit="1" customWidth="1"/>
    <col min="1590" max="1590" width="11.5703125" style="1"/>
    <col min="1591" max="1621" width="11.5703125" style="1" bestFit="1" customWidth="1"/>
    <col min="1622" max="1622" width="11.5703125" style="1"/>
    <col min="1623" max="1653" width="11.5703125" style="1" bestFit="1" customWidth="1"/>
    <col min="1654" max="1654" width="11.5703125" style="1"/>
    <col min="1655" max="1685" width="11.5703125" style="1" bestFit="1" customWidth="1"/>
    <col min="1686" max="1686" width="11.5703125" style="1"/>
    <col min="1687" max="1717" width="11.5703125" style="1" bestFit="1" customWidth="1"/>
    <col min="1718" max="1718" width="11.5703125" style="1"/>
    <col min="1719" max="1749" width="11.5703125" style="1" bestFit="1" customWidth="1"/>
    <col min="1750" max="1750" width="11.5703125" style="1"/>
    <col min="1751" max="1781" width="11.5703125" style="1" bestFit="1" customWidth="1"/>
    <col min="1782" max="1782" width="11.5703125" style="1"/>
    <col min="1783" max="1813" width="11.5703125" style="1" bestFit="1" customWidth="1"/>
    <col min="1814" max="1814" width="11.5703125" style="1"/>
    <col min="1815" max="1845" width="11.5703125" style="1" bestFit="1" customWidth="1"/>
    <col min="1846" max="1846" width="11.5703125" style="1"/>
    <col min="1847" max="1877" width="11.5703125" style="1" bestFit="1" customWidth="1"/>
    <col min="1878" max="1878" width="11.5703125" style="1"/>
    <col min="1879" max="1909" width="11.5703125" style="1" bestFit="1" customWidth="1"/>
    <col min="1910" max="1910" width="11.5703125" style="1"/>
    <col min="1911" max="1941" width="11.5703125" style="1" bestFit="1" customWidth="1"/>
    <col min="1942" max="1942" width="11.5703125" style="1"/>
    <col min="1943" max="1973" width="11.5703125" style="1" bestFit="1" customWidth="1"/>
    <col min="1974" max="1974" width="11.5703125" style="1"/>
    <col min="1975" max="2005" width="11.5703125" style="1" bestFit="1" customWidth="1"/>
    <col min="2006" max="2006" width="11.5703125" style="1"/>
    <col min="2007" max="2037" width="11.5703125" style="1" bestFit="1" customWidth="1"/>
    <col min="2038" max="2038" width="11.5703125" style="1"/>
    <col min="2039" max="2069" width="11.5703125" style="1" bestFit="1" customWidth="1"/>
    <col min="2070" max="2070" width="11.5703125" style="1"/>
    <col min="2071" max="2101" width="11.5703125" style="1" bestFit="1" customWidth="1"/>
    <col min="2102" max="2102" width="11.5703125" style="1"/>
    <col min="2103" max="2133" width="11.5703125" style="1" bestFit="1" customWidth="1"/>
    <col min="2134" max="2134" width="11.5703125" style="1"/>
    <col min="2135" max="2165" width="11.5703125" style="1" bestFit="1" customWidth="1"/>
    <col min="2166" max="2166" width="11.5703125" style="1"/>
    <col min="2167" max="2197" width="11.5703125" style="1" bestFit="1" customWidth="1"/>
    <col min="2198" max="2198" width="11.5703125" style="1"/>
    <col min="2199" max="2229" width="11.5703125" style="1" bestFit="1" customWidth="1"/>
    <col min="2230" max="2230" width="11.5703125" style="1"/>
    <col min="2231" max="2261" width="11.5703125" style="1" bestFit="1" customWidth="1"/>
    <col min="2262" max="2262" width="11.5703125" style="1"/>
    <col min="2263" max="2293" width="11.5703125" style="1" bestFit="1" customWidth="1"/>
    <col min="2294" max="2294" width="11.5703125" style="1"/>
    <col min="2295" max="2325" width="11.5703125" style="1" bestFit="1" customWidth="1"/>
    <col min="2326" max="2326" width="11.5703125" style="1"/>
    <col min="2327" max="2357" width="11.5703125" style="1" bestFit="1" customWidth="1"/>
    <col min="2358" max="2358" width="11.5703125" style="1"/>
    <col min="2359" max="2389" width="11.5703125" style="1" bestFit="1" customWidth="1"/>
    <col min="2390" max="2390" width="11.5703125" style="1"/>
    <col min="2391" max="2421" width="11.5703125" style="1" bestFit="1" customWidth="1"/>
    <col min="2422" max="2422" width="11.5703125" style="1"/>
    <col min="2423" max="2453" width="11.5703125" style="1" bestFit="1" customWidth="1"/>
    <col min="2454" max="2454" width="11.5703125" style="1"/>
    <col min="2455" max="2485" width="11.5703125" style="1" bestFit="1" customWidth="1"/>
    <col min="2486" max="2486" width="11.5703125" style="1"/>
    <col min="2487" max="2517" width="11.5703125" style="1" bestFit="1" customWidth="1"/>
    <col min="2518" max="2518" width="11.5703125" style="1"/>
    <col min="2519" max="2549" width="11.5703125" style="1" bestFit="1" customWidth="1"/>
    <col min="2550" max="2550" width="11.5703125" style="1"/>
    <col min="2551" max="2581" width="11.5703125" style="1" bestFit="1" customWidth="1"/>
    <col min="2582" max="2582" width="11.5703125" style="1"/>
    <col min="2583" max="2613" width="11.5703125" style="1" bestFit="1" customWidth="1"/>
    <col min="2614" max="2614" width="11.5703125" style="1"/>
    <col min="2615" max="2645" width="11.5703125" style="1" bestFit="1" customWidth="1"/>
    <col min="2646" max="2646" width="11.5703125" style="1"/>
    <col min="2647" max="2677" width="11.5703125" style="1" bestFit="1" customWidth="1"/>
    <col min="2678" max="2678" width="11.5703125" style="1"/>
    <col min="2679" max="2709" width="11.5703125" style="1" bestFit="1" customWidth="1"/>
    <col min="2710" max="2710" width="11.5703125" style="1"/>
    <col min="2711" max="2741" width="11.5703125" style="1" bestFit="1" customWidth="1"/>
    <col min="2742" max="2742" width="11.5703125" style="1"/>
    <col min="2743" max="2773" width="11.5703125" style="1" bestFit="1" customWidth="1"/>
    <col min="2774" max="2774" width="11.5703125" style="1"/>
    <col min="2775" max="2805" width="11.5703125" style="1" bestFit="1" customWidth="1"/>
    <col min="2806" max="2806" width="11.5703125" style="1"/>
    <col min="2807" max="2837" width="11.5703125" style="1" bestFit="1" customWidth="1"/>
    <col min="2838" max="2838" width="11.5703125" style="1"/>
    <col min="2839" max="2869" width="11.5703125" style="1" bestFit="1" customWidth="1"/>
    <col min="2870" max="2870" width="11.5703125" style="1"/>
    <col min="2871" max="2901" width="11.5703125" style="1" bestFit="1" customWidth="1"/>
    <col min="2902" max="2902" width="11.5703125" style="1"/>
    <col min="2903" max="2933" width="11.5703125" style="1" bestFit="1" customWidth="1"/>
    <col min="2934" max="2934" width="11.5703125" style="1"/>
    <col min="2935" max="2965" width="11.5703125" style="1" bestFit="1" customWidth="1"/>
    <col min="2966" max="2966" width="11.5703125" style="1"/>
    <col min="2967" max="2997" width="11.5703125" style="1" bestFit="1" customWidth="1"/>
    <col min="2998" max="2998" width="11.5703125" style="1"/>
    <col min="2999" max="3029" width="11.5703125" style="1" bestFit="1" customWidth="1"/>
    <col min="3030" max="3030" width="11.5703125" style="1"/>
    <col min="3031" max="3061" width="11.5703125" style="1" bestFit="1" customWidth="1"/>
    <col min="3062" max="3062" width="11.5703125" style="1"/>
    <col min="3063" max="3093" width="11.5703125" style="1" bestFit="1" customWidth="1"/>
    <col min="3094" max="3094" width="11.5703125" style="1"/>
    <col min="3095" max="3125" width="11.5703125" style="1" bestFit="1" customWidth="1"/>
    <col min="3126" max="3126" width="11.5703125" style="1"/>
    <col min="3127" max="3157" width="11.5703125" style="1" bestFit="1" customWidth="1"/>
    <col min="3158" max="3158" width="11.5703125" style="1"/>
    <col min="3159" max="3189" width="11.5703125" style="1" bestFit="1" customWidth="1"/>
    <col min="3190" max="3190" width="11.5703125" style="1"/>
    <col min="3191" max="3221" width="11.5703125" style="1" bestFit="1" customWidth="1"/>
    <col min="3222" max="3222" width="11.5703125" style="1"/>
    <col min="3223" max="3253" width="11.5703125" style="1" bestFit="1" customWidth="1"/>
    <col min="3254" max="3254" width="11.5703125" style="1"/>
    <col min="3255" max="3285" width="11.5703125" style="1" bestFit="1" customWidth="1"/>
    <col min="3286" max="3286" width="11.5703125" style="1"/>
    <col min="3287" max="3317" width="11.5703125" style="1" bestFit="1" customWidth="1"/>
    <col min="3318" max="3318" width="11.5703125" style="1"/>
    <col min="3319" max="3349" width="11.5703125" style="1" bestFit="1" customWidth="1"/>
    <col min="3350" max="3350" width="11.5703125" style="1"/>
    <col min="3351" max="3381" width="11.5703125" style="1" bestFit="1" customWidth="1"/>
    <col min="3382" max="3382" width="11.5703125" style="1"/>
    <col min="3383" max="3413" width="11.5703125" style="1" bestFit="1" customWidth="1"/>
    <col min="3414" max="3414" width="11.5703125" style="1"/>
    <col min="3415" max="3445" width="11.5703125" style="1" bestFit="1" customWidth="1"/>
    <col min="3446" max="3446" width="11.5703125" style="1"/>
    <col min="3447" max="3477" width="11.5703125" style="1" bestFit="1" customWidth="1"/>
    <col min="3478" max="3478" width="11.5703125" style="1"/>
    <col min="3479" max="3509" width="11.5703125" style="1" bestFit="1" customWidth="1"/>
    <col min="3510" max="3510" width="11.5703125" style="1"/>
    <col min="3511" max="3541" width="11.5703125" style="1" bestFit="1" customWidth="1"/>
    <col min="3542" max="3542" width="11.5703125" style="1"/>
    <col min="3543" max="3573" width="11.5703125" style="1" bestFit="1" customWidth="1"/>
    <col min="3574" max="3574" width="11.5703125" style="1"/>
    <col min="3575" max="3605" width="11.5703125" style="1" bestFit="1" customWidth="1"/>
    <col min="3606" max="3606" width="11.5703125" style="1"/>
    <col min="3607" max="3637" width="11.5703125" style="1" bestFit="1" customWidth="1"/>
    <col min="3638" max="3638" width="11.5703125" style="1"/>
    <col min="3639" max="3669" width="11.5703125" style="1" bestFit="1" customWidth="1"/>
    <col min="3670" max="3670" width="11.5703125" style="1"/>
    <col min="3671" max="3701" width="11.5703125" style="1" bestFit="1" customWidth="1"/>
    <col min="3702" max="3702" width="11.5703125" style="1"/>
    <col min="3703" max="3733" width="11.5703125" style="1" bestFit="1" customWidth="1"/>
    <col min="3734" max="3734" width="11.5703125" style="1"/>
    <col min="3735" max="3765" width="11.5703125" style="1" bestFit="1" customWidth="1"/>
    <col min="3766" max="3766" width="11.5703125" style="1"/>
    <col min="3767" max="3797" width="11.5703125" style="1" bestFit="1" customWidth="1"/>
    <col min="3798" max="3798" width="11.5703125" style="1"/>
    <col min="3799" max="3829" width="11.5703125" style="1" bestFit="1" customWidth="1"/>
    <col min="3830" max="3830" width="11.5703125" style="1"/>
    <col min="3831" max="3861" width="11.5703125" style="1" bestFit="1" customWidth="1"/>
    <col min="3862" max="3862" width="11.5703125" style="1"/>
    <col min="3863" max="3893" width="11.5703125" style="1" bestFit="1" customWidth="1"/>
    <col min="3894" max="3894" width="11.5703125" style="1"/>
    <col min="3895" max="3925" width="11.5703125" style="1" bestFit="1" customWidth="1"/>
    <col min="3926" max="3926" width="11.5703125" style="1"/>
    <col min="3927" max="3957" width="11.5703125" style="1" bestFit="1" customWidth="1"/>
    <col min="3958" max="3958" width="11.5703125" style="1"/>
    <col min="3959" max="3989" width="11.5703125" style="1" bestFit="1" customWidth="1"/>
    <col min="3990" max="3990" width="11.5703125" style="1"/>
    <col min="3991" max="4021" width="11.5703125" style="1" bestFit="1" customWidth="1"/>
    <col min="4022" max="4022" width="11.5703125" style="1"/>
    <col min="4023" max="4053" width="11.5703125" style="1" bestFit="1" customWidth="1"/>
    <col min="4054" max="4054" width="11.5703125" style="1"/>
    <col min="4055" max="4085" width="11.5703125" style="1" bestFit="1" customWidth="1"/>
    <col min="4086" max="4086" width="11.5703125" style="1"/>
    <col min="4087" max="4117" width="11.5703125" style="1" bestFit="1" customWidth="1"/>
    <col min="4118" max="4118" width="11.5703125" style="1"/>
    <col min="4119" max="4149" width="11.5703125" style="1" bestFit="1" customWidth="1"/>
    <col min="4150" max="4150" width="11.5703125" style="1"/>
    <col min="4151" max="4181" width="11.5703125" style="1" bestFit="1" customWidth="1"/>
    <col min="4182" max="4182" width="11.5703125" style="1"/>
    <col min="4183" max="4213" width="11.5703125" style="1" bestFit="1" customWidth="1"/>
    <col min="4214" max="4214" width="11.5703125" style="1"/>
    <col min="4215" max="4245" width="11.5703125" style="1" bestFit="1" customWidth="1"/>
    <col min="4246" max="4246" width="11.5703125" style="1"/>
    <col min="4247" max="4277" width="11.5703125" style="1" bestFit="1" customWidth="1"/>
    <col min="4278" max="4278" width="11.5703125" style="1"/>
    <col min="4279" max="4309" width="11.5703125" style="1" bestFit="1" customWidth="1"/>
    <col min="4310" max="4310" width="11.5703125" style="1"/>
    <col min="4311" max="4341" width="11.5703125" style="1" bestFit="1" customWidth="1"/>
    <col min="4342" max="4342" width="11.5703125" style="1"/>
    <col min="4343" max="4373" width="11.5703125" style="1" bestFit="1" customWidth="1"/>
    <col min="4374" max="4374" width="11.5703125" style="1"/>
    <col min="4375" max="4405" width="11.5703125" style="1" bestFit="1" customWidth="1"/>
    <col min="4406" max="4406" width="11.5703125" style="1"/>
    <col min="4407" max="4437" width="11.5703125" style="1" bestFit="1" customWidth="1"/>
    <col min="4438" max="4438" width="11.5703125" style="1"/>
    <col min="4439" max="4469" width="11.5703125" style="1" bestFit="1" customWidth="1"/>
    <col min="4470" max="4470" width="11.5703125" style="1"/>
    <col min="4471" max="4501" width="11.5703125" style="1" bestFit="1" customWidth="1"/>
    <col min="4502" max="4502" width="11.5703125" style="1"/>
    <col min="4503" max="4533" width="11.5703125" style="1" bestFit="1" customWidth="1"/>
    <col min="4534" max="4534" width="11.5703125" style="1"/>
    <col min="4535" max="4565" width="11.5703125" style="1" bestFit="1" customWidth="1"/>
    <col min="4566" max="4566" width="11.5703125" style="1"/>
    <col min="4567" max="4597" width="11.5703125" style="1" bestFit="1" customWidth="1"/>
    <col min="4598" max="4598" width="11.5703125" style="1"/>
    <col min="4599" max="4629" width="11.5703125" style="1" bestFit="1" customWidth="1"/>
    <col min="4630" max="4630" width="11.5703125" style="1"/>
    <col min="4631" max="4661" width="11.5703125" style="1" bestFit="1" customWidth="1"/>
    <col min="4662" max="4662" width="11.5703125" style="1"/>
    <col min="4663" max="4693" width="11.5703125" style="1" bestFit="1" customWidth="1"/>
    <col min="4694" max="4694" width="11.5703125" style="1"/>
    <col min="4695" max="4725" width="11.5703125" style="1" bestFit="1" customWidth="1"/>
    <col min="4726" max="4726" width="11.5703125" style="1"/>
    <col min="4727" max="4757" width="11.5703125" style="1" bestFit="1" customWidth="1"/>
    <col min="4758" max="4758" width="11.5703125" style="1"/>
    <col min="4759" max="4789" width="11.5703125" style="1" bestFit="1" customWidth="1"/>
    <col min="4790" max="4790" width="11.5703125" style="1"/>
    <col min="4791" max="4821" width="11.5703125" style="1" bestFit="1" customWidth="1"/>
    <col min="4822" max="4822" width="11.5703125" style="1"/>
    <col min="4823" max="4853" width="11.5703125" style="1" bestFit="1" customWidth="1"/>
    <col min="4854" max="4854" width="11.5703125" style="1"/>
    <col min="4855" max="4885" width="11.5703125" style="1" bestFit="1" customWidth="1"/>
    <col min="4886" max="4886" width="11.5703125" style="1"/>
    <col min="4887" max="4917" width="11.5703125" style="1" bestFit="1" customWidth="1"/>
    <col min="4918" max="4918" width="11.5703125" style="1"/>
    <col min="4919" max="4949" width="11.5703125" style="1" bestFit="1" customWidth="1"/>
    <col min="4950" max="4950" width="11.5703125" style="1"/>
    <col min="4951" max="4981" width="11.5703125" style="1" bestFit="1" customWidth="1"/>
    <col min="4982" max="4982" width="11.5703125" style="1"/>
    <col min="4983" max="5013" width="11.5703125" style="1" bestFit="1" customWidth="1"/>
    <col min="5014" max="5014" width="11.5703125" style="1"/>
    <col min="5015" max="5045" width="11.5703125" style="1" bestFit="1" customWidth="1"/>
    <col min="5046" max="5046" width="11.5703125" style="1"/>
    <col min="5047" max="5077" width="11.5703125" style="1" bestFit="1" customWidth="1"/>
    <col min="5078" max="5078" width="11.5703125" style="1"/>
    <col min="5079" max="5109" width="11.5703125" style="1" bestFit="1" customWidth="1"/>
    <col min="5110" max="5110" width="11.5703125" style="1"/>
    <col min="5111" max="5141" width="11.5703125" style="1" bestFit="1" customWidth="1"/>
    <col min="5142" max="5142" width="11.5703125" style="1"/>
    <col min="5143" max="5173" width="11.5703125" style="1" bestFit="1" customWidth="1"/>
    <col min="5174" max="5174" width="11.5703125" style="1"/>
    <col min="5175" max="5205" width="11.5703125" style="1" bestFit="1" customWidth="1"/>
    <col min="5206" max="5206" width="11.5703125" style="1"/>
    <col min="5207" max="5237" width="11.5703125" style="1" bestFit="1" customWidth="1"/>
    <col min="5238" max="5238" width="11.5703125" style="1"/>
    <col min="5239" max="5269" width="11.5703125" style="1" bestFit="1" customWidth="1"/>
    <col min="5270" max="5270" width="11.5703125" style="1"/>
    <col min="5271" max="5301" width="11.5703125" style="1" bestFit="1" customWidth="1"/>
    <col min="5302" max="5302" width="11.5703125" style="1"/>
    <col min="5303" max="5333" width="11.5703125" style="1" bestFit="1" customWidth="1"/>
    <col min="5334" max="5334" width="11.5703125" style="1"/>
    <col min="5335" max="5365" width="11.5703125" style="1" bestFit="1" customWidth="1"/>
    <col min="5366" max="5366" width="11.5703125" style="1"/>
    <col min="5367" max="5397" width="11.5703125" style="1" bestFit="1" customWidth="1"/>
    <col min="5398" max="5398" width="11.5703125" style="1"/>
    <col min="5399" max="5429" width="11.5703125" style="1" bestFit="1" customWidth="1"/>
    <col min="5430" max="5430" width="11.5703125" style="1"/>
    <col min="5431" max="5461" width="11.5703125" style="1" bestFit="1" customWidth="1"/>
    <col min="5462" max="5462" width="11.5703125" style="1"/>
    <col min="5463" max="5493" width="11.5703125" style="1" bestFit="1" customWidth="1"/>
    <col min="5494" max="5494" width="11.5703125" style="1"/>
    <col min="5495" max="5525" width="11.5703125" style="1" bestFit="1" customWidth="1"/>
    <col min="5526" max="5526" width="11.5703125" style="1"/>
    <col min="5527" max="5557" width="11.5703125" style="1" bestFit="1" customWidth="1"/>
    <col min="5558" max="5558" width="11.5703125" style="1"/>
    <col min="5559" max="5589" width="11.5703125" style="1" bestFit="1" customWidth="1"/>
    <col min="5590" max="5590" width="11.5703125" style="1"/>
    <col min="5591" max="5621" width="11.5703125" style="1" bestFit="1" customWidth="1"/>
    <col min="5622" max="5622" width="11.5703125" style="1"/>
    <col min="5623" max="5653" width="11.5703125" style="1" bestFit="1" customWidth="1"/>
    <col min="5654" max="5654" width="11.5703125" style="1"/>
    <col min="5655" max="5685" width="11.5703125" style="1" bestFit="1" customWidth="1"/>
    <col min="5686" max="5686" width="11.5703125" style="1"/>
    <col min="5687" max="5717" width="11.5703125" style="1" bestFit="1" customWidth="1"/>
    <col min="5718" max="5718" width="11.5703125" style="1"/>
    <col min="5719" max="5749" width="11.5703125" style="1" bestFit="1" customWidth="1"/>
    <col min="5750" max="5750" width="11.5703125" style="1"/>
    <col min="5751" max="5781" width="11.5703125" style="1" bestFit="1" customWidth="1"/>
    <col min="5782" max="5782" width="11.5703125" style="1"/>
    <col min="5783" max="5813" width="11.5703125" style="1" bestFit="1" customWidth="1"/>
    <col min="5814" max="5814" width="11.5703125" style="1"/>
    <col min="5815" max="5845" width="11.5703125" style="1" bestFit="1" customWidth="1"/>
    <col min="5846" max="5846" width="11.5703125" style="1"/>
    <col min="5847" max="5877" width="11.5703125" style="1" bestFit="1" customWidth="1"/>
    <col min="5878" max="5878" width="11.5703125" style="1"/>
    <col min="5879" max="5909" width="11.5703125" style="1" bestFit="1" customWidth="1"/>
    <col min="5910" max="5910" width="11.5703125" style="1"/>
    <col min="5911" max="5941" width="11.5703125" style="1" bestFit="1" customWidth="1"/>
    <col min="5942" max="5942" width="11.5703125" style="1"/>
    <col min="5943" max="5973" width="11.5703125" style="1" bestFit="1" customWidth="1"/>
    <col min="5974" max="5974" width="11.5703125" style="1"/>
    <col min="5975" max="6005" width="11.5703125" style="1" bestFit="1" customWidth="1"/>
    <col min="6006" max="6006" width="11.5703125" style="1"/>
    <col min="6007" max="6037" width="11.5703125" style="1" bestFit="1" customWidth="1"/>
    <col min="6038" max="6038" width="11.5703125" style="1"/>
    <col min="6039" max="6069" width="11.5703125" style="1" bestFit="1" customWidth="1"/>
    <col min="6070" max="6070" width="11.5703125" style="1"/>
    <col min="6071" max="6101" width="11.5703125" style="1" bestFit="1" customWidth="1"/>
    <col min="6102" max="6102" width="11.5703125" style="1"/>
    <col min="6103" max="6133" width="11.5703125" style="1" bestFit="1" customWidth="1"/>
    <col min="6134" max="6134" width="11.5703125" style="1"/>
    <col min="6135" max="6165" width="11.5703125" style="1" bestFit="1" customWidth="1"/>
    <col min="6166" max="6166" width="11.5703125" style="1"/>
    <col min="6167" max="6197" width="11.5703125" style="1" bestFit="1" customWidth="1"/>
    <col min="6198" max="6198" width="11.5703125" style="1"/>
    <col min="6199" max="6229" width="11.5703125" style="1" bestFit="1" customWidth="1"/>
    <col min="6230" max="6230" width="11.5703125" style="1"/>
    <col min="6231" max="6261" width="11.5703125" style="1" bestFit="1" customWidth="1"/>
    <col min="6262" max="6262" width="11.5703125" style="1"/>
    <col min="6263" max="6293" width="11.5703125" style="1" bestFit="1" customWidth="1"/>
    <col min="6294" max="6294" width="11.5703125" style="1"/>
    <col min="6295" max="6325" width="11.5703125" style="1" bestFit="1" customWidth="1"/>
    <col min="6326" max="6326" width="11.5703125" style="1"/>
    <col min="6327" max="6357" width="11.5703125" style="1" bestFit="1" customWidth="1"/>
    <col min="6358" max="6358" width="11.5703125" style="1"/>
    <col min="6359" max="6389" width="11.5703125" style="1" bestFit="1" customWidth="1"/>
    <col min="6390" max="6390" width="11.5703125" style="1"/>
    <col min="6391" max="6421" width="11.5703125" style="1" bestFit="1" customWidth="1"/>
    <col min="6422" max="6422" width="11.5703125" style="1"/>
    <col min="6423" max="6453" width="11.5703125" style="1" bestFit="1" customWidth="1"/>
    <col min="6454" max="6454" width="11.5703125" style="1"/>
    <col min="6455" max="6485" width="11.5703125" style="1" bestFit="1" customWidth="1"/>
    <col min="6486" max="6486" width="11.5703125" style="1"/>
    <col min="6487" max="6517" width="11.5703125" style="1" bestFit="1" customWidth="1"/>
    <col min="6518" max="6518" width="11.5703125" style="1"/>
    <col min="6519" max="6549" width="11.5703125" style="1" bestFit="1" customWidth="1"/>
    <col min="6550" max="6550" width="11.5703125" style="1"/>
    <col min="6551" max="6581" width="11.5703125" style="1" bestFit="1" customWidth="1"/>
    <col min="6582" max="6582" width="11.5703125" style="1"/>
    <col min="6583" max="6613" width="11.5703125" style="1" bestFit="1" customWidth="1"/>
    <col min="6614" max="6614" width="11.5703125" style="1"/>
    <col min="6615" max="6645" width="11.5703125" style="1" bestFit="1" customWidth="1"/>
    <col min="6646" max="6646" width="11.5703125" style="1"/>
    <col min="6647" max="6677" width="11.5703125" style="1" bestFit="1" customWidth="1"/>
    <col min="6678" max="6678" width="11.5703125" style="1"/>
    <col min="6679" max="6709" width="11.5703125" style="1" bestFit="1" customWidth="1"/>
    <col min="6710" max="6710" width="11.5703125" style="1"/>
    <col min="6711" max="6741" width="11.5703125" style="1" bestFit="1" customWidth="1"/>
    <col min="6742" max="6742" width="11.5703125" style="1"/>
    <col min="6743" max="6773" width="11.5703125" style="1" bestFit="1" customWidth="1"/>
    <col min="6774" max="6774" width="11.5703125" style="1"/>
    <col min="6775" max="6805" width="11.5703125" style="1" bestFit="1" customWidth="1"/>
    <col min="6806" max="6806" width="11.5703125" style="1"/>
    <col min="6807" max="6837" width="11.5703125" style="1" bestFit="1" customWidth="1"/>
    <col min="6838" max="6838" width="11.5703125" style="1"/>
    <col min="6839" max="6869" width="11.5703125" style="1" bestFit="1" customWidth="1"/>
    <col min="6870" max="6870" width="11.5703125" style="1"/>
    <col min="6871" max="6901" width="11.5703125" style="1" bestFit="1" customWidth="1"/>
    <col min="6902" max="6902" width="11.5703125" style="1"/>
    <col min="6903" max="6933" width="11.5703125" style="1" bestFit="1" customWidth="1"/>
    <col min="6934" max="6934" width="11.5703125" style="1"/>
    <col min="6935" max="6965" width="11.5703125" style="1" bestFit="1" customWidth="1"/>
    <col min="6966" max="6966" width="11.5703125" style="1"/>
    <col min="6967" max="6997" width="11.5703125" style="1" bestFit="1" customWidth="1"/>
    <col min="6998" max="6998" width="11.5703125" style="1"/>
    <col min="6999" max="7029" width="11.5703125" style="1" bestFit="1" customWidth="1"/>
    <col min="7030" max="7030" width="11.5703125" style="1"/>
    <col min="7031" max="7061" width="11.5703125" style="1" bestFit="1" customWidth="1"/>
    <col min="7062" max="7062" width="11.5703125" style="1"/>
    <col min="7063" max="7093" width="11.5703125" style="1" bestFit="1" customWidth="1"/>
    <col min="7094" max="7094" width="11.5703125" style="1"/>
    <col min="7095" max="7125" width="11.5703125" style="1" bestFit="1" customWidth="1"/>
    <col min="7126" max="7126" width="11.5703125" style="1"/>
    <col min="7127" max="7157" width="11.5703125" style="1" bestFit="1" customWidth="1"/>
    <col min="7158" max="7158" width="11.5703125" style="1"/>
    <col min="7159" max="7189" width="11.5703125" style="1" bestFit="1" customWidth="1"/>
    <col min="7190" max="7190" width="11.5703125" style="1"/>
    <col min="7191" max="7221" width="11.5703125" style="1" bestFit="1" customWidth="1"/>
    <col min="7222" max="7222" width="11.5703125" style="1"/>
    <col min="7223" max="7253" width="11.5703125" style="1" bestFit="1" customWidth="1"/>
    <col min="7254" max="7254" width="11.5703125" style="1"/>
    <col min="7255" max="7285" width="11.5703125" style="1" bestFit="1" customWidth="1"/>
    <col min="7286" max="7286" width="11.5703125" style="1"/>
    <col min="7287" max="7317" width="11.5703125" style="1" bestFit="1" customWidth="1"/>
    <col min="7318" max="7318" width="11.5703125" style="1"/>
    <col min="7319" max="7349" width="11.5703125" style="1" bestFit="1" customWidth="1"/>
    <col min="7350" max="7350" width="11.5703125" style="1"/>
    <col min="7351" max="7381" width="11.5703125" style="1" bestFit="1" customWidth="1"/>
    <col min="7382" max="7382" width="11.5703125" style="1"/>
    <col min="7383" max="7413" width="11.5703125" style="1" bestFit="1" customWidth="1"/>
    <col min="7414" max="7414" width="11.5703125" style="1"/>
    <col min="7415" max="7445" width="11.5703125" style="1" bestFit="1" customWidth="1"/>
    <col min="7446" max="7446" width="11.5703125" style="1"/>
    <col min="7447" max="7477" width="11.5703125" style="1" bestFit="1" customWidth="1"/>
    <col min="7478" max="7478" width="11.5703125" style="1"/>
    <col min="7479" max="7509" width="11.5703125" style="1" bestFit="1" customWidth="1"/>
    <col min="7510" max="7510" width="11.5703125" style="1"/>
    <col min="7511" max="7541" width="11.5703125" style="1" bestFit="1" customWidth="1"/>
    <col min="7542" max="7542" width="11.5703125" style="1"/>
    <col min="7543" max="7573" width="11.5703125" style="1" bestFit="1" customWidth="1"/>
    <col min="7574" max="7574" width="11.5703125" style="1"/>
    <col min="7575" max="7605" width="11.5703125" style="1" bestFit="1" customWidth="1"/>
    <col min="7606" max="7606" width="11.5703125" style="1"/>
    <col min="7607" max="7637" width="11.5703125" style="1" bestFit="1" customWidth="1"/>
    <col min="7638" max="7638" width="11.5703125" style="1"/>
    <col min="7639" max="7669" width="11.5703125" style="1" bestFit="1" customWidth="1"/>
    <col min="7670" max="7670" width="11.5703125" style="1"/>
    <col min="7671" max="7701" width="11.5703125" style="1" bestFit="1" customWidth="1"/>
    <col min="7702" max="7702" width="11.5703125" style="1"/>
    <col min="7703" max="7733" width="11.5703125" style="1" bestFit="1" customWidth="1"/>
    <col min="7734" max="7734" width="11.5703125" style="1"/>
    <col min="7735" max="7765" width="11.5703125" style="1" bestFit="1" customWidth="1"/>
    <col min="7766" max="7766" width="11.5703125" style="1"/>
    <col min="7767" max="7797" width="11.5703125" style="1" bestFit="1" customWidth="1"/>
    <col min="7798" max="7798" width="11.5703125" style="1"/>
    <col min="7799" max="7829" width="11.5703125" style="1" bestFit="1" customWidth="1"/>
    <col min="7830" max="7830" width="11.5703125" style="1"/>
    <col min="7831" max="7861" width="11.5703125" style="1" bestFit="1" customWidth="1"/>
    <col min="7862" max="7862" width="11.5703125" style="1"/>
    <col min="7863" max="7893" width="11.5703125" style="1" bestFit="1" customWidth="1"/>
    <col min="7894" max="7894" width="11.5703125" style="1"/>
    <col min="7895" max="7925" width="11.5703125" style="1" bestFit="1" customWidth="1"/>
    <col min="7926" max="7926" width="11.5703125" style="1"/>
    <col min="7927" max="7957" width="11.5703125" style="1" bestFit="1" customWidth="1"/>
    <col min="7958" max="7958" width="11.5703125" style="1"/>
    <col min="7959" max="7989" width="11.5703125" style="1" bestFit="1" customWidth="1"/>
    <col min="7990" max="7990" width="11.5703125" style="1"/>
    <col min="7991" max="8021" width="11.5703125" style="1" bestFit="1" customWidth="1"/>
    <col min="8022" max="8022" width="11.5703125" style="1"/>
    <col min="8023" max="8053" width="11.5703125" style="1" bestFit="1" customWidth="1"/>
    <col min="8054" max="8054" width="11.5703125" style="1"/>
    <col min="8055" max="8085" width="11.5703125" style="1" bestFit="1" customWidth="1"/>
    <col min="8086" max="8086" width="11.5703125" style="1"/>
    <col min="8087" max="8117" width="11.5703125" style="1" bestFit="1" customWidth="1"/>
    <col min="8118" max="8118" width="11.5703125" style="1"/>
    <col min="8119" max="8149" width="11.5703125" style="1" bestFit="1" customWidth="1"/>
    <col min="8150" max="8150" width="11.5703125" style="1"/>
    <col min="8151" max="8181" width="11.5703125" style="1" bestFit="1" customWidth="1"/>
    <col min="8182" max="8182" width="11.5703125" style="1"/>
    <col min="8183" max="8213" width="11.5703125" style="1" bestFit="1" customWidth="1"/>
    <col min="8214" max="8214" width="11.5703125" style="1"/>
    <col min="8215" max="8245" width="11.5703125" style="1" bestFit="1" customWidth="1"/>
    <col min="8246" max="8246" width="11.5703125" style="1"/>
    <col min="8247" max="8277" width="11.5703125" style="1" bestFit="1" customWidth="1"/>
    <col min="8278" max="8278" width="11.5703125" style="1"/>
    <col min="8279" max="8309" width="11.5703125" style="1" bestFit="1" customWidth="1"/>
    <col min="8310" max="8310" width="11.5703125" style="1"/>
    <col min="8311" max="8341" width="11.5703125" style="1" bestFit="1" customWidth="1"/>
    <col min="8342" max="8342" width="11.5703125" style="1"/>
    <col min="8343" max="8373" width="11.5703125" style="1" bestFit="1" customWidth="1"/>
    <col min="8374" max="8374" width="11.5703125" style="1"/>
    <col min="8375" max="8405" width="11.5703125" style="1" bestFit="1" customWidth="1"/>
    <col min="8406" max="8406" width="11.5703125" style="1"/>
    <col min="8407" max="8437" width="11.5703125" style="1" bestFit="1" customWidth="1"/>
    <col min="8438" max="8438" width="11.5703125" style="1"/>
    <col min="8439" max="8469" width="11.5703125" style="1" bestFit="1" customWidth="1"/>
    <col min="8470" max="8470" width="11.5703125" style="1"/>
    <col min="8471" max="8501" width="11.5703125" style="1" bestFit="1" customWidth="1"/>
    <col min="8502" max="8502" width="11.5703125" style="1"/>
    <col min="8503" max="8533" width="11.5703125" style="1" bestFit="1" customWidth="1"/>
    <col min="8534" max="8534" width="11.5703125" style="1"/>
    <col min="8535" max="8565" width="11.5703125" style="1" bestFit="1" customWidth="1"/>
    <col min="8566" max="8566" width="11.5703125" style="1"/>
    <col min="8567" max="8597" width="11.5703125" style="1" bestFit="1" customWidth="1"/>
    <col min="8598" max="8598" width="11.5703125" style="1"/>
    <col min="8599" max="8629" width="11.5703125" style="1" bestFit="1" customWidth="1"/>
    <col min="8630" max="8630" width="11.5703125" style="1"/>
    <col min="8631" max="8661" width="11.5703125" style="1" bestFit="1" customWidth="1"/>
    <col min="8662" max="8662" width="11.5703125" style="1"/>
    <col min="8663" max="8693" width="11.5703125" style="1" bestFit="1" customWidth="1"/>
    <col min="8694" max="8694" width="11.5703125" style="1"/>
    <col min="8695" max="8725" width="11.5703125" style="1" bestFit="1" customWidth="1"/>
    <col min="8726" max="8726" width="11.5703125" style="1"/>
    <col min="8727" max="8757" width="11.5703125" style="1" bestFit="1" customWidth="1"/>
    <col min="8758" max="8758" width="11.5703125" style="1"/>
    <col min="8759" max="8789" width="11.5703125" style="1" bestFit="1" customWidth="1"/>
    <col min="8790" max="8790" width="11.5703125" style="1"/>
    <col min="8791" max="8821" width="11.5703125" style="1" bestFit="1" customWidth="1"/>
    <col min="8822" max="8822" width="11.5703125" style="1"/>
    <col min="8823" max="8853" width="11.5703125" style="1" bestFit="1" customWidth="1"/>
    <col min="8854" max="8854" width="11.5703125" style="1"/>
    <col min="8855" max="8885" width="11.5703125" style="1" bestFit="1" customWidth="1"/>
    <col min="8886" max="8886" width="11.5703125" style="1"/>
    <col min="8887" max="8917" width="11.5703125" style="1" bestFit="1" customWidth="1"/>
    <col min="8918" max="8918" width="11.5703125" style="1"/>
    <col min="8919" max="8949" width="11.5703125" style="1" bestFit="1" customWidth="1"/>
    <col min="8950" max="8950" width="11.5703125" style="1"/>
    <col min="8951" max="8981" width="11.5703125" style="1" bestFit="1" customWidth="1"/>
    <col min="8982" max="8982" width="11.5703125" style="1"/>
    <col min="8983" max="9013" width="11.5703125" style="1" bestFit="1" customWidth="1"/>
    <col min="9014" max="9014" width="11.5703125" style="1"/>
    <col min="9015" max="9045" width="11.5703125" style="1" bestFit="1" customWidth="1"/>
    <col min="9046" max="9046" width="11.5703125" style="1"/>
    <col min="9047" max="9077" width="11.5703125" style="1" bestFit="1" customWidth="1"/>
    <col min="9078" max="9078" width="11.5703125" style="1"/>
    <col min="9079" max="9109" width="11.5703125" style="1" bestFit="1" customWidth="1"/>
    <col min="9110" max="9110" width="11.5703125" style="1"/>
    <col min="9111" max="9141" width="11.5703125" style="1" bestFit="1" customWidth="1"/>
    <col min="9142" max="9142" width="11.5703125" style="1"/>
    <col min="9143" max="9173" width="11.5703125" style="1" bestFit="1" customWidth="1"/>
    <col min="9174" max="9174" width="11.5703125" style="1"/>
    <col min="9175" max="9205" width="11.5703125" style="1" bestFit="1" customWidth="1"/>
    <col min="9206" max="9206" width="11.5703125" style="1"/>
    <col min="9207" max="9237" width="11.5703125" style="1" bestFit="1" customWidth="1"/>
    <col min="9238" max="9238" width="11.5703125" style="1"/>
    <col min="9239" max="9269" width="11.5703125" style="1" bestFit="1" customWidth="1"/>
    <col min="9270" max="9270" width="11.5703125" style="1"/>
    <col min="9271" max="9301" width="11.5703125" style="1" bestFit="1" customWidth="1"/>
    <col min="9302" max="9302" width="11.5703125" style="1"/>
    <col min="9303" max="9333" width="11.5703125" style="1" bestFit="1" customWidth="1"/>
    <col min="9334" max="9334" width="11.5703125" style="1"/>
    <col min="9335" max="9365" width="11.5703125" style="1" bestFit="1" customWidth="1"/>
    <col min="9366" max="9366" width="11.5703125" style="1"/>
    <col min="9367" max="9397" width="11.5703125" style="1" bestFit="1" customWidth="1"/>
    <col min="9398" max="9398" width="11.5703125" style="1"/>
    <col min="9399" max="9429" width="11.5703125" style="1" bestFit="1" customWidth="1"/>
    <col min="9430" max="9430" width="11.5703125" style="1"/>
    <col min="9431" max="9461" width="11.5703125" style="1" bestFit="1" customWidth="1"/>
    <col min="9462" max="9462" width="11.5703125" style="1"/>
    <col min="9463" max="9493" width="11.5703125" style="1" bestFit="1" customWidth="1"/>
    <col min="9494" max="9494" width="11.5703125" style="1"/>
    <col min="9495" max="9525" width="11.5703125" style="1" bestFit="1" customWidth="1"/>
    <col min="9526" max="9526" width="11.5703125" style="1"/>
    <col min="9527" max="9557" width="11.5703125" style="1" bestFit="1" customWidth="1"/>
    <col min="9558" max="9558" width="11.5703125" style="1"/>
    <col min="9559" max="9589" width="11.5703125" style="1" bestFit="1" customWidth="1"/>
    <col min="9590" max="9590" width="11.5703125" style="1"/>
    <col min="9591" max="9621" width="11.5703125" style="1" bestFit="1" customWidth="1"/>
    <col min="9622" max="9622" width="11.5703125" style="1"/>
    <col min="9623" max="9653" width="11.5703125" style="1" bestFit="1" customWidth="1"/>
    <col min="9654" max="9654" width="11.5703125" style="1"/>
    <col min="9655" max="9685" width="11.5703125" style="1" bestFit="1" customWidth="1"/>
    <col min="9686" max="9686" width="11.5703125" style="1"/>
    <col min="9687" max="9717" width="11.5703125" style="1" bestFit="1" customWidth="1"/>
    <col min="9718" max="9718" width="11.5703125" style="1"/>
    <col min="9719" max="9749" width="11.5703125" style="1" bestFit="1" customWidth="1"/>
    <col min="9750" max="9750" width="11.5703125" style="1"/>
    <col min="9751" max="9781" width="11.5703125" style="1" bestFit="1" customWidth="1"/>
    <col min="9782" max="9782" width="11.5703125" style="1"/>
    <col min="9783" max="9813" width="11.5703125" style="1" bestFit="1" customWidth="1"/>
    <col min="9814" max="9814" width="11.5703125" style="1"/>
    <col min="9815" max="9845" width="11.5703125" style="1" bestFit="1" customWidth="1"/>
    <col min="9846" max="9846" width="11.5703125" style="1"/>
    <col min="9847" max="9877" width="11.5703125" style="1" bestFit="1" customWidth="1"/>
    <col min="9878" max="9878" width="11.5703125" style="1"/>
    <col min="9879" max="9909" width="11.5703125" style="1" bestFit="1" customWidth="1"/>
    <col min="9910" max="9910" width="11.5703125" style="1"/>
    <col min="9911" max="9941" width="11.5703125" style="1" bestFit="1" customWidth="1"/>
    <col min="9942" max="9942" width="11.5703125" style="1"/>
    <col min="9943" max="9973" width="11.5703125" style="1" bestFit="1" customWidth="1"/>
    <col min="9974" max="9974" width="11.5703125" style="1"/>
    <col min="9975" max="10005" width="11.5703125" style="1" bestFit="1" customWidth="1"/>
    <col min="10006" max="10006" width="11.5703125" style="1"/>
    <col min="10007" max="10037" width="11.5703125" style="1" bestFit="1" customWidth="1"/>
    <col min="10038" max="10038" width="11.5703125" style="1"/>
    <col min="10039" max="10069" width="11.5703125" style="1" bestFit="1" customWidth="1"/>
    <col min="10070" max="10070" width="11.5703125" style="1"/>
    <col min="10071" max="10101" width="11.5703125" style="1" bestFit="1" customWidth="1"/>
    <col min="10102" max="10102" width="11.5703125" style="1"/>
    <col min="10103" max="10133" width="11.5703125" style="1" bestFit="1" customWidth="1"/>
    <col min="10134" max="10134" width="11.5703125" style="1"/>
    <col min="10135" max="10165" width="11.5703125" style="1" bestFit="1" customWidth="1"/>
    <col min="10166" max="10166" width="11.5703125" style="1"/>
    <col min="10167" max="10197" width="11.5703125" style="1" bestFit="1" customWidth="1"/>
    <col min="10198" max="10198" width="11.5703125" style="1"/>
    <col min="10199" max="10229" width="11.5703125" style="1" bestFit="1" customWidth="1"/>
    <col min="10230" max="10230" width="11.5703125" style="1"/>
    <col min="10231" max="10261" width="11.5703125" style="1" bestFit="1" customWidth="1"/>
    <col min="10262" max="10262" width="11.5703125" style="1"/>
    <col min="10263" max="10293" width="11.5703125" style="1" bestFit="1" customWidth="1"/>
    <col min="10294" max="10294" width="11.5703125" style="1"/>
    <col min="10295" max="10325" width="11.5703125" style="1" bestFit="1" customWidth="1"/>
    <col min="10326" max="10326" width="11.5703125" style="1"/>
    <col min="10327" max="10357" width="11.5703125" style="1" bestFit="1" customWidth="1"/>
    <col min="10358" max="10358" width="11.5703125" style="1"/>
    <col min="10359" max="10389" width="11.5703125" style="1" bestFit="1" customWidth="1"/>
    <col min="10390" max="10390" width="11.5703125" style="1"/>
    <col min="10391" max="10421" width="11.5703125" style="1" bestFit="1" customWidth="1"/>
    <col min="10422" max="10422" width="11.5703125" style="1"/>
    <col min="10423" max="10453" width="11.5703125" style="1" bestFit="1" customWidth="1"/>
    <col min="10454" max="10454" width="11.5703125" style="1"/>
    <col min="10455" max="10485" width="11.5703125" style="1" bestFit="1" customWidth="1"/>
    <col min="10486" max="10486" width="11.5703125" style="1"/>
    <col min="10487" max="10517" width="11.5703125" style="1" bestFit="1" customWidth="1"/>
    <col min="10518" max="10518" width="11.5703125" style="1"/>
    <col min="10519" max="10549" width="11.5703125" style="1" bestFit="1" customWidth="1"/>
    <col min="10550" max="10550" width="11.5703125" style="1"/>
    <col min="10551" max="10581" width="11.5703125" style="1" bestFit="1" customWidth="1"/>
    <col min="10582" max="10582" width="11.5703125" style="1"/>
    <col min="10583" max="10613" width="11.5703125" style="1" bestFit="1" customWidth="1"/>
    <col min="10614" max="10614" width="11.5703125" style="1"/>
    <col min="10615" max="10645" width="11.5703125" style="1" bestFit="1" customWidth="1"/>
    <col min="10646" max="10646" width="11.5703125" style="1"/>
    <col min="10647" max="10677" width="11.5703125" style="1" bestFit="1" customWidth="1"/>
    <col min="10678" max="10678" width="11.5703125" style="1"/>
    <col min="10679" max="10709" width="11.5703125" style="1" bestFit="1" customWidth="1"/>
    <col min="10710" max="10710" width="11.5703125" style="1"/>
    <col min="10711" max="10741" width="11.5703125" style="1" bestFit="1" customWidth="1"/>
    <col min="10742" max="10742" width="11.5703125" style="1"/>
    <col min="10743" max="10773" width="11.5703125" style="1" bestFit="1" customWidth="1"/>
    <col min="10774" max="10774" width="11.5703125" style="1"/>
    <col min="10775" max="10805" width="11.5703125" style="1" bestFit="1" customWidth="1"/>
    <col min="10806" max="10806" width="11.5703125" style="1"/>
    <col min="10807" max="10837" width="11.5703125" style="1" bestFit="1" customWidth="1"/>
    <col min="10838" max="10838" width="11.5703125" style="1"/>
    <col min="10839" max="10869" width="11.5703125" style="1" bestFit="1" customWidth="1"/>
    <col min="10870" max="10870" width="11.5703125" style="1"/>
    <col min="10871" max="10901" width="11.5703125" style="1" bestFit="1" customWidth="1"/>
    <col min="10902" max="10902" width="11.5703125" style="1"/>
    <col min="10903" max="10933" width="11.5703125" style="1" bestFit="1" customWidth="1"/>
    <col min="10934" max="10934" width="11.5703125" style="1"/>
    <col min="10935" max="10965" width="11.5703125" style="1" bestFit="1" customWidth="1"/>
    <col min="10966" max="10966" width="11.5703125" style="1"/>
    <col min="10967" max="10997" width="11.5703125" style="1" bestFit="1" customWidth="1"/>
    <col min="10998" max="10998" width="11.5703125" style="1"/>
    <col min="10999" max="11029" width="11.5703125" style="1" bestFit="1" customWidth="1"/>
    <col min="11030" max="11030" width="11.5703125" style="1"/>
    <col min="11031" max="11061" width="11.5703125" style="1" bestFit="1" customWidth="1"/>
    <col min="11062" max="11062" width="11.5703125" style="1"/>
    <col min="11063" max="11093" width="11.5703125" style="1" bestFit="1" customWidth="1"/>
    <col min="11094" max="11094" width="11.5703125" style="1"/>
    <col min="11095" max="11125" width="11.5703125" style="1" bestFit="1" customWidth="1"/>
    <col min="11126" max="11126" width="11.5703125" style="1"/>
    <col min="11127" max="11157" width="11.5703125" style="1" bestFit="1" customWidth="1"/>
    <col min="11158" max="11158" width="11.5703125" style="1"/>
    <col min="11159" max="11189" width="11.5703125" style="1" bestFit="1" customWidth="1"/>
    <col min="11190" max="11190" width="11.5703125" style="1"/>
    <col min="11191" max="11221" width="11.5703125" style="1" bestFit="1" customWidth="1"/>
    <col min="11222" max="11222" width="11.5703125" style="1"/>
    <col min="11223" max="11253" width="11.5703125" style="1" bestFit="1" customWidth="1"/>
    <col min="11254" max="11254" width="11.5703125" style="1"/>
    <col min="11255" max="11285" width="11.5703125" style="1" bestFit="1" customWidth="1"/>
    <col min="11286" max="11286" width="11.5703125" style="1"/>
    <col min="11287" max="11317" width="11.5703125" style="1" bestFit="1" customWidth="1"/>
    <col min="11318" max="11318" width="11.5703125" style="1"/>
    <col min="11319" max="11349" width="11.5703125" style="1" bestFit="1" customWidth="1"/>
    <col min="11350" max="11350" width="11.5703125" style="1"/>
    <col min="11351" max="11381" width="11.5703125" style="1" bestFit="1" customWidth="1"/>
    <col min="11382" max="11382" width="11.5703125" style="1"/>
    <col min="11383" max="11413" width="11.5703125" style="1" bestFit="1" customWidth="1"/>
    <col min="11414" max="11414" width="11.5703125" style="1"/>
    <col min="11415" max="11445" width="11.5703125" style="1" bestFit="1" customWidth="1"/>
    <col min="11446" max="11446" width="11.5703125" style="1"/>
    <col min="11447" max="11477" width="11.5703125" style="1" bestFit="1" customWidth="1"/>
    <col min="11478" max="11478" width="11.5703125" style="1"/>
    <col min="11479" max="11509" width="11.5703125" style="1" bestFit="1" customWidth="1"/>
    <col min="11510" max="11510" width="11.5703125" style="1"/>
    <col min="11511" max="11541" width="11.5703125" style="1" bestFit="1" customWidth="1"/>
    <col min="11542" max="11542" width="11.5703125" style="1"/>
    <col min="11543" max="11573" width="11.5703125" style="1" bestFit="1" customWidth="1"/>
    <col min="11574" max="11574" width="11.5703125" style="1"/>
    <col min="11575" max="11605" width="11.5703125" style="1" bestFit="1" customWidth="1"/>
    <col min="11606" max="11606" width="11.5703125" style="1"/>
    <col min="11607" max="11637" width="11.5703125" style="1" bestFit="1" customWidth="1"/>
    <col min="11638" max="11638" width="11.5703125" style="1"/>
    <col min="11639" max="11669" width="11.5703125" style="1" bestFit="1" customWidth="1"/>
    <col min="11670" max="11670" width="11.5703125" style="1"/>
    <col min="11671" max="11701" width="11.5703125" style="1" bestFit="1" customWidth="1"/>
    <col min="11702" max="11702" width="11.5703125" style="1"/>
    <col min="11703" max="11733" width="11.5703125" style="1" bestFit="1" customWidth="1"/>
    <col min="11734" max="11734" width="11.5703125" style="1"/>
    <col min="11735" max="11765" width="11.5703125" style="1" bestFit="1" customWidth="1"/>
    <col min="11766" max="11766" width="11.5703125" style="1"/>
    <col min="11767" max="11797" width="11.5703125" style="1" bestFit="1" customWidth="1"/>
    <col min="11798" max="11798" width="11.5703125" style="1"/>
    <col min="11799" max="11829" width="11.5703125" style="1" bestFit="1" customWidth="1"/>
    <col min="11830" max="11830" width="11.5703125" style="1"/>
    <col min="11831" max="11861" width="11.5703125" style="1" bestFit="1" customWidth="1"/>
    <col min="11862" max="11862" width="11.5703125" style="1"/>
    <col min="11863" max="11893" width="11.5703125" style="1" bestFit="1" customWidth="1"/>
    <col min="11894" max="11894" width="11.5703125" style="1"/>
    <col min="11895" max="11925" width="11.5703125" style="1" bestFit="1" customWidth="1"/>
    <col min="11926" max="11926" width="11.5703125" style="1"/>
    <col min="11927" max="11957" width="11.5703125" style="1" bestFit="1" customWidth="1"/>
    <col min="11958" max="11958" width="11.5703125" style="1"/>
    <col min="11959" max="11989" width="11.5703125" style="1" bestFit="1" customWidth="1"/>
    <col min="11990" max="11990" width="11.5703125" style="1"/>
    <col min="11991" max="12021" width="11.5703125" style="1" bestFit="1" customWidth="1"/>
    <col min="12022" max="12022" width="11.5703125" style="1"/>
    <col min="12023" max="12053" width="11.5703125" style="1" bestFit="1" customWidth="1"/>
    <col min="12054" max="12054" width="11.5703125" style="1"/>
    <col min="12055" max="12085" width="11.5703125" style="1" bestFit="1" customWidth="1"/>
    <col min="12086" max="12086" width="11.5703125" style="1"/>
    <col min="12087" max="12117" width="11.5703125" style="1" bestFit="1" customWidth="1"/>
    <col min="12118" max="12118" width="11.5703125" style="1"/>
    <col min="12119" max="12149" width="11.5703125" style="1" bestFit="1" customWidth="1"/>
    <col min="12150" max="12150" width="11.5703125" style="1"/>
    <col min="12151" max="12181" width="11.5703125" style="1" bestFit="1" customWidth="1"/>
    <col min="12182" max="12182" width="11.5703125" style="1"/>
    <col min="12183" max="12213" width="11.5703125" style="1" bestFit="1" customWidth="1"/>
    <col min="12214" max="12214" width="11.5703125" style="1"/>
    <col min="12215" max="12245" width="11.5703125" style="1" bestFit="1" customWidth="1"/>
    <col min="12246" max="12246" width="11.5703125" style="1"/>
    <col min="12247" max="12277" width="11.5703125" style="1" bestFit="1" customWidth="1"/>
    <col min="12278" max="12278" width="11.5703125" style="1"/>
    <col min="12279" max="12309" width="11.5703125" style="1" bestFit="1" customWidth="1"/>
    <col min="12310" max="12310" width="11.5703125" style="1"/>
    <col min="12311" max="12341" width="11.5703125" style="1" bestFit="1" customWidth="1"/>
    <col min="12342" max="12342" width="11.5703125" style="1"/>
    <col min="12343" max="12373" width="11.5703125" style="1" bestFit="1" customWidth="1"/>
    <col min="12374" max="12374" width="11.5703125" style="1"/>
    <col min="12375" max="12405" width="11.5703125" style="1" bestFit="1" customWidth="1"/>
    <col min="12406" max="12406" width="11.5703125" style="1"/>
    <col min="12407" max="12437" width="11.5703125" style="1" bestFit="1" customWidth="1"/>
    <col min="12438" max="12438" width="11.5703125" style="1"/>
    <col min="12439" max="12469" width="11.5703125" style="1" bestFit="1" customWidth="1"/>
    <col min="12470" max="12470" width="11.5703125" style="1"/>
    <col min="12471" max="12501" width="11.5703125" style="1" bestFit="1" customWidth="1"/>
    <col min="12502" max="12502" width="11.5703125" style="1"/>
    <col min="12503" max="12533" width="11.5703125" style="1" bestFit="1" customWidth="1"/>
    <col min="12534" max="12534" width="11.5703125" style="1"/>
    <col min="12535" max="12565" width="11.5703125" style="1" bestFit="1" customWidth="1"/>
    <col min="12566" max="12566" width="11.5703125" style="1"/>
    <col min="12567" max="12597" width="11.5703125" style="1" bestFit="1" customWidth="1"/>
    <col min="12598" max="12598" width="11.5703125" style="1"/>
    <col min="12599" max="12629" width="11.5703125" style="1" bestFit="1" customWidth="1"/>
    <col min="12630" max="12630" width="11.5703125" style="1"/>
    <col min="12631" max="12661" width="11.5703125" style="1" bestFit="1" customWidth="1"/>
    <col min="12662" max="12662" width="11.5703125" style="1"/>
    <col min="12663" max="12693" width="11.5703125" style="1" bestFit="1" customWidth="1"/>
    <col min="12694" max="12694" width="11.5703125" style="1"/>
    <col min="12695" max="12725" width="11.5703125" style="1" bestFit="1" customWidth="1"/>
    <col min="12726" max="12726" width="11.5703125" style="1"/>
    <col min="12727" max="12757" width="11.5703125" style="1" bestFit="1" customWidth="1"/>
    <col min="12758" max="12758" width="11.5703125" style="1"/>
    <col min="12759" max="12789" width="11.5703125" style="1" bestFit="1" customWidth="1"/>
    <col min="12790" max="12790" width="11.5703125" style="1"/>
    <col min="12791" max="12821" width="11.5703125" style="1" bestFit="1" customWidth="1"/>
    <col min="12822" max="12822" width="11.5703125" style="1"/>
    <col min="12823" max="12853" width="11.5703125" style="1" bestFit="1" customWidth="1"/>
    <col min="12854" max="12854" width="11.5703125" style="1"/>
    <col min="12855" max="12885" width="11.5703125" style="1" bestFit="1" customWidth="1"/>
    <col min="12886" max="12886" width="11.5703125" style="1"/>
    <col min="12887" max="12917" width="11.5703125" style="1" bestFit="1" customWidth="1"/>
    <col min="12918" max="12918" width="11.5703125" style="1"/>
    <col min="12919" max="12949" width="11.5703125" style="1" bestFit="1" customWidth="1"/>
    <col min="12950" max="12950" width="11.5703125" style="1"/>
    <col min="12951" max="12981" width="11.5703125" style="1" bestFit="1" customWidth="1"/>
    <col min="12982" max="12982" width="11.5703125" style="1"/>
    <col min="12983" max="13013" width="11.5703125" style="1" bestFit="1" customWidth="1"/>
    <col min="13014" max="13014" width="11.5703125" style="1"/>
    <col min="13015" max="13045" width="11.5703125" style="1" bestFit="1" customWidth="1"/>
    <col min="13046" max="13046" width="11.5703125" style="1"/>
    <col min="13047" max="13077" width="11.5703125" style="1" bestFit="1" customWidth="1"/>
    <col min="13078" max="13078" width="11.5703125" style="1"/>
    <col min="13079" max="13109" width="11.5703125" style="1" bestFit="1" customWidth="1"/>
    <col min="13110" max="13110" width="11.5703125" style="1"/>
    <col min="13111" max="13141" width="11.5703125" style="1" bestFit="1" customWidth="1"/>
    <col min="13142" max="13142" width="11.5703125" style="1"/>
    <col min="13143" max="13173" width="11.5703125" style="1" bestFit="1" customWidth="1"/>
    <col min="13174" max="13174" width="11.5703125" style="1"/>
    <col min="13175" max="13205" width="11.5703125" style="1" bestFit="1" customWidth="1"/>
    <col min="13206" max="13206" width="11.5703125" style="1"/>
    <col min="13207" max="13237" width="11.5703125" style="1" bestFit="1" customWidth="1"/>
    <col min="13238" max="13238" width="11.5703125" style="1"/>
    <col min="13239" max="13269" width="11.5703125" style="1" bestFit="1" customWidth="1"/>
    <col min="13270" max="13270" width="11.5703125" style="1"/>
    <col min="13271" max="13301" width="11.5703125" style="1" bestFit="1" customWidth="1"/>
    <col min="13302" max="13302" width="11.5703125" style="1"/>
    <col min="13303" max="13333" width="11.5703125" style="1" bestFit="1" customWidth="1"/>
    <col min="13334" max="13334" width="11.5703125" style="1"/>
    <col min="13335" max="13365" width="11.5703125" style="1" bestFit="1" customWidth="1"/>
    <col min="13366" max="13366" width="11.5703125" style="1"/>
    <col min="13367" max="13397" width="11.5703125" style="1" bestFit="1" customWidth="1"/>
    <col min="13398" max="13398" width="11.5703125" style="1"/>
    <col min="13399" max="13429" width="11.5703125" style="1" bestFit="1" customWidth="1"/>
    <col min="13430" max="13430" width="11.5703125" style="1"/>
    <col min="13431" max="13461" width="11.5703125" style="1" bestFit="1" customWidth="1"/>
    <col min="13462" max="13462" width="11.5703125" style="1"/>
    <col min="13463" max="13493" width="11.5703125" style="1" bestFit="1" customWidth="1"/>
    <col min="13494" max="13494" width="11.5703125" style="1"/>
    <col min="13495" max="13525" width="11.5703125" style="1" bestFit="1" customWidth="1"/>
    <col min="13526" max="13526" width="11.5703125" style="1"/>
    <col min="13527" max="13557" width="11.5703125" style="1" bestFit="1" customWidth="1"/>
    <col min="13558" max="13558" width="11.5703125" style="1"/>
    <col min="13559" max="13589" width="11.5703125" style="1" bestFit="1" customWidth="1"/>
    <col min="13590" max="13590" width="11.5703125" style="1"/>
    <col min="13591" max="13621" width="11.5703125" style="1" bestFit="1" customWidth="1"/>
    <col min="13622" max="13622" width="11.5703125" style="1"/>
    <col min="13623" max="13653" width="11.5703125" style="1" bestFit="1" customWidth="1"/>
    <col min="13654" max="13654" width="11.5703125" style="1"/>
    <col min="13655" max="13685" width="11.5703125" style="1" bestFit="1" customWidth="1"/>
    <col min="13686" max="13686" width="11.5703125" style="1"/>
    <col min="13687" max="13717" width="11.5703125" style="1" bestFit="1" customWidth="1"/>
    <col min="13718" max="13718" width="11.5703125" style="1"/>
    <col min="13719" max="13749" width="11.5703125" style="1" bestFit="1" customWidth="1"/>
    <col min="13750" max="13750" width="11.5703125" style="1"/>
    <col min="13751" max="13781" width="11.5703125" style="1" bestFit="1" customWidth="1"/>
    <col min="13782" max="13782" width="11.5703125" style="1"/>
    <col min="13783" max="13813" width="11.5703125" style="1" bestFit="1" customWidth="1"/>
    <col min="13814" max="13814" width="11.5703125" style="1"/>
    <col min="13815" max="13845" width="11.5703125" style="1" bestFit="1" customWidth="1"/>
    <col min="13846" max="13846" width="11.5703125" style="1"/>
    <col min="13847" max="13877" width="11.5703125" style="1" bestFit="1" customWidth="1"/>
    <col min="13878" max="13878" width="11.5703125" style="1"/>
    <col min="13879" max="13909" width="11.5703125" style="1" bestFit="1" customWidth="1"/>
    <col min="13910" max="13910" width="11.5703125" style="1"/>
    <col min="13911" max="13941" width="11.5703125" style="1" bestFit="1" customWidth="1"/>
    <col min="13942" max="13942" width="11.5703125" style="1"/>
    <col min="13943" max="13973" width="11.5703125" style="1" bestFit="1" customWidth="1"/>
    <col min="13974" max="13974" width="11.5703125" style="1"/>
    <col min="13975" max="14005" width="11.5703125" style="1" bestFit="1" customWidth="1"/>
    <col min="14006" max="14006" width="11.5703125" style="1"/>
    <col min="14007" max="14037" width="11.5703125" style="1" bestFit="1" customWidth="1"/>
    <col min="14038" max="14038" width="11.5703125" style="1"/>
    <col min="14039" max="14069" width="11.5703125" style="1" bestFit="1" customWidth="1"/>
    <col min="14070" max="14070" width="11.5703125" style="1"/>
    <col min="14071" max="14101" width="11.5703125" style="1" bestFit="1" customWidth="1"/>
    <col min="14102" max="14102" width="11.5703125" style="1"/>
    <col min="14103" max="14133" width="11.5703125" style="1" bestFit="1" customWidth="1"/>
    <col min="14134" max="14134" width="11.5703125" style="1"/>
    <col min="14135" max="14165" width="11.5703125" style="1" bestFit="1" customWidth="1"/>
    <col min="14166" max="14166" width="11.5703125" style="1"/>
    <col min="14167" max="14197" width="11.5703125" style="1" bestFit="1" customWidth="1"/>
    <col min="14198" max="14198" width="11.5703125" style="1"/>
    <col min="14199" max="14229" width="11.5703125" style="1" bestFit="1" customWidth="1"/>
    <col min="14230" max="14230" width="11.5703125" style="1"/>
    <col min="14231" max="14261" width="11.5703125" style="1" bestFit="1" customWidth="1"/>
    <col min="14262" max="14262" width="11.5703125" style="1"/>
    <col min="14263" max="14293" width="11.5703125" style="1" bestFit="1" customWidth="1"/>
    <col min="14294" max="14294" width="11.5703125" style="1"/>
    <col min="14295" max="14325" width="11.5703125" style="1" bestFit="1" customWidth="1"/>
    <col min="14326" max="14326" width="11.5703125" style="1"/>
    <col min="14327" max="14357" width="11.5703125" style="1" bestFit="1" customWidth="1"/>
    <col min="14358" max="14358" width="11.5703125" style="1"/>
    <col min="14359" max="14389" width="11.5703125" style="1" bestFit="1" customWidth="1"/>
    <col min="14390" max="14390" width="11.5703125" style="1"/>
    <col min="14391" max="14421" width="11.5703125" style="1" bestFit="1" customWidth="1"/>
    <col min="14422" max="14422" width="11.5703125" style="1"/>
    <col min="14423" max="14453" width="11.5703125" style="1" bestFit="1" customWidth="1"/>
    <col min="14454" max="14454" width="11.5703125" style="1"/>
    <col min="14455" max="14485" width="11.5703125" style="1" bestFit="1" customWidth="1"/>
    <col min="14486" max="14486" width="11.5703125" style="1"/>
    <col min="14487" max="14517" width="11.5703125" style="1" bestFit="1" customWidth="1"/>
    <col min="14518" max="14518" width="11.5703125" style="1"/>
    <col min="14519" max="14549" width="11.5703125" style="1" bestFit="1" customWidth="1"/>
    <col min="14550" max="14550" width="11.5703125" style="1"/>
    <col min="14551" max="14581" width="11.5703125" style="1" bestFit="1" customWidth="1"/>
    <col min="14582" max="14582" width="11.5703125" style="1"/>
    <col min="14583" max="14613" width="11.5703125" style="1" bestFit="1" customWidth="1"/>
    <col min="14614" max="14614" width="11.5703125" style="1"/>
    <col min="14615" max="14645" width="11.5703125" style="1" bestFit="1" customWidth="1"/>
    <col min="14646" max="14646" width="11.5703125" style="1"/>
    <col min="14647" max="14677" width="11.5703125" style="1" bestFit="1" customWidth="1"/>
    <col min="14678" max="14678" width="11.5703125" style="1"/>
    <col min="14679" max="14709" width="11.5703125" style="1" bestFit="1" customWidth="1"/>
    <col min="14710" max="14710" width="11.5703125" style="1"/>
    <col min="14711" max="14741" width="11.5703125" style="1" bestFit="1" customWidth="1"/>
    <col min="14742" max="14742" width="11.5703125" style="1"/>
    <col min="14743" max="14773" width="11.5703125" style="1" bestFit="1" customWidth="1"/>
    <col min="14774" max="14774" width="11.5703125" style="1"/>
    <col min="14775" max="14805" width="11.5703125" style="1" bestFit="1" customWidth="1"/>
    <col min="14806" max="14806" width="11.5703125" style="1"/>
    <col min="14807" max="14837" width="11.5703125" style="1" bestFit="1" customWidth="1"/>
    <col min="14838" max="14838" width="11.5703125" style="1"/>
    <col min="14839" max="14869" width="11.5703125" style="1" bestFit="1" customWidth="1"/>
    <col min="14870" max="14870" width="11.5703125" style="1"/>
    <col min="14871" max="14901" width="11.5703125" style="1" bestFit="1" customWidth="1"/>
    <col min="14902" max="14902" width="11.5703125" style="1"/>
    <col min="14903" max="14933" width="11.5703125" style="1" bestFit="1" customWidth="1"/>
    <col min="14934" max="14934" width="11.5703125" style="1"/>
    <col min="14935" max="14965" width="11.5703125" style="1" bestFit="1" customWidth="1"/>
    <col min="14966" max="14966" width="11.5703125" style="1"/>
    <col min="14967" max="14997" width="11.5703125" style="1" bestFit="1" customWidth="1"/>
    <col min="14998" max="14998" width="11.5703125" style="1"/>
    <col min="14999" max="15029" width="11.5703125" style="1" bestFit="1" customWidth="1"/>
    <col min="15030" max="15030" width="11.5703125" style="1"/>
    <col min="15031" max="15061" width="11.5703125" style="1" bestFit="1" customWidth="1"/>
    <col min="15062" max="15062" width="11.5703125" style="1"/>
    <col min="15063" max="15093" width="11.5703125" style="1" bestFit="1" customWidth="1"/>
    <col min="15094" max="15094" width="11.5703125" style="1"/>
    <col min="15095" max="15125" width="11.5703125" style="1" bestFit="1" customWidth="1"/>
    <col min="15126" max="15126" width="11.5703125" style="1"/>
    <col min="15127" max="15157" width="11.5703125" style="1" bestFit="1" customWidth="1"/>
    <col min="15158" max="15158" width="11.5703125" style="1"/>
    <col min="15159" max="15189" width="11.5703125" style="1" bestFit="1" customWidth="1"/>
    <col min="15190" max="15190" width="11.5703125" style="1"/>
    <col min="15191" max="15221" width="11.5703125" style="1" bestFit="1" customWidth="1"/>
    <col min="15222" max="15222" width="11.5703125" style="1"/>
    <col min="15223" max="15253" width="11.5703125" style="1" bestFit="1" customWidth="1"/>
    <col min="15254" max="15254" width="11.5703125" style="1"/>
    <col min="15255" max="15285" width="11.5703125" style="1" bestFit="1" customWidth="1"/>
    <col min="15286" max="15286" width="11.5703125" style="1"/>
    <col min="15287" max="15317" width="11.5703125" style="1" bestFit="1" customWidth="1"/>
    <col min="15318" max="15318" width="11.5703125" style="1"/>
    <col min="15319" max="15349" width="11.5703125" style="1" bestFit="1" customWidth="1"/>
    <col min="15350" max="15350" width="11.5703125" style="1"/>
    <col min="15351" max="15381" width="11.5703125" style="1" bestFit="1" customWidth="1"/>
    <col min="15382" max="15382" width="11.5703125" style="1"/>
    <col min="15383" max="15413" width="11.5703125" style="1" bestFit="1" customWidth="1"/>
    <col min="15414" max="15414" width="11.5703125" style="1"/>
    <col min="15415" max="15445" width="11.5703125" style="1" bestFit="1" customWidth="1"/>
    <col min="15446" max="15446" width="11.5703125" style="1"/>
    <col min="15447" max="15477" width="11.5703125" style="1" bestFit="1" customWidth="1"/>
    <col min="15478" max="15478" width="11.5703125" style="1"/>
    <col min="15479" max="15509" width="11.5703125" style="1" bestFit="1" customWidth="1"/>
    <col min="15510" max="15510" width="11.5703125" style="1"/>
    <col min="15511" max="15541" width="11.5703125" style="1" bestFit="1" customWidth="1"/>
    <col min="15542" max="15542" width="11.5703125" style="1"/>
    <col min="15543" max="15573" width="11.5703125" style="1" bestFit="1" customWidth="1"/>
    <col min="15574" max="15574" width="11.5703125" style="1"/>
    <col min="15575" max="15605" width="11.5703125" style="1" bestFit="1" customWidth="1"/>
    <col min="15606" max="15606" width="11.5703125" style="1"/>
    <col min="15607" max="15637" width="11.5703125" style="1" bestFit="1" customWidth="1"/>
    <col min="15638" max="15638" width="11.5703125" style="1"/>
    <col min="15639" max="15669" width="11.5703125" style="1" bestFit="1" customWidth="1"/>
    <col min="15670" max="15670" width="11.5703125" style="1"/>
    <col min="15671" max="15701" width="11.5703125" style="1" bestFit="1" customWidth="1"/>
    <col min="15702" max="15702" width="11.5703125" style="1"/>
    <col min="15703" max="15733" width="11.5703125" style="1" bestFit="1" customWidth="1"/>
    <col min="15734" max="15734" width="11.5703125" style="1"/>
    <col min="15735" max="15765" width="11.5703125" style="1" bestFit="1" customWidth="1"/>
    <col min="15766" max="15766" width="11.5703125" style="1"/>
    <col min="15767" max="15797" width="11.5703125" style="1" bestFit="1" customWidth="1"/>
    <col min="15798" max="15798" width="11.5703125" style="1"/>
    <col min="15799" max="15829" width="11.5703125" style="1" bestFit="1" customWidth="1"/>
    <col min="15830" max="15830" width="11.5703125" style="1"/>
    <col min="15831" max="15861" width="11.5703125" style="1" bestFit="1" customWidth="1"/>
    <col min="15862" max="15862" width="11.5703125" style="1"/>
    <col min="15863" max="15893" width="11.5703125" style="1" bestFit="1" customWidth="1"/>
    <col min="15894" max="15894" width="11.5703125" style="1"/>
    <col min="15895" max="15925" width="11.5703125" style="1" bestFit="1" customWidth="1"/>
    <col min="15926" max="15926" width="11.5703125" style="1"/>
    <col min="15927" max="15957" width="11.5703125" style="1" bestFit="1" customWidth="1"/>
    <col min="15958" max="15958" width="11.5703125" style="1"/>
    <col min="15959" max="15989" width="11.5703125" style="1" bestFit="1" customWidth="1"/>
    <col min="15990" max="15990" width="11.5703125" style="1"/>
    <col min="15991" max="16021" width="11.5703125" style="1" bestFit="1" customWidth="1"/>
    <col min="16022" max="16022" width="11.5703125" style="1"/>
    <col min="16023" max="16053" width="11.5703125" style="1" bestFit="1" customWidth="1"/>
    <col min="16054" max="16054" width="11.5703125" style="1"/>
    <col min="16055" max="16085" width="11.5703125" style="1" bestFit="1" customWidth="1"/>
    <col min="16086" max="16086" width="11.5703125" style="1"/>
    <col min="16087" max="16117" width="11.5703125" style="1" bestFit="1" customWidth="1"/>
    <col min="16118" max="16118" width="11.5703125" style="1"/>
    <col min="16119" max="16149" width="11.5703125" style="1" bestFit="1" customWidth="1"/>
    <col min="16150" max="16150" width="11.5703125" style="1"/>
    <col min="16151" max="16181" width="11.5703125" style="1" bestFit="1" customWidth="1"/>
    <col min="16182" max="16182" width="11.5703125" style="1"/>
    <col min="16183" max="16213" width="11.5703125" style="1" bestFit="1" customWidth="1"/>
    <col min="16214" max="16214" width="11.5703125" style="1"/>
    <col min="16215" max="16245" width="11.5703125" style="1" bestFit="1" customWidth="1"/>
    <col min="16246" max="16246" width="11.5703125" style="1"/>
    <col min="16247" max="16277" width="11.5703125" style="1" bestFit="1" customWidth="1"/>
    <col min="16278" max="16278" width="11.5703125" style="1"/>
    <col min="16279" max="16309" width="11.5703125" style="1" bestFit="1" customWidth="1"/>
    <col min="16310" max="16310" width="11.5703125" style="1"/>
    <col min="16311" max="16327" width="11.5703125" style="1" bestFit="1" customWidth="1"/>
    <col min="16328" max="16384" width="11.5703125" style="1"/>
  </cols>
  <sheetData>
    <row r="1" spans="1:39" s="11" customFormat="1" ht="26.45" customHeight="1" x14ac:dyDescent="0.25">
      <c r="A1" s="51" t="s">
        <v>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</row>
    <row r="2" spans="1:39" s="11" customFormat="1" x14ac:dyDescent="0.25">
      <c r="A2" s="5" t="s">
        <v>8</v>
      </c>
      <c r="B2" s="5" t="s">
        <v>8</v>
      </c>
      <c r="C2" s="5" t="s">
        <v>8</v>
      </c>
      <c r="D2" s="6" t="s">
        <v>19</v>
      </c>
      <c r="E2" s="5" t="s">
        <v>8</v>
      </c>
      <c r="F2" s="6" t="s">
        <v>19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 t="s">
        <v>8</v>
      </c>
      <c r="N2" s="5" t="s">
        <v>8</v>
      </c>
      <c r="O2" s="6" t="s">
        <v>19</v>
      </c>
      <c r="P2" s="6" t="s">
        <v>19</v>
      </c>
      <c r="Q2" s="6" t="s">
        <v>19</v>
      </c>
      <c r="R2" s="5" t="s">
        <v>8</v>
      </c>
      <c r="S2" s="6" t="s">
        <v>19</v>
      </c>
      <c r="T2" s="6" t="s">
        <v>19</v>
      </c>
      <c r="U2" s="6" t="s">
        <v>19</v>
      </c>
      <c r="V2" s="6" t="s">
        <v>19</v>
      </c>
      <c r="W2" s="6" t="s">
        <v>19</v>
      </c>
      <c r="X2" s="6" t="s">
        <v>19</v>
      </c>
      <c r="Y2" s="6" t="s">
        <v>19</v>
      </c>
      <c r="Z2" s="6" t="s">
        <v>19</v>
      </c>
      <c r="AA2" s="6" t="s">
        <v>19</v>
      </c>
      <c r="AB2" s="6" t="s">
        <v>19</v>
      </c>
      <c r="AC2" s="6" t="s">
        <v>19</v>
      </c>
      <c r="AD2" s="6" t="s">
        <v>19</v>
      </c>
      <c r="AE2" s="6" t="s">
        <v>19</v>
      </c>
      <c r="AF2" s="6" t="s">
        <v>19</v>
      </c>
      <c r="AG2" s="6" t="s">
        <v>19</v>
      </c>
      <c r="AH2" s="6" t="s">
        <v>19</v>
      </c>
      <c r="AI2" s="6" t="s">
        <v>19</v>
      </c>
      <c r="AJ2" s="6" t="s">
        <v>19</v>
      </c>
      <c r="AK2" s="6" t="s">
        <v>19</v>
      </c>
      <c r="AL2" s="6" t="s">
        <v>19</v>
      </c>
      <c r="AM2" s="6" t="s">
        <v>19</v>
      </c>
    </row>
    <row r="3" spans="1:39" s="14" customFormat="1" x14ac:dyDescent="0.25">
      <c r="A3" s="17" t="s">
        <v>9</v>
      </c>
      <c r="B3" s="17" t="s">
        <v>12</v>
      </c>
      <c r="C3" s="17" t="s">
        <v>16</v>
      </c>
      <c r="D3" s="17" t="s">
        <v>20</v>
      </c>
      <c r="E3" s="17" t="s">
        <v>22</v>
      </c>
      <c r="F3" s="17" t="s">
        <v>24</v>
      </c>
      <c r="G3" s="17" t="s">
        <v>26</v>
      </c>
      <c r="H3" s="17" t="s">
        <v>28</v>
      </c>
      <c r="I3" s="17" t="s">
        <v>30</v>
      </c>
      <c r="J3" s="17" t="s">
        <v>32</v>
      </c>
      <c r="K3" s="17" t="s">
        <v>34</v>
      </c>
      <c r="L3" s="17" t="s">
        <v>36</v>
      </c>
      <c r="M3" s="17" t="s">
        <v>39</v>
      </c>
      <c r="N3" s="17" t="s">
        <v>41</v>
      </c>
      <c r="O3" s="17" t="s">
        <v>43</v>
      </c>
      <c r="P3" s="17" t="s">
        <v>44</v>
      </c>
      <c r="Q3" s="17" t="s">
        <v>46</v>
      </c>
      <c r="R3" s="17" t="s">
        <v>47</v>
      </c>
      <c r="S3" s="17" t="s">
        <v>49</v>
      </c>
      <c r="T3" s="17" t="s">
        <v>51</v>
      </c>
      <c r="U3" s="17" t="s">
        <v>53</v>
      </c>
      <c r="V3" s="17" t="s">
        <v>55</v>
      </c>
      <c r="W3" s="17" t="s">
        <v>57</v>
      </c>
      <c r="X3" s="17" t="s">
        <v>59</v>
      </c>
      <c r="Y3" s="17" t="s">
        <v>2943</v>
      </c>
      <c r="Z3" s="17" t="s">
        <v>63</v>
      </c>
      <c r="AA3" s="17" t="s">
        <v>65</v>
      </c>
      <c r="AB3" s="17" t="s">
        <v>2944</v>
      </c>
      <c r="AC3" s="17" t="s">
        <v>2945</v>
      </c>
      <c r="AD3" s="17" t="s">
        <v>69</v>
      </c>
      <c r="AE3" s="17" t="s">
        <v>71</v>
      </c>
      <c r="AF3" s="17" t="s">
        <v>73</v>
      </c>
      <c r="AG3" s="17" t="s">
        <v>74</v>
      </c>
      <c r="AH3" s="17" t="s">
        <v>75</v>
      </c>
      <c r="AI3" s="17" t="s">
        <v>76</v>
      </c>
      <c r="AJ3" s="17" t="s">
        <v>2946</v>
      </c>
      <c r="AK3" s="17" t="s">
        <v>2947</v>
      </c>
      <c r="AL3" s="17" t="s">
        <v>2948</v>
      </c>
      <c r="AM3" s="17" t="s">
        <v>2949</v>
      </c>
    </row>
    <row r="4" spans="1:39" x14ac:dyDescent="0.25">
      <c r="A4" s="1" t="s">
        <v>2950</v>
      </c>
      <c r="G4" s="1" t="s">
        <v>2951</v>
      </c>
      <c r="H4" s="1" t="s">
        <v>160</v>
      </c>
      <c r="I4" s="1" t="s">
        <v>117</v>
      </c>
      <c r="J4" s="1" t="s">
        <v>2952</v>
      </c>
      <c r="R4" s="1" t="s">
        <v>2953</v>
      </c>
      <c r="T4" s="1" t="s">
        <v>205</v>
      </c>
      <c r="U4" s="1" t="s">
        <v>2954</v>
      </c>
      <c r="W4" s="1" t="s">
        <v>123</v>
      </c>
      <c r="AM4" s="1" t="s">
        <v>2955</v>
      </c>
    </row>
    <row r="5" spans="1:39" x14ac:dyDescent="0.25">
      <c r="A5" s="1" t="s">
        <v>110</v>
      </c>
      <c r="G5" s="1" t="s">
        <v>2956</v>
      </c>
      <c r="H5" s="1" t="s">
        <v>116</v>
      </c>
      <c r="I5" s="1" t="s">
        <v>217</v>
      </c>
      <c r="J5" s="1" t="s">
        <v>141</v>
      </c>
      <c r="R5" s="1" t="s">
        <v>2957</v>
      </c>
      <c r="T5" s="1" t="s">
        <v>1352</v>
      </c>
      <c r="U5" s="1" t="s">
        <v>102</v>
      </c>
      <c r="AM5" s="1" t="s">
        <v>2958</v>
      </c>
    </row>
    <row r="6" spans="1:39" x14ac:dyDescent="0.25">
      <c r="A6" s="1" t="s">
        <v>2959</v>
      </c>
      <c r="G6" s="1" t="s">
        <v>2960</v>
      </c>
      <c r="I6" s="1" t="s">
        <v>2961</v>
      </c>
      <c r="J6" s="1" t="s">
        <v>2962</v>
      </c>
      <c r="R6" s="1" t="s">
        <v>2963</v>
      </c>
      <c r="T6" s="1" t="s">
        <v>2964</v>
      </c>
      <c r="U6" s="1" t="s">
        <v>81</v>
      </c>
    </row>
    <row r="7" spans="1:39" x14ac:dyDescent="0.25">
      <c r="A7" s="1" t="s">
        <v>2965</v>
      </c>
      <c r="G7" s="1" t="s">
        <v>115</v>
      </c>
      <c r="J7" s="1" t="s">
        <v>2195</v>
      </c>
      <c r="R7" s="1" t="s">
        <v>2966</v>
      </c>
      <c r="T7" s="1" t="s">
        <v>2967</v>
      </c>
      <c r="U7" s="1" t="s">
        <v>103</v>
      </c>
    </row>
    <row r="8" spans="1:39" x14ac:dyDescent="0.25">
      <c r="A8" s="1" t="s">
        <v>2968</v>
      </c>
      <c r="G8" s="1" t="s">
        <v>2969</v>
      </c>
      <c r="J8" s="1" t="s">
        <v>2970</v>
      </c>
      <c r="T8" s="1" t="s">
        <v>2954</v>
      </c>
      <c r="U8" s="1" t="s">
        <v>104</v>
      </c>
    </row>
    <row r="9" spans="1:39" x14ac:dyDescent="0.25">
      <c r="A9" s="1" t="s">
        <v>2971</v>
      </c>
      <c r="G9" s="1" t="s">
        <v>2972</v>
      </c>
      <c r="J9" s="1" t="s">
        <v>118</v>
      </c>
      <c r="T9" s="1" t="s">
        <v>2973</v>
      </c>
      <c r="U9" s="1" t="s">
        <v>105</v>
      </c>
    </row>
    <row r="10" spans="1:39" x14ac:dyDescent="0.25">
      <c r="A10" s="1" t="s">
        <v>2974</v>
      </c>
      <c r="G10" s="1" t="s">
        <v>2975</v>
      </c>
      <c r="J10" s="1" t="s">
        <v>2976</v>
      </c>
      <c r="T10" s="1" t="s">
        <v>2977</v>
      </c>
      <c r="U10" s="1" t="s">
        <v>82</v>
      </c>
    </row>
    <row r="11" spans="1:39" x14ac:dyDescent="0.25">
      <c r="A11" s="1" t="s">
        <v>2978</v>
      </c>
      <c r="G11" s="1" t="s">
        <v>2979</v>
      </c>
      <c r="T11" s="1" t="s">
        <v>2980</v>
      </c>
      <c r="U11" s="1" t="s">
        <v>107</v>
      </c>
    </row>
    <row r="12" spans="1:39" x14ac:dyDescent="0.25">
      <c r="A12" s="1" t="s">
        <v>2981</v>
      </c>
      <c r="G12" s="1" t="s">
        <v>2982</v>
      </c>
      <c r="T12" s="1" t="s">
        <v>2983</v>
      </c>
      <c r="U12" s="1" t="s">
        <v>83</v>
      </c>
    </row>
    <row r="13" spans="1:39" x14ac:dyDescent="0.25">
      <c r="G13" s="1" t="s">
        <v>2984</v>
      </c>
      <c r="T13" s="1" t="s">
        <v>2985</v>
      </c>
      <c r="U13" s="1" t="s">
        <v>108</v>
      </c>
    </row>
    <row r="14" spans="1:39" x14ac:dyDescent="0.25">
      <c r="G14" s="1" t="s">
        <v>2986</v>
      </c>
      <c r="T14" s="1" t="s">
        <v>2987</v>
      </c>
      <c r="U14" s="1" t="s">
        <v>106</v>
      </c>
    </row>
    <row r="15" spans="1:39" x14ac:dyDescent="0.25">
      <c r="G15" s="1" t="s">
        <v>440</v>
      </c>
      <c r="T15" s="1" t="s">
        <v>2988</v>
      </c>
      <c r="U15" s="1" t="s">
        <v>84</v>
      </c>
    </row>
    <row r="16" spans="1:39" x14ac:dyDescent="0.25">
      <c r="G16" s="1" t="s">
        <v>2989</v>
      </c>
      <c r="T16" s="1" t="s">
        <v>2990</v>
      </c>
      <c r="U16" s="1" t="s">
        <v>2991</v>
      </c>
    </row>
    <row r="17" spans="20:21" x14ac:dyDescent="0.25">
      <c r="T17" s="1" t="s">
        <v>2992</v>
      </c>
      <c r="U17" s="1" t="s">
        <v>85</v>
      </c>
    </row>
    <row r="18" spans="20:21" x14ac:dyDescent="0.25">
      <c r="T18" s="1" t="s">
        <v>103</v>
      </c>
      <c r="U18" s="1" t="s">
        <v>86</v>
      </c>
    </row>
    <row r="19" spans="20:21" x14ac:dyDescent="0.25">
      <c r="T19" s="1" t="s">
        <v>2993</v>
      </c>
      <c r="U19" s="1" t="s">
        <v>87</v>
      </c>
    </row>
    <row r="20" spans="20:21" x14ac:dyDescent="0.25">
      <c r="T20" s="1" t="s">
        <v>2994</v>
      </c>
      <c r="U20" s="1" t="s">
        <v>88</v>
      </c>
    </row>
    <row r="21" spans="20:21" x14ac:dyDescent="0.25">
      <c r="T21" s="1" t="s">
        <v>2995</v>
      </c>
      <c r="U21" s="1" t="s">
        <v>89</v>
      </c>
    </row>
    <row r="22" spans="20:21" x14ac:dyDescent="0.25">
      <c r="T22" s="1" t="s">
        <v>2996</v>
      </c>
      <c r="U22" s="1" t="s">
        <v>90</v>
      </c>
    </row>
    <row r="23" spans="20:21" x14ac:dyDescent="0.25">
      <c r="T23" s="1" t="s">
        <v>2821</v>
      </c>
      <c r="U23" s="1" t="s">
        <v>91</v>
      </c>
    </row>
    <row r="24" spans="20:21" x14ac:dyDescent="0.25">
      <c r="T24" s="1" t="s">
        <v>104</v>
      </c>
      <c r="U24" s="1" t="s">
        <v>109</v>
      </c>
    </row>
    <row r="25" spans="20:21" x14ac:dyDescent="0.25">
      <c r="T25" s="1" t="s">
        <v>105</v>
      </c>
      <c r="U25" s="1" t="s">
        <v>92</v>
      </c>
    </row>
    <row r="26" spans="20:21" x14ac:dyDescent="0.25">
      <c r="T26" s="1" t="s">
        <v>2997</v>
      </c>
      <c r="U26" s="1" t="s">
        <v>93</v>
      </c>
    </row>
    <row r="27" spans="20:21" x14ac:dyDescent="0.25">
      <c r="T27" s="1" t="s">
        <v>2932</v>
      </c>
      <c r="U27" s="1" t="s">
        <v>94</v>
      </c>
    </row>
    <row r="28" spans="20:21" x14ac:dyDescent="0.25">
      <c r="T28" s="1" t="s">
        <v>2660</v>
      </c>
    </row>
    <row r="29" spans="20:21" x14ac:dyDescent="0.25">
      <c r="T29" s="1" t="s">
        <v>2998</v>
      </c>
    </row>
    <row r="30" spans="20:21" x14ac:dyDescent="0.25">
      <c r="T30" s="1" t="s">
        <v>2999</v>
      </c>
    </row>
    <row r="31" spans="20:21" x14ac:dyDescent="0.25">
      <c r="T31" s="1" t="s">
        <v>2801</v>
      </c>
    </row>
    <row r="32" spans="20:21" x14ac:dyDescent="0.25">
      <c r="T32" s="1" t="s">
        <v>2723</v>
      </c>
    </row>
    <row r="33" spans="20:20" x14ac:dyDescent="0.25">
      <c r="T33" s="1" t="s">
        <v>82</v>
      </c>
    </row>
    <row r="34" spans="20:20" x14ac:dyDescent="0.25">
      <c r="T34" s="1" t="s">
        <v>3000</v>
      </c>
    </row>
    <row r="35" spans="20:20" x14ac:dyDescent="0.25">
      <c r="T35" s="1" t="s">
        <v>3001</v>
      </c>
    </row>
    <row r="36" spans="20:20" x14ac:dyDescent="0.25">
      <c r="T36" s="1" t="s">
        <v>83</v>
      </c>
    </row>
    <row r="37" spans="20:20" x14ac:dyDescent="0.25">
      <c r="T37" s="1" t="s">
        <v>3002</v>
      </c>
    </row>
    <row r="38" spans="20:20" x14ac:dyDescent="0.25">
      <c r="T38" s="1" t="s">
        <v>3003</v>
      </c>
    </row>
    <row r="39" spans="20:20" x14ac:dyDescent="0.25">
      <c r="T39" s="1" t="s">
        <v>3004</v>
      </c>
    </row>
    <row r="40" spans="20:20" x14ac:dyDescent="0.25">
      <c r="T40" s="1" t="s">
        <v>3005</v>
      </c>
    </row>
    <row r="41" spans="20:20" x14ac:dyDescent="0.25">
      <c r="T41" s="1" t="s">
        <v>3006</v>
      </c>
    </row>
    <row r="42" spans="20:20" x14ac:dyDescent="0.25">
      <c r="T42" s="1" t="s">
        <v>3007</v>
      </c>
    </row>
    <row r="43" spans="20:20" x14ac:dyDescent="0.25">
      <c r="T43" s="1" t="s">
        <v>3008</v>
      </c>
    </row>
    <row r="44" spans="20:20" x14ac:dyDescent="0.25">
      <c r="T44" s="1" t="s">
        <v>3009</v>
      </c>
    </row>
    <row r="45" spans="20:20" x14ac:dyDescent="0.25">
      <c r="T45" s="1" t="s">
        <v>3010</v>
      </c>
    </row>
    <row r="46" spans="20:20" x14ac:dyDescent="0.25">
      <c r="T46" s="1" t="s">
        <v>3011</v>
      </c>
    </row>
    <row r="47" spans="20:20" x14ac:dyDescent="0.25">
      <c r="T47" s="1" t="s">
        <v>3012</v>
      </c>
    </row>
    <row r="48" spans="20:20" x14ac:dyDescent="0.25">
      <c r="T48" s="1" t="s">
        <v>3013</v>
      </c>
    </row>
    <row r="49" spans="20:20" x14ac:dyDescent="0.25">
      <c r="T49" s="1" t="s">
        <v>3014</v>
      </c>
    </row>
    <row r="50" spans="20:20" x14ac:dyDescent="0.25">
      <c r="T50" s="1" t="s">
        <v>2807</v>
      </c>
    </row>
    <row r="51" spans="20:20" x14ac:dyDescent="0.25">
      <c r="T51" s="1" t="s">
        <v>3015</v>
      </c>
    </row>
    <row r="52" spans="20:20" x14ac:dyDescent="0.25">
      <c r="T52" s="1" t="s">
        <v>3016</v>
      </c>
    </row>
    <row r="53" spans="20:20" x14ac:dyDescent="0.25">
      <c r="T53" s="1" t="s">
        <v>3017</v>
      </c>
    </row>
    <row r="54" spans="20:20" x14ac:dyDescent="0.25">
      <c r="T54" s="1" t="s">
        <v>3018</v>
      </c>
    </row>
    <row r="55" spans="20:20" x14ac:dyDescent="0.25">
      <c r="T55" s="1" t="s">
        <v>3019</v>
      </c>
    </row>
    <row r="56" spans="20:20" x14ac:dyDescent="0.25">
      <c r="T56" s="1" t="s">
        <v>729</v>
      </c>
    </row>
    <row r="57" spans="20:20" x14ac:dyDescent="0.25">
      <c r="T57" s="1" t="s">
        <v>3020</v>
      </c>
    </row>
    <row r="58" spans="20:20" x14ac:dyDescent="0.25">
      <c r="T58" s="1" t="s">
        <v>3021</v>
      </c>
    </row>
    <row r="59" spans="20:20" x14ac:dyDescent="0.25">
      <c r="T59" s="1" t="s">
        <v>3022</v>
      </c>
    </row>
    <row r="60" spans="20:20" x14ac:dyDescent="0.25">
      <c r="T60" s="1" t="s">
        <v>2941</v>
      </c>
    </row>
    <row r="61" spans="20:20" x14ac:dyDescent="0.25">
      <c r="T61" s="1" t="s">
        <v>3023</v>
      </c>
    </row>
    <row r="62" spans="20:20" x14ac:dyDescent="0.25">
      <c r="T62" s="1" t="s">
        <v>3024</v>
      </c>
    </row>
    <row r="63" spans="20:20" x14ac:dyDescent="0.25">
      <c r="T63" s="1" t="s">
        <v>3025</v>
      </c>
    </row>
    <row r="64" spans="20:20" x14ac:dyDescent="0.25">
      <c r="T64" s="1" t="s">
        <v>3026</v>
      </c>
    </row>
    <row r="65" spans="20:20" x14ac:dyDescent="0.25">
      <c r="T65" s="1" t="s">
        <v>3027</v>
      </c>
    </row>
    <row r="66" spans="20:20" x14ac:dyDescent="0.25">
      <c r="T66" s="1" t="s">
        <v>3028</v>
      </c>
    </row>
    <row r="67" spans="20:20" x14ac:dyDescent="0.25">
      <c r="T67" s="1" t="s">
        <v>3029</v>
      </c>
    </row>
    <row r="68" spans="20:20" x14ac:dyDescent="0.25">
      <c r="T68" s="1" t="s">
        <v>3030</v>
      </c>
    </row>
    <row r="69" spans="20:20" x14ac:dyDescent="0.25">
      <c r="T69" s="1" t="s">
        <v>3031</v>
      </c>
    </row>
    <row r="70" spans="20:20" x14ac:dyDescent="0.25">
      <c r="T70" s="1" t="s">
        <v>3032</v>
      </c>
    </row>
    <row r="71" spans="20:20" x14ac:dyDescent="0.25">
      <c r="T71" s="1" t="s">
        <v>3033</v>
      </c>
    </row>
    <row r="72" spans="20:20" x14ac:dyDescent="0.25">
      <c r="T72" s="1" t="s">
        <v>109</v>
      </c>
    </row>
    <row r="73" spans="20:20" x14ac:dyDescent="0.25">
      <c r="T73" s="1" t="s">
        <v>3034</v>
      </c>
    </row>
    <row r="74" spans="20:20" x14ac:dyDescent="0.25">
      <c r="T74" s="1" t="s">
        <v>3035</v>
      </c>
    </row>
    <row r="75" spans="20:20" x14ac:dyDescent="0.25">
      <c r="T75" s="1" t="s">
        <v>3036</v>
      </c>
    </row>
    <row r="76" spans="20:20" x14ac:dyDescent="0.25">
      <c r="T76" s="1" t="s">
        <v>93</v>
      </c>
    </row>
    <row r="77" spans="20:20" x14ac:dyDescent="0.25">
      <c r="T77" s="1" t="s">
        <v>3037</v>
      </c>
    </row>
    <row r="78" spans="20:20" x14ac:dyDescent="0.25">
      <c r="T78" s="1" t="s">
        <v>3038</v>
      </c>
    </row>
  </sheetData>
  <dataConsolidate/>
  <mergeCells count="1">
    <mergeCell ref="A1:AM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Props1.xml><?xml version="1.0" encoding="utf-8"?>
<ds:datastoreItem xmlns:ds="http://schemas.openxmlformats.org/officeDocument/2006/customXml" ds:itemID="{8FC993A0-C402-42D8-9958-A186045265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53E4E25-78F1-402A-9266-5237CE8C9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B30D6C-F017-4140-99A4-99B33E1F1210}"/>
</file>

<file path=customXml/itemProps4.xml><?xml version="1.0" encoding="utf-8"?>
<ds:datastoreItem xmlns:ds="http://schemas.openxmlformats.org/officeDocument/2006/customXml" ds:itemID="{6E717FDF-E316-49D4-8FA3-3B83FC5719D6}">
  <ds:schemaRefs>
    <ds:schemaRef ds:uri="http://schemas.microsoft.com/office/2006/metadata/properties"/>
    <ds:schemaRef ds:uri="http://schemas.microsoft.com/office/infopath/2007/PartnerControls"/>
    <ds:schemaRef ds:uri="76700608-87c1-4b7c-937f-b2582eea695b"/>
    <ds:schemaRef ds:uri="5c680a88-8913-4f49-a90f-96ec542e1a5b"/>
  </ds:schemaRefs>
</ds:datastoreItem>
</file>

<file path=docMetadata/LabelInfo.xml><?xml version="1.0" encoding="utf-8"?>
<clbl:labelList xmlns:clbl="http://schemas.microsoft.com/office/2020/mipLabelMetadata">
  <clbl:label id="{059eb431-8a05-4e9a-9d3a-0a9056cd91f1}" enabled="0" method="" siteId="{059eb431-8a05-4e9a-9d3a-0a9056cd91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Definición</vt:lpstr>
      <vt:lpstr>TD</vt:lpstr>
      <vt:lpstr>Plantilla Report Recibos</vt:lpstr>
      <vt:lpstr>Mapeo Ramos</vt:lpstr>
      <vt:lpstr>Catalogo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Carles Saez</dc:creator>
  <cp:keywords/>
  <dc:description/>
  <cp:lastModifiedBy>Marc Anadon</cp:lastModifiedBy>
  <cp:revision/>
  <dcterms:created xsi:type="dcterms:W3CDTF">2025-09-18T11:08:00Z</dcterms:created>
  <dcterms:modified xsi:type="dcterms:W3CDTF">2026-03-12T08:52:18Z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